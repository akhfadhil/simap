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PAKIS" sheetId="2" r:id="rId5"/>
    <sheet state="visible" name="SOBO" sheetId="3" r:id="rId6"/>
    <sheet state="visible" name="KEBALENAN" sheetId="4" r:id="rId7"/>
    <sheet state="visible" name="PENGANJURAN" sheetId="5" r:id="rId8"/>
    <sheet state="visible" name="TUKANGKAYU" sheetId="6" r:id="rId9"/>
    <sheet state="visible" name="KERTOSARI" sheetId="7" r:id="rId10"/>
    <sheet state="visible" name="KARANGREJO" sheetId="8" r:id="rId11"/>
    <sheet state="visible" name="KEPATIHAN" sheetId="9" r:id="rId12"/>
    <sheet state="visible" name="PANDEREJO" sheetId="10" r:id="rId13"/>
    <sheet state="visible" name="SINGONEGARAN" sheetId="11" r:id="rId14"/>
    <sheet state="visible" name="TEMENGGUNGAN" sheetId="12" r:id="rId15"/>
    <sheet state="visible" name="KAMPUNGMELAYU" sheetId="13" r:id="rId16"/>
    <sheet state="visible" name="KAMPUNGMANDAR" sheetId="14" r:id="rId17"/>
    <sheet state="visible" name="LATENG" sheetId="15" r:id="rId18"/>
    <sheet state="visible" name="SINGOTRUNAN" sheetId="16" r:id="rId19"/>
    <sheet state="visible" name="PENGANTIGAN" sheetId="17" r:id="rId20"/>
    <sheet state="visible" name="TAMANBARU" sheetId="18" r:id="rId21"/>
    <sheet state="visible" name="SUMBERREJO" sheetId="19" r:id="rId22"/>
  </sheets>
  <definedNames/>
  <calcPr/>
  <extLst>
    <ext uri="GoogleSheetsCustomDataVersion2">
      <go:sheetsCustomData xmlns:go="http://customooxmlschemas.google.com/" r:id="rId23" roundtripDataChecksum="wuAlgzVsLXffuRURKowMiU2W1vAzoArz0UPCKZ575a4="/>
    </ext>
  </extLst>
</workbook>
</file>

<file path=xl/sharedStrings.xml><?xml version="1.0" encoding="utf-8"?>
<sst xmlns="http://schemas.openxmlformats.org/spreadsheetml/2006/main" count="5806" uniqueCount="246">
  <si>
    <t>Kecamatan</t>
  </si>
  <si>
    <t>BANYUWANGI</t>
  </si>
  <si>
    <t>Kabupaten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</si>
  <si>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</si>
  <si>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</si>
  <si>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</si>
  <si>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</si>
  <si>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</si>
  <si>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</si>
  <si>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</si>
  <si>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</si>
  <si>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</si>
  <si>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</si>
  <si>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</si>
  <si>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</si>
  <si>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</si>
  <si>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</si>
  <si>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</si>
  <si>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</si>
  <si>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</si>
  <si>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</si>
  <si>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</si>
  <si>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</si>
  <si>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</si>
  <si>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</si>
  <si>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</si>
  <si>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</si>
  <si>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</si>
  <si>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</si>
  <si>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</si>
  <si>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</si>
  <si>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</si>
  <si>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</si>
  <si>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</si>
  <si>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</si>
  <si>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</si>
  <si>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</si>
  <si>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</si>
  <si>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</si>
  <si>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</si>
  <si>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</si>
  <si>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</si>
  <si>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</si>
  <si>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</si>
  <si>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</si>
  <si>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</si>
  <si>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</si>
  <si>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</si>
  <si>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</si>
  <si>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</si>
  <si>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</si>
  <si>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</si>
  <si>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</si>
  <si>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</si>
  <si>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</si>
  <si>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</si>
  <si>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</si>
  <si>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</si>
  <si>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</si>
  <si>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</si>
  <si>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</si>
  <si>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</si>
  <si>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</si>
  <si>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</si>
  <si>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</si>
  <si>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</si>
  <si>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</si>
  <si>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</si>
  <si>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</si>
  <si>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</si>
  <si>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</si>
  <si>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</si>
  <si>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</si>
  <si>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</si>
  <si>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</si>
  <si>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</si>
  <si>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</si>
  <si>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</si>
  <si>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</si>
  <si>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</si>
  <si>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</si>
  <si>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</si>
  <si>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</si>
  <si>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</si>
  <si>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</si>
  <si>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</si>
  <si>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</si>
  <si>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</si>
  <si>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</si>
  <si>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</si>
  <si>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</si>
  <si>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</si>
  <si>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</si>
  <si>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</si>
  <si>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</si>
  <si>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</si>
  <si>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</si>
  <si>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</si>
  <si>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</si>
  <si>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</si>
  <si>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</si>
  <si>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</si>
  <si>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</si>
  <si>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</si>
  <si>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</si>
  <si>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</si>
  <si>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</si>
  <si>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</si>
  <si>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</si>
  <si>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</si>
  <si>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</si>
  <si>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</si>
  <si>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</si>
  <si>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</si>
  <si>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</si>
  <si>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</si>
  <si>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</si>
  <si>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</si>
  <si>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</si>
  <si>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</si>
  <si>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</si>
  <si>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</si>
  <si>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</si>
  <si>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</si>
  <si>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</si>
  <si>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</si>
  <si>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</si>
  <si>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</si>
  <si>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</si>
  <si>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</si>
  <si>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</si>
  <si>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</si>
  <si>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</si>
  <si>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</si>
  <si>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</si>
  <si>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</si>
  <si>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</si>
  <si>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</si>
  <si>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</si>
  <si>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</si>
  <si>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</si>
  <si>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</si>
  <si>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</si>
  <si>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</si>
  <si>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</si>
  <si>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</si>
  <si>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</si>
  <si>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</si>
  <si>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</si>
  <si>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</si>
  <si>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</si>
  <si>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</si>
  <si>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</si>
  <si>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</si>
  <si>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</si>
  <si>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</si>
  <si>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</si>
  <si>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</si>
  <si>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</si>
  <si>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</si>
  <si>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</si>
  <si>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</si>
  <si>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</si>
  <si>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</si>
  <si>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</si>
  <si>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</si>
  <si>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</si>
  <si>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</si>
  <si>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</si>
  <si>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</si>
  <si>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</si>
  <si>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</si>
  <si>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</si>
  <si>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</si>
  <si>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</si>
  <si>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</si>
  <si>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</si>
  <si>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</si>
  <si>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</si>
  <si>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</si>
  <si>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</si>
  <si>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</si>
  <si>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</si>
  <si>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</si>
  <si>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</si>
  <si>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</si>
  <si>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</si>
  <si>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</si>
  <si>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</si>
  <si>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</si>
  <si>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</si>
  <si>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</si>
  <si>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</si>
  <si>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</si>
  <si>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</si>
  <si>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</si>
  <si>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</si>
  <si>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</si>
  <si>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PAKIS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</si>
  <si>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</si>
  <si>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</si>
  <si>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</si>
  <si>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</si>
  <si>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</si>
  <si>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</si>
  <si>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</si>
  <si>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</si>
  <si>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</si>
  <si>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</si>
  <si>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</si>
  <si>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</si>
  <si>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</si>
  <si>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</si>
  <si>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</si>
  <si>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SOBO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</si>
  <si>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</si>
  <si>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</si>
  <si>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</si>
  <si>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</si>
  <si>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</si>
  <si>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</si>
  <si>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</si>
  <si>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</si>
  <si>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KEBALENAN</t>
  </si>
  <si>
    <t>TPS 024</t>
  </si>
  <si>
    <t>TPS 025</t>
  </si>
  <si>
    <t>TPS 026</t>
  </si>
  <si>
    <t>TPS 027</t>
  </si>
  <si>
    <t>TPS 028</t>
  </si>
  <si>
    <t>TPS 029</t>
  </si>
  <si>
    <t>PENGANJURAN</t>
  </si>
  <si>
    <t>TUKANGKAYU</t>
  </si>
  <si>
    <t>KERTOSARI</t>
  </si>
  <si>
    <t>KARANGREJO</t>
  </si>
  <si>
    <t>TPS 030</t>
  </si>
  <si>
    <t>KEPATIHAN</t>
  </si>
  <si>
    <t>PANDEREJO</t>
  </si>
  <si>
    <t>SINGONEGARAN</t>
  </si>
  <si>
    <t>TEMENGGUNGAN</t>
  </si>
  <si>
    <t>KAMPUNGMELAYU</t>
  </si>
  <si>
    <t>KAMPUNGMANDAR</t>
  </si>
  <si>
    <t>LATENG</t>
  </si>
  <si>
    <t>SINGOTRUNAN</t>
  </si>
  <si>
    <t>PENGANTIGAN</t>
  </si>
  <si>
    <t>TAMANBARU</t>
  </si>
  <si>
    <t>SUMBERREJO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</si>
</sst>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3" numFmtId="0" xfId="0" applyAlignment="1" applyBorder="1" applyFont="1">
      <alignment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20" fillId="3" fontId="3" numFmtId="0" xfId="0" applyAlignment="1" applyBorder="1" applyFont="1">
      <alignment shrinkToFit="0" vertical="center" wrapText="1"/>
    </xf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1" fillId="3" fontId="6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16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20" fillId="3" fontId="3" numFmtId="0" xfId="0" applyAlignment="1" applyBorder="1" applyFont="1">
      <alignment horizontal="center" readingOrder="0" vertical="center"/>
    </xf>
    <xf borderId="20" fillId="3" fontId="3" numFmtId="0" xfId="0" applyAlignment="1" applyBorder="1" applyFont="1">
      <alignment horizontal="center" vertical="center"/>
    </xf>
    <xf borderId="22" fillId="3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3</v>
      </c>
      <c r="D10" s="8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5</v>
      </c>
      <c r="B12" s="14" t="s">
        <v>6</v>
      </c>
      <c r="C12" s="15"/>
      <c r="D12" s="16"/>
      <c r="E12" s="17" t="s">
        <v>7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8</v>
      </c>
      <c r="B13" s="20" t="s">
        <v>9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10</v>
      </c>
      <c r="C14" s="23"/>
      <c r="D14" s="19" t="s">
        <v>11</v>
      </c>
      <c r="E14" s="24">
        <f>KAMPUNGMANDAR!P14+KAMPUNGMELAYU!M14+KARANGREJO!AI14+KEBALENAN!AH14+KEPATIHAN!S14+KERTOSARI!AB14+LATENG!AD14+PAKIS!T14+PANDEREJO!R14+PENGANJURAN!T14+PENGANTIGAN!X14+SINGONEGARAN!U14+SINGOTRUNAN!AE14+SOBO!AB14+SUMBERREJO!U14+TAMANBARU!Z14+TEMENGGUNGAN!L14+TUKANGKAYU!AD14</f>
        <v>43119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12</v>
      </c>
      <c r="E15" s="24">
        <f>KAMPUNGMANDAR!P15+KAMPUNGMELAYU!M15+KARANGREJO!AI15+KEBALENAN!AH15+KEPATIHAN!S15+KERTOSARI!AB15+LATENG!AD15+PAKIS!T15+PANDEREJO!R15+PENGANJURAN!T15+PENGANTIGAN!X15+SINGONEGARAN!U15+SINGOTRUNAN!AE15+SOBO!AB15+SUMBERREJO!U15+TAMANBARU!Z15+TEMENGGUNGAN!L15+TUKANGKAYU!AD15</f>
        <v>45907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13</v>
      </c>
      <c r="E16" s="29">
        <f>SUM(E14:E15)</f>
        <v>89026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14</v>
      </c>
      <c r="B18" s="20" t="s">
        <v>15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16</v>
      </c>
      <c r="C19" s="32" t="s">
        <v>17</v>
      </c>
      <c r="D19" s="19" t="s">
        <v>11</v>
      </c>
      <c r="E19" s="24">
        <f>KAMPUNGMANDAR!P19+KAMPUNGMELAYU!M19+KARANGREJO!AI19+KEBALENAN!AH19+KEPATIHAN!S19+KERTOSARI!AB19+LATENG!AD19+PAKIS!T19+PANDEREJO!R19+PENGANJURAN!T19+PENGANTIGAN!X19+SINGONEGARAN!U19+SINGOTRUNAN!AE19+SOBO!AB19+SUMBERREJO!U19+TAMANBARU!Z19+TEMENGGUNGAN!L19+TUKANGKAYU!AD19</f>
        <v>31082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12</v>
      </c>
      <c r="E20" s="24">
        <f>KAMPUNGMANDAR!P20+KAMPUNGMELAYU!M20+KARANGREJO!AI20+KEBALENAN!AH20+KEPATIHAN!S20+KERTOSARI!AB20+LATENG!AD20+PAKIS!T20+PANDEREJO!R20+PENGANJURAN!T20+PENGANTIGAN!X20+SINGONEGARAN!U20+SINGOTRUNAN!AE20+SOBO!AB20+SUMBERREJO!U20+TAMANBARU!Z20+TEMENGGUNGAN!L20+TUKANGKAYU!AD20</f>
        <v>36199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13</v>
      </c>
      <c r="E21" s="29">
        <f>SUM(E19:E20)</f>
        <v>67281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18</v>
      </c>
      <c r="C22" s="32" t="s">
        <v>19</v>
      </c>
      <c r="D22" s="19" t="s">
        <v>11</v>
      </c>
      <c r="E22" s="24">
        <f>KAMPUNGMANDAR!P22+KAMPUNGMELAYU!M22+KARANGREJO!AI22+KEBALENAN!AH22+KEPATIHAN!S22+KERTOSARI!AB22+LATENG!AD22+PAKIS!T22+PANDEREJO!R22+PENGANJURAN!T22+PENGANTIGAN!X22+SINGONEGARAN!U22+SINGOTRUNAN!AE22+SOBO!AB22+SUMBERREJO!U22+TAMANBARU!Z22+TEMENGGUNGAN!L22+TUKANGKAYU!AD22</f>
        <v>77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12</v>
      </c>
      <c r="E23" s="24">
        <f>KAMPUNGMANDAR!P23+KAMPUNGMELAYU!M23+KARANGREJO!AI23+KEBALENAN!AH23+KEPATIHAN!S23+KERTOSARI!AB23+LATENG!AD23+PAKIS!T23+PANDEREJO!R23+PENGANJURAN!T23+PENGANTIGAN!X23+SINGONEGARAN!U23+SINGOTRUNAN!AE23+SOBO!AB23+SUMBERREJO!U23+TAMANBARU!Z23+TEMENGGUNGAN!L23+TUKANGKAYU!AD23</f>
        <v>75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13</v>
      </c>
      <c r="E24" s="29">
        <f>SUM(E22:E23)</f>
        <v>152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20</v>
      </c>
      <c r="C25" s="32" t="s">
        <v>21</v>
      </c>
      <c r="D25" s="19" t="s">
        <v>11</v>
      </c>
      <c r="E25" s="24">
        <f>KAMPUNGMANDAR!P25+KAMPUNGMELAYU!M25+KARANGREJO!AI25+KEBALENAN!AH25+KEPATIHAN!S25+KERTOSARI!AB25+LATENG!AD25+PAKIS!T25+PANDEREJO!R25+PENGANJURAN!T25+PENGANTIGAN!X25+SINGONEGARAN!U25+SINGOTRUNAN!AE25+SOBO!AB25+SUMBERREJO!U25+TAMANBARU!Z25+TEMENGGUNGAN!L25+TUKANGKAYU!AD25</f>
        <v>538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12</v>
      </c>
      <c r="E26" s="24">
        <f>KAMPUNGMANDAR!P26+KAMPUNGMELAYU!M26+KARANGREJO!AI26+KEBALENAN!AH26+KEPATIHAN!S26+KERTOSARI!AB26+LATENG!AD26+PAKIS!T26+PANDEREJO!R26+PENGANJURAN!T26+PENGANTIGAN!X26+SINGONEGARAN!U26+SINGOTRUNAN!AE26+SOBO!AB26+SUMBERREJO!U26+TAMANBARU!Z26+TEMENGGUNGAN!L26+TUKANGKAYU!AD26</f>
        <v>705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13</v>
      </c>
      <c r="E27" s="29">
        <f>SUM(E25:E26)</f>
        <v>1243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22</v>
      </c>
      <c r="C28" s="38" t="s">
        <v>23</v>
      </c>
      <c r="D28" s="13" t="s">
        <v>11</v>
      </c>
      <c r="E28" s="29">
        <f t="shared" ref="E28:E29" si="1">E19+E22+E25</f>
        <v>31697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12</v>
      </c>
      <c r="E29" s="29">
        <f t="shared" si="1"/>
        <v>36979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13</v>
      </c>
      <c r="E30" s="29">
        <f>SUM(E28:E29)</f>
        <v>68676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24</v>
      </c>
      <c r="B32" s="14" t="s">
        <v>25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26</v>
      </c>
      <c r="C33" s="15"/>
      <c r="D33" s="16"/>
      <c r="E33" s="24">
        <f>KAMPUNGMANDAR!P33+KAMPUNGMELAYU!M33+KARANGREJO!AI33+KEBALENAN!AH33+KEPATIHAN!S33+KERTOSARI!AB33+LATENG!AD33+PAKIS!T33+PANDEREJO!R33+PENGANJURAN!T33+PENGANTIGAN!X33+SINGONEGARAN!U33+SINGOTRUNAN!AE33+SOBO!AB33+SUMBERREJO!U33+TAMANBARU!Z33+TEMENGGUNGAN!L33+TUKANGKAYU!AD33</f>
        <v>90704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27</v>
      </c>
      <c r="C34" s="15"/>
      <c r="D34" s="16"/>
      <c r="E34" s="24">
        <f>KAMPUNGMANDAR!P34+KAMPUNGMELAYU!M34+KARANGREJO!AI34+KEBALENAN!AH34+KEPATIHAN!S34+KERTOSARI!AB34+LATENG!AD34+PAKIS!T34+PANDEREJO!R34+PENGANJURAN!T34+PENGANTIGAN!X34+SINGONEGARAN!U34+SINGOTRUNAN!AE34+SOBO!AB34+SUMBERREJO!U34+TAMANBARU!Z34+TEMENGGUNGAN!L34+TUKANGKAYU!AD34</f>
        <v>68676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28</v>
      </c>
      <c r="C35" s="15"/>
      <c r="D35" s="16"/>
      <c r="E35" s="24">
        <f>KAMPUNGMANDAR!P35+KAMPUNGMELAYU!M35+KARANGREJO!AI35+KEBALENAN!AH35+KEPATIHAN!S35+KERTOSARI!AB35+LATENG!AD35+PAKIS!T35+PANDEREJO!R35+PENGANJURAN!T35+PENGANTIGAN!X35+SINGONEGARAN!U35+SINGOTRUNAN!AE35+SOBO!AB35+SUMBERREJO!U35+TAMANBARU!Z35+TEMENGGUNGAN!L35+TUKANGKAYU!AD35</f>
        <v>101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29</v>
      </c>
      <c r="C36" s="15"/>
      <c r="D36" s="16"/>
      <c r="E36" s="29">
        <f>E33-(E34+E35)</f>
        <v>21927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30</v>
      </c>
      <c r="B38" s="14" t="s">
        <v>31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32</v>
      </c>
      <c r="C39" s="23"/>
      <c r="D39" s="19" t="s">
        <v>11</v>
      </c>
      <c r="E39" s="24">
        <f>KAMPUNGMANDAR!P39+KAMPUNGMELAYU!M39+KARANGREJO!AI39+KEBALENAN!AH39+KEPATIHAN!S39+KERTOSARI!AB39+LATENG!AD39+PAKIS!T39+PANDEREJO!R39+PENGANJURAN!T39+PENGANTIGAN!X39+SINGONEGARAN!U39+SINGOTRUNAN!AE39+SOBO!AB39+SUMBERREJO!U39+TAMANBARU!Z39+TEMENGGUNGAN!L39+TUKANGKAYU!AD39</f>
        <v>90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12</v>
      </c>
      <c r="E40" s="24">
        <f>KAMPUNGMANDAR!P40+KAMPUNGMELAYU!M40+KARANGREJO!AI40+KEBALENAN!AH40+KEPATIHAN!S40+KERTOSARI!AB40+LATENG!AD40+PAKIS!T40+PANDEREJO!R40+PENGANJURAN!T40+PENGANTIGAN!X40+SINGONEGARAN!U40+SINGOTRUNAN!AE40+SOBO!AB40+SUMBERREJO!U40+TAMANBARU!Z40+TEMENGGUNGAN!L40+TUKANGKAYU!AD40</f>
        <v>78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13</v>
      </c>
      <c r="E41" s="29">
        <f>SUM(E39:E40)</f>
        <v>168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33</v>
      </c>
      <c r="B43" s="14" t="s">
        <v>34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35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36</v>
      </c>
      <c r="B45" s="47" t="s">
        <v>16</v>
      </c>
      <c r="C45" s="48" t="s">
        <v>37</v>
      </c>
      <c r="D45" s="16"/>
      <c r="E45" s="24">
        <f>KAMPUNGMANDAR!P45+KAMPUNGMELAYU!M45+KARANGREJO!AI45+KEBALENAN!AH45+KEPATIHAN!S45+KERTOSARI!AB45+LATENG!AD45+PAKIS!T45+PANDEREJO!R45+PENGANJURAN!T45+PENGANTIGAN!X45+SINGONEGARAN!U45+SINGOTRUNAN!AE45+SOBO!AB45+SUMBERREJO!U45+TAMANBARU!Z45+TEMENGGUNGAN!L45+TUKANGKAYU!AD45</f>
        <v>1853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38</v>
      </c>
      <c r="B46" s="49"/>
      <c r="C46" s="50" t="s">
        <v>39</v>
      </c>
      <c r="D46" s="51"/>
      <c r="E46" s="24">
        <f>KAMPUNGMANDAR!P46+KAMPUNGMELAYU!M46+KARANGREJO!AI46+KEBALENAN!AH46+KEPATIHAN!S46+KERTOSARI!AB46+LATENG!AD46+PAKIS!T46+PANDEREJO!R46+PENGANJURAN!T46+PENGANTIGAN!X46+SINGONEGARAN!U46+SINGOTRUNAN!AE46+SOBO!AB46+SUMBERREJO!U46+TAMANBARU!Z46+TEMENGGUNGAN!L46+TUKANGKAYU!AD46</f>
        <v>4640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40</v>
      </c>
      <c r="D47" s="51"/>
      <c r="E47" s="24">
        <f>KAMPUNGMANDAR!P47+KAMPUNGMELAYU!M47+KARANGREJO!AI47+KEBALENAN!AH47+KEPATIHAN!S47+KERTOSARI!AB47+LATENG!AD47+PAKIS!T47+PANDEREJO!R47+PENGANJURAN!T47+PENGANTIGAN!X47+SINGONEGARAN!U47+SINGOTRUNAN!AE47+SOBO!AB47+SUMBERREJO!U47+TAMANBARU!Z47+TEMENGGUNGAN!L47+TUKANGKAYU!AD47</f>
        <v>333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41</v>
      </c>
      <c r="D48" s="51"/>
      <c r="E48" s="24">
        <f>KAMPUNGMANDAR!P48+KAMPUNGMELAYU!M48+KARANGREJO!AI48+KEBALENAN!AH48+KEPATIHAN!S48+KERTOSARI!AB48+LATENG!AD48+PAKIS!T48+PANDEREJO!R48+PENGANJURAN!T48+PENGANTIGAN!X48+SINGONEGARAN!U48+SINGOTRUNAN!AE48+SOBO!AB48+SUMBERREJO!U48+TAMANBARU!Z48+TEMENGGUNGAN!L48+TUKANGKAYU!AD48</f>
        <v>180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42</v>
      </c>
      <c r="D49" s="51"/>
      <c r="E49" s="24">
        <f>KAMPUNGMANDAR!P49+KAMPUNGMELAYU!M49+KARANGREJO!AI49+KEBALENAN!AH49+KEPATIHAN!S49+KERTOSARI!AB49+LATENG!AD49+PAKIS!T49+PANDEREJO!R49+PENGANJURAN!T49+PENGANTIGAN!X49+SINGONEGARAN!U49+SINGOTRUNAN!AE49+SOBO!AB49+SUMBERREJO!U49+TAMANBARU!Z49+TEMENGGUNGAN!L49+TUKANGKAYU!AD49</f>
        <v>240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43</v>
      </c>
      <c r="D50" s="51"/>
      <c r="E50" s="24">
        <f>KAMPUNGMANDAR!P50+KAMPUNGMELAYU!M50+KARANGREJO!AI50+KEBALENAN!AH50+KEPATIHAN!S50+KERTOSARI!AB50+LATENG!AD50+PAKIS!T50+PANDEREJO!R50+PENGANJURAN!T50+PENGANTIGAN!X50+SINGONEGARAN!U50+SINGOTRUNAN!AE50+SOBO!AB50+SUMBERREJO!U50+TAMANBARU!Z50+TEMENGGUNGAN!L50+TUKANGKAYU!AD50</f>
        <v>119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44</v>
      </c>
      <c r="D51" s="51"/>
      <c r="E51" s="24">
        <f>KAMPUNGMANDAR!P51+KAMPUNGMELAYU!M51+KARANGREJO!AI51+KEBALENAN!AH51+KEPATIHAN!S51+KERTOSARI!AB51+LATENG!AD51+PAKIS!T51+PANDEREJO!R51+PENGANJURAN!T51+PENGANTIGAN!X51+SINGONEGARAN!U51+SINGOTRUNAN!AE51+SOBO!AB51+SUMBERREJO!U51+TAMANBARU!Z51+TEMENGGUNGAN!L51+TUKANGKAYU!AD51</f>
        <v>127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9"/>
      <c r="C52" s="50" t="s">
        <v>45</v>
      </c>
      <c r="D52" s="51"/>
      <c r="E52" s="24">
        <f>KAMPUNGMANDAR!P52+KAMPUNGMELAYU!M52+KARANGREJO!AI52+KEBALENAN!AH52+KEPATIHAN!S52+KERTOSARI!AB52+LATENG!AD52+PAKIS!T52+PANDEREJO!R52+PENGANJURAN!T52+PENGANTIGAN!X52+SINGONEGARAN!U52+SINGOTRUNAN!AE52+SOBO!AB52+SUMBERREJO!U52+TAMANBARU!Z52+TEMENGGUNGAN!L52+TUKANGKAYU!AD52</f>
        <v>97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9"/>
      <c r="C53" s="50" t="s">
        <v>46</v>
      </c>
      <c r="D53" s="56"/>
      <c r="E53" s="24">
        <f>KAMPUNGMANDAR!P53+KAMPUNGMELAYU!M53+KARANGREJO!AI53+KEBALENAN!AH53+KEPATIHAN!S53+KERTOSARI!AB53+LATENG!AD53+PAKIS!T53+PANDEREJO!R53+PENGANJURAN!T53+PENGANTIGAN!X53+SINGONEGARAN!U53+SINGOTRUNAN!AE53+SOBO!AB53+SUMBERREJO!U53+TAMANBARU!Z53+TEMENGGUNGAN!L53+TUKANGKAYU!AD53</f>
        <v>29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9"/>
      <c r="C54" s="50" t="s">
        <v>47</v>
      </c>
      <c r="D54" s="51"/>
      <c r="E54" s="24">
        <f>KAMPUNGMANDAR!P54+KAMPUNGMELAYU!M54+KARANGREJO!AI54+KEBALENAN!AH54+KEPATIHAN!S54+KERTOSARI!AB54+LATENG!AD54+PAKIS!T54+PANDEREJO!R54+PENGANJURAN!T54+PENGANTIGAN!X54+SINGONEGARAN!U54+SINGOTRUNAN!AE54+SOBO!AB54+SUMBERREJO!U54+TAMANBARU!Z54+TEMENGGUNGAN!L54+TUKANGKAYU!AD54</f>
        <v>60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14</v>
      </c>
      <c r="B55" s="47" t="s">
        <v>48</v>
      </c>
      <c r="C55" s="15"/>
      <c r="D55" s="16"/>
      <c r="E55" s="13">
        <f>SUM(E45:E54)</f>
        <v>7678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36</v>
      </c>
      <c r="B57" s="47" t="s">
        <v>18</v>
      </c>
      <c r="C57" s="48" t="s">
        <v>49</v>
      </c>
      <c r="D57" s="16"/>
      <c r="E57" s="24">
        <f>KAMPUNGMANDAR!P57+KAMPUNGMELAYU!M57+KARANGREJO!AI57+KEBALENAN!AH57+KEPATIHAN!S57+KERTOSARI!AB57+LATENG!AD57+PAKIS!T57+PANDEREJO!R57+PENGANJURAN!T57+PENGANTIGAN!X57+SINGONEGARAN!U57+SINGOTRUNAN!AE57+SOBO!AB57+SUMBERREJO!U57+TAMANBARU!Z57+TEMENGGUNGAN!L57+TUKANGKAYU!AD57</f>
        <v>3485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38</v>
      </c>
      <c r="B58" s="49"/>
      <c r="C58" s="50" t="s">
        <v>50</v>
      </c>
      <c r="D58" s="51"/>
      <c r="E58" s="24">
        <f>KAMPUNGMANDAR!P58+KAMPUNGMELAYU!M58+KARANGREJO!AI58+KEBALENAN!AH58+KEPATIHAN!S58+KERTOSARI!AB58+LATENG!AD58+PAKIS!T58+PANDEREJO!R58+PENGANJURAN!T58+PENGANTIGAN!X58+SINGONEGARAN!U58+SINGOTRUNAN!AE58+SOBO!AB58+SUMBERREJO!U58+TAMANBARU!Z58+TEMENGGUNGAN!L58+TUKANGKAYU!AD58</f>
        <v>1766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51</v>
      </c>
      <c r="D59" s="51"/>
      <c r="E59" s="24">
        <f>KAMPUNGMANDAR!P59+KAMPUNGMELAYU!M59+KARANGREJO!AI59+KEBALENAN!AH59+KEPATIHAN!S59+KERTOSARI!AB59+LATENG!AD59+PAKIS!T59+PANDEREJO!R59+PENGANJURAN!T59+PENGANTIGAN!X59+SINGONEGARAN!U59+SINGOTRUNAN!AE59+SOBO!AB59+SUMBERREJO!U59+TAMANBARU!Z59+TEMENGGUNGAN!L59+TUKANGKAYU!AD59</f>
        <v>3164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52</v>
      </c>
      <c r="D60" s="51"/>
      <c r="E60" s="24">
        <f>KAMPUNGMANDAR!P60+KAMPUNGMELAYU!M60+KARANGREJO!AI60+KEBALENAN!AH60+KEPATIHAN!S60+KERTOSARI!AB60+LATENG!AD60+PAKIS!T60+PANDEREJO!R60+PENGANJURAN!T60+PENGANTIGAN!X60+SINGONEGARAN!U60+SINGOTRUNAN!AE60+SOBO!AB60+SUMBERREJO!U60+TAMANBARU!Z60+TEMENGGUNGAN!L60+TUKANGKAYU!AD60</f>
        <v>707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53</v>
      </c>
      <c r="D61" s="51"/>
      <c r="E61" s="24">
        <f>KAMPUNGMANDAR!P61+KAMPUNGMELAYU!M61+KARANGREJO!AI61+KEBALENAN!AH61+KEPATIHAN!S61+KERTOSARI!AB61+LATENG!AD61+PAKIS!T61+PANDEREJO!R61+PENGANJURAN!T61+PENGANTIGAN!X61+SINGONEGARAN!U61+SINGOTRUNAN!AE61+SOBO!AB61+SUMBERREJO!U61+TAMANBARU!Z61+TEMENGGUNGAN!L61+TUKANGKAYU!AD61</f>
        <v>1012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54</v>
      </c>
      <c r="D62" s="51"/>
      <c r="E62" s="24">
        <f>KAMPUNGMANDAR!P62+KAMPUNGMELAYU!M62+KARANGREJO!AI62+KEBALENAN!AH62+KEPATIHAN!S62+KERTOSARI!AB62+LATENG!AD62+PAKIS!T62+PANDEREJO!R62+PENGANJURAN!T62+PENGANTIGAN!X62+SINGONEGARAN!U62+SINGOTRUNAN!AE62+SOBO!AB62+SUMBERREJO!U62+TAMANBARU!Z62+TEMENGGUNGAN!L62+TUKANGKAYU!AD62</f>
        <v>323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49"/>
      <c r="C63" s="50" t="s">
        <v>55</v>
      </c>
      <c r="D63" s="51"/>
      <c r="E63" s="24">
        <f>KAMPUNGMANDAR!P63+KAMPUNGMELAYU!M63+KARANGREJO!AI63+KEBALENAN!AH63+KEPATIHAN!S63+KERTOSARI!AB63+LATENG!AD63+PAKIS!T63+PANDEREJO!R63+PENGANJURAN!T63+PENGANTIGAN!X63+SINGONEGARAN!U63+SINGOTRUNAN!AE63+SOBO!AB63+SUMBERREJO!U63+TAMANBARU!Z63+TEMENGGUNGAN!L63+TUKANGKAYU!AD63</f>
        <v>147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49"/>
      <c r="C64" s="50" t="s">
        <v>56</v>
      </c>
      <c r="D64" s="51"/>
      <c r="E64" s="24">
        <f>KAMPUNGMANDAR!P64+KAMPUNGMELAYU!M64+KARANGREJO!AI64+KEBALENAN!AH64+KEPATIHAN!S64+KERTOSARI!AB64+LATENG!AD64+PAKIS!T64+PANDEREJO!R64+PENGANJURAN!T64+PENGANTIGAN!X64+SINGONEGARAN!U64+SINGOTRUNAN!AE64+SOBO!AB64+SUMBERREJO!U64+TAMANBARU!Z64+TEMENGGUNGAN!L64+TUKANGKAYU!AD64</f>
        <v>98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49"/>
      <c r="C65" s="50" t="s">
        <v>57</v>
      </c>
      <c r="D65" s="51"/>
      <c r="E65" s="24">
        <f>KAMPUNGMANDAR!P65+KAMPUNGMELAYU!M65+KARANGREJO!AI65+KEBALENAN!AH65+KEPATIHAN!S65+KERTOSARI!AB65+LATENG!AD65+PAKIS!T65+PANDEREJO!R65+PENGANJURAN!T65+PENGANTIGAN!X65+SINGONEGARAN!U65+SINGOTRUNAN!AE65+SOBO!AB65+SUMBERREJO!U65+TAMANBARU!Z65+TEMENGGUNGAN!L65+TUKANGKAYU!AD65</f>
        <v>65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49"/>
      <c r="C66" s="50" t="s">
        <v>58</v>
      </c>
      <c r="D66" s="51"/>
      <c r="E66" s="24">
        <f>KAMPUNGMANDAR!P66+KAMPUNGMELAYU!M66+KARANGREJO!AI66+KEBALENAN!AH66+KEPATIHAN!S66+KERTOSARI!AB66+LATENG!AD66+PAKIS!T66+PANDEREJO!R66+PENGANJURAN!T66+PENGANTIGAN!X66+SINGONEGARAN!U66+SINGOTRUNAN!AE66+SOBO!AB66+SUMBERREJO!U66+TAMANBARU!Z66+TEMENGGUNGAN!L66+TUKANGKAYU!AD66</f>
        <v>165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14</v>
      </c>
      <c r="B67" s="47" t="s">
        <v>48</v>
      </c>
      <c r="C67" s="15"/>
      <c r="D67" s="16"/>
      <c r="E67" s="13">
        <f>SUM(E57:E66)</f>
        <v>10932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36</v>
      </c>
      <c r="B69" s="47" t="s">
        <v>20</v>
      </c>
      <c r="C69" s="48" t="s">
        <v>59</v>
      </c>
      <c r="D69" s="16"/>
      <c r="E69" s="24">
        <f>KAMPUNGMANDAR!P69+KAMPUNGMELAYU!M69+KARANGREJO!AI69+KEBALENAN!AH69+KEPATIHAN!S69+KERTOSARI!AB69+LATENG!AD69+PAKIS!T69+PANDEREJO!R69+PENGANJURAN!T69+PENGANTIGAN!X69+SINGONEGARAN!U69+SINGOTRUNAN!AE69+SOBO!AB69+SUMBERREJO!U69+TAMANBARU!Z69+TEMENGGUNGAN!L69+TUKANGKAYU!AD69</f>
        <v>3105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38</v>
      </c>
      <c r="B70" s="49"/>
      <c r="C70" s="50" t="s">
        <v>60</v>
      </c>
      <c r="D70" s="51"/>
      <c r="E70" s="24">
        <f>KAMPUNGMANDAR!P70+KAMPUNGMELAYU!M70+KARANGREJO!AI70+KEBALENAN!AH70+KEPATIHAN!S70+KERTOSARI!AB70+LATENG!AD70+PAKIS!T70+PANDEREJO!R70+PENGANJURAN!T70+PENGANTIGAN!X70+SINGONEGARAN!U70+SINGOTRUNAN!AE70+SOBO!AB70+SUMBERREJO!U70+TAMANBARU!Z70+TEMENGGUNGAN!L70+TUKANGKAYU!AD70</f>
        <v>1435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61</v>
      </c>
      <c r="D71" s="51"/>
      <c r="E71" s="24">
        <f>KAMPUNGMANDAR!P71+KAMPUNGMELAYU!M71+KARANGREJO!AI71+KEBALENAN!AH71+KEPATIHAN!S71+KERTOSARI!AB71+LATENG!AD71+PAKIS!T71+PANDEREJO!R71+PENGANJURAN!T71+PENGANTIGAN!X71+SINGONEGARAN!U71+SINGOTRUNAN!AE71+SOBO!AB71+SUMBERREJO!U71+TAMANBARU!Z71+TEMENGGUNGAN!L71+TUKANGKAYU!AD71</f>
        <v>7204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62</v>
      </c>
      <c r="D72" s="51"/>
      <c r="E72" s="24">
        <f>KAMPUNGMANDAR!P72+KAMPUNGMELAYU!M72+KARANGREJO!AI72+KEBALENAN!AH72+KEPATIHAN!S72+KERTOSARI!AB72+LATENG!AD72+PAKIS!T72+PANDEREJO!R72+PENGANJURAN!T72+PENGANTIGAN!X72+SINGONEGARAN!U72+SINGOTRUNAN!AE72+SOBO!AB72+SUMBERREJO!U72+TAMANBARU!Z72+TEMENGGUNGAN!L72+TUKANGKAYU!AD72</f>
        <v>953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49"/>
      <c r="C73" s="50" t="s">
        <v>63</v>
      </c>
      <c r="D73" s="51"/>
      <c r="E73" s="24">
        <f>KAMPUNGMANDAR!P73+KAMPUNGMELAYU!M73+KARANGREJO!AI73+KEBALENAN!AH73+KEPATIHAN!S73+KERTOSARI!AB73+LATENG!AD73+PAKIS!T73+PANDEREJO!R73+PENGANJURAN!T73+PENGANTIGAN!X73+SINGONEGARAN!U73+SINGOTRUNAN!AE73+SOBO!AB73+SUMBERREJO!U73+TAMANBARU!Z73+TEMENGGUNGAN!L73+TUKANGKAYU!AD73</f>
        <v>578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49"/>
      <c r="C74" s="50" t="s">
        <v>64</v>
      </c>
      <c r="D74" s="51"/>
      <c r="E74" s="24">
        <f>KAMPUNGMANDAR!P74+KAMPUNGMELAYU!M74+KARANGREJO!AI74+KEBALENAN!AH74+KEPATIHAN!S74+KERTOSARI!AB74+LATENG!AD74+PAKIS!T74+PANDEREJO!R74+PENGANJURAN!T74+PENGANTIGAN!X74+SINGONEGARAN!U74+SINGOTRUNAN!AE74+SOBO!AB74+SUMBERREJO!U74+TAMANBARU!Z74+TEMENGGUNGAN!L74+TUKANGKAYU!AD74</f>
        <v>387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49"/>
      <c r="C75" s="50" t="s">
        <v>65</v>
      </c>
      <c r="D75" s="51"/>
      <c r="E75" s="24">
        <f>KAMPUNGMANDAR!P75+KAMPUNGMELAYU!M75+KARANGREJO!AI75+KEBALENAN!AH75+KEPATIHAN!S75+KERTOSARI!AB75+LATENG!AD75+PAKIS!T75+PANDEREJO!R75+PENGANJURAN!T75+PENGANTIGAN!X75+SINGONEGARAN!U75+SINGOTRUNAN!AE75+SOBO!AB75+SUMBERREJO!U75+TAMANBARU!Z75+TEMENGGUNGAN!L75+TUKANGKAYU!AD75</f>
        <v>302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49"/>
      <c r="C76" s="50" t="s">
        <v>66</v>
      </c>
      <c r="D76" s="51"/>
      <c r="E76" s="24">
        <f>KAMPUNGMANDAR!P76+KAMPUNGMELAYU!M76+KARANGREJO!AI76+KEBALENAN!AH76+KEPATIHAN!S76+KERTOSARI!AB76+LATENG!AD76+PAKIS!T76+PANDEREJO!R76+PENGANJURAN!T76+PENGANTIGAN!X76+SINGONEGARAN!U76+SINGOTRUNAN!AE76+SOBO!AB76+SUMBERREJO!U76+TAMANBARU!Z76+TEMENGGUNGAN!L76+TUKANGKAYU!AD76</f>
        <v>87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49"/>
      <c r="C77" s="50" t="s">
        <v>67</v>
      </c>
      <c r="D77" s="51"/>
      <c r="E77" s="24">
        <f>KAMPUNGMANDAR!P77+KAMPUNGMELAYU!M77+KARANGREJO!AI77+KEBALENAN!AH77+KEPATIHAN!S77+KERTOSARI!AB77+LATENG!AD77+PAKIS!T77+PANDEREJO!R77+PENGANJURAN!T77+PENGANTIGAN!X77+SINGONEGARAN!U77+SINGOTRUNAN!AE77+SOBO!AB77+SUMBERREJO!U77+TAMANBARU!Z77+TEMENGGUNGAN!L77+TUKANGKAYU!AD77</f>
        <v>106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49"/>
      <c r="C78" s="50" t="s">
        <v>68</v>
      </c>
      <c r="D78" s="51"/>
      <c r="E78" s="24">
        <f>KAMPUNGMANDAR!P78+KAMPUNGMELAYU!M78+KARANGREJO!AI78+KEBALENAN!AH78+KEPATIHAN!S78+KERTOSARI!AB78+LATENG!AD78+PAKIS!T78+PANDEREJO!R78+PENGANJURAN!T78+PENGANTIGAN!X78+SINGONEGARAN!U78+SINGOTRUNAN!AE78+SOBO!AB78+SUMBERREJO!U78+TAMANBARU!Z78+TEMENGGUNGAN!L78+TUKANGKAYU!AD78</f>
        <v>152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14</v>
      </c>
      <c r="B79" s="47" t="s">
        <v>48</v>
      </c>
      <c r="C79" s="15"/>
      <c r="D79" s="16"/>
      <c r="E79" s="13">
        <f>SUM(E69:E78)</f>
        <v>14309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36</v>
      </c>
      <c r="B81" s="47" t="s">
        <v>22</v>
      </c>
      <c r="C81" s="48" t="s">
        <v>69</v>
      </c>
      <c r="D81" s="16"/>
      <c r="E81" s="24">
        <f>KAMPUNGMANDAR!P81+KAMPUNGMELAYU!M81+KARANGREJO!AI81+KEBALENAN!AH81+KEPATIHAN!S81+KERTOSARI!AB81+LATENG!AD81+PAKIS!T81+PANDEREJO!R81+PENGANJURAN!T81+PENGANTIGAN!X81+SINGONEGARAN!U81+SINGOTRUNAN!AE81+SOBO!AB81+SUMBERREJO!U81+TAMANBARU!Z81+TEMENGGUNGAN!L81+TUKANGKAYU!AD81</f>
        <v>1171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38</v>
      </c>
      <c r="B82" s="49"/>
      <c r="C82" s="50" t="s">
        <v>70</v>
      </c>
      <c r="D82" s="51"/>
      <c r="E82" s="24">
        <f>KAMPUNGMANDAR!P82+KAMPUNGMELAYU!M82+KARANGREJO!AI82+KEBALENAN!AH82+KEPATIHAN!S82+KERTOSARI!AB82+LATENG!AD82+PAKIS!T82+PANDEREJO!R82+PENGANJURAN!T82+PENGANTIGAN!X82+SINGONEGARAN!U82+SINGOTRUNAN!AE82+SOBO!AB82+SUMBERREJO!U82+TAMANBARU!Z82+TEMENGGUNGAN!L82+TUKANGKAYU!AD82</f>
        <v>880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49"/>
      <c r="C83" s="50" t="s">
        <v>71</v>
      </c>
      <c r="D83" s="51"/>
      <c r="E83" s="24">
        <f>KAMPUNGMANDAR!P83+KAMPUNGMELAYU!M83+KARANGREJO!AI83+KEBALENAN!AH83+KEPATIHAN!S83+KERTOSARI!AB83+LATENG!AD83+PAKIS!T83+PANDEREJO!R83+PENGANJURAN!T83+PENGANTIGAN!X83+SINGONEGARAN!U83+SINGOTRUNAN!AE83+SOBO!AB83+SUMBERREJO!U83+TAMANBARU!Z83+TEMENGGUNGAN!L83+TUKANGKAYU!AD83</f>
        <v>322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49"/>
      <c r="C84" s="50" t="s">
        <v>72</v>
      </c>
      <c r="D84" s="51"/>
      <c r="E84" s="24">
        <f>KAMPUNGMANDAR!P84+KAMPUNGMELAYU!M84+KARANGREJO!AI84+KEBALENAN!AH84+KEPATIHAN!S84+KERTOSARI!AB84+LATENG!AD84+PAKIS!T84+PANDEREJO!R84+PENGANJURAN!T84+PENGANTIGAN!X84+SINGONEGARAN!U84+SINGOTRUNAN!AE84+SOBO!AB84+SUMBERREJO!U84+TAMANBARU!Z84+TEMENGGUNGAN!L84+TUKANGKAYU!AD84</f>
        <v>220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49"/>
      <c r="C85" s="50" t="s">
        <v>73</v>
      </c>
      <c r="D85" s="51"/>
      <c r="E85" s="24">
        <f>KAMPUNGMANDAR!P85+KAMPUNGMELAYU!M85+KARANGREJO!AI85+KEBALENAN!AH85+KEPATIHAN!S85+KERTOSARI!AB85+LATENG!AD85+PAKIS!T85+PANDEREJO!R85+PENGANJURAN!T85+PENGANTIGAN!X85+SINGONEGARAN!U85+SINGOTRUNAN!AE85+SOBO!AB85+SUMBERREJO!U85+TAMANBARU!Z85+TEMENGGUNGAN!L85+TUKANGKAYU!AD85</f>
        <v>517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49"/>
      <c r="C86" s="50" t="s">
        <v>74</v>
      </c>
      <c r="D86" s="51"/>
      <c r="E86" s="24">
        <f>KAMPUNGMANDAR!P86+KAMPUNGMELAYU!M86+KARANGREJO!AI86+KEBALENAN!AH86+KEPATIHAN!S86+KERTOSARI!AB86+LATENG!AD86+PAKIS!T86+PANDEREJO!R86+PENGANJURAN!T86+PENGANTIGAN!X86+SINGONEGARAN!U86+SINGOTRUNAN!AE86+SOBO!AB86+SUMBERREJO!U86+TAMANBARU!Z86+TEMENGGUNGAN!L86+TUKANGKAYU!AD86</f>
        <v>325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75</v>
      </c>
      <c r="D87" s="51"/>
      <c r="E87" s="24">
        <f>KAMPUNGMANDAR!P87+KAMPUNGMELAYU!M87+KARANGREJO!AI87+KEBALENAN!AH87+KEPATIHAN!S87+KERTOSARI!AB87+LATENG!AD87+PAKIS!T87+PANDEREJO!R87+PENGANJURAN!T87+PENGANTIGAN!X87+SINGONEGARAN!U87+SINGOTRUNAN!AE87+SOBO!AB87+SUMBERREJO!U87+TAMANBARU!Z87+TEMENGGUNGAN!L87+TUKANGKAYU!AD87</f>
        <v>94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49"/>
      <c r="C88" s="50" t="s">
        <v>76</v>
      </c>
      <c r="D88" s="51"/>
      <c r="E88" s="24">
        <f>KAMPUNGMANDAR!P88+KAMPUNGMELAYU!M88+KARANGREJO!AI88+KEBALENAN!AH88+KEPATIHAN!S88+KERTOSARI!AB88+LATENG!AD88+PAKIS!T88+PANDEREJO!R88+PENGANJURAN!T88+PENGANTIGAN!X88+SINGONEGARAN!U88+SINGOTRUNAN!AE88+SOBO!AB88+SUMBERREJO!U88+TAMANBARU!Z88+TEMENGGUNGAN!L88+TUKANGKAYU!AD88</f>
        <v>44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49"/>
      <c r="C89" s="50" t="s">
        <v>77</v>
      </c>
      <c r="D89" s="51"/>
      <c r="E89" s="24">
        <f>KAMPUNGMANDAR!P89+KAMPUNGMELAYU!M89+KARANGREJO!AI89+KEBALENAN!AH89+KEPATIHAN!S89+KERTOSARI!AB89+LATENG!AD89+PAKIS!T89+PANDEREJO!R89+PENGANJURAN!T89+PENGANTIGAN!X89+SINGONEGARAN!U89+SINGOTRUNAN!AE89+SOBO!AB89+SUMBERREJO!U89+TAMANBARU!Z89+TEMENGGUNGAN!L89+TUKANGKAYU!AD89</f>
        <v>33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49"/>
      <c r="C90" s="50" t="s">
        <v>78</v>
      </c>
      <c r="D90" s="51"/>
      <c r="E90" s="24">
        <f>KAMPUNGMANDAR!P90+KAMPUNGMELAYU!M90+KARANGREJO!AI90+KEBALENAN!AH90+KEPATIHAN!S90+KERTOSARI!AB90+LATENG!AD90+PAKIS!T90+PANDEREJO!R90+PENGANJURAN!T90+PENGANTIGAN!X90+SINGONEGARAN!U90+SINGOTRUNAN!AE90+SOBO!AB90+SUMBERREJO!U90+TAMANBARU!Z90+TEMENGGUNGAN!L90+TUKANGKAYU!AD90</f>
        <v>64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14</v>
      </c>
      <c r="B91" s="47" t="s">
        <v>48</v>
      </c>
      <c r="C91" s="15"/>
      <c r="D91" s="16"/>
      <c r="E91" s="13">
        <f>SUM(E81:E90)</f>
        <v>3670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36</v>
      </c>
      <c r="B93" s="47" t="s">
        <v>79</v>
      </c>
      <c r="C93" s="48" t="s">
        <v>80</v>
      </c>
      <c r="D93" s="16"/>
      <c r="E93" s="24">
        <f>KAMPUNGMANDAR!P93+KAMPUNGMELAYU!M93+KARANGREJO!AI93+KEBALENAN!AH93+KEPATIHAN!S93+KERTOSARI!AB93+LATENG!AD93+PAKIS!T93+PANDEREJO!R93+PENGANJURAN!T93+PENGANTIGAN!X93+SINGONEGARAN!U93+SINGOTRUNAN!AE93+SOBO!AB93+SUMBERREJO!U93+TAMANBARU!Z93+TEMENGGUNGAN!L93+TUKANGKAYU!AD93</f>
        <v>616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38</v>
      </c>
      <c r="B94" s="49"/>
      <c r="C94" s="50" t="s">
        <v>81</v>
      </c>
      <c r="D94" s="56"/>
      <c r="E94" s="24">
        <f>KAMPUNGMANDAR!P94+KAMPUNGMELAYU!M94+KARANGREJO!AI94+KEBALENAN!AH94+KEPATIHAN!S94+KERTOSARI!AB94+LATENG!AD94+PAKIS!T94+PANDEREJO!R94+PENGANJURAN!T94+PENGANTIGAN!X94+SINGONEGARAN!U94+SINGOTRUNAN!AE94+SOBO!AB94+SUMBERREJO!U94+TAMANBARU!Z94+TEMENGGUNGAN!L94+TUKANGKAYU!AD94</f>
        <v>643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18"/>
      <c r="B95" s="49"/>
      <c r="C95" s="50" t="s">
        <v>82</v>
      </c>
      <c r="D95" s="56"/>
      <c r="E95" s="24">
        <f>KAMPUNGMANDAR!P95+KAMPUNGMELAYU!M95+KARANGREJO!AI95+KEBALENAN!AH95+KEPATIHAN!S95+KERTOSARI!AB95+LATENG!AD95+PAKIS!T95+PANDEREJO!R95+PENGANJURAN!T95+PENGANTIGAN!X95+SINGONEGARAN!U95+SINGOTRUNAN!AE95+SOBO!AB95+SUMBERREJO!U95+TAMANBARU!Z95+TEMENGGUNGAN!L95+TUKANGKAYU!AD95</f>
        <v>76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49"/>
      <c r="C96" s="50" t="s">
        <v>83</v>
      </c>
      <c r="D96" s="56"/>
      <c r="E96" s="24">
        <f>KAMPUNGMANDAR!P96+KAMPUNGMELAYU!M96+KARANGREJO!AI96+KEBALENAN!AH96+KEPATIHAN!S96+KERTOSARI!AB96+LATENG!AD96+PAKIS!T96+PANDEREJO!R96+PENGANJURAN!T96+PENGANTIGAN!X96+SINGONEGARAN!U96+SINGOTRUNAN!AE96+SOBO!AB96+SUMBERREJO!U96+TAMANBARU!Z96+TEMENGGUNGAN!L96+TUKANGKAYU!AD96</f>
        <v>80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49"/>
      <c r="C97" s="50" t="s">
        <v>84</v>
      </c>
      <c r="D97" s="56"/>
      <c r="E97" s="24">
        <f>KAMPUNGMANDAR!P97+KAMPUNGMELAYU!M97+KARANGREJO!AI97+KEBALENAN!AH97+KEPATIHAN!S97+KERTOSARI!AB97+LATENG!AD97+PAKIS!T97+PANDEREJO!R97+PENGANJURAN!T97+PENGANTIGAN!X97+SINGONEGARAN!U97+SINGOTRUNAN!AE97+SOBO!AB97+SUMBERREJO!U97+TAMANBARU!Z97+TEMENGGUNGAN!L97+TUKANGKAYU!AD97</f>
        <v>64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49"/>
      <c r="C98" s="50" t="s">
        <v>85</v>
      </c>
      <c r="D98" s="51"/>
      <c r="E98" s="24">
        <f>KAMPUNGMANDAR!P98+KAMPUNGMELAYU!M98+KARANGREJO!AI98+KEBALENAN!AH98+KEPATIHAN!S98+KERTOSARI!AB98+LATENG!AD98+PAKIS!T98+PANDEREJO!R98+PENGANJURAN!T98+PENGANTIGAN!X98+SINGONEGARAN!U98+SINGOTRUNAN!AE98+SOBO!AB98+SUMBERREJO!U98+TAMANBARU!Z98+TEMENGGUNGAN!L98+TUKANGKAYU!AD98</f>
        <v>121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49"/>
      <c r="C99" s="50" t="s">
        <v>86</v>
      </c>
      <c r="D99" s="51"/>
      <c r="E99" s="24">
        <f>KAMPUNGMANDAR!P99+KAMPUNGMELAYU!M99+KARANGREJO!AI99+KEBALENAN!AH99+KEPATIHAN!S99+KERTOSARI!AB99+LATENG!AD99+PAKIS!T99+PANDEREJO!R99+PENGANJURAN!T99+PENGANTIGAN!X99+SINGONEGARAN!U99+SINGOTRUNAN!AE99+SOBO!AB99+SUMBERREJO!U99+TAMANBARU!Z99+TEMENGGUNGAN!L99+TUKANGKAYU!AD99</f>
        <v>29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49"/>
      <c r="C100" s="50" t="s">
        <v>87</v>
      </c>
      <c r="D100" s="56"/>
      <c r="E100" s="24">
        <f>KAMPUNGMANDAR!P100+KAMPUNGMELAYU!M100+KARANGREJO!AI100+KEBALENAN!AH100+KEPATIHAN!S100+KERTOSARI!AB100+LATENG!AD100+PAKIS!T100+PANDEREJO!R100+PENGANJURAN!T100+PENGANTIGAN!X100+SINGONEGARAN!U100+SINGOTRUNAN!AE100+SOBO!AB100+SUMBERREJO!U100+TAMANBARU!Z100+TEMENGGUNGAN!L100+TUKANGKAYU!AD100</f>
        <v>15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49"/>
      <c r="C101" s="50" t="s">
        <v>88</v>
      </c>
      <c r="D101" s="56"/>
      <c r="E101" s="24">
        <f>KAMPUNGMANDAR!P101+KAMPUNGMELAYU!M101+KARANGREJO!AI101+KEBALENAN!AH101+KEPATIHAN!S101+KERTOSARI!AB101+LATENG!AD101+PAKIS!T101+PANDEREJO!R101+PENGANJURAN!T101+PENGANTIGAN!X101+SINGONEGARAN!U101+SINGOTRUNAN!AE101+SOBO!AB101+SUMBERREJO!U101+TAMANBARU!Z101+TEMENGGUNGAN!L101+TUKANGKAYU!AD101</f>
        <v>64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49"/>
      <c r="C102" s="50" t="s">
        <v>89</v>
      </c>
      <c r="D102" s="56"/>
      <c r="E102" s="24">
        <f>KAMPUNGMANDAR!P102+KAMPUNGMELAYU!M102+KARANGREJO!AI102+KEBALENAN!AH102+KEPATIHAN!S102+KERTOSARI!AB102+LATENG!AD102+PAKIS!T102+PANDEREJO!R102+PENGANJURAN!T102+PENGANTIGAN!X102+SINGONEGARAN!U102+SINGOTRUNAN!AE102+SOBO!AB102+SUMBERREJO!U102+TAMANBARU!Z102+TEMENGGUNGAN!L102+TUKANGKAYU!AD102</f>
        <v>7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14</v>
      </c>
      <c r="B103" s="47" t="s">
        <v>48</v>
      </c>
      <c r="C103" s="15"/>
      <c r="D103" s="16"/>
      <c r="E103" s="13">
        <f>SUM(E93:E102)</f>
        <v>1715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36</v>
      </c>
      <c r="B105" s="47" t="s">
        <v>90</v>
      </c>
      <c r="C105" s="48" t="s">
        <v>91</v>
      </c>
      <c r="D105" s="16"/>
      <c r="E105" s="24">
        <f>KAMPUNGMANDAR!P105+KAMPUNGMELAYU!M105+KARANGREJO!AI105+KEBALENAN!AH105+KEPATIHAN!S105+KERTOSARI!AB105+LATENG!AD105+PAKIS!T105+PANDEREJO!R105+PENGANJURAN!T105+PENGANTIGAN!X105+SINGONEGARAN!U105+SINGOTRUNAN!AE105+SOBO!AB105+SUMBERREJO!U105+TAMANBARU!Z105+TEMENGGUNGAN!L105+TUKANGKAYU!AD105</f>
        <v>173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38</v>
      </c>
      <c r="B106" s="49"/>
      <c r="C106" s="50" t="s">
        <v>92</v>
      </c>
      <c r="D106" s="51"/>
      <c r="E106" s="24">
        <f>KAMPUNGMANDAR!P106+KAMPUNGMELAYU!M106+KARANGREJO!AI106+KEBALENAN!AH106+KEPATIHAN!S106+KERTOSARI!AB106+LATENG!AD106+PAKIS!T106+PANDEREJO!R106+PENGANJURAN!T106+PENGANTIGAN!X106+SINGONEGARAN!U106+SINGOTRUNAN!AE106+SOBO!AB106+SUMBERREJO!U106+TAMANBARU!Z106+TEMENGGUNGAN!L106+TUKANGKAYU!AD106</f>
        <v>106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49"/>
      <c r="C107" s="50" t="s">
        <v>93</v>
      </c>
      <c r="D107" s="51"/>
      <c r="E107" s="24">
        <f>KAMPUNGMANDAR!P107+KAMPUNGMELAYU!M107+KARANGREJO!AI107+KEBALENAN!AH107+KEPATIHAN!S107+KERTOSARI!AB107+LATENG!AD107+PAKIS!T107+PANDEREJO!R107+PENGANJURAN!T107+PENGANTIGAN!X107+SINGONEGARAN!U107+SINGOTRUNAN!AE107+SOBO!AB107+SUMBERREJO!U107+TAMANBARU!Z107+TEMENGGUNGAN!L107+TUKANGKAYU!AD107</f>
        <v>75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7"/>
      <c r="C108" s="58"/>
      <c r="D108" s="59"/>
      <c r="E108" s="60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7"/>
      <c r="C109" s="58"/>
      <c r="D109" s="59"/>
      <c r="E109" s="60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7"/>
      <c r="C110" s="58"/>
      <c r="D110" s="59"/>
      <c r="E110" s="60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7"/>
      <c r="C111" s="58"/>
      <c r="D111" s="59"/>
      <c r="E111" s="60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7"/>
      <c r="C112" s="58"/>
      <c r="D112" s="59"/>
      <c r="E112" s="60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7"/>
      <c r="C113" s="58"/>
      <c r="D113" s="59"/>
      <c r="E113" s="60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7"/>
      <c r="C114" s="58"/>
      <c r="D114" s="59"/>
      <c r="E114" s="60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14</v>
      </c>
      <c r="B115" s="47" t="s">
        <v>48</v>
      </c>
      <c r="C115" s="15"/>
      <c r="D115" s="16"/>
      <c r="E115" s="13">
        <f>SUM(E105:E114)</f>
        <v>354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36</v>
      </c>
      <c r="B117" s="47" t="s">
        <v>94</v>
      </c>
      <c r="C117" s="48" t="s">
        <v>95</v>
      </c>
      <c r="D117" s="16"/>
      <c r="E117" s="24">
        <f>KAMPUNGMANDAR!P117+KAMPUNGMELAYU!M117+KARANGREJO!AI117+KEBALENAN!AH117+KEPATIHAN!S117+KERTOSARI!AB117+LATENG!AD117+PAKIS!T117+PANDEREJO!R117+PENGANJURAN!T117+PENGANTIGAN!X117+SINGONEGARAN!U117+SINGOTRUNAN!AE117+SOBO!AB117+SUMBERREJO!U117+TAMANBARU!Z117+TEMENGGUNGAN!L117+TUKANGKAYU!AD117</f>
        <v>285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38</v>
      </c>
      <c r="B118" s="49"/>
      <c r="C118" s="50" t="s">
        <v>96</v>
      </c>
      <c r="D118" s="51"/>
      <c r="E118" s="24">
        <f>KAMPUNGMANDAR!P118+KAMPUNGMELAYU!M118+KARANGREJO!AI118+KEBALENAN!AH118+KEPATIHAN!S118+KERTOSARI!AB118+LATENG!AD118+PAKIS!T118+PANDEREJO!R118+PENGANJURAN!T118+PENGANTIGAN!X118+SINGONEGARAN!U118+SINGOTRUNAN!AE118+SOBO!AB118+SUMBERREJO!U118+TAMANBARU!Z118+TEMENGGUNGAN!L118+TUKANGKAYU!AD118</f>
        <v>248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/>
      <c r="C119" s="50" t="s">
        <v>97</v>
      </c>
      <c r="D119" s="51"/>
      <c r="E119" s="24">
        <f>KAMPUNGMANDAR!P119+KAMPUNGMELAYU!M119+KARANGREJO!AI119+KEBALENAN!AH119+KEPATIHAN!S119+KERTOSARI!AB119+LATENG!AD119+PAKIS!T119+PANDEREJO!R119+PENGANJURAN!T119+PENGANTIGAN!X119+SINGONEGARAN!U119+SINGOTRUNAN!AE119+SOBO!AB119+SUMBERREJO!U119+TAMANBARU!Z119+TEMENGGUNGAN!L119+TUKANGKAYU!AD119</f>
        <v>105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/>
      <c r="C120" s="50" t="s">
        <v>98</v>
      </c>
      <c r="D120" s="51"/>
      <c r="E120" s="24">
        <f>KAMPUNGMANDAR!P120+KAMPUNGMELAYU!M120+KARANGREJO!AI120+KEBALENAN!AH120+KEPATIHAN!S120+KERTOSARI!AB120+LATENG!AD120+PAKIS!T120+PANDEREJO!R120+PENGANJURAN!T120+PENGANTIGAN!X120+SINGONEGARAN!U120+SINGOTRUNAN!AE120+SOBO!AB120+SUMBERREJO!U120+TAMANBARU!Z120+TEMENGGUNGAN!L120+TUKANGKAYU!AD120</f>
        <v>55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49"/>
      <c r="C121" s="50" t="s">
        <v>99</v>
      </c>
      <c r="D121" s="51"/>
      <c r="E121" s="24">
        <f>KAMPUNGMANDAR!P121+KAMPUNGMELAYU!M121+KARANGREJO!AI121+KEBALENAN!AH121+KEPATIHAN!S121+KERTOSARI!AB121+LATENG!AD121+PAKIS!T121+PANDEREJO!R121+PENGANJURAN!T121+PENGANTIGAN!X121+SINGONEGARAN!U121+SINGOTRUNAN!AE121+SOBO!AB121+SUMBERREJO!U121+TAMANBARU!Z121+TEMENGGUNGAN!L121+TUKANGKAYU!AD121</f>
        <v>24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49"/>
      <c r="C122" s="50" t="s">
        <v>100</v>
      </c>
      <c r="D122" s="51"/>
      <c r="E122" s="24">
        <f>KAMPUNGMANDAR!P122+KAMPUNGMELAYU!M122+KARANGREJO!AI122+KEBALENAN!AH122+KEPATIHAN!S122+KERTOSARI!AB122+LATENG!AD122+PAKIS!T122+PANDEREJO!R122+PENGANJURAN!T122+PENGANTIGAN!X122+SINGONEGARAN!U122+SINGOTRUNAN!AE122+SOBO!AB122+SUMBERREJO!U122+TAMANBARU!Z122+TEMENGGUNGAN!L122+TUKANGKAYU!AD122</f>
        <v>48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7"/>
      <c r="C123" s="58"/>
      <c r="D123" s="61"/>
      <c r="E123" s="6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7"/>
      <c r="C124" s="58"/>
      <c r="D124" s="59"/>
      <c r="E124" s="6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7"/>
      <c r="C125" s="58"/>
      <c r="D125" s="59"/>
      <c r="E125" s="6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7"/>
      <c r="C126" s="58"/>
      <c r="D126" s="59"/>
      <c r="E126" s="6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14</v>
      </c>
      <c r="B127" s="47" t="s">
        <v>48</v>
      </c>
      <c r="C127" s="15"/>
      <c r="D127" s="16"/>
      <c r="E127" s="13">
        <f>SUM(E117:E126)</f>
        <v>765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36</v>
      </c>
      <c r="B129" s="47" t="s">
        <v>101</v>
      </c>
      <c r="C129" s="48" t="s">
        <v>102</v>
      </c>
      <c r="D129" s="16"/>
      <c r="E129" s="24">
        <f>KAMPUNGMANDAR!P129+KAMPUNGMELAYU!M129+KARANGREJO!AI129+KEBALENAN!AH129+KEPATIHAN!S129+KERTOSARI!AB129+LATENG!AD129+PAKIS!T129+PANDEREJO!R129+PENGANJURAN!T129+PENGANTIGAN!X129+SINGONEGARAN!U129+SINGOTRUNAN!AE129+SOBO!AB129+SUMBERREJO!U129+TAMANBARU!Z129+TEMENGGUNGAN!L129+TUKANGKAYU!AD129</f>
        <v>1302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38</v>
      </c>
      <c r="B130" s="49"/>
      <c r="C130" s="50" t="s">
        <v>103</v>
      </c>
      <c r="D130" s="51"/>
      <c r="E130" s="24">
        <f>KAMPUNGMANDAR!P130+KAMPUNGMELAYU!M130+KARANGREJO!AI130+KEBALENAN!AH130+KEPATIHAN!S130+KERTOSARI!AB130+LATENG!AD130+PAKIS!T130+PANDEREJO!R130+PENGANJURAN!T130+PENGANTIGAN!X130+SINGONEGARAN!U130+SINGOTRUNAN!AE130+SOBO!AB130+SUMBERREJO!U130+TAMANBARU!Z130+TEMENGGUNGAN!L130+TUKANGKAYU!AD130</f>
        <v>1878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18"/>
      <c r="B131" s="49"/>
      <c r="C131" s="50" t="s">
        <v>104</v>
      </c>
      <c r="D131" s="51"/>
      <c r="E131" s="24">
        <f>KAMPUNGMANDAR!P131+KAMPUNGMELAYU!M131+KARANGREJO!AI131+KEBALENAN!AH131+KEPATIHAN!S131+KERTOSARI!AB131+LATENG!AD131+PAKIS!T131+PANDEREJO!R131+PENGANJURAN!T131+PENGANTIGAN!X131+SINGONEGARAN!U131+SINGOTRUNAN!AE131+SOBO!AB131+SUMBERREJO!U131+TAMANBARU!Z131+TEMENGGUNGAN!L131+TUKANGKAYU!AD131</f>
        <v>251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49"/>
      <c r="C132" s="50" t="s">
        <v>105</v>
      </c>
      <c r="D132" s="51"/>
      <c r="E132" s="24">
        <f>KAMPUNGMANDAR!P132+KAMPUNGMELAYU!M132+KARANGREJO!AI132+KEBALENAN!AH132+KEPATIHAN!S132+KERTOSARI!AB132+LATENG!AD132+PAKIS!T132+PANDEREJO!R132+PENGANJURAN!T132+PENGANTIGAN!X132+SINGONEGARAN!U132+SINGOTRUNAN!AE132+SOBO!AB132+SUMBERREJO!U132+TAMANBARU!Z132+TEMENGGUNGAN!L132+TUKANGKAYU!AD132</f>
        <v>428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106</v>
      </c>
      <c r="D133" s="51"/>
      <c r="E133" s="24">
        <f>KAMPUNGMANDAR!P133+KAMPUNGMELAYU!M133+KARANGREJO!AI133+KEBALENAN!AH133+KEPATIHAN!S133+KERTOSARI!AB133+LATENG!AD133+PAKIS!T133+PANDEREJO!R133+PENGANJURAN!T133+PENGANTIGAN!X133+SINGONEGARAN!U133+SINGOTRUNAN!AE133+SOBO!AB133+SUMBERREJO!U133+TAMANBARU!Z133+TEMENGGUNGAN!L133+TUKANGKAYU!AD133</f>
        <v>83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107</v>
      </c>
      <c r="D134" s="51"/>
      <c r="E134" s="24">
        <f>KAMPUNGMANDAR!P134+KAMPUNGMELAYU!M134+KARANGREJO!AI134+KEBALENAN!AH134+KEPATIHAN!S134+KERTOSARI!AB134+LATENG!AD134+PAKIS!T134+PANDEREJO!R134+PENGANJURAN!T134+PENGANTIGAN!X134+SINGONEGARAN!U134+SINGOTRUNAN!AE134+SOBO!AB134+SUMBERREJO!U134+TAMANBARU!Z134+TEMENGGUNGAN!L134+TUKANGKAYU!AD134</f>
        <v>1475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108</v>
      </c>
      <c r="D135" s="51"/>
      <c r="E135" s="24">
        <f>KAMPUNGMANDAR!P135+KAMPUNGMELAYU!M135+KARANGREJO!AI135+KEBALENAN!AH135+KEPATIHAN!S135+KERTOSARI!AB135+LATENG!AD135+PAKIS!T135+PANDEREJO!R135+PENGANJURAN!T135+PENGANTIGAN!X135+SINGONEGARAN!U135+SINGOTRUNAN!AE135+SOBO!AB135+SUMBERREJO!U135+TAMANBARU!Z135+TEMENGGUNGAN!L135+TUKANGKAYU!AD135</f>
        <v>242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49"/>
      <c r="C136" s="50" t="s">
        <v>109</v>
      </c>
      <c r="D136" s="51"/>
      <c r="E136" s="24">
        <f>KAMPUNGMANDAR!P136+KAMPUNGMELAYU!M136+KARANGREJO!AI136+KEBALENAN!AH136+KEPATIHAN!S136+KERTOSARI!AB136+LATENG!AD136+PAKIS!T136+PANDEREJO!R136+PENGANJURAN!T136+PENGANTIGAN!X136+SINGONEGARAN!U136+SINGOTRUNAN!AE136+SOBO!AB136+SUMBERREJO!U136+TAMANBARU!Z136+TEMENGGUNGAN!L136+TUKANGKAYU!AD136</f>
        <v>94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49"/>
      <c r="C137" s="50" t="s">
        <v>110</v>
      </c>
      <c r="D137" s="51"/>
      <c r="E137" s="24">
        <f>KAMPUNGMANDAR!P137+KAMPUNGMELAYU!M137+KARANGREJO!AI137+KEBALENAN!AH137+KEPATIHAN!S137+KERTOSARI!AB137+LATENG!AD137+PAKIS!T137+PANDEREJO!R137+PENGANJURAN!T137+PENGANTIGAN!X137+SINGONEGARAN!U137+SINGOTRUNAN!AE137+SOBO!AB137+SUMBERREJO!U137+TAMANBARU!Z137+TEMENGGUNGAN!L137+TUKANGKAYU!AD137</f>
        <v>50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49"/>
      <c r="C138" s="50" t="s">
        <v>111</v>
      </c>
      <c r="D138" s="51"/>
      <c r="E138" s="24">
        <f>KAMPUNGMANDAR!P138+KAMPUNGMELAYU!M138+KARANGREJO!AI138+KEBALENAN!AH138+KEPATIHAN!S138+KERTOSARI!AB138+LATENG!AD138+PAKIS!T138+PANDEREJO!R138+PENGANJURAN!T138+PENGANTIGAN!X138+SINGONEGARAN!U138+SINGOTRUNAN!AE138+SOBO!AB138+SUMBERREJO!U138+TAMANBARU!Z138+TEMENGGUNGAN!L138+TUKANGKAYU!AD138</f>
        <v>75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14</v>
      </c>
      <c r="B139" s="47" t="s">
        <v>48</v>
      </c>
      <c r="C139" s="15"/>
      <c r="D139" s="16"/>
      <c r="E139" s="13">
        <f>SUM(E129:E138)</f>
        <v>5878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36</v>
      </c>
      <c r="B141" s="47" t="s">
        <v>112</v>
      </c>
      <c r="C141" s="48" t="s">
        <v>113</v>
      </c>
      <c r="D141" s="16"/>
      <c r="E141" s="24">
        <f>KAMPUNGMANDAR!P141+KAMPUNGMELAYU!M141+KARANGREJO!AI141+KEBALENAN!AH141+KEPATIHAN!S141+KERTOSARI!AB141+LATENG!AD141+PAKIS!T141+PANDEREJO!R141+PENGANJURAN!T141+PENGANTIGAN!X141+SINGONEGARAN!U141+SINGOTRUNAN!AE141+SOBO!AB141+SUMBERREJO!U141+TAMANBARU!Z141+TEMENGGUNGAN!L141+TUKANGKAYU!AD141</f>
        <v>9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38</v>
      </c>
      <c r="B142" s="49"/>
      <c r="C142" s="50" t="s">
        <v>114</v>
      </c>
      <c r="D142" s="51"/>
      <c r="E142" s="24">
        <f>KAMPUNGMANDAR!P142+KAMPUNGMELAYU!M142+KARANGREJO!AI142+KEBALENAN!AH142+KEPATIHAN!S142+KERTOSARI!AB142+LATENG!AD142+PAKIS!T142+PANDEREJO!R142+PENGANJURAN!T142+PENGANTIGAN!X142+SINGONEGARAN!U142+SINGOTRUNAN!AE142+SOBO!AB142+SUMBERREJO!U142+TAMANBARU!Z142+TEMENGGUNGAN!L142+TUKANGKAYU!AD142</f>
        <v>13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49"/>
      <c r="C143" s="50" t="s">
        <v>115</v>
      </c>
      <c r="D143" s="51"/>
      <c r="E143" s="24">
        <f>KAMPUNGMANDAR!P143+KAMPUNGMELAYU!M143+KARANGREJO!AI143+KEBALENAN!AH143+KEPATIHAN!S143+KERTOSARI!AB143+LATENG!AD143+PAKIS!T143+PANDEREJO!R143+PENGANJURAN!T143+PENGANTIGAN!X143+SINGONEGARAN!U143+SINGOTRUNAN!AE143+SOBO!AB143+SUMBERREJO!U143+TAMANBARU!Z143+TEMENGGUNGAN!L143+TUKANGKAYU!AD143</f>
        <v>3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49"/>
      <c r="C144" s="50" t="s">
        <v>116</v>
      </c>
      <c r="D144" s="51"/>
      <c r="E144" s="24">
        <f>KAMPUNGMANDAR!P144+KAMPUNGMELAYU!M144+KARANGREJO!AI144+KEBALENAN!AH144+KEPATIHAN!S144+KERTOSARI!AB144+LATENG!AD144+PAKIS!T144+PANDEREJO!R144+PENGANJURAN!T144+PENGANTIGAN!X144+SINGONEGARAN!U144+SINGOTRUNAN!AE144+SOBO!AB144+SUMBERREJO!U144+TAMANBARU!Z144+TEMENGGUNGAN!L144+TUKANGKAYU!AD144</f>
        <v>5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7"/>
      <c r="C145" s="58"/>
      <c r="D145" s="59"/>
      <c r="E145" s="60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7"/>
      <c r="C146" s="58"/>
      <c r="D146" s="59"/>
      <c r="E146" s="60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7"/>
      <c r="C147" s="58"/>
      <c r="D147" s="59"/>
      <c r="E147" s="60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7"/>
      <c r="C148" s="58"/>
      <c r="D148" s="59"/>
      <c r="E148" s="60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7"/>
      <c r="C149" s="58"/>
      <c r="D149" s="59"/>
      <c r="E149" s="60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7"/>
      <c r="C150" s="58"/>
      <c r="D150" s="59"/>
      <c r="E150" s="60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14</v>
      </c>
      <c r="B151" s="47" t="s">
        <v>48</v>
      </c>
      <c r="C151" s="15"/>
      <c r="D151" s="16"/>
      <c r="E151" s="13">
        <f>SUM(E141:E150)</f>
        <v>30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36</v>
      </c>
      <c r="B153" s="17" t="s">
        <v>117</v>
      </c>
      <c r="C153" s="63" t="s">
        <v>118</v>
      </c>
      <c r="D153" s="23"/>
      <c r="E153" s="24">
        <f>KAMPUNGMANDAR!P153+KAMPUNGMELAYU!M153+KARANGREJO!AI153+KEBALENAN!AH153+KEPATIHAN!S153+KERTOSARI!AB153+LATENG!AD153+PAKIS!T153+PANDEREJO!R153+PENGANJURAN!T153+PENGANTIGAN!X153+SINGONEGARAN!U153+SINGOTRUNAN!AE153+SOBO!AB153+SUMBERREJO!U153+TAMANBARU!Z153+TEMENGGUNGAN!L153+TUKANGKAYU!AD153</f>
        <v>502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64" t="s">
        <v>38</v>
      </c>
      <c r="B154" s="49"/>
      <c r="C154" s="50" t="s">
        <v>119</v>
      </c>
      <c r="D154" s="51"/>
      <c r="E154" s="24">
        <f>KAMPUNGMANDAR!P154+KAMPUNGMELAYU!M154+KARANGREJO!AI154+KEBALENAN!AH154+KEPATIHAN!S154+KERTOSARI!AB154+LATENG!AD154+PAKIS!T154+PANDEREJO!R154+PENGANJURAN!T154+PENGANTIGAN!X154+SINGONEGARAN!U154+SINGOTRUNAN!AE154+SOBO!AB154+SUMBERREJO!U154+TAMANBARU!Z154+TEMENGGUNGAN!L154+TUKANGKAYU!AD154</f>
        <v>367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120</v>
      </c>
      <c r="D155" s="51"/>
      <c r="E155" s="24">
        <f>KAMPUNGMANDAR!P155+KAMPUNGMELAYU!M155+KARANGREJO!AI155+KEBALENAN!AH155+KEPATIHAN!S155+KERTOSARI!AB155+LATENG!AD155+PAKIS!T155+PANDEREJO!R155+PENGANJURAN!T155+PENGANTIGAN!X155+SINGONEGARAN!U155+SINGOTRUNAN!AE155+SOBO!AB155+SUMBERREJO!U155+TAMANBARU!Z155+TEMENGGUNGAN!L155+TUKANGKAYU!AD155</f>
        <v>68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49"/>
      <c r="C156" s="50" t="s">
        <v>121</v>
      </c>
      <c r="D156" s="51"/>
      <c r="E156" s="24">
        <f>KAMPUNGMANDAR!P156+KAMPUNGMELAYU!M156+KARANGREJO!AI156+KEBALENAN!AH156+KEPATIHAN!S156+KERTOSARI!AB156+LATENG!AD156+PAKIS!T156+PANDEREJO!R156+PENGANJURAN!T156+PENGANTIGAN!X156+SINGONEGARAN!U156+SINGOTRUNAN!AE156+SOBO!AB156+SUMBERREJO!U156+TAMANBARU!Z156+TEMENGGUNGAN!L156+TUKANGKAYU!AD156</f>
        <v>67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49"/>
      <c r="C157" s="50" t="s">
        <v>122</v>
      </c>
      <c r="D157" s="51"/>
      <c r="E157" s="24">
        <f>KAMPUNGMANDAR!P157+KAMPUNGMELAYU!M157+KARANGREJO!AI157+KEBALENAN!AH157+KEPATIHAN!S157+KERTOSARI!AB157+LATENG!AD157+PAKIS!T157+PANDEREJO!R157+PENGANJURAN!T157+PENGANTIGAN!X157+SINGONEGARAN!U157+SINGOTRUNAN!AE157+SOBO!AB157+SUMBERREJO!U157+TAMANBARU!Z157+TEMENGGUNGAN!L157+TUKANGKAYU!AD157</f>
        <v>44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49"/>
      <c r="C158" s="50" t="s">
        <v>123</v>
      </c>
      <c r="D158" s="51"/>
      <c r="E158" s="24">
        <f>KAMPUNGMANDAR!P158+KAMPUNGMELAYU!M158+KARANGREJO!AI158+KEBALENAN!AH158+KEPATIHAN!S158+KERTOSARI!AB158+LATENG!AD158+PAKIS!T158+PANDEREJO!R158+PENGANJURAN!T158+PENGANTIGAN!X158+SINGONEGARAN!U158+SINGOTRUNAN!AE158+SOBO!AB158+SUMBERREJO!U158+TAMANBARU!Z158+TEMENGGUNGAN!L158+TUKANGKAYU!AD158</f>
        <v>42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49"/>
      <c r="C159" s="50" t="s">
        <v>124</v>
      </c>
      <c r="D159" s="51"/>
      <c r="E159" s="24">
        <f>KAMPUNGMANDAR!P159+KAMPUNGMELAYU!M159+KARANGREJO!AI159+KEBALENAN!AH159+KEPATIHAN!S159+KERTOSARI!AB159+LATENG!AD159+PAKIS!T159+PANDEREJO!R159+PENGANJURAN!T159+PENGANTIGAN!X159+SINGONEGARAN!U159+SINGOTRUNAN!AE159+SOBO!AB159+SUMBERREJO!U159+TAMANBARU!Z159+TEMENGGUNGAN!L159+TUKANGKAYU!AD159</f>
        <v>29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49"/>
      <c r="C160" s="50" t="s">
        <v>125</v>
      </c>
      <c r="D160" s="51"/>
      <c r="E160" s="24">
        <f>KAMPUNGMANDAR!P160+KAMPUNGMELAYU!M160+KARANGREJO!AI160+KEBALENAN!AH160+KEPATIHAN!S160+KERTOSARI!AB160+LATENG!AD160+PAKIS!T160+PANDEREJO!R160+PENGANJURAN!T160+PENGANTIGAN!X160+SINGONEGARAN!U160+SINGOTRUNAN!AE160+SOBO!AB160+SUMBERREJO!U160+TAMANBARU!Z160+TEMENGGUNGAN!L160+TUKANGKAYU!AD160</f>
        <v>14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7"/>
      <c r="C161" s="65"/>
      <c r="D161" s="59"/>
      <c r="E161" s="62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7"/>
      <c r="C162" s="65"/>
      <c r="D162" s="59"/>
      <c r="E162" s="62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14</v>
      </c>
      <c r="B163" s="66" t="s">
        <v>48</v>
      </c>
      <c r="C163" s="44"/>
      <c r="D163" s="28"/>
      <c r="E163" s="13">
        <f>SUM(E153:E162)</f>
        <v>1133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36</v>
      </c>
      <c r="B165" s="47" t="s">
        <v>126</v>
      </c>
      <c r="C165" s="48" t="s">
        <v>127</v>
      </c>
      <c r="D165" s="16"/>
      <c r="E165" s="24">
        <f>KAMPUNGMANDAR!P165+KAMPUNGMELAYU!M165+KARANGREJO!AI165+KEBALENAN!AH165+KEPATIHAN!S165+KERTOSARI!AB165+LATENG!AD165+PAKIS!T165+PANDEREJO!R165+PENGANJURAN!T165+PENGANTIGAN!X165+SINGONEGARAN!U165+SINGOTRUNAN!AE165+SOBO!AB165+SUMBERREJO!U165+TAMANBARU!Z165+TEMENGGUNGAN!L165+TUKANGKAYU!AD165</f>
        <v>98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38</v>
      </c>
      <c r="B166" s="49"/>
      <c r="C166" s="50" t="s">
        <v>128</v>
      </c>
      <c r="D166" s="51"/>
      <c r="E166" s="24">
        <f>KAMPUNGMANDAR!P166+KAMPUNGMELAYU!M166+KARANGREJO!AI166+KEBALENAN!AH166+KEPATIHAN!S166+KERTOSARI!AB166+LATENG!AD166+PAKIS!T166+PANDEREJO!R166+PENGANJURAN!T166+PENGANTIGAN!X166+SINGONEGARAN!U166+SINGOTRUNAN!AE166+SOBO!AB166+SUMBERREJO!U166+TAMANBARU!Z166+TEMENGGUNGAN!L166+TUKANGKAYU!AD166</f>
        <v>149</v>
      </c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18"/>
      <c r="B167" s="57"/>
      <c r="C167" s="58"/>
      <c r="D167" s="59"/>
      <c r="E167" s="60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7"/>
      <c r="C168" s="58"/>
      <c r="D168" s="59"/>
      <c r="E168" s="60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7"/>
      <c r="C169" s="58"/>
      <c r="D169" s="59"/>
      <c r="E169" s="60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7"/>
      <c r="C170" s="58"/>
      <c r="D170" s="59"/>
      <c r="E170" s="60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7"/>
      <c r="C171" s="58"/>
      <c r="D171" s="59"/>
      <c r="E171" s="60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7"/>
      <c r="C172" s="58"/>
      <c r="D172" s="59"/>
      <c r="E172" s="60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7"/>
      <c r="C173" s="58"/>
      <c r="D173" s="59"/>
      <c r="E173" s="60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7"/>
      <c r="C174" s="58"/>
      <c r="D174" s="59"/>
      <c r="E174" s="60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14</v>
      </c>
      <c r="B175" s="47" t="s">
        <v>48</v>
      </c>
      <c r="C175" s="15"/>
      <c r="D175" s="16"/>
      <c r="E175" s="13">
        <f>SUM(E165:E174)</f>
        <v>247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36</v>
      </c>
      <c r="B177" s="47" t="s">
        <v>129</v>
      </c>
      <c r="C177" s="48" t="s">
        <v>130</v>
      </c>
      <c r="D177" s="16"/>
      <c r="E177" s="24">
        <f>KAMPUNGMANDAR!P177+KAMPUNGMELAYU!M177+KARANGREJO!AI177+KEBALENAN!AH177+KEPATIHAN!S177+KERTOSARI!AB177+LATENG!AD177+PAKIS!T177+PANDEREJO!R177+PENGANJURAN!T177+PENGANTIGAN!X177+SINGONEGARAN!U177+SINGOTRUNAN!AE177+SOBO!AB177+SUMBERREJO!U177+TAMANBARU!Z177+TEMENGGUNGAN!L177+TUKANGKAYU!AD177</f>
        <v>379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38</v>
      </c>
      <c r="B178" s="49"/>
      <c r="C178" s="50" t="s">
        <v>131</v>
      </c>
      <c r="D178" s="51"/>
      <c r="E178" s="24">
        <f>KAMPUNGMANDAR!P178+KAMPUNGMELAYU!M178+KARANGREJO!AI178+KEBALENAN!AH178+KEPATIHAN!S178+KERTOSARI!AB178+LATENG!AD178+PAKIS!T178+PANDEREJO!R178+PENGANJURAN!T178+PENGANTIGAN!X178+SINGONEGARAN!U178+SINGOTRUNAN!AE178+SOBO!AB178+SUMBERREJO!U178+TAMANBARU!Z178+TEMENGGUNGAN!L178+TUKANGKAYU!AD178</f>
        <v>565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18"/>
      <c r="B179" s="49"/>
      <c r="C179" s="50" t="s">
        <v>132</v>
      </c>
      <c r="D179" s="51"/>
      <c r="E179" s="24">
        <f>KAMPUNGMANDAR!P179+KAMPUNGMELAYU!M179+KARANGREJO!AI179+KEBALENAN!AH179+KEPATIHAN!S179+KERTOSARI!AB179+LATENG!AD179+PAKIS!T179+PANDEREJO!R179+PENGANJURAN!T179+PENGANTIGAN!X179+SINGONEGARAN!U179+SINGOTRUNAN!AE179+SOBO!AB179+SUMBERREJO!U179+TAMANBARU!Z179+TEMENGGUNGAN!L179+TUKANGKAYU!AD179</f>
        <v>87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49"/>
      <c r="C180" s="50" t="s">
        <v>133</v>
      </c>
      <c r="D180" s="51"/>
      <c r="E180" s="24">
        <f>KAMPUNGMANDAR!P180+KAMPUNGMELAYU!M180+KARANGREJO!AI180+KEBALENAN!AH180+KEPATIHAN!S180+KERTOSARI!AB180+LATENG!AD180+PAKIS!T180+PANDEREJO!R180+PENGANJURAN!T180+PENGANTIGAN!X180+SINGONEGARAN!U180+SINGOTRUNAN!AE180+SOBO!AB180+SUMBERREJO!U180+TAMANBARU!Z180+TEMENGGUNGAN!L180+TUKANGKAYU!AD180</f>
        <v>193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49"/>
      <c r="C181" s="50" t="s">
        <v>134</v>
      </c>
      <c r="D181" s="51"/>
      <c r="E181" s="24">
        <f>KAMPUNGMANDAR!P181+KAMPUNGMELAYU!M181+KARANGREJO!AI181+KEBALENAN!AH181+KEPATIHAN!S181+KERTOSARI!AB181+LATENG!AD181+PAKIS!T181+PANDEREJO!R181+PENGANJURAN!T181+PENGANTIGAN!X181+SINGONEGARAN!U181+SINGOTRUNAN!AE181+SOBO!AB181+SUMBERREJO!U181+TAMANBARU!Z181+TEMENGGUNGAN!L181+TUKANGKAYU!AD181</f>
        <v>171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49"/>
      <c r="C182" s="50" t="s">
        <v>135</v>
      </c>
      <c r="D182" s="51"/>
      <c r="E182" s="24">
        <f>KAMPUNGMANDAR!P182+KAMPUNGMELAYU!M182+KARANGREJO!AI182+KEBALENAN!AH182+KEPATIHAN!S182+KERTOSARI!AB182+LATENG!AD182+PAKIS!T182+PANDEREJO!R182+PENGANJURAN!T182+PENGANTIGAN!X182+SINGONEGARAN!U182+SINGOTRUNAN!AE182+SOBO!AB182+SUMBERREJO!U182+TAMANBARU!Z182+TEMENGGUNGAN!L182+TUKANGKAYU!AD182</f>
        <v>59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49"/>
      <c r="C183" s="50" t="s">
        <v>136</v>
      </c>
      <c r="D183" s="51"/>
      <c r="E183" s="24">
        <f>KAMPUNGMANDAR!P183+KAMPUNGMELAYU!M183+KARANGREJO!AI183+KEBALENAN!AH183+KEPATIHAN!S183+KERTOSARI!AB183+LATENG!AD183+PAKIS!T183+PANDEREJO!R183+PENGANJURAN!T183+PENGANTIGAN!X183+SINGONEGARAN!U183+SINGOTRUNAN!AE183+SOBO!AB183+SUMBERREJO!U183+TAMANBARU!Z183+TEMENGGUNGAN!L183+TUKANGKAYU!AD183</f>
        <v>29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49"/>
      <c r="C184" s="50" t="s">
        <v>137</v>
      </c>
      <c r="D184" s="51"/>
      <c r="E184" s="24">
        <f>KAMPUNGMANDAR!P184+KAMPUNGMELAYU!M184+KARANGREJO!AI184+KEBALENAN!AH184+KEPATIHAN!S184+KERTOSARI!AB184+LATENG!AD184+PAKIS!T184+PANDEREJO!R184+PENGANJURAN!T184+PENGANTIGAN!X184+SINGONEGARAN!U184+SINGOTRUNAN!AE184+SOBO!AB184+SUMBERREJO!U184+TAMANBARU!Z184+TEMENGGUNGAN!L184+TUKANGKAYU!AD184</f>
        <v>24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49"/>
      <c r="C185" s="50" t="s">
        <v>138</v>
      </c>
      <c r="D185" s="51"/>
      <c r="E185" s="24">
        <f>KAMPUNGMANDAR!P185+KAMPUNGMELAYU!M185+KARANGREJO!AI185+KEBALENAN!AH185+KEPATIHAN!S185+KERTOSARI!AB185+LATENG!AD185+PAKIS!T185+PANDEREJO!R185+PENGANJURAN!T185+PENGANTIGAN!X185+SINGONEGARAN!U185+SINGOTRUNAN!AE185+SOBO!AB185+SUMBERREJO!U185+TAMANBARU!Z185+TEMENGGUNGAN!L185+TUKANGKAYU!AD185</f>
        <v>50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49"/>
      <c r="C186" s="50" t="s">
        <v>139</v>
      </c>
      <c r="D186" s="51"/>
      <c r="E186" s="24">
        <f>KAMPUNGMANDAR!P186+KAMPUNGMELAYU!M186+KARANGREJO!AI186+KEBALENAN!AH186+KEPATIHAN!S186+KERTOSARI!AB186+LATENG!AD186+PAKIS!T186+PANDEREJO!R186+PENGANJURAN!T186+PENGANTIGAN!X186+SINGONEGARAN!U186+SINGOTRUNAN!AE186+SOBO!AB186+SUMBERREJO!U186+TAMANBARU!Z186+TEMENGGUNGAN!L186+TUKANGKAYU!AD186</f>
        <v>19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14</v>
      </c>
      <c r="B187" s="47" t="s">
        <v>48</v>
      </c>
      <c r="C187" s="15"/>
      <c r="D187" s="16"/>
      <c r="E187" s="13">
        <f>SUM(E177:E186)</f>
        <v>1576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36</v>
      </c>
      <c r="B189" s="47" t="s">
        <v>140</v>
      </c>
      <c r="C189" s="48" t="s">
        <v>141</v>
      </c>
      <c r="D189" s="16"/>
      <c r="E189" s="24">
        <f>KAMPUNGMANDAR!P189+KAMPUNGMELAYU!M189+KARANGREJO!AI189+KEBALENAN!AH189+KEPATIHAN!S189+KERTOSARI!AB189+LATENG!AD189+PAKIS!T189+PANDEREJO!R189+PENGANJURAN!T189+PENGANTIGAN!X189+SINGONEGARAN!U189+SINGOTRUNAN!AE189+SOBO!AB189+SUMBERREJO!U189+TAMANBARU!Z189+TEMENGGUNGAN!L189+TUKANGKAYU!AD189</f>
        <v>96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38</v>
      </c>
      <c r="B190" s="49"/>
      <c r="C190" s="50" t="s">
        <v>142</v>
      </c>
      <c r="D190" s="51"/>
      <c r="E190" s="24">
        <f>KAMPUNGMANDAR!P190+KAMPUNGMELAYU!M190+KARANGREJO!AI190+KEBALENAN!AH190+KEPATIHAN!S190+KERTOSARI!AB190+LATENG!AD190+PAKIS!T190+PANDEREJO!R190+PENGANJURAN!T190+PENGANTIGAN!X190+SINGONEGARAN!U190+SINGOTRUNAN!AE190+SOBO!AB190+SUMBERREJO!U190+TAMANBARU!Z190+TEMENGGUNGAN!L190+TUKANGKAYU!AD190</f>
        <v>41</v>
      </c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3"/>
      <c r="R190" s="3"/>
      <c r="S190" s="3"/>
      <c r="T190" s="3"/>
      <c r="U190" s="3"/>
      <c r="V190" s="3"/>
      <c r="W190" s="55"/>
      <c r="X190" s="3"/>
      <c r="Y190" s="3"/>
      <c r="Z190" s="3"/>
    </row>
    <row r="191" ht="15.75" customHeight="1">
      <c r="A191" s="18"/>
      <c r="B191" s="49"/>
      <c r="C191" s="50" t="s">
        <v>143</v>
      </c>
      <c r="D191" s="51"/>
      <c r="E191" s="24">
        <f>KAMPUNGMANDAR!P191+KAMPUNGMELAYU!M191+KARANGREJO!AI191+KEBALENAN!AH191+KEPATIHAN!S191+KERTOSARI!AB191+LATENG!AD191+PAKIS!T191+PANDEREJO!R191+PENGANJURAN!T191+PENGANTIGAN!X191+SINGONEGARAN!U191+SINGOTRUNAN!AE191+SOBO!AB191+SUMBERREJO!U191+TAMANBARU!Z191+TEMENGGUNGAN!L191+TUKANGKAYU!AD191</f>
        <v>31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49"/>
      <c r="C192" s="50" t="s">
        <v>144</v>
      </c>
      <c r="D192" s="51"/>
      <c r="E192" s="24">
        <f>KAMPUNGMANDAR!P192+KAMPUNGMELAYU!M192+KARANGREJO!AI192+KEBALENAN!AH192+KEPATIHAN!S192+KERTOSARI!AB192+LATENG!AD192+PAKIS!T192+PANDEREJO!R192+PENGANJURAN!T192+PENGANTIGAN!X192+SINGONEGARAN!U192+SINGOTRUNAN!AE192+SOBO!AB192+SUMBERREJO!U192+TAMANBARU!Z192+TEMENGGUNGAN!L192+TUKANGKAYU!AD192</f>
        <v>23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49"/>
      <c r="C193" s="50" t="s">
        <v>145</v>
      </c>
      <c r="D193" s="51"/>
      <c r="E193" s="24">
        <f>KAMPUNGMANDAR!P193+KAMPUNGMELAYU!M193+KARANGREJO!AI193+KEBALENAN!AH193+KEPATIHAN!S193+KERTOSARI!AB193+LATENG!AD193+PAKIS!T193+PANDEREJO!R193+PENGANJURAN!T193+PENGANTIGAN!X193+SINGONEGARAN!U193+SINGOTRUNAN!AE193+SOBO!AB193+SUMBERREJO!U193+TAMANBARU!Z193+TEMENGGUNGAN!L193+TUKANGKAYU!AD193</f>
        <v>17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49"/>
      <c r="C194" s="50" t="s">
        <v>146</v>
      </c>
      <c r="D194" s="51"/>
      <c r="E194" s="24">
        <f>KAMPUNGMANDAR!P194+KAMPUNGMELAYU!M194+KARANGREJO!AI194+KEBALENAN!AH194+KEPATIHAN!S194+KERTOSARI!AB194+LATENG!AD194+PAKIS!T194+PANDEREJO!R194+PENGANJURAN!T194+PENGANTIGAN!X194+SINGONEGARAN!U194+SINGOTRUNAN!AE194+SOBO!AB194+SUMBERREJO!U194+TAMANBARU!Z194+TEMENGGUNGAN!L194+TUKANGKAYU!AD194</f>
        <v>30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49"/>
      <c r="C195" s="50" t="s">
        <v>147</v>
      </c>
      <c r="D195" s="51"/>
      <c r="E195" s="24">
        <f>KAMPUNGMANDAR!P195+KAMPUNGMELAYU!M195+KARANGREJO!AI195+KEBALENAN!AH195+KEPATIHAN!S195+KERTOSARI!AB195+LATENG!AD195+PAKIS!T195+PANDEREJO!R195+PENGANJURAN!T195+PENGANTIGAN!X195+SINGONEGARAN!U195+SINGOTRUNAN!AE195+SOBO!AB195+SUMBERREJO!U195+TAMANBARU!Z195+TEMENGGUNGAN!L195+TUKANGKAYU!AD195</f>
        <v>21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49"/>
      <c r="C196" s="50" t="s">
        <v>148</v>
      </c>
      <c r="D196" s="51"/>
      <c r="E196" s="24">
        <f>KAMPUNGMANDAR!P196+KAMPUNGMELAYU!M196+KARANGREJO!AI196+KEBALENAN!AH196+KEPATIHAN!S196+KERTOSARI!AB196+LATENG!AD196+PAKIS!T196+PANDEREJO!R196+PENGANJURAN!T196+PENGANTIGAN!X196+SINGONEGARAN!U196+SINGOTRUNAN!AE196+SOBO!AB196+SUMBERREJO!U196+TAMANBARU!Z196+TEMENGGUNGAN!L196+TUKANGKAYU!AD196</f>
        <v>17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49"/>
      <c r="C197" s="50" t="s">
        <v>149</v>
      </c>
      <c r="D197" s="51"/>
      <c r="E197" s="24">
        <f>KAMPUNGMANDAR!P197+KAMPUNGMELAYU!M197+KARANGREJO!AI197+KEBALENAN!AH197+KEPATIHAN!S197+KERTOSARI!AB197+LATENG!AD197+PAKIS!T197+PANDEREJO!R197+PENGANJURAN!T197+PENGANTIGAN!X197+SINGONEGARAN!U197+SINGOTRUNAN!AE197+SOBO!AB197+SUMBERREJO!U197+TAMANBARU!Z197+TEMENGGUNGAN!L197+TUKANGKAYU!AD197</f>
        <v>10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49"/>
      <c r="C198" s="50" t="s">
        <v>150</v>
      </c>
      <c r="D198" s="51"/>
      <c r="E198" s="24">
        <f>KAMPUNGMANDAR!P198+KAMPUNGMELAYU!M198+KARANGREJO!AI198+KEBALENAN!AH198+KEPATIHAN!S198+KERTOSARI!AB198+LATENG!AD198+PAKIS!T198+PANDEREJO!R198+PENGANJURAN!T198+PENGANTIGAN!X198+SINGONEGARAN!U198+SINGOTRUNAN!AE198+SOBO!AB198+SUMBERREJO!U198+TAMANBARU!Z198+TEMENGGUNGAN!L198+TUKANGKAYU!AD198</f>
        <v>9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14</v>
      </c>
      <c r="B199" s="47" t="s">
        <v>48</v>
      </c>
      <c r="C199" s="15"/>
      <c r="D199" s="16"/>
      <c r="E199" s="13">
        <f>SUM(E189:E198)</f>
        <v>295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36</v>
      </c>
      <c r="B201" s="47" t="s">
        <v>151</v>
      </c>
      <c r="C201" s="48" t="s">
        <v>152</v>
      </c>
      <c r="D201" s="16"/>
      <c r="E201" s="24">
        <f>KAMPUNGMANDAR!P201+KAMPUNGMELAYU!M201+KARANGREJO!AI201+KEBALENAN!AH201+KEPATIHAN!S201+KERTOSARI!AB201+LATENG!AD201+PAKIS!T201+PANDEREJO!R201+PENGANJURAN!T201+PENGANTIGAN!X201+SINGONEGARAN!U201+SINGOTRUNAN!AE201+SOBO!AB201+SUMBERREJO!U201+TAMANBARU!Z201+TEMENGGUNGAN!L201+TUKANGKAYU!AD201</f>
        <v>1655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38</v>
      </c>
      <c r="B202" s="49"/>
      <c r="C202" s="50" t="s">
        <v>153</v>
      </c>
      <c r="D202" s="51"/>
      <c r="E202" s="24">
        <f>KAMPUNGMANDAR!P202+KAMPUNGMELAYU!M202+KARANGREJO!AI202+KEBALENAN!AH202+KEPATIHAN!S202+KERTOSARI!AB202+LATENG!AD202+PAKIS!T202+PANDEREJO!R202+PENGANJURAN!T202+PENGANTIGAN!X202+SINGONEGARAN!U202+SINGOTRUNAN!AE202+SOBO!AB202+SUMBERREJO!U202+TAMANBARU!Z202+TEMENGGUNGAN!L202+TUKANGKAYU!AD202</f>
        <v>1796</v>
      </c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3"/>
      <c r="R202" s="3"/>
      <c r="S202" s="3"/>
      <c r="T202" s="3"/>
      <c r="U202" s="3"/>
      <c r="V202" s="3"/>
      <c r="W202" s="55"/>
      <c r="X202" s="3"/>
      <c r="Y202" s="3"/>
      <c r="Z202" s="3"/>
    </row>
    <row r="203" ht="15.75" customHeight="1">
      <c r="A203" s="18"/>
      <c r="B203" s="49"/>
      <c r="C203" s="50" t="s">
        <v>154</v>
      </c>
      <c r="D203" s="51"/>
      <c r="E203" s="24">
        <f>KAMPUNGMANDAR!P203+KAMPUNGMELAYU!M203+KARANGREJO!AI203+KEBALENAN!AH203+KEPATIHAN!S203+KERTOSARI!AB203+LATENG!AD203+PAKIS!T203+PANDEREJO!R203+PENGANJURAN!T203+PENGANTIGAN!X203+SINGONEGARAN!U203+SINGOTRUNAN!AE203+SOBO!AB203+SUMBERREJO!U203+TAMANBARU!Z203+TEMENGGUNGAN!L203+TUKANGKAYU!AD203</f>
        <v>935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49"/>
      <c r="C204" s="50" t="s">
        <v>155</v>
      </c>
      <c r="D204" s="51"/>
      <c r="E204" s="24">
        <f>KAMPUNGMANDAR!P204+KAMPUNGMELAYU!M204+KARANGREJO!AI204+KEBALENAN!AH204+KEPATIHAN!S204+KERTOSARI!AB204+LATENG!AD204+PAKIS!T204+PANDEREJO!R204+PENGANJURAN!T204+PENGANTIGAN!X204+SINGONEGARAN!U204+SINGOTRUNAN!AE204+SOBO!AB204+SUMBERREJO!U204+TAMANBARU!Z204+TEMENGGUNGAN!L204+TUKANGKAYU!AD204</f>
        <v>280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49"/>
      <c r="C205" s="50" t="s">
        <v>156</v>
      </c>
      <c r="D205" s="51"/>
      <c r="E205" s="24">
        <f>KAMPUNGMANDAR!P205+KAMPUNGMELAYU!M205+KARANGREJO!AI205+KEBALENAN!AH205+KEPATIHAN!S205+KERTOSARI!AB205+LATENG!AD205+PAKIS!T205+PANDEREJO!R205+PENGANJURAN!T205+PENGANTIGAN!X205+SINGONEGARAN!U205+SINGOTRUNAN!AE205+SOBO!AB205+SUMBERREJO!U205+TAMANBARU!Z205+TEMENGGUNGAN!L205+TUKANGKAYU!AD205</f>
        <v>93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49"/>
      <c r="C206" s="50" t="s">
        <v>157</v>
      </c>
      <c r="D206" s="51"/>
      <c r="E206" s="24">
        <f>KAMPUNGMANDAR!P206+KAMPUNGMELAYU!M206+KARANGREJO!AI206+KEBALENAN!AH206+KEPATIHAN!S206+KERTOSARI!AB206+LATENG!AD206+PAKIS!T206+PANDEREJO!R206+PENGANJURAN!T206+PENGANTIGAN!X206+SINGONEGARAN!U206+SINGOTRUNAN!AE206+SOBO!AB206+SUMBERREJO!U206+TAMANBARU!Z206+TEMENGGUNGAN!L206+TUKANGKAYU!AD206</f>
        <v>60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49"/>
      <c r="C207" s="50" t="s">
        <v>158</v>
      </c>
      <c r="D207" s="51"/>
      <c r="E207" s="24">
        <f>KAMPUNGMANDAR!P207+KAMPUNGMELAYU!M207+KARANGREJO!AI207+KEBALENAN!AH207+KEPATIHAN!S207+KERTOSARI!AB207+LATENG!AD207+PAKIS!T207+PANDEREJO!R207+PENGANJURAN!T207+PENGANTIGAN!X207+SINGONEGARAN!U207+SINGOTRUNAN!AE207+SOBO!AB207+SUMBERREJO!U207+TAMANBARU!Z207+TEMENGGUNGAN!L207+TUKANGKAYU!AD207</f>
        <v>109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49"/>
      <c r="C208" s="50" t="s">
        <v>159</v>
      </c>
      <c r="D208" s="51"/>
      <c r="E208" s="24">
        <f>KAMPUNGMANDAR!P208+KAMPUNGMELAYU!M208+KARANGREJO!AI208+KEBALENAN!AH208+KEPATIHAN!S208+KERTOSARI!AB208+LATENG!AD208+PAKIS!T208+PANDEREJO!R208+PENGANJURAN!T208+PENGANTIGAN!X208+SINGONEGARAN!U208+SINGOTRUNAN!AE208+SOBO!AB208+SUMBERREJO!U208+TAMANBARU!Z208+TEMENGGUNGAN!L208+TUKANGKAYU!AD208</f>
        <v>212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49"/>
      <c r="C209" s="50" t="s">
        <v>160</v>
      </c>
      <c r="D209" s="51"/>
      <c r="E209" s="24">
        <f>KAMPUNGMANDAR!P209+KAMPUNGMELAYU!M209+KARANGREJO!AI209+KEBALENAN!AH209+KEPATIHAN!S209+KERTOSARI!AB209+LATENG!AD209+PAKIS!T209+PANDEREJO!R209+PENGANJURAN!T209+PENGANTIGAN!X209+SINGONEGARAN!U209+SINGOTRUNAN!AE209+SOBO!AB209+SUMBERREJO!U209+TAMANBARU!Z209+TEMENGGUNGAN!L209+TUKANGKAYU!AD209</f>
        <v>16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49"/>
      <c r="C210" s="50" t="s">
        <v>161</v>
      </c>
      <c r="D210" s="51"/>
      <c r="E210" s="24">
        <f>KAMPUNGMANDAR!P210+KAMPUNGMELAYU!M210+KARANGREJO!AI210+KEBALENAN!AH210+KEPATIHAN!S210+KERTOSARI!AB210+LATENG!AD210+PAKIS!T210+PANDEREJO!R210+PENGANJURAN!T210+PENGANTIGAN!X210+SINGONEGARAN!U210+SINGOTRUNAN!AE210+SOBO!AB210+SUMBERREJO!U210+TAMANBARU!Z210+TEMENGGUNGAN!L210+TUKANGKAYU!AD210</f>
        <v>56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14</v>
      </c>
      <c r="B211" s="47" t="s">
        <v>48</v>
      </c>
      <c r="C211" s="15"/>
      <c r="D211" s="16"/>
      <c r="E211" s="13">
        <f>SUM(E201:E210)</f>
        <v>5212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36</v>
      </c>
      <c r="B213" s="47" t="s">
        <v>162</v>
      </c>
      <c r="C213" s="48" t="s">
        <v>163</v>
      </c>
      <c r="D213" s="16"/>
      <c r="E213" s="24">
        <f>KAMPUNGMANDAR!P213+KAMPUNGMELAYU!M213+KARANGREJO!AI213+KEBALENAN!AH213+KEPATIHAN!S213+KERTOSARI!AB213+LATENG!AD213+PAKIS!T213+PANDEREJO!R213+PENGANJURAN!T213+PENGANTIGAN!X213+SINGONEGARAN!U213+SINGOTRUNAN!AE213+SOBO!AB213+SUMBERREJO!U213+TAMANBARU!Z213+TEMENGGUNGAN!L213+TUKANGKAYU!AD213</f>
        <v>922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38</v>
      </c>
      <c r="B214" s="49"/>
      <c r="C214" s="50" t="s">
        <v>164</v>
      </c>
      <c r="D214" s="51"/>
      <c r="E214" s="24">
        <f>KAMPUNGMANDAR!P214+KAMPUNGMELAYU!M214+KARANGREJO!AI214+KEBALENAN!AH214+KEPATIHAN!S214+KERTOSARI!AB214+LATENG!AD214+PAKIS!T214+PANDEREJO!R214+PENGANJURAN!T214+PENGANTIGAN!X214+SINGONEGARAN!U214+SINGOTRUNAN!AE214+SOBO!AB214+SUMBERREJO!U214+TAMANBARU!Z214+TEMENGGUNGAN!L214+TUKANGKAYU!AD214</f>
        <v>391</v>
      </c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3"/>
      <c r="R214" s="3"/>
      <c r="S214" s="3"/>
      <c r="T214" s="3"/>
      <c r="U214" s="3"/>
      <c r="V214" s="3"/>
      <c r="W214" s="55"/>
      <c r="X214" s="3"/>
      <c r="Y214" s="3"/>
      <c r="Z214" s="3"/>
    </row>
    <row r="215" ht="15.75" customHeight="1">
      <c r="A215" s="18"/>
      <c r="B215" s="49"/>
      <c r="C215" s="50" t="s">
        <v>165</v>
      </c>
      <c r="D215" s="51"/>
      <c r="E215" s="24">
        <f>KAMPUNGMANDAR!P215+KAMPUNGMELAYU!M215+KARANGREJO!AI215+KEBALENAN!AH215+KEPATIHAN!S215+KERTOSARI!AB215+LATENG!AD215+PAKIS!T215+PANDEREJO!R215+PENGANJURAN!T215+PENGANTIGAN!X215+SINGONEGARAN!U215+SINGOTRUNAN!AE215+SOBO!AB215+SUMBERREJO!U215+TAMANBARU!Z215+TEMENGGUNGAN!L215+TUKANGKAYU!AD215</f>
        <v>520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49"/>
      <c r="C216" s="50" t="s">
        <v>166</v>
      </c>
      <c r="D216" s="51"/>
      <c r="E216" s="24">
        <f>KAMPUNGMANDAR!P216+KAMPUNGMELAYU!M216+KARANGREJO!AI216+KEBALENAN!AH216+KEPATIHAN!S216+KERTOSARI!AB216+LATENG!AD216+PAKIS!T216+PANDEREJO!R216+PENGANJURAN!T216+PENGANTIGAN!X216+SINGONEGARAN!U216+SINGOTRUNAN!AE216+SOBO!AB216+SUMBERREJO!U216+TAMANBARU!Z216+TEMENGGUNGAN!L216+TUKANGKAYU!AD216</f>
        <v>136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7"/>
      <c r="C217" s="58"/>
      <c r="D217" s="61"/>
      <c r="E217" s="60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7"/>
      <c r="C218" s="58"/>
      <c r="D218" s="61"/>
      <c r="E218" s="60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7"/>
      <c r="C219" s="58"/>
      <c r="D219" s="61"/>
      <c r="E219" s="60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7"/>
      <c r="C220" s="58"/>
      <c r="D220" s="61"/>
      <c r="E220" s="60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7"/>
      <c r="C221" s="58"/>
      <c r="D221" s="61"/>
      <c r="E221" s="60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7"/>
      <c r="C222" s="58"/>
      <c r="D222" s="61"/>
      <c r="E222" s="60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14</v>
      </c>
      <c r="B223" s="47" t="s">
        <v>48</v>
      </c>
      <c r="C223" s="15"/>
      <c r="D223" s="16"/>
      <c r="E223" s="13">
        <f>SUM(E213:E222)</f>
        <v>1969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36</v>
      </c>
      <c r="B225" s="47" t="s">
        <v>167</v>
      </c>
      <c r="C225" s="48" t="s">
        <v>168</v>
      </c>
      <c r="D225" s="16"/>
      <c r="E225" s="24">
        <f>KAMPUNGMANDAR!P225+KAMPUNGMELAYU!M225+KARANGREJO!AI225+KEBALENAN!AH225+KEPATIHAN!S225+KERTOSARI!AB225+LATENG!AD225+PAKIS!T225+PANDEREJO!R225+PENGANJURAN!T225+PENGANTIGAN!X225+SINGONEGARAN!U225+SINGOTRUNAN!AE225+SOBO!AB225+SUMBERREJO!U225+TAMANBARU!Z225+TEMENGGUNGAN!L225+TUKANGKAYU!AD225</f>
        <v>136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38</v>
      </c>
      <c r="B226" s="49"/>
      <c r="C226" s="50" t="s">
        <v>169</v>
      </c>
      <c r="D226" s="51"/>
      <c r="E226" s="24">
        <f>KAMPUNGMANDAR!P226+KAMPUNGMELAYU!M226+KARANGREJO!AI226+KEBALENAN!AH226+KEPATIHAN!S226+KERTOSARI!AB226+LATENG!AD226+PAKIS!T226+PANDEREJO!R226+PENGANJURAN!T226+PENGANTIGAN!X226+SINGONEGARAN!U226+SINGOTRUNAN!AE226+SOBO!AB226+SUMBERREJO!U226+TAMANBARU!Z226+TEMENGGUNGAN!L226+TUKANGKAYU!AD226</f>
        <v>139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3"/>
      <c r="R226" s="3"/>
      <c r="S226" s="3"/>
      <c r="T226" s="3"/>
      <c r="U226" s="3"/>
      <c r="V226" s="3"/>
      <c r="W226" s="55"/>
      <c r="X226" s="3"/>
      <c r="Y226" s="3"/>
      <c r="Z226" s="3"/>
    </row>
    <row r="227" ht="15.75" customHeight="1">
      <c r="A227" s="18"/>
      <c r="B227" s="49"/>
      <c r="C227" s="50" t="s">
        <v>170</v>
      </c>
      <c r="D227" s="51"/>
      <c r="E227" s="24">
        <f>KAMPUNGMANDAR!P227+KAMPUNGMELAYU!M227+KARANGREJO!AI227+KEBALENAN!AH227+KEPATIHAN!S227+KERTOSARI!AB227+LATENG!AD227+PAKIS!T227+PANDEREJO!R227+PENGANJURAN!T227+PENGANTIGAN!X227+SINGONEGARAN!U227+SINGOTRUNAN!AE227+SOBO!AB227+SUMBERREJO!U227+TAMANBARU!Z227+TEMENGGUNGAN!L227+TUKANGKAYU!AD227</f>
        <v>39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49"/>
      <c r="C228" s="50" t="s">
        <v>171</v>
      </c>
      <c r="D228" s="51"/>
      <c r="E228" s="24">
        <f>KAMPUNGMANDAR!P228+KAMPUNGMELAYU!M228+KARANGREJO!AI228+KEBALENAN!AH228+KEPATIHAN!S228+KERTOSARI!AB228+LATENG!AD228+PAKIS!T228+PANDEREJO!R228+PENGANJURAN!T228+PENGANTIGAN!X228+SINGONEGARAN!U228+SINGOTRUNAN!AE228+SOBO!AB228+SUMBERREJO!U228+TAMANBARU!Z228+TEMENGGUNGAN!L228+TUKANGKAYU!AD228</f>
        <v>25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49"/>
      <c r="C229" s="50" t="s">
        <v>172</v>
      </c>
      <c r="D229" s="51"/>
      <c r="E229" s="24">
        <f>KAMPUNGMANDAR!P229+KAMPUNGMELAYU!M229+KARANGREJO!AI229+KEBALENAN!AH229+KEPATIHAN!S229+KERTOSARI!AB229+LATENG!AD229+PAKIS!T229+PANDEREJO!R229+PENGANJURAN!T229+PENGANTIGAN!X229+SINGONEGARAN!U229+SINGOTRUNAN!AE229+SOBO!AB229+SUMBERREJO!U229+TAMANBARU!Z229+TEMENGGUNGAN!L229+TUKANGKAYU!AD229</f>
        <v>33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7"/>
      <c r="C230" s="58"/>
      <c r="D230" s="61"/>
      <c r="E230" s="60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7"/>
      <c r="C231" s="58"/>
      <c r="D231" s="61"/>
      <c r="E231" s="60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7"/>
      <c r="C232" s="58"/>
      <c r="D232" s="59"/>
      <c r="E232" s="60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7"/>
      <c r="C233" s="58"/>
      <c r="D233" s="59"/>
      <c r="E233" s="60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7"/>
      <c r="C234" s="58"/>
      <c r="D234" s="59"/>
      <c r="E234" s="60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14</v>
      </c>
      <c r="B235" s="47" t="s">
        <v>48</v>
      </c>
      <c r="C235" s="15"/>
      <c r="D235" s="16"/>
      <c r="E235" s="13">
        <f>SUM(E225:E234)</f>
        <v>372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36</v>
      </c>
      <c r="B237" s="47" t="s">
        <v>173</v>
      </c>
      <c r="C237" s="48" t="s">
        <v>174</v>
      </c>
      <c r="D237" s="16"/>
      <c r="E237" s="24">
        <f>KAMPUNGMANDAR!P237+KAMPUNGMELAYU!M237+KARANGREJO!AI237+KEBALENAN!AH237+KEPATIHAN!S237+KERTOSARI!AB237+LATENG!AD237+PAKIS!T237+PANDEREJO!R237+PENGANJURAN!T237+PENGANTIGAN!X237+SINGONEGARAN!U237+SINGOTRUNAN!AE237+SOBO!AB237+SUMBERREJO!U237+TAMANBARU!Z237+TEMENGGUNGAN!L237+TUKANGKAYU!AD237</f>
        <v>322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38</v>
      </c>
      <c r="B238" s="49"/>
      <c r="C238" s="50" t="s">
        <v>175</v>
      </c>
      <c r="D238" s="51"/>
      <c r="E238" s="24">
        <f>KAMPUNGMANDAR!P238+KAMPUNGMELAYU!M238+KARANGREJO!AI238+KEBALENAN!AH238+KEPATIHAN!S238+KERTOSARI!AB238+LATENG!AD238+PAKIS!T238+PANDEREJO!R238+PENGANJURAN!T238+PENGANTIGAN!X238+SINGONEGARAN!U238+SINGOTRUNAN!AE238+SOBO!AB238+SUMBERREJO!U238+TAMANBARU!Z238+TEMENGGUNGAN!L238+TUKANGKAYU!AD238</f>
        <v>208</v>
      </c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3"/>
      <c r="R238" s="3"/>
      <c r="S238" s="3"/>
      <c r="T238" s="3"/>
      <c r="U238" s="3"/>
      <c r="V238" s="3"/>
      <c r="W238" s="55"/>
      <c r="X238" s="3"/>
      <c r="Y238" s="3"/>
      <c r="Z238" s="3"/>
    </row>
    <row r="239" ht="15.75" customHeight="1">
      <c r="A239" s="18"/>
      <c r="B239" s="49"/>
      <c r="C239" s="50" t="s">
        <v>176</v>
      </c>
      <c r="D239" s="51"/>
      <c r="E239" s="24">
        <f>KAMPUNGMANDAR!P239+KAMPUNGMELAYU!M239+KARANGREJO!AI239+KEBALENAN!AH239+KEPATIHAN!S239+KERTOSARI!AB239+LATENG!AD239+PAKIS!T239+PANDEREJO!R239+PENGANJURAN!T239+PENGANTIGAN!X239+SINGONEGARAN!U239+SINGOTRUNAN!AE239+SOBO!AB239+SUMBERREJO!U239+TAMANBARU!Z239+TEMENGGUNGAN!L239+TUKANGKAYU!AD239</f>
        <v>1300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49"/>
      <c r="C240" s="50" t="s">
        <v>177</v>
      </c>
      <c r="D240" s="51"/>
      <c r="E240" s="24">
        <f>KAMPUNGMANDAR!P240+KAMPUNGMELAYU!M240+KARANGREJO!AI240+KEBALENAN!AH240+KEPATIHAN!S240+KERTOSARI!AB240+LATENG!AD240+PAKIS!T240+PANDEREJO!R240+PENGANJURAN!T240+PENGANTIGAN!X240+SINGONEGARAN!U240+SINGOTRUNAN!AE240+SOBO!AB240+SUMBERREJO!U240+TAMANBARU!Z240+TEMENGGUNGAN!L240+TUKANGKAYU!AD240</f>
        <v>152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49"/>
      <c r="C241" s="50" t="s">
        <v>178</v>
      </c>
      <c r="D241" s="51"/>
      <c r="E241" s="24">
        <f>KAMPUNGMANDAR!P241+KAMPUNGMELAYU!M241+KARANGREJO!AI241+KEBALENAN!AH241+KEPATIHAN!S241+KERTOSARI!AB241+LATENG!AD241+PAKIS!T241+PANDEREJO!R241+PENGANJURAN!T241+PENGANTIGAN!X241+SINGONEGARAN!U241+SINGOTRUNAN!AE241+SOBO!AB241+SUMBERREJO!U241+TAMANBARU!Z241+TEMENGGUNGAN!L241+TUKANGKAYU!AD241</f>
        <v>44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49"/>
      <c r="C242" s="50" t="s">
        <v>179</v>
      </c>
      <c r="D242" s="51"/>
      <c r="E242" s="24">
        <f>KAMPUNGMANDAR!P242+KAMPUNGMELAYU!M242+KARANGREJO!AI242+KEBALENAN!AH242+KEPATIHAN!S242+KERTOSARI!AB242+LATENG!AD242+PAKIS!T242+PANDEREJO!R242+PENGANJURAN!T242+PENGANTIGAN!X242+SINGONEGARAN!U242+SINGOTRUNAN!AE242+SOBO!AB242+SUMBERREJO!U242+TAMANBARU!Z242+TEMENGGUNGAN!L242+TUKANGKAYU!AD242</f>
        <v>113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49"/>
      <c r="C243" s="50" t="s">
        <v>180</v>
      </c>
      <c r="D243" s="51"/>
      <c r="E243" s="24">
        <f>KAMPUNGMANDAR!P243+KAMPUNGMELAYU!M243+KARANGREJO!AI243+KEBALENAN!AH243+KEPATIHAN!S243+KERTOSARI!AB243+LATENG!AD243+PAKIS!T243+PANDEREJO!R243+PENGANJURAN!T243+PENGANTIGAN!X243+SINGONEGARAN!U243+SINGOTRUNAN!AE243+SOBO!AB243+SUMBERREJO!U243+TAMANBARU!Z243+TEMENGGUNGAN!L243+TUKANGKAYU!AD243</f>
        <v>34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49"/>
      <c r="C244" s="50" t="s">
        <v>181</v>
      </c>
      <c r="D244" s="51"/>
      <c r="E244" s="24">
        <f>KAMPUNGMANDAR!P244+KAMPUNGMELAYU!M244+KARANGREJO!AI244+KEBALENAN!AH244+KEPATIHAN!S244+KERTOSARI!AB244+LATENG!AD244+PAKIS!T244+PANDEREJO!R244+PENGANJURAN!T244+PENGANTIGAN!X244+SINGONEGARAN!U244+SINGOTRUNAN!AE244+SOBO!AB244+SUMBERREJO!U244+TAMANBARU!Z244+TEMENGGUNGAN!L244+TUKANGKAYU!AD244</f>
        <v>26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49"/>
      <c r="C245" s="50" t="s">
        <v>182</v>
      </c>
      <c r="D245" s="51"/>
      <c r="E245" s="24">
        <f>KAMPUNGMANDAR!P245+KAMPUNGMELAYU!M245+KARANGREJO!AI245+KEBALENAN!AH245+KEPATIHAN!S245+KERTOSARI!AB245+LATENG!AD245+PAKIS!T245+PANDEREJO!R245+PENGANJURAN!T245+PENGANTIGAN!X245+SINGONEGARAN!U245+SINGOTRUNAN!AE245+SOBO!AB245+SUMBERREJO!U245+TAMANBARU!Z245+TEMENGGUNGAN!L245+TUKANGKAYU!AD245</f>
        <v>8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49"/>
      <c r="C246" s="50" t="s">
        <v>183</v>
      </c>
      <c r="D246" s="51"/>
      <c r="E246" s="24">
        <f>KAMPUNGMANDAR!P246+KAMPUNGMELAYU!M246+KARANGREJO!AI246+KEBALENAN!AH246+KEPATIHAN!S246+KERTOSARI!AB246+LATENG!AD246+PAKIS!T246+PANDEREJO!R246+PENGANJURAN!T246+PENGANTIGAN!X246+SINGONEGARAN!U246+SINGOTRUNAN!AE246+SOBO!AB246+SUMBERREJO!U246+TAMANBARU!Z246+TEMENGGUNGAN!L246+TUKANGKAYU!AD246</f>
        <v>43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14</v>
      </c>
      <c r="B247" s="47" t="s">
        <v>48</v>
      </c>
      <c r="C247" s="15"/>
      <c r="D247" s="16"/>
      <c r="E247" s="13">
        <f>SUM(E237:E246)</f>
        <v>2250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36</v>
      </c>
      <c r="B249" s="47" t="s">
        <v>184</v>
      </c>
      <c r="C249" s="48" t="s">
        <v>185</v>
      </c>
      <c r="D249" s="16"/>
      <c r="E249" s="24">
        <f>KAMPUNGMANDAR!P249+KAMPUNGMELAYU!M249+KARANGREJO!AI249+KEBALENAN!AH249+KEPATIHAN!S249+KERTOSARI!AB249+LATENG!AD249+PAKIS!T249+PANDEREJO!R249+PENGANJURAN!T249+PENGANTIGAN!X249+SINGONEGARAN!U249+SINGOTRUNAN!AE249+SOBO!AB249+SUMBERREJO!U249+TAMANBARU!Z249+TEMENGGUNGAN!L249+TUKANGKAYU!AD249</f>
        <v>178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38</v>
      </c>
      <c r="B250" s="49"/>
      <c r="C250" s="50" t="s">
        <v>186</v>
      </c>
      <c r="D250" s="51"/>
      <c r="E250" s="24">
        <f>KAMPUNGMANDAR!P250+KAMPUNGMELAYU!M250+KARANGREJO!AI250+KEBALENAN!AH250+KEPATIHAN!S250+KERTOSARI!AB250+LATENG!AD250+PAKIS!T250+PANDEREJO!R250+PENGANJURAN!T250+PENGANTIGAN!X250+SINGONEGARAN!U250+SINGOTRUNAN!AE250+SOBO!AB250+SUMBERREJO!U250+TAMANBARU!Z250+TEMENGGUNGAN!L250+TUKANGKAYU!AD250</f>
        <v>398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49"/>
      <c r="C251" s="50" t="s">
        <v>187</v>
      </c>
      <c r="D251" s="51"/>
      <c r="E251" s="24">
        <f>KAMPUNGMANDAR!P251+KAMPUNGMELAYU!M251+KARANGREJO!AI251+KEBALENAN!AH251+KEPATIHAN!S251+KERTOSARI!AB251+LATENG!AD251+PAKIS!T251+PANDEREJO!R251+PENGANJURAN!T251+PENGANTIGAN!X251+SINGONEGARAN!U251+SINGOTRUNAN!AE251+SOBO!AB251+SUMBERREJO!U251+TAMANBARU!Z251+TEMENGGUNGAN!L251+TUKANGKAYU!AD251</f>
        <v>40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49"/>
      <c r="C252" s="50" t="s">
        <v>188</v>
      </c>
      <c r="D252" s="51"/>
      <c r="E252" s="24">
        <f>KAMPUNGMANDAR!P252+KAMPUNGMELAYU!M252+KARANGREJO!AI252+KEBALENAN!AH252+KEPATIHAN!S252+KERTOSARI!AB252+LATENG!AD252+PAKIS!T252+PANDEREJO!R252+PENGANJURAN!T252+PENGANTIGAN!X252+SINGONEGARAN!U252+SINGOTRUNAN!AE252+SOBO!AB252+SUMBERREJO!U252+TAMANBARU!Z252+TEMENGGUNGAN!L252+TUKANGKAYU!AD252</f>
        <v>29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7"/>
      <c r="C253" s="58"/>
      <c r="D253" s="61"/>
      <c r="E253" s="60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7"/>
      <c r="C254" s="67"/>
      <c r="D254" s="59"/>
      <c r="E254" s="60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7"/>
      <c r="C255" s="67"/>
      <c r="D255" s="59"/>
      <c r="E255" s="60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7"/>
      <c r="C256" s="65"/>
      <c r="D256" s="59"/>
      <c r="E256" s="60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7"/>
      <c r="C257" s="65"/>
      <c r="D257" s="59"/>
      <c r="E257" s="60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7"/>
      <c r="C258" s="65"/>
      <c r="D258" s="59"/>
      <c r="E258" s="60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14</v>
      </c>
      <c r="B259" s="47" t="s">
        <v>48</v>
      </c>
      <c r="C259" s="15"/>
      <c r="D259" s="16"/>
      <c r="E259" s="13">
        <f>SUM(E249:E258)</f>
        <v>645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189</v>
      </c>
      <c r="B261" s="14" t="s">
        <v>190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8" t="s">
        <v>191</v>
      </c>
      <c r="C262" s="69" t="s">
        <v>192</v>
      </c>
      <c r="D262" s="16"/>
      <c r="E262" s="24">
        <f>KAMPUNGMANDAR!P262+KAMPUNGMELAYU!M262+KARANGREJO!AI262+KEBALENAN!AH262+KEPATIHAN!S262+KERTOSARI!AB262+LATENG!AD262+PAKIS!T262+PANDEREJO!R262+PENGANJURAN!T262+PENGANTIGAN!X262+SINGONEGARAN!U262+SINGOTRUNAN!AE262+SOBO!AB262+SUMBERREJO!U262+TAMANBARU!Z262+TEMENGGUNGAN!L262+TUKANGKAYU!AD262</f>
        <v>59030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8" t="s">
        <v>193</v>
      </c>
      <c r="C263" s="69" t="s">
        <v>194</v>
      </c>
      <c r="D263" s="16"/>
      <c r="E263" s="24">
        <f>KAMPUNGMANDAR!P263+KAMPUNGMELAYU!M263+KARANGREJO!AI263+KEBALENAN!AH263+KEPATIHAN!S263+KERTOSARI!AB263+LATENG!AD263+PAKIS!T263+PANDEREJO!R263+PENGANJURAN!T263+PENGANTIGAN!X263+SINGONEGARAN!U263+SINGOTRUNAN!AE263+SOBO!AB263+SUMBERREJO!U263+TAMANBARU!Z263+TEMENGGUNGAN!L263+TUKANGKAYU!AD263</f>
        <v>9646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8" t="s">
        <v>195</v>
      </c>
      <c r="C264" s="69" t="s">
        <v>196</v>
      </c>
      <c r="D264" s="16"/>
      <c r="E264" s="13">
        <f>SUM(E262:E263)</f>
        <v>68676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0"/>
      <c r="C265" s="7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0"/>
      <c r="C266" s="7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0"/>
      <c r="C267" s="7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0"/>
      <c r="C268" s="7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0"/>
      <c r="C269" s="7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0"/>
      <c r="C270" s="7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0"/>
      <c r="C271" s="7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0"/>
      <c r="C272" s="7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0"/>
      <c r="C273" s="7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0"/>
      <c r="C274" s="7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0"/>
      <c r="C275" s="7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0"/>
      <c r="C276" s="7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0"/>
      <c r="C277" s="7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0"/>
      <c r="C278" s="7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0"/>
      <c r="C279" s="7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0"/>
      <c r="C280" s="7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0"/>
      <c r="C281" s="7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0"/>
      <c r="C282" s="7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0"/>
      <c r="C283" s="7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0"/>
      <c r="C284" s="7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0"/>
      <c r="C285" s="7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0"/>
      <c r="C286" s="7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0"/>
      <c r="C287" s="7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0"/>
      <c r="C288" s="7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0"/>
      <c r="C289" s="7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0"/>
      <c r="C290" s="7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0"/>
      <c r="C291" s="7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0"/>
      <c r="C292" s="7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0"/>
      <c r="C293" s="7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0"/>
      <c r="C294" s="7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0"/>
      <c r="C295" s="7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0"/>
      <c r="C296" s="7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0"/>
      <c r="C297" s="7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0"/>
      <c r="C298" s="7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0"/>
      <c r="C299" s="7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0"/>
      <c r="C300" s="7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0"/>
      <c r="C301" s="7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0"/>
      <c r="C302" s="7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0"/>
      <c r="C303" s="7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0"/>
      <c r="C304" s="7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0"/>
      <c r="C305" s="7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0"/>
      <c r="C306" s="7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0"/>
      <c r="C307" s="7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0"/>
      <c r="C308" s="7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0"/>
      <c r="C309" s="7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0"/>
      <c r="C310" s="7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0"/>
      <c r="C311" s="7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0"/>
      <c r="C312" s="7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0"/>
      <c r="C313" s="7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0"/>
      <c r="C314" s="7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0"/>
      <c r="C315" s="7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0"/>
      <c r="C316" s="7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0"/>
      <c r="C317" s="7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0"/>
      <c r="C318" s="7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0"/>
      <c r="C319" s="7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0"/>
      <c r="C320" s="7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0"/>
      <c r="C321" s="7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0"/>
      <c r="C322" s="7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0"/>
      <c r="C323" s="7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0"/>
      <c r="C324" s="7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0"/>
      <c r="C325" s="7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0"/>
      <c r="C326" s="7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0"/>
      <c r="C327" s="7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0"/>
      <c r="C328" s="7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0"/>
      <c r="C329" s="7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0"/>
      <c r="C330" s="7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0"/>
      <c r="C331" s="7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0"/>
      <c r="C332" s="7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0"/>
      <c r="C333" s="7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0"/>
      <c r="C334" s="7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0"/>
      <c r="C335" s="7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0"/>
      <c r="C336" s="7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0"/>
      <c r="C337" s="7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0"/>
      <c r="C338" s="7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0"/>
      <c r="C339" s="7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0"/>
      <c r="C340" s="7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0"/>
      <c r="C341" s="7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0"/>
      <c r="C342" s="7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0"/>
      <c r="C343" s="7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0"/>
      <c r="C344" s="7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0"/>
      <c r="C345" s="7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0"/>
      <c r="C346" s="7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0"/>
      <c r="C347" s="7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0"/>
      <c r="C348" s="7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0"/>
      <c r="C349" s="7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0"/>
      <c r="C350" s="7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0"/>
      <c r="C351" s="7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0"/>
      <c r="C352" s="7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0"/>
      <c r="C353" s="7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0"/>
      <c r="C354" s="7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0"/>
      <c r="C355" s="7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0"/>
      <c r="C356" s="7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0"/>
      <c r="C357" s="7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0"/>
      <c r="C358" s="7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0"/>
      <c r="C359" s="7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0"/>
      <c r="C360" s="7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0"/>
      <c r="C361" s="7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0"/>
      <c r="C362" s="7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0"/>
      <c r="C363" s="7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0"/>
      <c r="C364" s="7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0"/>
      <c r="C365" s="7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0"/>
      <c r="C366" s="7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0"/>
      <c r="C367" s="7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0"/>
      <c r="C368" s="7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0"/>
      <c r="C369" s="7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0"/>
      <c r="C370" s="7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0"/>
      <c r="C371" s="7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0"/>
      <c r="C372" s="7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0"/>
      <c r="C373" s="7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0"/>
      <c r="C374" s="7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0"/>
      <c r="C375" s="7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0"/>
      <c r="C376" s="7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0"/>
      <c r="C377" s="7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0"/>
      <c r="C378" s="7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0"/>
      <c r="C379" s="7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0"/>
      <c r="C380" s="7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0"/>
      <c r="C381" s="7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0"/>
      <c r="C382" s="7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0"/>
      <c r="C383" s="7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0"/>
      <c r="C384" s="7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0"/>
      <c r="C385" s="7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0"/>
      <c r="C386" s="7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0"/>
      <c r="C387" s="7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0"/>
      <c r="C388" s="7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0"/>
      <c r="C389" s="7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0"/>
      <c r="C390" s="7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0"/>
      <c r="C391" s="7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0"/>
      <c r="C392" s="7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0"/>
      <c r="C393" s="7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0"/>
      <c r="C394" s="7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0"/>
      <c r="C395" s="7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0"/>
      <c r="C396" s="7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0"/>
      <c r="C397" s="7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0"/>
      <c r="C398" s="7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0"/>
      <c r="C399" s="7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0"/>
      <c r="C400" s="7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0"/>
      <c r="C401" s="7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0"/>
      <c r="C402" s="7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0"/>
      <c r="C403" s="7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0"/>
      <c r="C404" s="7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0"/>
      <c r="C405" s="7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0"/>
      <c r="C406" s="7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0"/>
      <c r="C407" s="7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0"/>
      <c r="C408" s="7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0"/>
      <c r="C409" s="7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0"/>
      <c r="C410" s="7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0"/>
      <c r="C411" s="7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0"/>
      <c r="C412" s="7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0"/>
      <c r="C413" s="7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0"/>
      <c r="C414" s="7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0"/>
      <c r="C415" s="7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0"/>
      <c r="C416" s="7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0"/>
      <c r="C417" s="7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0"/>
      <c r="C418" s="7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0"/>
      <c r="C419" s="7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0"/>
      <c r="C420" s="7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0"/>
      <c r="C421" s="7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0"/>
      <c r="C422" s="7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0"/>
      <c r="C423" s="7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0"/>
      <c r="C424" s="7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0"/>
      <c r="C425" s="7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0"/>
      <c r="C426" s="7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0"/>
      <c r="C427" s="7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0"/>
      <c r="C428" s="7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0"/>
      <c r="C429" s="7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0"/>
      <c r="C430" s="7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0"/>
      <c r="C431" s="7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0"/>
      <c r="C432" s="7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0"/>
      <c r="C433" s="7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0"/>
      <c r="C434" s="7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0"/>
      <c r="C435" s="7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0"/>
      <c r="C436" s="7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0"/>
      <c r="C437" s="7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0"/>
      <c r="C438" s="7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0"/>
      <c r="C439" s="7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0"/>
      <c r="C440" s="7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0"/>
      <c r="C441" s="7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0"/>
      <c r="C442" s="7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0"/>
      <c r="C443" s="7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0"/>
      <c r="C444" s="7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0"/>
      <c r="C445" s="7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0"/>
      <c r="C446" s="7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0"/>
      <c r="C447" s="7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0"/>
      <c r="C448" s="7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0"/>
      <c r="C449" s="7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0"/>
      <c r="C450" s="7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0"/>
      <c r="C451" s="7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0"/>
      <c r="C452" s="7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0"/>
      <c r="C453" s="7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0"/>
      <c r="C454" s="7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0"/>
      <c r="C455" s="7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0"/>
      <c r="C456" s="7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0"/>
      <c r="C457" s="7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0"/>
      <c r="C458" s="7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0"/>
      <c r="C459" s="7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0"/>
      <c r="C460" s="7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0"/>
      <c r="C461" s="7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0"/>
      <c r="C462" s="71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0"/>
      <c r="C463" s="71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0"/>
      <c r="C464" s="71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F259:O261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198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36"/>
    </row>
    <row r="14" ht="12.75" customHeight="1">
      <c r="A14" s="18"/>
      <c r="B14" s="22" t="s">
        <v>10</v>
      </c>
      <c r="C14" s="23"/>
      <c r="D14" s="19" t="s">
        <v>11</v>
      </c>
      <c r="E14" s="73">
        <v>129.0</v>
      </c>
      <c r="F14" s="73">
        <v>123.0</v>
      </c>
      <c r="G14" s="73">
        <v>107.0</v>
      </c>
      <c r="H14" s="73">
        <v>122.0</v>
      </c>
      <c r="I14" s="73">
        <v>121.0</v>
      </c>
      <c r="J14" s="73">
        <v>131.0</v>
      </c>
      <c r="K14" s="73">
        <v>124.0</v>
      </c>
      <c r="L14" s="73">
        <v>137.0</v>
      </c>
      <c r="M14" s="73">
        <v>122.0</v>
      </c>
      <c r="N14" s="73">
        <v>115.0</v>
      </c>
      <c r="O14" s="73">
        <v>134.0</v>
      </c>
      <c r="P14" s="73">
        <v>127.0</v>
      </c>
      <c r="Q14" s="73">
        <v>116.0</v>
      </c>
      <c r="R14" s="73">
        <v>131.0</v>
      </c>
      <c r="S14" s="73">
        <v>125.0</v>
      </c>
      <c r="T14" s="13">
        <f t="shared" ref="T14:T16" si="1">SUM(E14:S14)</f>
        <v>1864</v>
      </c>
    </row>
    <row r="15" ht="12.75" customHeight="1">
      <c r="A15" s="18"/>
      <c r="B15" s="26"/>
      <c r="C15" s="27"/>
      <c r="D15" s="19" t="s">
        <v>12</v>
      </c>
      <c r="E15" s="73">
        <v>134.0</v>
      </c>
      <c r="F15" s="73">
        <v>135.0</v>
      </c>
      <c r="G15" s="73">
        <v>138.0</v>
      </c>
      <c r="H15" s="73">
        <v>132.0</v>
      </c>
      <c r="I15" s="73">
        <v>137.0</v>
      </c>
      <c r="J15" s="73">
        <v>128.0</v>
      </c>
      <c r="K15" s="73">
        <v>129.0</v>
      </c>
      <c r="L15" s="73">
        <v>125.0</v>
      </c>
      <c r="M15" s="73">
        <v>128.0</v>
      </c>
      <c r="N15" s="73">
        <v>130.0</v>
      </c>
      <c r="O15" s="73">
        <v>119.0</v>
      </c>
      <c r="P15" s="73">
        <v>127.0</v>
      </c>
      <c r="Q15" s="73">
        <v>133.0</v>
      </c>
      <c r="R15" s="73">
        <v>124.0</v>
      </c>
      <c r="S15" s="73">
        <v>129.0</v>
      </c>
      <c r="T15" s="13">
        <f t="shared" si="1"/>
        <v>1948</v>
      </c>
    </row>
    <row r="16" ht="12.75" customHeight="1">
      <c r="A16" s="25"/>
      <c r="B16" s="21"/>
      <c r="C16" s="28"/>
      <c r="D16" s="13" t="s">
        <v>13</v>
      </c>
      <c r="E16" s="13">
        <f t="shared" ref="E16:S16" si="2">SUM(E14:E15)</f>
        <v>263</v>
      </c>
      <c r="F16" s="13">
        <f t="shared" si="2"/>
        <v>258</v>
      </c>
      <c r="G16" s="13">
        <f t="shared" si="2"/>
        <v>245</v>
      </c>
      <c r="H16" s="13">
        <f t="shared" si="2"/>
        <v>254</v>
      </c>
      <c r="I16" s="13">
        <f t="shared" si="2"/>
        <v>258</v>
      </c>
      <c r="J16" s="13">
        <f t="shared" si="2"/>
        <v>259</v>
      </c>
      <c r="K16" s="13">
        <f t="shared" si="2"/>
        <v>253</v>
      </c>
      <c r="L16" s="13">
        <f t="shared" si="2"/>
        <v>262</v>
      </c>
      <c r="M16" s="13">
        <f t="shared" si="2"/>
        <v>250</v>
      </c>
      <c r="N16" s="13">
        <f t="shared" si="2"/>
        <v>245</v>
      </c>
      <c r="O16" s="13">
        <f t="shared" si="2"/>
        <v>253</v>
      </c>
      <c r="P16" s="13">
        <f t="shared" si="2"/>
        <v>254</v>
      </c>
      <c r="Q16" s="13">
        <f t="shared" si="2"/>
        <v>249</v>
      </c>
      <c r="R16" s="13">
        <f t="shared" si="2"/>
        <v>255</v>
      </c>
      <c r="S16" s="13">
        <f t="shared" si="2"/>
        <v>254</v>
      </c>
      <c r="T16" s="13">
        <f t="shared" si="1"/>
        <v>3812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98.0</v>
      </c>
      <c r="F19" s="73">
        <v>96.0</v>
      </c>
      <c r="G19" s="73">
        <v>85.0</v>
      </c>
      <c r="H19" s="73">
        <v>95.0</v>
      </c>
      <c r="I19" s="73">
        <v>87.0</v>
      </c>
      <c r="J19" s="73">
        <v>101.0</v>
      </c>
      <c r="K19" s="73">
        <v>92.0</v>
      </c>
      <c r="L19" s="73">
        <v>109.0</v>
      </c>
      <c r="M19" s="73">
        <v>97.0</v>
      </c>
      <c r="N19" s="73">
        <v>88.0</v>
      </c>
      <c r="O19" s="73">
        <v>93.0</v>
      </c>
      <c r="P19" s="73">
        <v>80.0</v>
      </c>
      <c r="Q19" s="73">
        <v>83.0</v>
      </c>
      <c r="R19" s="73">
        <v>105.0</v>
      </c>
      <c r="S19" s="73">
        <v>92.0</v>
      </c>
      <c r="T19" s="13">
        <f t="shared" ref="T19:T30" si="3">SUM(E19:S19)</f>
        <v>1401</v>
      </c>
    </row>
    <row r="20" ht="12.75" customHeight="1">
      <c r="A20" s="33"/>
      <c r="B20" s="27"/>
      <c r="C20" s="34"/>
      <c r="D20" s="19" t="s">
        <v>12</v>
      </c>
      <c r="E20" s="73">
        <v>106.0</v>
      </c>
      <c r="F20" s="73">
        <v>108.0</v>
      </c>
      <c r="G20" s="73">
        <v>105.0</v>
      </c>
      <c r="H20" s="73">
        <v>104.0</v>
      </c>
      <c r="I20" s="73">
        <v>115.0</v>
      </c>
      <c r="J20" s="73">
        <v>101.0</v>
      </c>
      <c r="K20" s="73">
        <v>116.0</v>
      </c>
      <c r="L20" s="73">
        <v>109.0</v>
      </c>
      <c r="M20" s="73">
        <v>115.0</v>
      </c>
      <c r="N20" s="73">
        <v>113.0</v>
      </c>
      <c r="O20" s="73">
        <v>96.0</v>
      </c>
      <c r="P20" s="73">
        <v>96.0</v>
      </c>
      <c r="Q20" s="73">
        <v>106.0</v>
      </c>
      <c r="R20" s="73">
        <v>111.0</v>
      </c>
      <c r="S20" s="73">
        <v>101.0</v>
      </c>
      <c r="T20" s="13">
        <f t="shared" si="3"/>
        <v>1602</v>
      </c>
    </row>
    <row r="21" ht="12.75" customHeight="1">
      <c r="A21" s="35"/>
      <c r="B21" s="28"/>
      <c r="C21" s="36"/>
      <c r="D21" s="13" t="s">
        <v>13</v>
      </c>
      <c r="E21" s="13">
        <f t="shared" ref="E21:S21" si="4">SUM(E19:E20)</f>
        <v>204</v>
      </c>
      <c r="F21" s="13">
        <f t="shared" si="4"/>
        <v>204</v>
      </c>
      <c r="G21" s="13">
        <f t="shared" si="4"/>
        <v>190</v>
      </c>
      <c r="H21" s="13">
        <f t="shared" si="4"/>
        <v>199</v>
      </c>
      <c r="I21" s="13">
        <f t="shared" si="4"/>
        <v>202</v>
      </c>
      <c r="J21" s="13">
        <f t="shared" si="4"/>
        <v>202</v>
      </c>
      <c r="K21" s="13">
        <f t="shared" si="4"/>
        <v>208</v>
      </c>
      <c r="L21" s="13">
        <f t="shared" si="4"/>
        <v>218</v>
      </c>
      <c r="M21" s="13">
        <f t="shared" si="4"/>
        <v>212</v>
      </c>
      <c r="N21" s="13">
        <f t="shared" si="4"/>
        <v>201</v>
      </c>
      <c r="O21" s="13">
        <f t="shared" si="4"/>
        <v>189</v>
      </c>
      <c r="P21" s="13">
        <f t="shared" si="4"/>
        <v>176</v>
      </c>
      <c r="Q21" s="13">
        <f t="shared" si="4"/>
        <v>189</v>
      </c>
      <c r="R21" s="13">
        <f t="shared" si="4"/>
        <v>216</v>
      </c>
      <c r="S21" s="13">
        <f t="shared" si="4"/>
        <v>193</v>
      </c>
      <c r="T21" s="13">
        <f t="shared" si="3"/>
        <v>3003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/>
      <c r="F22" s="19"/>
      <c r="G22" s="19"/>
      <c r="H22" s="19"/>
      <c r="I22" s="73">
        <v>1.0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/>
      <c r="F23" s="19"/>
      <c r="G23" s="19"/>
      <c r="H23" s="19"/>
      <c r="I23" s="19"/>
      <c r="J23" s="19"/>
      <c r="K23" s="19"/>
      <c r="L23" s="19"/>
      <c r="M23" s="73">
        <v>3.0</v>
      </c>
      <c r="N23" s="19"/>
      <c r="O23" s="19"/>
      <c r="P23" s="19"/>
      <c r="Q23" s="19"/>
      <c r="R23" s="19"/>
      <c r="S23" s="19"/>
      <c r="T23" s="13">
        <f t="shared" si="3"/>
        <v>3</v>
      </c>
    </row>
    <row r="24" ht="12.75" customHeight="1">
      <c r="A24" s="35"/>
      <c r="B24" s="28"/>
      <c r="C24" s="36"/>
      <c r="D24" s="13" t="s">
        <v>13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3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4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2.0</v>
      </c>
      <c r="F25" s="19"/>
      <c r="G25" s="73">
        <v>2.0</v>
      </c>
      <c r="H25" s="73">
        <v>2.0</v>
      </c>
      <c r="I25" s="19"/>
      <c r="J25" s="19"/>
      <c r="K25" s="73">
        <v>3.0</v>
      </c>
      <c r="L25" s="73">
        <v>2.0</v>
      </c>
      <c r="M25" s="73">
        <v>2.0</v>
      </c>
      <c r="N25" s="19"/>
      <c r="O25" s="73">
        <v>2.0</v>
      </c>
      <c r="P25" s="73">
        <v>3.0</v>
      </c>
      <c r="Q25" s="73">
        <v>2.0</v>
      </c>
      <c r="R25" s="19"/>
      <c r="S25" s="73">
        <v>2.0</v>
      </c>
      <c r="T25" s="13">
        <f t="shared" si="3"/>
        <v>22</v>
      </c>
    </row>
    <row r="26" ht="12.75" customHeight="1">
      <c r="A26" s="33"/>
      <c r="B26" s="27"/>
      <c r="C26" s="34"/>
      <c r="D26" s="19" t="s">
        <v>12</v>
      </c>
      <c r="E26" s="73">
        <v>2.0</v>
      </c>
      <c r="F26" s="19"/>
      <c r="G26" s="19"/>
      <c r="H26" s="73">
        <v>2.0</v>
      </c>
      <c r="I26" s="73">
        <v>5.0</v>
      </c>
      <c r="J26" s="73">
        <v>1.0</v>
      </c>
      <c r="K26" s="73">
        <v>1.0</v>
      </c>
      <c r="L26" s="19"/>
      <c r="M26" s="73">
        <v>1.0</v>
      </c>
      <c r="N26" s="19"/>
      <c r="O26" s="73">
        <v>9.0</v>
      </c>
      <c r="P26" s="73">
        <v>3.0</v>
      </c>
      <c r="Q26" s="19"/>
      <c r="R26" s="19"/>
      <c r="S26" s="73">
        <v>3.0</v>
      </c>
      <c r="T26" s="13">
        <f t="shared" si="3"/>
        <v>27</v>
      </c>
    </row>
    <row r="27" ht="12.75" customHeight="1">
      <c r="A27" s="35"/>
      <c r="B27" s="28"/>
      <c r="C27" s="36"/>
      <c r="D27" s="13" t="s">
        <v>13</v>
      </c>
      <c r="E27" s="13">
        <f t="shared" ref="E27:S27" si="6">SUM(E25:E26)</f>
        <v>4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5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11</v>
      </c>
      <c r="P27" s="13">
        <f t="shared" si="6"/>
        <v>6</v>
      </c>
      <c r="Q27" s="13">
        <f t="shared" si="6"/>
        <v>2</v>
      </c>
      <c r="R27" s="13">
        <f t="shared" si="6"/>
        <v>0</v>
      </c>
      <c r="S27" s="13">
        <f t="shared" si="6"/>
        <v>5</v>
      </c>
      <c r="T27" s="13">
        <f t="shared" si="3"/>
        <v>49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S28" si="7">SUM(E19,E22,E25)</f>
        <v>100</v>
      </c>
      <c r="F28" s="13">
        <f t="shared" si="7"/>
        <v>96</v>
      </c>
      <c r="G28" s="13">
        <f t="shared" si="7"/>
        <v>87</v>
      </c>
      <c r="H28" s="13">
        <f t="shared" si="7"/>
        <v>97</v>
      </c>
      <c r="I28" s="13">
        <f t="shared" si="7"/>
        <v>88</v>
      </c>
      <c r="J28" s="13">
        <f t="shared" si="7"/>
        <v>101</v>
      </c>
      <c r="K28" s="13">
        <f t="shared" si="7"/>
        <v>95</v>
      </c>
      <c r="L28" s="13">
        <f t="shared" si="7"/>
        <v>111</v>
      </c>
      <c r="M28" s="13">
        <f t="shared" si="7"/>
        <v>99</v>
      </c>
      <c r="N28" s="13">
        <f t="shared" si="7"/>
        <v>88</v>
      </c>
      <c r="O28" s="13">
        <f t="shared" si="7"/>
        <v>95</v>
      </c>
      <c r="P28" s="13">
        <f t="shared" si="7"/>
        <v>83</v>
      </c>
      <c r="Q28" s="13">
        <f t="shared" si="7"/>
        <v>85</v>
      </c>
      <c r="R28" s="13">
        <f t="shared" si="7"/>
        <v>105</v>
      </c>
      <c r="S28" s="13">
        <f t="shared" si="7"/>
        <v>94</v>
      </c>
      <c r="T28" s="13">
        <f t="shared" si="3"/>
        <v>1424</v>
      </c>
    </row>
    <row r="29" ht="12.75" customHeight="1">
      <c r="A29" s="35"/>
      <c r="B29" s="27"/>
      <c r="C29" s="34"/>
      <c r="D29" s="13" t="s">
        <v>12</v>
      </c>
      <c r="E29" s="13">
        <f t="shared" ref="E29:S29" si="8">SUM(E20,E23,E26)</f>
        <v>108</v>
      </c>
      <c r="F29" s="13">
        <f t="shared" si="8"/>
        <v>108</v>
      </c>
      <c r="G29" s="13">
        <f t="shared" si="8"/>
        <v>105</v>
      </c>
      <c r="H29" s="13">
        <f t="shared" si="8"/>
        <v>106</v>
      </c>
      <c r="I29" s="13">
        <f t="shared" si="8"/>
        <v>120</v>
      </c>
      <c r="J29" s="13">
        <f t="shared" si="8"/>
        <v>102</v>
      </c>
      <c r="K29" s="13">
        <f t="shared" si="8"/>
        <v>117</v>
      </c>
      <c r="L29" s="13">
        <f t="shared" si="8"/>
        <v>109</v>
      </c>
      <c r="M29" s="13">
        <f t="shared" si="8"/>
        <v>119</v>
      </c>
      <c r="N29" s="13">
        <f t="shared" si="8"/>
        <v>113</v>
      </c>
      <c r="O29" s="13">
        <f t="shared" si="8"/>
        <v>105</v>
      </c>
      <c r="P29" s="13">
        <f t="shared" si="8"/>
        <v>99</v>
      </c>
      <c r="Q29" s="13">
        <f t="shared" si="8"/>
        <v>106</v>
      </c>
      <c r="R29" s="13">
        <f t="shared" si="8"/>
        <v>111</v>
      </c>
      <c r="S29" s="13">
        <f t="shared" si="8"/>
        <v>104</v>
      </c>
      <c r="T29" s="13">
        <f t="shared" si="3"/>
        <v>1632</v>
      </c>
    </row>
    <row r="30" ht="12.75" customHeight="1">
      <c r="A30" s="35"/>
      <c r="B30" s="28"/>
      <c r="C30" s="36"/>
      <c r="D30" s="13" t="s">
        <v>13</v>
      </c>
      <c r="E30" s="13">
        <f t="shared" ref="E30:S30" si="9">SUM(E28:E29)</f>
        <v>208</v>
      </c>
      <c r="F30" s="13">
        <f t="shared" si="9"/>
        <v>204</v>
      </c>
      <c r="G30" s="13">
        <f t="shared" si="9"/>
        <v>192</v>
      </c>
      <c r="H30" s="13">
        <f t="shared" si="9"/>
        <v>203</v>
      </c>
      <c r="I30" s="13">
        <f t="shared" si="9"/>
        <v>208</v>
      </c>
      <c r="J30" s="13">
        <f t="shared" si="9"/>
        <v>203</v>
      </c>
      <c r="K30" s="13">
        <f t="shared" si="9"/>
        <v>212</v>
      </c>
      <c r="L30" s="13">
        <f t="shared" si="9"/>
        <v>220</v>
      </c>
      <c r="M30" s="13">
        <f t="shared" si="9"/>
        <v>218</v>
      </c>
      <c r="N30" s="13">
        <f t="shared" si="9"/>
        <v>201</v>
      </c>
      <c r="O30" s="13">
        <f t="shared" si="9"/>
        <v>200</v>
      </c>
      <c r="P30" s="13">
        <f t="shared" si="9"/>
        <v>182</v>
      </c>
      <c r="Q30" s="13">
        <f t="shared" si="9"/>
        <v>191</v>
      </c>
      <c r="R30" s="13">
        <f t="shared" si="9"/>
        <v>216</v>
      </c>
      <c r="S30" s="13">
        <f t="shared" si="9"/>
        <v>198</v>
      </c>
      <c r="T30" s="13">
        <f t="shared" si="3"/>
        <v>3056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5"/>
    </row>
    <row r="33" ht="12.75" customHeight="1">
      <c r="A33" s="19">
        <v>1.0</v>
      </c>
      <c r="B33" s="20" t="s">
        <v>26</v>
      </c>
      <c r="C33" s="15"/>
      <c r="D33" s="16"/>
      <c r="E33" s="73">
        <v>269.0</v>
      </c>
      <c r="F33" s="73">
        <v>266.0</v>
      </c>
      <c r="G33" s="73">
        <v>250.0</v>
      </c>
      <c r="H33" s="73">
        <v>260.0</v>
      </c>
      <c r="I33" s="73">
        <v>264.0</v>
      </c>
      <c r="J33" s="73">
        <v>265.0</v>
      </c>
      <c r="K33" s="73">
        <v>259.0</v>
      </c>
      <c r="L33" s="73">
        <v>268.0</v>
      </c>
      <c r="M33" s="73">
        <v>256.0</v>
      </c>
      <c r="N33" s="73">
        <v>250.0</v>
      </c>
      <c r="O33" s="73">
        <v>259.0</v>
      </c>
      <c r="P33" s="73">
        <v>260.0</v>
      </c>
      <c r="Q33" s="73">
        <v>254.0</v>
      </c>
      <c r="R33" s="73">
        <v>261.0</v>
      </c>
      <c r="S33" s="73">
        <v>260.0</v>
      </c>
      <c r="T33" s="13">
        <f t="shared" ref="T33:T36" si="10">SUM(E33:S33)</f>
        <v>3901</v>
      </c>
    </row>
    <row r="34" ht="12.75" customHeight="1">
      <c r="A34" s="19">
        <v>2.0</v>
      </c>
      <c r="B34" s="20" t="s">
        <v>27</v>
      </c>
      <c r="C34" s="15"/>
      <c r="D34" s="16"/>
      <c r="E34" s="77">
        <v>208.0</v>
      </c>
      <c r="F34" s="77">
        <v>204.0</v>
      </c>
      <c r="G34" s="77">
        <v>192.0</v>
      </c>
      <c r="H34" s="77">
        <v>203.0</v>
      </c>
      <c r="I34" s="77">
        <v>208.0</v>
      </c>
      <c r="J34" s="77">
        <v>203.0</v>
      </c>
      <c r="K34" s="77">
        <v>212.0</v>
      </c>
      <c r="L34" s="77">
        <v>220.0</v>
      </c>
      <c r="M34" s="77">
        <v>218.0</v>
      </c>
      <c r="N34" s="77">
        <v>201.0</v>
      </c>
      <c r="O34" s="77">
        <v>200.0</v>
      </c>
      <c r="P34" s="77">
        <v>182.0</v>
      </c>
      <c r="Q34" s="77">
        <v>191.0</v>
      </c>
      <c r="R34" s="77">
        <v>216.0</v>
      </c>
      <c r="S34" s="77">
        <v>198.0</v>
      </c>
      <c r="T34" s="13">
        <f t="shared" si="10"/>
        <v>3056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1.0</v>
      </c>
      <c r="G35" s="73">
        <v>0.0</v>
      </c>
      <c r="H35" s="73">
        <v>0.0</v>
      </c>
      <c r="I35" s="73">
        <v>0.0</v>
      </c>
      <c r="J35" s="73">
        <v>0.0</v>
      </c>
      <c r="K35" s="73">
        <v>1.0</v>
      </c>
      <c r="L35" s="73">
        <v>0.0</v>
      </c>
      <c r="M35" s="73">
        <v>0.0</v>
      </c>
      <c r="N35" s="73">
        <v>0.0</v>
      </c>
      <c r="O35" s="73">
        <v>1.0</v>
      </c>
      <c r="P35" s="73">
        <v>1.0</v>
      </c>
      <c r="Q35" s="73">
        <v>0.0</v>
      </c>
      <c r="R35" s="73">
        <v>0.0</v>
      </c>
      <c r="S35" s="73">
        <v>1.0</v>
      </c>
      <c r="T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S36" si="11">E33-(E34+E35)</f>
        <v>61</v>
      </c>
      <c r="F36" s="13">
        <f t="shared" si="11"/>
        <v>61</v>
      </c>
      <c r="G36" s="13">
        <f t="shared" si="11"/>
        <v>58</v>
      </c>
      <c r="H36" s="13">
        <f t="shared" si="11"/>
        <v>57</v>
      </c>
      <c r="I36" s="13">
        <f t="shared" si="11"/>
        <v>56</v>
      </c>
      <c r="J36" s="13">
        <f t="shared" si="11"/>
        <v>62</v>
      </c>
      <c r="K36" s="13">
        <f t="shared" si="11"/>
        <v>46</v>
      </c>
      <c r="L36" s="13">
        <f t="shared" si="11"/>
        <v>48</v>
      </c>
      <c r="M36" s="13">
        <f t="shared" si="11"/>
        <v>38</v>
      </c>
      <c r="N36" s="13">
        <f t="shared" si="11"/>
        <v>49</v>
      </c>
      <c r="O36" s="13">
        <f t="shared" si="11"/>
        <v>58</v>
      </c>
      <c r="P36" s="13">
        <f t="shared" si="11"/>
        <v>77</v>
      </c>
      <c r="Q36" s="13">
        <f t="shared" si="11"/>
        <v>63</v>
      </c>
      <c r="R36" s="13">
        <f t="shared" si="11"/>
        <v>45</v>
      </c>
      <c r="S36" s="13">
        <f t="shared" si="11"/>
        <v>61</v>
      </c>
      <c r="T36" s="13">
        <f t="shared" si="10"/>
        <v>840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5"/>
    </row>
    <row r="39" ht="12.75" customHeight="1">
      <c r="A39" s="30"/>
      <c r="B39" s="43" t="s">
        <v>32</v>
      </c>
      <c r="C39" s="23"/>
      <c r="D39" s="19" t="s">
        <v>11</v>
      </c>
      <c r="E39" s="73">
        <v>2.0</v>
      </c>
      <c r="F39" s="73">
        <v>0.0</v>
      </c>
      <c r="G39" s="73">
        <v>1.0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4.0</v>
      </c>
      <c r="T39" s="13">
        <f t="shared" ref="T39:T41" si="12">SUM(E39:S39)</f>
        <v>7</v>
      </c>
    </row>
    <row r="40" ht="12.75" customHeight="1">
      <c r="A40" s="33"/>
      <c r="C40" s="27"/>
      <c r="D40" s="19" t="s">
        <v>12</v>
      </c>
      <c r="E40" s="73">
        <v>0.0</v>
      </c>
      <c r="F40" s="73">
        <v>0.0</v>
      </c>
      <c r="G40" s="73">
        <v>3.0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3.0</v>
      </c>
      <c r="T40" s="13">
        <f t="shared" si="12"/>
        <v>6</v>
      </c>
    </row>
    <row r="41" ht="12.75" customHeight="1">
      <c r="A41" s="41"/>
      <c r="B41" s="44"/>
      <c r="C41" s="28"/>
      <c r="D41" s="13" t="s">
        <v>13</v>
      </c>
      <c r="E41" s="13">
        <f t="shared" ref="E41:S41" si="13">SUM(E39:E40)</f>
        <v>2</v>
      </c>
      <c r="F41" s="13">
        <f t="shared" si="13"/>
        <v>0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7</v>
      </c>
      <c r="T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13.0</v>
      </c>
      <c r="F45" s="73">
        <v>6.0</v>
      </c>
      <c r="G45" s="73">
        <v>8.0</v>
      </c>
      <c r="H45" s="73">
        <v>4.0</v>
      </c>
      <c r="I45" s="73">
        <v>5.0</v>
      </c>
      <c r="J45" s="73">
        <v>10.0</v>
      </c>
      <c r="K45" s="73">
        <v>8.0</v>
      </c>
      <c r="L45" s="73">
        <v>6.0</v>
      </c>
      <c r="M45" s="73">
        <v>7.0</v>
      </c>
      <c r="N45" s="73">
        <v>6.0</v>
      </c>
      <c r="O45" s="73">
        <v>4.0</v>
      </c>
      <c r="P45" s="73">
        <v>8.0</v>
      </c>
      <c r="Q45" s="73">
        <v>4.0</v>
      </c>
      <c r="R45" s="73">
        <v>3.0</v>
      </c>
      <c r="S45" s="73">
        <v>6.0</v>
      </c>
      <c r="T45" s="13">
        <f t="shared" ref="T45:T54" si="14">SUM(E45:S45)</f>
        <v>98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9.0</v>
      </c>
      <c r="F46" s="73">
        <v>22.0</v>
      </c>
      <c r="G46" s="73">
        <v>35.0</v>
      </c>
      <c r="H46" s="73">
        <v>16.0</v>
      </c>
      <c r="I46" s="73">
        <v>10.0</v>
      </c>
      <c r="J46" s="73">
        <v>6.0</v>
      </c>
      <c r="K46" s="73">
        <v>4.0</v>
      </c>
      <c r="L46" s="73">
        <v>8.0</v>
      </c>
      <c r="M46" s="73">
        <v>8.0</v>
      </c>
      <c r="N46" s="73">
        <v>7.0</v>
      </c>
      <c r="O46" s="73">
        <v>5.0</v>
      </c>
      <c r="P46" s="73">
        <v>13.0</v>
      </c>
      <c r="Q46" s="73">
        <v>10.0</v>
      </c>
      <c r="R46" s="73">
        <v>9.0</v>
      </c>
      <c r="S46" s="73">
        <v>16.0</v>
      </c>
      <c r="T46" s="13">
        <f t="shared" si="14"/>
        <v>178</v>
      </c>
    </row>
    <row r="47" ht="12.75" customHeight="1">
      <c r="A47" s="18"/>
      <c r="B47" s="49"/>
      <c r="C47" s="50" t="s">
        <v>40</v>
      </c>
      <c r="D47" s="51"/>
      <c r="E47" s="73">
        <v>1.0</v>
      </c>
      <c r="F47" s="73">
        <v>1.0</v>
      </c>
      <c r="G47" s="73">
        <v>1.0</v>
      </c>
      <c r="H47" s="73">
        <v>3.0</v>
      </c>
      <c r="I47" s="73">
        <v>0.0</v>
      </c>
      <c r="J47" s="73">
        <v>2.0</v>
      </c>
      <c r="K47" s="73">
        <v>1.0</v>
      </c>
      <c r="L47" s="73">
        <v>0.0</v>
      </c>
      <c r="M47" s="73">
        <v>1.0</v>
      </c>
      <c r="N47" s="73">
        <v>0.0</v>
      </c>
      <c r="O47" s="73">
        <v>2.0</v>
      </c>
      <c r="P47" s="73">
        <v>8.0</v>
      </c>
      <c r="Q47" s="73">
        <v>5.0</v>
      </c>
      <c r="R47" s="73">
        <v>1.0</v>
      </c>
      <c r="S47" s="73">
        <v>1.0</v>
      </c>
      <c r="T47" s="13">
        <f t="shared" si="14"/>
        <v>27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2.0</v>
      </c>
      <c r="J48" s="73">
        <v>0.0</v>
      </c>
      <c r="K48" s="73">
        <v>0.0</v>
      </c>
      <c r="L48" s="73">
        <v>1.0</v>
      </c>
      <c r="M48" s="73">
        <v>0.0</v>
      </c>
      <c r="N48" s="73">
        <v>0.0</v>
      </c>
      <c r="O48" s="73">
        <v>1.0</v>
      </c>
      <c r="P48" s="73">
        <v>1.0</v>
      </c>
      <c r="Q48" s="73">
        <v>1.0</v>
      </c>
      <c r="R48" s="73">
        <v>1.0</v>
      </c>
      <c r="S48" s="73">
        <v>0.0</v>
      </c>
      <c r="T48" s="13">
        <f t="shared" si="14"/>
        <v>7</v>
      </c>
    </row>
    <row r="49" ht="12.75" customHeight="1">
      <c r="A49" s="18"/>
      <c r="B49" s="49"/>
      <c r="C49" s="50" t="s">
        <v>42</v>
      </c>
      <c r="D49" s="51"/>
      <c r="E49" s="73">
        <v>2.0</v>
      </c>
      <c r="F49" s="73">
        <v>0.0</v>
      </c>
      <c r="G49" s="73">
        <v>0.0</v>
      </c>
      <c r="H49" s="73">
        <v>1.0</v>
      </c>
      <c r="I49" s="73">
        <v>0.0</v>
      </c>
      <c r="J49" s="73">
        <v>0.0</v>
      </c>
      <c r="K49" s="73">
        <v>0.0</v>
      </c>
      <c r="L49" s="73">
        <v>2.0</v>
      </c>
      <c r="M49" s="73">
        <v>0.0</v>
      </c>
      <c r="N49" s="73">
        <v>1.0</v>
      </c>
      <c r="O49" s="73">
        <v>0.0</v>
      </c>
      <c r="P49" s="73">
        <v>1.0</v>
      </c>
      <c r="Q49" s="73">
        <v>1.0</v>
      </c>
      <c r="R49" s="73">
        <v>0.0</v>
      </c>
      <c r="S49" s="73">
        <v>0.0</v>
      </c>
      <c r="T49" s="13">
        <f t="shared" si="14"/>
        <v>8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1.0</v>
      </c>
      <c r="K50" s="73">
        <v>0.0</v>
      </c>
      <c r="L50" s="73">
        <v>0.0</v>
      </c>
      <c r="M50" s="73">
        <v>1.0</v>
      </c>
      <c r="N50" s="73">
        <v>1.0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13">
        <f t="shared" si="14"/>
        <v>3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0.0</v>
      </c>
      <c r="H51" s="73">
        <v>1.0</v>
      </c>
      <c r="I51" s="73">
        <v>0.0</v>
      </c>
      <c r="J51" s="73">
        <v>0.0</v>
      </c>
      <c r="K51" s="73">
        <v>2.0</v>
      </c>
      <c r="L51" s="73">
        <v>0.0</v>
      </c>
      <c r="M51" s="73">
        <v>1.0</v>
      </c>
      <c r="N51" s="73">
        <v>2.0</v>
      </c>
      <c r="O51" s="73">
        <v>2.0</v>
      </c>
      <c r="P51" s="73">
        <v>4.0</v>
      </c>
      <c r="Q51" s="73">
        <v>1.0</v>
      </c>
      <c r="R51" s="73">
        <v>0.0</v>
      </c>
      <c r="S51" s="73">
        <v>0.0</v>
      </c>
      <c r="T51" s="13">
        <f t="shared" si="14"/>
        <v>13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1.0</v>
      </c>
      <c r="H52" s="80">
        <v>0.0</v>
      </c>
      <c r="I52" s="80">
        <v>0.0</v>
      </c>
      <c r="J52" s="80">
        <v>0.0</v>
      </c>
      <c r="K52" s="80">
        <v>2.0</v>
      </c>
      <c r="L52" s="80">
        <v>0.0</v>
      </c>
      <c r="M52" s="80">
        <v>0.0</v>
      </c>
      <c r="N52" s="80">
        <v>0.0</v>
      </c>
      <c r="O52" s="80">
        <v>0.0</v>
      </c>
      <c r="P52" s="80">
        <v>0.0</v>
      </c>
      <c r="Q52" s="80">
        <v>0.0</v>
      </c>
      <c r="R52" s="80">
        <v>0.0</v>
      </c>
      <c r="S52" s="80">
        <v>0.0</v>
      </c>
      <c r="T52" s="13">
        <f t="shared" si="14"/>
        <v>3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0.0</v>
      </c>
      <c r="N53" s="80">
        <v>0.0</v>
      </c>
      <c r="O53" s="80">
        <v>0.0</v>
      </c>
      <c r="P53" s="80">
        <v>2.0</v>
      </c>
      <c r="Q53" s="80">
        <v>0.0</v>
      </c>
      <c r="R53" s="80">
        <v>0.0</v>
      </c>
      <c r="S53" s="80">
        <v>0.0</v>
      </c>
      <c r="T53" s="13">
        <f t="shared" si="14"/>
        <v>2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0.0</v>
      </c>
      <c r="H54" s="80">
        <v>1.0</v>
      </c>
      <c r="I54" s="80">
        <v>0.0</v>
      </c>
      <c r="J54" s="80">
        <v>0.0</v>
      </c>
      <c r="K54" s="80">
        <v>0.0</v>
      </c>
      <c r="L54" s="80">
        <v>0.0</v>
      </c>
      <c r="M54" s="80">
        <v>0.0</v>
      </c>
      <c r="N54" s="80">
        <v>0.0</v>
      </c>
      <c r="O54" s="80">
        <v>0.0</v>
      </c>
      <c r="P54" s="80">
        <v>0.0</v>
      </c>
      <c r="Q54" s="80">
        <v>0.0</v>
      </c>
      <c r="R54" s="80">
        <v>0.0</v>
      </c>
      <c r="S54" s="80">
        <v>1.0</v>
      </c>
      <c r="T54" s="13">
        <f t="shared" si="14"/>
        <v>2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T55" si="15">SUM(E45:E54)</f>
        <v>25</v>
      </c>
      <c r="F55" s="13">
        <f t="shared" si="15"/>
        <v>29</v>
      </c>
      <c r="G55" s="13">
        <f t="shared" si="15"/>
        <v>45</v>
      </c>
      <c r="H55" s="13">
        <f t="shared" si="15"/>
        <v>26</v>
      </c>
      <c r="I55" s="13">
        <f t="shared" si="15"/>
        <v>17</v>
      </c>
      <c r="J55" s="13">
        <f t="shared" si="15"/>
        <v>19</v>
      </c>
      <c r="K55" s="13">
        <f t="shared" si="15"/>
        <v>17</v>
      </c>
      <c r="L55" s="13">
        <f t="shared" si="15"/>
        <v>17</v>
      </c>
      <c r="M55" s="13">
        <f t="shared" si="15"/>
        <v>18</v>
      </c>
      <c r="N55" s="13">
        <f t="shared" si="15"/>
        <v>17</v>
      </c>
      <c r="O55" s="13">
        <f t="shared" si="15"/>
        <v>14</v>
      </c>
      <c r="P55" s="13">
        <f t="shared" si="15"/>
        <v>37</v>
      </c>
      <c r="Q55" s="13">
        <f t="shared" si="15"/>
        <v>22</v>
      </c>
      <c r="R55" s="13">
        <f t="shared" si="15"/>
        <v>14</v>
      </c>
      <c r="S55" s="13">
        <f t="shared" si="15"/>
        <v>24</v>
      </c>
      <c r="T55" s="13">
        <f t="shared" si="15"/>
        <v>341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11.0</v>
      </c>
      <c r="F57" s="73">
        <v>11.0</v>
      </c>
      <c r="G57" s="73">
        <v>4.0</v>
      </c>
      <c r="H57" s="73">
        <v>12.0</v>
      </c>
      <c r="I57" s="73">
        <v>12.0</v>
      </c>
      <c r="J57" s="73">
        <v>13.0</v>
      </c>
      <c r="K57" s="73">
        <v>11.0</v>
      </c>
      <c r="L57" s="73">
        <v>12.0</v>
      </c>
      <c r="M57" s="73">
        <v>3.0</v>
      </c>
      <c r="N57" s="73">
        <v>10.0</v>
      </c>
      <c r="O57" s="73">
        <v>10.0</v>
      </c>
      <c r="P57" s="73">
        <v>6.0</v>
      </c>
      <c r="Q57" s="73">
        <v>8.0</v>
      </c>
      <c r="R57" s="73">
        <v>5.0</v>
      </c>
      <c r="S57" s="73">
        <v>5.0</v>
      </c>
      <c r="T57" s="13">
        <f t="shared" ref="T57:T66" si="16">SUM(E57:S57)</f>
        <v>133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0.0</v>
      </c>
      <c r="F58" s="73">
        <v>6.0</v>
      </c>
      <c r="G58" s="73">
        <v>2.0</v>
      </c>
      <c r="H58" s="73">
        <v>5.0</v>
      </c>
      <c r="I58" s="73">
        <v>6.0</v>
      </c>
      <c r="J58" s="73">
        <v>3.0</v>
      </c>
      <c r="K58" s="73">
        <v>9.0</v>
      </c>
      <c r="L58" s="73">
        <v>2.0</v>
      </c>
      <c r="M58" s="73">
        <v>5.0</v>
      </c>
      <c r="N58" s="73">
        <v>10.0</v>
      </c>
      <c r="O58" s="73">
        <v>6.0</v>
      </c>
      <c r="P58" s="73">
        <v>4.0</v>
      </c>
      <c r="Q58" s="73">
        <v>4.0</v>
      </c>
      <c r="R58" s="73">
        <v>8.0</v>
      </c>
      <c r="S58" s="73">
        <v>6.0</v>
      </c>
      <c r="T58" s="13">
        <f t="shared" si="16"/>
        <v>76</v>
      </c>
    </row>
    <row r="59" ht="12.75" customHeight="1">
      <c r="A59" s="18"/>
      <c r="B59" s="49"/>
      <c r="C59" s="50" t="s">
        <v>51</v>
      </c>
      <c r="D59" s="51"/>
      <c r="E59" s="73">
        <v>12.0</v>
      </c>
      <c r="F59" s="73">
        <v>7.0</v>
      </c>
      <c r="G59" s="73">
        <v>1.0</v>
      </c>
      <c r="H59" s="73">
        <v>5.0</v>
      </c>
      <c r="I59" s="73">
        <v>17.0</v>
      </c>
      <c r="J59" s="73">
        <v>5.0</v>
      </c>
      <c r="K59" s="73">
        <v>4.0</v>
      </c>
      <c r="L59" s="73">
        <v>5.0</v>
      </c>
      <c r="M59" s="73">
        <v>22.0</v>
      </c>
      <c r="N59" s="73">
        <v>6.0</v>
      </c>
      <c r="O59" s="73">
        <v>3.0</v>
      </c>
      <c r="P59" s="73">
        <v>0.0</v>
      </c>
      <c r="Q59" s="73">
        <v>6.0</v>
      </c>
      <c r="R59" s="73">
        <v>9.0</v>
      </c>
      <c r="S59" s="73">
        <v>7.0</v>
      </c>
      <c r="T59" s="13">
        <f t="shared" si="16"/>
        <v>109</v>
      </c>
    </row>
    <row r="60" ht="12.75" customHeight="1">
      <c r="A60" s="18"/>
      <c r="B60" s="49"/>
      <c r="C60" s="50" t="s">
        <v>52</v>
      </c>
      <c r="D60" s="51"/>
      <c r="E60" s="73">
        <v>2.0</v>
      </c>
      <c r="F60" s="73">
        <v>1.0</v>
      </c>
      <c r="G60" s="73">
        <v>1.0</v>
      </c>
      <c r="H60" s="73">
        <v>1.0</v>
      </c>
      <c r="I60" s="73">
        <v>0.0</v>
      </c>
      <c r="J60" s="73">
        <v>0.0</v>
      </c>
      <c r="K60" s="73">
        <v>3.0</v>
      </c>
      <c r="L60" s="73">
        <v>2.0</v>
      </c>
      <c r="M60" s="73">
        <v>1.0</v>
      </c>
      <c r="N60" s="73">
        <v>2.0</v>
      </c>
      <c r="O60" s="73">
        <v>1.0</v>
      </c>
      <c r="P60" s="73">
        <v>0.0</v>
      </c>
      <c r="Q60" s="73">
        <v>0.0</v>
      </c>
      <c r="R60" s="73">
        <v>2.0</v>
      </c>
      <c r="S60" s="73">
        <v>0.0</v>
      </c>
      <c r="T60" s="13">
        <f t="shared" si="16"/>
        <v>16</v>
      </c>
    </row>
    <row r="61" ht="12.75" customHeight="1">
      <c r="A61" s="18"/>
      <c r="B61" s="49"/>
      <c r="C61" s="50" t="s">
        <v>53</v>
      </c>
      <c r="D61" s="51"/>
      <c r="E61" s="73">
        <v>11.0</v>
      </c>
      <c r="F61" s="73">
        <v>23.0</v>
      </c>
      <c r="G61" s="73">
        <v>2.0</v>
      </c>
      <c r="H61" s="73">
        <v>1.0</v>
      </c>
      <c r="I61" s="73">
        <v>1.0</v>
      </c>
      <c r="J61" s="73">
        <v>12.0</v>
      </c>
      <c r="K61" s="73">
        <v>0.0</v>
      </c>
      <c r="L61" s="73">
        <v>3.0</v>
      </c>
      <c r="M61" s="73">
        <v>6.0</v>
      </c>
      <c r="N61" s="73">
        <v>0.0</v>
      </c>
      <c r="O61" s="73">
        <v>1.0</v>
      </c>
      <c r="P61" s="73">
        <v>1.0</v>
      </c>
      <c r="Q61" s="73">
        <v>3.0</v>
      </c>
      <c r="R61" s="73">
        <v>1.0</v>
      </c>
      <c r="S61" s="73">
        <v>1.0</v>
      </c>
      <c r="T61" s="13">
        <f t="shared" si="16"/>
        <v>66</v>
      </c>
    </row>
    <row r="62" ht="12.75" customHeight="1">
      <c r="A62" s="18"/>
      <c r="B62" s="49"/>
      <c r="C62" s="50" t="s">
        <v>54</v>
      </c>
      <c r="D62" s="51"/>
      <c r="E62" s="73">
        <v>5.0</v>
      </c>
      <c r="F62" s="73">
        <v>1.0</v>
      </c>
      <c r="G62" s="73">
        <v>1.0</v>
      </c>
      <c r="H62" s="73">
        <v>1.0</v>
      </c>
      <c r="I62" s="73">
        <v>2.0</v>
      </c>
      <c r="J62" s="73">
        <v>0.0</v>
      </c>
      <c r="K62" s="73">
        <v>0.0</v>
      </c>
      <c r="L62" s="73">
        <v>1.0</v>
      </c>
      <c r="M62" s="73">
        <v>0.0</v>
      </c>
      <c r="N62" s="73">
        <v>0.0</v>
      </c>
      <c r="O62" s="73">
        <v>1.0</v>
      </c>
      <c r="P62" s="73">
        <v>0.0</v>
      </c>
      <c r="Q62" s="73">
        <v>0.0</v>
      </c>
      <c r="R62" s="73">
        <v>1.0</v>
      </c>
      <c r="S62" s="73">
        <v>0.0</v>
      </c>
      <c r="T62" s="13">
        <f t="shared" si="16"/>
        <v>13</v>
      </c>
    </row>
    <row r="63" ht="12.75" customHeight="1">
      <c r="A63" s="18"/>
      <c r="B63" s="49"/>
      <c r="C63" s="50" t="s">
        <v>55</v>
      </c>
      <c r="D63" s="51"/>
      <c r="E63" s="73">
        <v>0.0</v>
      </c>
      <c r="F63" s="73">
        <v>1.0</v>
      </c>
      <c r="G63" s="73">
        <v>0.0</v>
      </c>
      <c r="H63" s="73">
        <v>0.0</v>
      </c>
      <c r="I63" s="73">
        <v>0.0</v>
      </c>
      <c r="J63" s="73">
        <v>1.0</v>
      </c>
      <c r="K63" s="73">
        <v>0.0</v>
      </c>
      <c r="L63" s="73">
        <v>1.0</v>
      </c>
      <c r="M63" s="73">
        <v>0.0</v>
      </c>
      <c r="N63" s="73">
        <v>1.0</v>
      </c>
      <c r="O63" s="73">
        <v>0.0</v>
      </c>
      <c r="P63" s="73">
        <v>1.0</v>
      </c>
      <c r="Q63" s="73">
        <v>0.0</v>
      </c>
      <c r="R63" s="73">
        <v>0.0</v>
      </c>
      <c r="S63" s="73">
        <v>0.0</v>
      </c>
      <c r="T63" s="13">
        <f t="shared" si="16"/>
        <v>5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2.0</v>
      </c>
      <c r="G64" s="80">
        <v>0.0</v>
      </c>
      <c r="H64" s="80">
        <v>0.0</v>
      </c>
      <c r="I64" s="80">
        <v>0.0</v>
      </c>
      <c r="J64" s="80">
        <v>0.0</v>
      </c>
      <c r="K64" s="80">
        <v>0.0</v>
      </c>
      <c r="L64" s="80">
        <v>2.0</v>
      </c>
      <c r="M64" s="80">
        <v>0.0</v>
      </c>
      <c r="N64" s="80">
        <v>0.0</v>
      </c>
      <c r="O64" s="80">
        <v>0.0</v>
      </c>
      <c r="P64" s="80">
        <v>0.0</v>
      </c>
      <c r="Q64" s="80">
        <v>0.0</v>
      </c>
      <c r="R64" s="80">
        <v>0.0</v>
      </c>
      <c r="S64" s="80">
        <v>0.0</v>
      </c>
      <c r="T64" s="13">
        <f t="shared" si="16"/>
        <v>4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0.0</v>
      </c>
      <c r="H65" s="80">
        <v>0.0</v>
      </c>
      <c r="I65" s="80">
        <v>1.0</v>
      </c>
      <c r="J65" s="80">
        <v>0.0</v>
      </c>
      <c r="K65" s="80">
        <v>0.0</v>
      </c>
      <c r="L65" s="80">
        <v>0.0</v>
      </c>
      <c r="M65" s="80">
        <v>0.0</v>
      </c>
      <c r="N65" s="80">
        <v>0.0</v>
      </c>
      <c r="O65" s="80">
        <v>1.0</v>
      </c>
      <c r="P65" s="80">
        <v>1.0</v>
      </c>
      <c r="Q65" s="80">
        <v>0.0</v>
      </c>
      <c r="R65" s="80">
        <v>0.0</v>
      </c>
      <c r="S65" s="80">
        <v>0.0</v>
      </c>
      <c r="T65" s="13">
        <f t="shared" si="16"/>
        <v>3</v>
      </c>
    </row>
    <row r="66" ht="12.75" customHeight="1">
      <c r="A66" s="79"/>
      <c r="B66" s="49"/>
      <c r="C66" s="50" t="s">
        <v>58</v>
      </c>
      <c r="D66" s="51"/>
      <c r="E66" s="80">
        <v>1.0</v>
      </c>
      <c r="F66" s="80">
        <v>1.0</v>
      </c>
      <c r="G66" s="80">
        <v>2.0</v>
      </c>
      <c r="H66" s="80">
        <v>1.0</v>
      </c>
      <c r="I66" s="80">
        <v>1.0</v>
      </c>
      <c r="J66" s="80">
        <v>0.0</v>
      </c>
      <c r="K66" s="80">
        <v>0.0</v>
      </c>
      <c r="L66" s="80">
        <v>1.0</v>
      </c>
      <c r="M66" s="80">
        <v>0.0</v>
      </c>
      <c r="N66" s="80">
        <v>1.0</v>
      </c>
      <c r="O66" s="80">
        <v>0.0</v>
      </c>
      <c r="P66" s="80">
        <v>0.0</v>
      </c>
      <c r="Q66" s="80">
        <v>0.0</v>
      </c>
      <c r="R66" s="80">
        <v>2.0</v>
      </c>
      <c r="S66" s="80">
        <v>0.0</v>
      </c>
      <c r="T66" s="13">
        <f t="shared" si="16"/>
        <v>10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T67" si="17">SUM(E57:E66)</f>
        <v>42</v>
      </c>
      <c r="F67" s="13">
        <f t="shared" si="17"/>
        <v>53</v>
      </c>
      <c r="G67" s="13">
        <f t="shared" si="17"/>
        <v>13</v>
      </c>
      <c r="H67" s="13">
        <f t="shared" si="17"/>
        <v>26</v>
      </c>
      <c r="I67" s="13">
        <f t="shared" si="17"/>
        <v>40</v>
      </c>
      <c r="J67" s="13">
        <f t="shared" si="17"/>
        <v>34</v>
      </c>
      <c r="K67" s="13">
        <f t="shared" si="17"/>
        <v>27</v>
      </c>
      <c r="L67" s="13">
        <f t="shared" si="17"/>
        <v>29</v>
      </c>
      <c r="M67" s="13">
        <f t="shared" si="17"/>
        <v>37</v>
      </c>
      <c r="N67" s="13">
        <f t="shared" si="17"/>
        <v>30</v>
      </c>
      <c r="O67" s="13">
        <f t="shared" si="17"/>
        <v>23</v>
      </c>
      <c r="P67" s="13">
        <f t="shared" si="17"/>
        <v>13</v>
      </c>
      <c r="Q67" s="13">
        <f t="shared" si="17"/>
        <v>21</v>
      </c>
      <c r="R67" s="13">
        <f t="shared" si="17"/>
        <v>28</v>
      </c>
      <c r="S67" s="13">
        <f t="shared" si="17"/>
        <v>19</v>
      </c>
      <c r="T67" s="13">
        <f t="shared" si="17"/>
        <v>435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4.0</v>
      </c>
      <c r="F69" s="73">
        <v>2.0</v>
      </c>
      <c r="G69" s="73">
        <v>4.0</v>
      </c>
      <c r="H69" s="73">
        <v>10.0</v>
      </c>
      <c r="I69" s="73">
        <v>0.0</v>
      </c>
      <c r="J69" s="73">
        <v>5.0</v>
      </c>
      <c r="K69" s="73">
        <v>5.0</v>
      </c>
      <c r="L69" s="73">
        <v>2.0</v>
      </c>
      <c r="M69" s="73">
        <v>4.0</v>
      </c>
      <c r="N69" s="73">
        <v>3.0</v>
      </c>
      <c r="O69" s="73">
        <v>8.0</v>
      </c>
      <c r="P69" s="73">
        <v>7.0</v>
      </c>
      <c r="Q69" s="73">
        <v>4.0</v>
      </c>
      <c r="R69" s="73">
        <v>4.0</v>
      </c>
      <c r="S69" s="73">
        <v>3.0</v>
      </c>
      <c r="T69" s="13">
        <f t="shared" ref="T69:T78" si="18">SUM(E69:S69)</f>
        <v>65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3.0</v>
      </c>
      <c r="F70" s="73">
        <v>3.0</v>
      </c>
      <c r="G70" s="73">
        <v>10.0</v>
      </c>
      <c r="H70" s="73">
        <v>10.0</v>
      </c>
      <c r="I70" s="73">
        <v>6.0</v>
      </c>
      <c r="J70" s="73">
        <v>0.0</v>
      </c>
      <c r="K70" s="73">
        <v>1.0</v>
      </c>
      <c r="L70" s="73">
        <v>0.0</v>
      </c>
      <c r="M70" s="73">
        <v>0.0</v>
      </c>
      <c r="N70" s="73">
        <v>5.0</v>
      </c>
      <c r="O70" s="73">
        <v>5.0</v>
      </c>
      <c r="P70" s="73">
        <v>4.0</v>
      </c>
      <c r="Q70" s="73">
        <v>5.0</v>
      </c>
      <c r="R70" s="73">
        <v>5.0</v>
      </c>
      <c r="S70" s="73">
        <v>8.0</v>
      </c>
      <c r="T70" s="13">
        <f t="shared" si="18"/>
        <v>65</v>
      </c>
    </row>
    <row r="71" ht="12.75" customHeight="1">
      <c r="A71" s="18"/>
      <c r="B71" s="49"/>
      <c r="C71" s="50" t="s">
        <v>61</v>
      </c>
      <c r="D71" s="51"/>
      <c r="E71" s="73">
        <v>8.0</v>
      </c>
      <c r="F71" s="73">
        <v>7.0</v>
      </c>
      <c r="G71" s="73">
        <v>10.0</v>
      </c>
      <c r="H71" s="73">
        <v>10.0</v>
      </c>
      <c r="I71" s="73">
        <v>2.0</v>
      </c>
      <c r="J71" s="73">
        <v>6.0</v>
      </c>
      <c r="K71" s="73">
        <v>4.0</v>
      </c>
      <c r="L71" s="73">
        <v>1.0</v>
      </c>
      <c r="M71" s="73">
        <v>3.0</v>
      </c>
      <c r="N71" s="73">
        <v>6.0</v>
      </c>
      <c r="O71" s="73">
        <v>8.0</v>
      </c>
      <c r="P71" s="73">
        <v>35.0</v>
      </c>
      <c r="Q71" s="73">
        <v>35.0</v>
      </c>
      <c r="R71" s="73">
        <v>4.0</v>
      </c>
      <c r="S71" s="73">
        <v>2.0</v>
      </c>
      <c r="T71" s="13">
        <f t="shared" si="18"/>
        <v>141</v>
      </c>
    </row>
    <row r="72" ht="12.75" customHeight="1">
      <c r="A72" s="18"/>
      <c r="B72" s="49"/>
      <c r="C72" s="50" t="s">
        <v>62</v>
      </c>
      <c r="D72" s="51"/>
      <c r="E72" s="73">
        <v>0.0</v>
      </c>
      <c r="F72" s="73">
        <v>2.0</v>
      </c>
      <c r="G72" s="73">
        <v>0.0</v>
      </c>
      <c r="H72" s="73">
        <v>7.0</v>
      </c>
      <c r="I72" s="73">
        <v>0.0</v>
      </c>
      <c r="J72" s="73">
        <v>0.0</v>
      </c>
      <c r="K72" s="73">
        <v>3.0</v>
      </c>
      <c r="L72" s="73">
        <v>5.0</v>
      </c>
      <c r="M72" s="73">
        <v>1.0</v>
      </c>
      <c r="N72" s="73">
        <v>1.0</v>
      </c>
      <c r="O72" s="73">
        <v>6.0</v>
      </c>
      <c r="P72" s="73">
        <v>6.0</v>
      </c>
      <c r="Q72" s="73">
        <v>5.0</v>
      </c>
      <c r="R72" s="73">
        <v>1.0</v>
      </c>
      <c r="S72" s="73">
        <v>5.0</v>
      </c>
      <c r="T72" s="13">
        <f t="shared" si="18"/>
        <v>42</v>
      </c>
    </row>
    <row r="73" ht="12.75" customHeight="1">
      <c r="A73" s="18"/>
      <c r="B73" s="49"/>
      <c r="C73" s="50" t="s">
        <v>63</v>
      </c>
      <c r="D73" s="51"/>
      <c r="E73" s="73">
        <v>0.0</v>
      </c>
      <c r="F73" s="73">
        <v>1.0</v>
      </c>
      <c r="G73" s="73">
        <v>2.0</v>
      </c>
      <c r="H73" s="73">
        <v>5.0</v>
      </c>
      <c r="I73" s="73">
        <v>0.0</v>
      </c>
      <c r="J73" s="73">
        <v>0.0</v>
      </c>
      <c r="K73" s="73">
        <v>0.0</v>
      </c>
      <c r="L73" s="73">
        <v>0.0</v>
      </c>
      <c r="M73" s="73">
        <v>0.0</v>
      </c>
      <c r="N73" s="73">
        <v>0.0</v>
      </c>
      <c r="O73" s="73">
        <v>0.0</v>
      </c>
      <c r="P73" s="73">
        <v>0.0</v>
      </c>
      <c r="Q73" s="73">
        <v>0.0</v>
      </c>
      <c r="R73" s="73">
        <v>0.0</v>
      </c>
      <c r="S73" s="73">
        <v>0.0</v>
      </c>
      <c r="T73" s="13">
        <f t="shared" si="18"/>
        <v>8</v>
      </c>
    </row>
    <row r="74" ht="12.75" customHeight="1">
      <c r="A74" s="18"/>
      <c r="B74" s="49"/>
      <c r="C74" s="50" t="s">
        <v>64</v>
      </c>
      <c r="D74" s="51"/>
      <c r="E74" s="73">
        <v>2.0</v>
      </c>
      <c r="F74" s="73">
        <v>0.0</v>
      </c>
      <c r="G74" s="73">
        <v>0.0</v>
      </c>
      <c r="H74" s="73">
        <v>0.0</v>
      </c>
      <c r="I74" s="73">
        <v>1.0</v>
      </c>
      <c r="J74" s="73">
        <v>1.0</v>
      </c>
      <c r="K74" s="73">
        <v>2.0</v>
      </c>
      <c r="L74" s="73">
        <v>0.0</v>
      </c>
      <c r="M74" s="73">
        <v>0.0</v>
      </c>
      <c r="N74" s="73">
        <v>2.0</v>
      </c>
      <c r="O74" s="73">
        <v>0.0</v>
      </c>
      <c r="P74" s="73">
        <v>0.0</v>
      </c>
      <c r="Q74" s="73">
        <v>3.0</v>
      </c>
      <c r="R74" s="73">
        <v>0.0</v>
      </c>
      <c r="S74" s="73">
        <v>0.0</v>
      </c>
      <c r="T74" s="13">
        <f t="shared" si="18"/>
        <v>11</v>
      </c>
    </row>
    <row r="75" ht="12.75" customHeight="1">
      <c r="A75" s="18"/>
      <c r="B75" s="49"/>
      <c r="C75" s="50" t="s">
        <v>65</v>
      </c>
      <c r="D75" s="51"/>
      <c r="E75" s="73">
        <v>0.0</v>
      </c>
      <c r="F75" s="73">
        <v>0.0</v>
      </c>
      <c r="G75" s="73">
        <v>1.0</v>
      </c>
      <c r="H75" s="73">
        <v>1.0</v>
      </c>
      <c r="I75" s="73">
        <v>0.0</v>
      </c>
      <c r="J75" s="73">
        <v>0.0</v>
      </c>
      <c r="K75" s="73">
        <v>0.0</v>
      </c>
      <c r="L75" s="73">
        <v>0.0</v>
      </c>
      <c r="M75" s="73">
        <v>0.0</v>
      </c>
      <c r="N75" s="73">
        <v>0.0</v>
      </c>
      <c r="O75" s="73">
        <v>0.0</v>
      </c>
      <c r="P75" s="73">
        <v>0.0</v>
      </c>
      <c r="Q75" s="73">
        <v>0.0</v>
      </c>
      <c r="R75" s="73">
        <v>0.0</v>
      </c>
      <c r="S75" s="73">
        <v>1.0</v>
      </c>
      <c r="T75" s="13">
        <f t="shared" si="18"/>
        <v>3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0.0</v>
      </c>
      <c r="G76" s="80">
        <v>0.0</v>
      </c>
      <c r="H76" s="80">
        <v>1.0</v>
      </c>
      <c r="I76" s="80">
        <v>0.0</v>
      </c>
      <c r="J76" s="80">
        <v>0.0</v>
      </c>
      <c r="K76" s="80">
        <v>0.0</v>
      </c>
      <c r="L76" s="80">
        <v>0.0</v>
      </c>
      <c r="M76" s="80">
        <v>1.0</v>
      </c>
      <c r="N76" s="80">
        <v>1.0</v>
      </c>
      <c r="O76" s="80">
        <v>0.0</v>
      </c>
      <c r="P76" s="80">
        <v>0.0</v>
      </c>
      <c r="Q76" s="80">
        <v>0.0</v>
      </c>
      <c r="R76" s="80">
        <v>1.0</v>
      </c>
      <c r="S76" s="80">
        <v>0.0</v>
      </c>
      <c r="T76" s="13">
        <f t="shared" si="18"/>
        <v>4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0.0</v>
      </c>
      <c r="G77" s="80">
        <v>0.0</v>
      </c>
      <c r="H77" s="80">
        <v>0.0</v>
      </c>
      <c r="I77" s="80">
        <v>0.0</v>
      </c>
      <c r="J77" s="80">
        <v>0.0</v>
      </c>
      <c r="K77" s="80">
        <v>0.0</v>
      </c>
      <c r="L77" s="80">
        <v>0.0</v>
      </c>
      <c r="M77" s="80">
        <v>0.0</v>
      </c>
      <c r="N77" s="80">
        <v>0.0</v>
      </c>
      <c r="O77" s="80">
        <v>1.0</v>
      </c>
      <c r="P77" s="80">
        <v>0.0</v>
      </c>
      <c r="Q77" s="80">
        <v>1.0</v>
      </c>
      <c r="R77" s="80">
        <v>1.0</v>
      </c>
      <c r="S77" s="80">
        <v>0.0</v>
      </c>
      <c r="T77" s="13">
        <f t="shared" si="18"/>
        <v>3</v>
      </c>
    </row>
    <row r="78" ht="12.75" customHeight="1">
      <c r="A78" s="79"/>
      <c r="B78" s="49"/>
      <c r="C78" s="50" t="s">
        <v>68</v>
      </c>
      <c r="D78" s="51"/>
      <c r="E78" s="80">
        <v>1.0</v>
      </c>
      <c r="F78" s="80">
        <v>1.0</v>
      </c>
      <c r="G78" s="80">
        <v>1.0</v>
      </c>
      <c r="H78" s="80">
        <v>0.0</v>
      </c>
      <c r="I78" s="80">
        <v>0.0</v>
      </c>
      <c r="J78" s="80">
        <v>0.0</v>
      </c>
      <c r="K78" s="80">
        <v>1.0</v>
      </c>
      <c r="L78" s="80">
        <v>0.0</v>
      </c>
      <c r="M78" s="80">
        <v>0.0</v>
      </c>
      <c r="N78" s="80">
        <v>0.0</v>
      </c>
      <c r="O78" s="80">
        <v>0.0</v>
      </c>
      <c r="P78" s="80">
        <v>0.0</v>
      </c>
      <c r="Q78" s="80">
        <v>0.0</v>
      </c>
      <c r="R78" s="80">
        <v>0.0</v>
      </c>
      <c r="S78" s="80">
        <v>0.0</v>
      </c>
      <c r="T78" s="13">
        <f t="shared" si="18"/>
        <v>4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T79" si="19">SUM(E69:E78)</f>
        <v>18</v>
      </c>
      <c r="F79" s="13">
        <f t="shared" si="19"/>
        <v>16</v>
      </c>
      <c r="G79" s="13">
        <f t="shared" si="19"/>
        <v>28</v>
      </c>
      <c r="H79" s="13">
        <f t="shared" si="19"/>
        <v>44</v>
      </c>
      <c r="I79" s="13">
        <f t="shared" si="19"/>
        <v>9</v>
      </c>
      <c r="J79" s="13">
        <f t="shared" si="19"/>
        <v>12</v>
      </c>
      <c r="K79" s="13">
        <f t="shared" si="19"/>
        <v>16</v>
      </c>
      <c r="L79" s="13">
        <f t="shared" si="19"/>
        <v>8</v>
      </c>
      <c r="M79" s="13">
        <f t="shared" si="19"/>
        <v>9</v>
      </c>
      <c r="N79" s="13">
        <f t="shared" si="19"/>
        <v>18</v>
      </c>
      <c r="O79" s="13">
        <f t="shared" si="19"/>
        <v>28</v>
      </c>
      <c r="P79" s="13">
        <f t="shared" si="19"/>
        <v>52</v>
      </c>
      <c r="Q79" s="13">
        <f t="shared" si="19"/>
        <v>53</v>
      </c>
      <c r="R79" s="13">
        <f t="shared" si="19"/>
        <v>16</v>
      </c>
      <c r="S79" s="13">
        <f t="shared" si="19"/>
        <v>19</v>
      </c>
      <c r="T79" s="13">
        <f t="shared" si="19"/>
        <v>346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2.0</v>
      </c>
      <c r="F81" s="73">
        <v>2.0</v>
      </c>
      <c r="G81" s="73">
        <v>7.0</v>
      </c>
      <c r="H81" s="73">
        <v>5.0</v>
      </c>
      <c r="I81" s="73">
        <v>3.0</v>
      </c>
      <c r="J81" s="73">
        <v>3.0</v>
      </c>
      <c r="K81" s="73">
        <v>0.0</v>
      </c>
      <c r="L81" s="73">
        <v>4.0</v>
      </c>
      <c r="M81" s="73">
        <v>5.0</v>
      </c>
      <c r="N81" s="73">
        <v>2.0</v>
      </c>
      <c r="O81" s="73">
        <v>5.0</v>
      </c>
      <c r="P81" s="73">
        <v>0.0</v>
      </c>
      <c r="Q81" s="73">
        <v>4.0</v>
      </c>
      <c r="R81" s="73">
        <v>4.0</v>
      </c>
      <c r="S81" s="73">
        <v>1.0</v>
      </c>
      <c r="T81" s="13">
        <f t="shared" ref="T81:T90" si="20">SUM(E81:S81)</f>
        <v>47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1.0</v>
      </c>
      <c r="F82" s="73">
        <v>3.0</v>
      </c>
      <c r="G82" s="73">
        <v>1.0</v>
      </c>
      <c r="H82" s="73">
        <v>1.0</v>
      </c>
      <c r="I82" s="73">
        <v>5.0</v>
      </c>
      <c r="J82" s="73">
        <v>4.0</v>
      </c>
      <c r="K82" s="73">
        <v>3.0</v>
      </c>
      <c r="L82" s="73">
        <v>8.0</v>
      </c>
      <c r="M82" s="73">
        <v>6.0</v>
      </c>
      <c r="N82" s="73">
        <v>5.0</v>
      </c>
      <c r="O82" s="73">
        <v>2.0</v>
      </c>
      <c r="P82" s="73">
        <v>2.0</v>
      </c>
      <c r="Q82" s="73">
        <v>4.0</v>
      </c>
      <c r="R82" s="73">
        <v>3.0</v>
      </c>
      <c r="S82" s="73">
        <v>0.0</v>
      </c>
      <c r="T82" s="13">
        <f t="shared" si="20"/>
        <v>48</v>
      </c>
    </row>
    <row r="83" ht="12.75" customHeight="1">
      <c r="A83" s="18"/>
      <c r="B83" s="49"/>
      <c r="C83" s="50" t="s">
        <v>71</v>
      </c>
      <c r="D83" s="51"/>
      <c r="E83" s="73">
        <v>2.0</v>
      </c>
      <c r="F83" s="73">
        <v>2.0</v>
      </c>
      <c r="G83" s="73">
        <v>1.0</v>
      </c>
      <c r="H83" s="73">
        <v>1.0</v>
      </c>
      <c r="I83" s="73">
        <v>0.0</v>
      </c>
      <c r="J83" s="73">
        <v>0.0</v>
      </c>
      <c r="K83" s="73">
        <v>1.0</v>
      </c>
      <c r="L83" s="73">
        <v>1.0</v>
      </c>
      <c r="M83" s="73">
        <v>1.0</v>
      </c>
      <c r="N83" s="73">
        <v>1.0</v>
      </c>
      <c r="O83" s="73">
        <v>1.0</v>
      </c>
      <c r="P83" s="73">
        <v>1.0</v>
      </c>
      <c r="Q83" s="73">
        <v>0.0</v>
      </c>
      <c r="R83" s="73">
        <v>0.0</v>
      </c>
      <c r="S83" s="73">
        <v>0.0</v>
      </c>
      <c r="T83" s="13">
        <f t="shared" si="20"/>
        <v>12</v>
      </c>
    </row>
    <row r="84" ht="12.75" customHeight="1">
      <c r="A84" s="18"/>
      <c r="B84" s="49"/>
      <c r="C84" s="50" t="s">
        <v>72</v>
      </c>
      <c r="D84" s="51"/>
      <c r="E84" s="73">
        <v>2.0</v>
      </c>
      <c r="F84" s="73">
        <v>2.0</v>
      </c>
      <c r="G84" s="73">
        <v>1.0</v>
      </c>
      <c r="H84" s="73">
        <v>0.0</v>
      </c>
      <c r="I84" s="73">
        <v>1.0</v>
      </c>
      <c r="J84" s="73">
        <v>1.0</v>
      </c>
      <c r="K84" s="73">
        <v>0.0</v>
      </c>
      <c r="L84" s="73">
        <v>0.0</v>
      </c>
      <c r="M84" s="73">
        <v>2.0</v>
      </c>
      <c r="N84" s="73">
        <v>2.0</v>
      </c>
      <c r="O84" s="73">
        <v>0.0</v>
      </c>
      <c r="P84" s="73">
        <v>1.0</v>
      </c>
      <c r="Q84" s="73">
        <v>1.0</v>
      </c>
      <c r="R84" s="73">
        <v>0.0</v>
      </c>
      <c r="S84" s="73">
        <v>0.0</v>
      </c>
      <c r="T84" s="13">
        <f t="shared" si="20"/>
        <v>13</v>
      </c>
    </row>
    <row r="85" ht="12.75" customHeight="1">
      <c r="A85" s="18"/>
      <c r="B85" s="49"/>
      <c r="C85" s="50" t="s">
        <v>73</v>
      </c>
      <c r="D85" s="51"/>
      <c r="E85" s="73">
        <v>2.0</v>
      </c>
      <c r="F85" s="73">
        <v>1.0</v>
      </c>
      <c r="G85" s="73">
        <v>1.0</v>
      </c>
      <c r="H85" s="73">
        <v>2.0</v>
      </c>
      <c r="I85" s="73">
        <v>2.0</v>
      </c>
      <c r="J85" s="73">
        <v>0.0</v>
      </c>
      <c r="K85" s="73">
        <v>0.0</v>
      </c>
      <c r="L85" s="73">
        <v>2.0</v>
      </c>
      <c r="M85" s="73">
        <v>1.0</v>
      </c>
      <c r="N85" s="73">
        <v>0.0</v>
      </c>
      <c r="O85" s="73">
        <v>2.0</v>
      </c>
      <c r="P85" s="73">
        <v>1.0</v>
      </c>
      <c r="Q85" s="73">
        <v>2.0</v>
      </c>
      <c r="R85" s="73">
        <v>4.0</v>
      </c>
      <c r="S85" s="73">
        <v>0.0</v>
      </c>
      <c r="T85" s="13">
        <f t="shared" si="20"/>
        <v>20</v>
      </c>
    </row>
    <row r="86" ht="12.75" customHeight="1">
      <c r="A86" s="18"/>
      <c r="B86" s="49"/>
      <c r="C86" s="50" t="s">
        <v>74</v>
      </c>
      <c r="D86" s="51"/>
      <c r="E86" s="73">
        <v>1.0</v>
      </c>
      <c r="F86" s="73">
        <v>1.0</v>
      </c>
      <c r="G86" s="73">
        <v>1.0</v>
      </c>
      <c r="H86" s="73">
        <v>1.0</v>
      </c>
      <c r="I86" s="73">
        <v>1.0</v>
      </c>
      <c r="J86" s="73">
        <v>0.0</v>
      </c>
      <c r="K86" s="73">
        <v>1.0</v>
      </c>
      <c r="L86" s="73">
        <v>0.0</v>
      </c>
      <c r="M86" s="73">
        <v>2.0</v>
      </c>
      <c r="N86" s="73">
        <v>1.0</v>
      </c>
      <c r="O86" s="73">
        <v>3.0</v>
      </c>
      <c r="P86" s="73">
        <v>0.0</v>
      </c>
      <c r="Q86" s="73">
        <v>0.0</v>
      </c>
      <c r="R86" s="73">
        <v>0.0</v>
      </c>
      <c r="S86" s="73">
        <v>0.0</v>
      </c>
      <c r="T86" s="13">
        <f t="shared" si="20"/>
        <v>12</v>
      </c>
    </row>
    <row r="87" ht="12.75" customHeight="1">
      <c r="A87" s="18"/>
      <c r="B87" s="49"/>
      <c r="C87" s="50" t="s">
        <v>75</v>
      </c>
      <c r="D87" s="51"/>
      <c r="E87" s="73">
        <v>1.0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13">
        <f t="shared" si="20"/>
        <v>1</v>
      </c>
    </row>
    <row r="88" ht="12.75" customHeight="1">
      <c r="A88" s="79"/>
      <c r="B88" s="49"/>
      <c r="C88" s="50" t="s">
        <v>76</v>
      </c>
      <c r="D88" s="51"/>
      <c r="E88" s="80">
        <v>1.0</v>
      </c>
      <c r="F88" s="80">
        <v>0.0</v>
      </c>
      <c r="G88" s="80">
        <v>0.0</v>
      </c>
      <c r="H88" s="80">
        <v>1.0</v>
      </c>
      <c r="I88" s="80">
        <v>0.0</v>
      </c>
      <c r="J88" s="80">
        <v>1.0</v>
      </c>
      <c r="K88" s="80">
        <v>0.0</v>
      </c>
      <c r="L88" s="80">
        <v>0.0</v>
      </c>
      <c r="M88" s="80">
        <v>0.0</v>
      </c>
      <c r="N88" s="80">
        <v>0.0</v>
      </c>
      <c r="O88" s="80">
        <v>0.0</v>
      </c>
      <c r="P88" s="80">
        <v>0.0</v>
      </c>
      <c r="Q88" s="80">
        <v>0.0</v>
      </c>
      <c r="R88" s="80">
        <v>0.0</v>
      </c>
      <c r="S88" s="80">
        <v>0.0</v>
      </c>
      <c r="T88" s="13">
        <f t="shared" si="20"/>
        <v>3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0.0</v>
      </c>
      <c r="N89" s="80">
        <v>0.0</v>
      </c>
      <c r="O89" s="80">
        <v>0.0</v>
      </c>
      <c r="P89" s="80">
        <v>0.0</v>
      </c>
      <c r="Q89" s="80">
        <v>0.0</v>
      </c>
      <c r="R89" s="80">
        <v>0.0</v>
      </c>
      <c r="S89" s="80">
        <v>0.0</v>
      </c>
      <c r="T89" s="13">
        <f t="shared" si="20"/>
        <v>0</v>
      </c>
    </row>
    <row r="90" ht="12.75" customHeight="1">
      <c r="A90" s="79"/>
      <c r="B90" s="49"/>
      <c r="C90" s="50" t="s">
        <v>78</v>
      </c>
      <c r="D90" s="51"/>
      <c r="E90" s="80">
        <v>1.0</v>
      </c>
      <c r="F90" s="80">
        <v>0.0</v>
      </c>
      <c r="G90" s="80">
        <v>1.0</v>
      </c>
      <c r="H90" s="80">
        <v>0.0</v>
      </c>
      <c r="I90" s="80">
        <v>0.0</v>
      </c>
      <c r="J90" s="80">
        <v>0.0</v>
      </c>
      <c r="K90" s="80">
        <v>0.0</v>
      </c>
      <c r="L90" s="80">
        <v>0.0</v>
      </c>
      <c r="M90" s="80">
        <v>0.0</v>
      </c>
      <c r="N90" s="80">
        <v>0.0</v>
      </c>
      <c r="O90" s="80">
        <v>0.0</v>
      </c>
      <c r="P90" s="80">
        <v>0.0</v>
      </c>
      <c r="Q90" s="80">
        <v>0.0</v>
      </c>
      <c r="R90" s="80">
        <v>0.0</v>
      </c>
      <c r="S90" s="80">
        <v>0.0</v>
      </c>
      <c r="T90" s="13">
        <f t="shared" si="20"/>
        <v>2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T91" si="21">SUM(E81:E90)</f>
        <v>13</v>
      </c>
      <c r="F91" s="13">
        <f t="shared" si="21"/>
        <v>11</v>
      </c>
      <c r="G91" s="13">
        <f t="shared" si="21"/>
        <v>13</v>
      </c>
      <c r="H91" s="13">
        <f t="shared" si="21"/>
        <v>11</v>
      </c>
      <c r="I91" s="13">
        <f t="shared" si="21"/>
        <v>12</v>
      </c>
      <c r="J91" s="13">
        <f t="shared" si="21"/>
        <v>9</v>
      </c>
      <c r="K91" s="13">
        <f t="shared" si="21"/>
        <v>5</v>
      </c>
      <c r="L91" s="13">
        <f t="shared" si="21"/>
        <v>15</v>
      </c>
      <c r="M91" s="13">
        <f t="shared" si="21"/>
        <v>17</v>
      </c>
      <c r="N91" s="13">
        <f t="shared" si="21"/>
        <v>11</v>
      </c>
      <c r="O91" s="13">
        <f t="shared" si="21"/>
        <v>13</v>
      </c>
      <c r="P91" s="13">
        <f t="shared" si="21"/>
        <v>5</v>
      </c>
      <c r="Q91" s="13">
        <f t="shared" si="21"/>
        <v>11</v>
      </c>
      <c r="R91" s="13">
        <f t="shared" si="21"/>
        <v>11</v>
      </c>
      <c r="S91" s="13">
        <f t="shared" si="21"/>
        <v>1</v>
      </c>
      <c r="T91" s="13">
        <f t="shared" si="21"/>
        <v>158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5.0</v>
      </c>
      <c r="F93" s="73">
        <v>6.0</v>
      </c>
      <c r="G93" s="73">
        <v>2.0</v>
      </c>
      <c r="H93" s="73">
        <v>0.0</v>
      </c>
      <c r="I93" s="73">
        <v>3.0</v>
      </c>
      <c r="J93" s="73">
        <v>1.0</v>
      </c>
      <c r="K93" s="73">
        <v>5.0</v>
      </c>
      <c r="L93" s="73">
        <v>7.0</v>
      </c>
      <c r="M93" s="73">
        <v>20.0</v>
      </c>
      <c r="N93" s="73">
        <v>8.0</v>
      </c>
      <c r="O93" s="73">
        <v>7.0</v>
      </c>
      <c r="P93" s="73">
        <v>4.0</v>
      </c>
      <c r="Q93" s="73">
        <v>2.0</v>
      </c>
      <c r="R93" s="73">
        <v>0.0</v>
      </c>
      <c r="S93" s="73">
        <v>0.0</v>
      </c>
      <c r="T93" s="13">
        <f t="shared" ref="T93:T102" si="22">SUM(E93:S93)</f>
        <v>70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2.0</v>
      </c>
      <c r="F94" s="73">
        <v>3.0</v>
      </c>
      <c r="G94" s="73">
        <v>2.0</v>
      </c>
      <c r="H94" s="73">
        <v>0.0</v>
      </c>
      <c r="I94" s="73">
        <v>0.0</v>
      </c>
      <c r="J94" s="73">
        <v>8.0</v>
      </c>
      <c r="K94" s="73">
        <v>3.0</v>
      </c>
      <c r="L94" s="73">
        <v>6.0</v>
      </c>
      <c r="M94" s="73">
        <v>5.0</v>
      </c>
      <c r="N94" s="73">
        <v>3.0</v>
      </c>
      <c r="O94" s="73">
        <v>8.0</v>
      </c>
      <c r="P94" s="73">
        <v>3.0</v>
      </c>
      <c r="Q94" s="73">
        <v>0.0</v>
      </c>
      <c r="R94" s="73">
        <v>1.0</v>
      </c>
      <c r="S94" s="73">
        <v>1.0</v>
      </c>
      <c r="T94" s="13">
        <f t="shared" si="22"/>
        <v>45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2.0</v>
      </c>
      <c r="M95" s="73">
        <v>1.0</v>
      </c>
      <c r="N95" s="73">
        <v>1.0</v>
      </c>
      <c r="O95" s="73">
        <v>2.0</v>
      </c>
      <c r="P95" s="73">
        <v>0.0</v>
      </c>
      <c r="Q95" s="73">
        <v>0.0</v>
      </c>
      <c r="R95" s="73">
        <v>1.0</v>
      </c>
      <c r="S95" s="73">
        <v>1.0</v>
      </c>
      <c r="T95" s="13">
        <f t="shared" si="22"/>
        <v>8</v>
      </c>
    </row>
    <row r="96" ht="12.75" customHeight="1">
      <c r="A96" s="18"/>
      <c r="B96" s="49"/>
      <c r="C96" s="50" t="s">
        <v>83</v>
      </c>
      <c r="D96" s="56"/>
      <c r="E96" s="73">
        <v>1.0</v>
      </c>
      <c r="F96" s="73">
        <v>3.0</v>
      </c>
      <c r="G96" s="73">
        <v>0.0</v>
      </c>
      <c r="H96" s="73">
        <v>0.0</v>
      </c>
      <c r="I96" s="73">
        <v>0.0</v>
      </c>
      <c r="J96" s="73">
        <v>1.0</v>
      </c>
      <c r="K96" s="73">
        <v>1.0</v>
      </c>
      <c r="L96" s="73">
        <v>1.0</v>
      </c>
      <c r="M96" s="73">
        <v>1.0</v>
      </c>
      <c r="N96" s="73">
        <v>1.0</v>
      </c>
      <c r="O96" s="73">
        <v>2.0</v>
      </c>
      <c r="P96" s="73">
        <v>0.0</v>
      </c>
      <c r="Q96" s="73">
        <v>0.0</v>
      </c>
      <c r="R96" s="73">
        <v>0.0</v>
      </c>
      <c r="S96" s="73">
        <v>0.0</v>
      </c>
      <c r="T96" s="13">
        <f t="shared" si="22"/>
        <v>11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2.0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2.0</v>
      </c>
      <c r="N97" s="73">
        <v>1.0</v>
      </c>
      <c r="O97" s="73">
        <v>1.0</v>
      </c>
      <c r="P97" s="73">
        <v>1.0</v>
      </c>
      <c r="Q97" s="73">
        <v>0.0</v>
      </c>
      <c r="R97" s="73">
        <v>0.0</v>
      </c>
      <c r="S97" s="73">
        <v>0.0</v>
      </c>
      <c r="T97" s="13">
        <f t="shared" si="22"/>
        <v>7</v>
      </c>
    </row>
    <row r="98" ht="12.75" customHeight="1">
      <c r="A98" s="18"/>
      <c r="B98" s="49"/>
      <c r="C98" s="50" t="s">
        <v>85</v>
      </c>
      <c r="D98" s="51"/>
      <c r="E98" s="73">
        <v>1.0</v>
      </c>
      <c r="F98" s="73">
        <v>0.0</v>
      </c>
      <c r="G98" s="73">
        <v>1.0</v>
      </c>
      <c r="H98" s="73">
        <v>0.0</v>
      </c>
      <c r="I98" s="73">
        <v>4.0</v>
      </c>
      <c r="J98" s="73">
        <v>1.0</v>
      </c>
      <c r="K98" s="73">
        <v>4.0</v>
      </c>
      <c r="L98" s="73">
        <v>3.0</v>
      </c>
      <c r="M98" s="73">
        <v>5.0</v>
      </c>
      <c r="N98" s="73">
        <v>5.0</v>
      </c>
      <c r="O98" s="73">
        <v>8.0</v>
      </c>
      <c r="P98" s="73">
        <v>2.0</v>
      </c>
      <c r="Q98" s="73">
        <v>0.0</v>
      </c>
      <c r="R98" s="73">
        <v>0.0</v>
      </c>
      <c r="S98" s="73">
        <v>0.0</v>
      </c>
      <c r="T98" s="13">
        <f t="shared" si="22"/>
        <v>34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1.0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13">
        <f t="shared" si="22"/>
        <v>1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1.0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2.0</v>
      </c>
      <c r="N100" s="80">
        <v>0.0</v>
      </c>
      <c r="O100" s="80">
        <v>1.0</v>
      </c>
      <c r="P100" s="80">
        <v>0.0</v>
      </c>
      <c r="Q100" s="80">
        <v>0.0</v>
      </c>
      <c r="R100" s="80">
        <v>0.0</v>
      </c>
      <c r="S100" s="80">
        <v>0.0</v>
      </c>
      <c r="T100" s="13">
        <f t="shared" si="22"/>
        <v>4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2.0</v>
      </c>
      <c r="L101" s="80">
        <v>0.0</v>
      </c>
      <c r="M101" s="80">
        <v>0.0</v>
      </c>
      <c r="N101" s="80">
        <v>0.0</v>
      </c>
      <c r="O101" s="80">
        <v>1.0</v>
      </c>
      <c r="P101" s="80">
        <v>1.0</v>
      </c>
      <c r="Q101" s="80">
        <v>0.0</v>
      </c>
      <c r="R101" s="80">
        <v>0.0</v>
      </c>
      <c r="S101" s="80">
        <v>0.0</v>
      </c>
      <c r="T101" s="13">
        <f t="shared" si="22"/>
        <v>4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T103" si="23">SUM(E93:E102)</f>
        <v>9</v>
      </c>
      <c r="F103" s="13">
        <f t="shared" si="23"/>
        <v>13</v>
      </c>
      <c r="G103" s="13">
        <f t="shared" si="23"/>
        <v>7</v>
      </c>
      <c r="H103" s="13">
        <f t="shared" si="23"/>
        <v>0</v>
      </c>
      <c r="I103" s="13">
        <f t="shared" si="23"/>
        <v>7</v>
      </c>
      <c r="J103" s="13">
        <f t="shared" si="23"/>
        <v>11</v>
      </c>
      <c r="K103" s="13">
        <f t="shared" si="23"/>
        <v>15</v>
      </c>
      <c r="L103" s="13">
        <f t="shared" si="23"/>
        <v>20</v>
      </c>
      <c r="M103" s="13">
        <f t="shared" si="23"/>
        <v>36</v>
      </c>
      <c r="N103" s="13">
        <f t="shared" si="23"/>
        <v>19</v>
      </c>
      <c r="O103" s="13">
        <f t="shared" si="23"/>
        <v>30</v>
      </c>
      <c r="P103" s="13">
        <f t="shared" si="23"/>
        <v>11</v>
      </c>
      <c r="Q103" s="13">
        <f t="shared" si="23"/>
        <v>2</v>
      </c>
      <c r="R103" s="13">
        <f t="shared" si="23"/>
        <v>2</v>
      </c>
      <c r="S103" s="13">
        <f t="shared" si="23"/>
        <v>2</v>
      </c>
      <c r="T103" s="13">
        <f t="shared" si="23"/>
        <v>184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3.0</v>
      </c>
      <c r="G105" s="73">
        <v>0.0</v>
      </c>
      <c r="H105" s="73">
        <v>1.0</v>
      </c>
      <c r="I105" s="73">
        <v>0.0</v>
      </c>
      <c r="J105" s="73">
        <v>0.0</v>
      </c>
      <c r="K105" s="73">
        <v>0.0</v>
      </c>
      <c r="L105" s="73">
        <v>2.0</v>
      </c>
      <c r="M105" s="73">
        <v>0.0</v>
      </c>
      <c r="N105" s="73">
        <v>1.0</v>
      </c>
      <c r="O105" s="73">
        <v>0.0</v>
      </c>
      <c r="P105" s="73">
        <v>0.0</v>
      </c>
      <c r="Q105" s="73">
        <v>4.0</v>
      </c>
      <c r="R105" s="73">
        <v>0.0</v>
      </c>
      <c r="S105" s="73">
        <v>1.0</v>
      </c>
      <c r="T105" s="13">
        <f t="shared" ref="T105:T114" si="24">SUM(E105:S105)</f>
        <v>12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1.0</v>
      </c>
      <c r="J106" s="73">
        <v>0.0</v>
      </c>
      <c r="K106" s="73">
        <v>0.0</v>
      </c>
      <c r="L106" s="73">
        <v>1.0</v>
      </c>
      <c r="M106" s="73">
        <v>0.0</v>
      </c>
      <c r="N106" s="73">
        <v>0.0</v>
      </c>
      <c r="O106" s="73">
        <v>2.0</v>
      </c>
      <c r="P106" s="73">
        <v>0.0</v>
      </c>
      <c r="Q106" s="73">
        <v>0.0</v>
      </c>
      <c r="R106" s="73">
        <v>1.0</v>
      </c>
      <c r="S106" s="73">
        <v>2.0</v>
      </c>
      <c r="T106" s="13">
        <f t="shared" si="24"/>
        <v>7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1.0</v>
      </c>
      <c r="H107" s="80">
        <v>0.0</v>
      </c>
      <c r="I107" s="80">
        <v>0.0</v>
      </c>
      <c r="J107" s="80">
        <v>0.0</v>
      </c>
      <c r="K107" s="80">
        <v>0.0</v>
      </c>
      <c r="L107" s="80">
        <v>0.0</v>
      </c>
      <c r="M107" s="80">
        <v>0.0</v>
      </c>
      <c r="N107" s="80">
        <v>1.0</v>
      </c>
      <c r="O107" s="80">
        <v>0.0</v>
      </c>
      <c r="P107" s="80">
        <v>0.0</v>
      </c>
      <c r="Q107" s="80">
        <v>0.0</v>
      </c>
      <c r="R107" s="80">
        <v>0.0</v>
      </c>
      <c r="S107" s="80">
        <v>0.0</v>
      </c>
      <c r="T107" s="13">
        <f t="shared" si="24"/>
        <v>2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T115" si="25">SUM(E105:E114)</f>
        <v>0</v>
      </c>
      <c r="F115" s="13">
        <f t="shared" si="25"/>
        <v>3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3</v>
      </c>
      <c r="M115" s="13">
        <f t="shared" si="25"/>
        <v>0</v>
      </c>
      <c r="N115" s="13">
        <f t="shared" si="25"/>
        <v>2</v>
      </c>
      <c r="O115" s="13">
        <f t="shared" si="25"/>
        <v>2</v>
      </c>
      <c r="P115" s="13">
        <f t="shared" si="25"/>
        <v>0</v>
      </c>
      <c r="Q115" s="13">
        <f t="shared" si="25"/>
        <v>4</v>
      </c>
      <c r="R115" s="13">
        <f t="shared" si="25"/>
        <v>1</v>
      </c>
      <c r="S115" s="13">
        <f t="shared" si="25"/>
        <v>3</v>
      </c>
      <c r="T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2.0</v>
      </c>
      <c r="G117" s="73">
        <v>0.0</v>
      </c>
      <c r="H117" s="73">
        <v>0.0</v>
      </c>
      <c r="I117" s="73">
        <v>0.0</v>
      </c>
      <c r="J117" s="73">
        <v>0.0</v>
      </c>
      <c r="K117" s="73">
        <v>2.0</v>
      </c>
      <c r="L117" s="73">
        <v>1.0</v>
      </c>
      <c r="M117" s="73">
        <v>0.0</v>
      </c>
      <c r="N117" s="73">
        <v>0.0</v>
      </c>
      <c r="O117" s="73">
        <v>2.0</v>
      </c>
      <c r="P117" s="73">
        <v>1.0</v>
      </c>
      <c r="Q117" s="73">
        <v>1.0</v>
      </c>
      <c r="R117" s="73">
        <v>3.0</v>
      </c>
      <c r="S117" s="73">
        <v>3.0</v>
      </c>
      <c r="T117" s="13">
        <f t="shared" ref="T117:T126" si="26">SUM(E117:S117)</f>
        <v>15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4.0</v>
      </c>
      <c r="F118" s="73">
        <v>1.0</v>
      </c>
      <c r="G118" s="73">
        <v>0.0</v>
      </c>
      <c r="H118" s="73">
        <v>0.0</v>
      </c>
      <c r="I118" s="73">
        <v>0.0</v>
      </c>
      <c r="J118" s="73">
        <v>0.0</v>
      </c>
      <c r="K118" s="73">
        <v>5.0</v>
      </c>
      <c r="L118" s="73">
        <v>0.0</v>
      </c>
      <c r="M118" s="73">
        <v>0.0</v>
      </c>
      <c r="N118" s="73">
        <v>0.0</v>
      </c>
      <c r="O118" s="73">
        <v>1.0</v>
      </c>
      <c r="P118" s="73">
        <v>0.0</v>
      </c>
      <c r="Q118" s="73">
        <v>0.0</v>
      </c>
      <c r="R118" s="73">
        <v>3.0</v>
      </c>
      <c r="S118" s="73">
        <v>1.0</v>
      </c>
      <c r="T118" s="13">
        <f t="shared" si="26"/>
        <v>15</v>
      </c>
    </row>
    <row r="119" ht="12.75" customHeight="1">
      <c r="A119" s="18"/>
      <c r="B119" s="49"/>
      <c r="C119" s="50" t="s">
        <v>97</v>
      </c>
      <c r="D119" s="51"/>
      <c r="E119" s="73">
        <v>1.0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2.0</v>
      </c>
      <c r="L119" s="73">
        <v>1.0</v>
      </c>
      <c r="M119" s="73">
        <v>0.0</v>
      </c>
      <c r="N119" s="73">
        <v>0.0</v>
      </c>
      <c r="O119" s="73">
        <v>0.0</v>
      </c>
      <c r="P119" s="73">
        <v>0.0</v>
      </c>
      <c r="Q119" s="73">
        <v>1.0</v>
      </c>
      <c r="R119" s="73">
        <v>1.0</v>
      </c>
      <c r="S119" s="73">
        <v>0.0</v>
      </c>
      <c r="T119" s="13">
        <f t="shared" si="26"/>
        <v>6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13">
        <f t="shared" si="26"/>
        <v>0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13">
        <f t="shared" si="26"/>
        <v>0</v>
      </c>
    </row>
    <row r="122" ht="12.75" customHeight="1">
      <c r="A122" s="79"/>
      <c r="B122" s="49"/>
      <c r="C122" s="50" t="s">
        <v>100</v>
      </c>
      <c r="D122" s="51"/>
      <c r="E122" s="80">
        <v>1.0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1.0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0.0</v>
      </c>
      <c r="R122" s="80">
        <v>0.0</v>
      </c>
      <c r="S122" s="80">
        <v>0.0</v>
      </c>
      <c r="T122" s="13">
        <f t="shared" si="26"/>
        <v>2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T127" si="27">SUM(E117:E126)</f>
        <v>6</v>
      </c>
      <c r="F127" s="13">
        <f t="shared" si="27"/>
        <v>3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10</v>
      </c>
      <c r="L127" s="13">
        <f t="shared" si="27"/>
        <v>2</v>
      </c>
      <c r="M127" s="13">
        <f t="shared" si="27"/>
        <v>0</v>
      </c>
      <c r="N127" s="13">
        <f t="shared" si="27"/>
        <v>0</v>
      </c>
      <c r="O127" s="13">
        <f t="shared" si="27"/>
        <v>3</v>
      </c>
      <c r="P127" s="13">
        <f t="shared" si="27"/>
        <v>1</v>
      </c>
      <c r="Q127" s="13">
        <f t="shared" si="27"/>
        <v>2</v>
      </c>
      <c r="R127" s="13">
        <f t="shared" si="27"/>
        <v>7</v>
      </c>
      <c r="S127" s="13">
        <f t="shared" si="27"/>
        <v>4</v>
      </c>
      <c r="T127" s="13">
        <f t="shared" si="27"/>
        <v>38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0.0</v>
      </c>
      <c r="F129" s="73">
        <v>3.0</v>
      </c>
      <c r="G129" s="73">
        <v>6.0</v>
      </c>
      <c r="H129" s="73">
        <v>1.0</v>
      </c>
      <c r="I129" s="73">
        <v>14.0</v>
      </c>
      <c r="J129" s="73">
        <v>3.0</v>
      </c>
      <c r="K129" s="73">
        <v>10.0</v>
      </c>
      <c r="L129" s="73">
        <v>3.0</v>
      </c>
      <c r="M129" s="73">
        <v>2.0</v>
      </c>
      <c r="N129" s="73">
        <v>3.0</v>
      </c>
      <c r="O129" s="73">
        <v>4.0</v>
      </c>
      <c r="P129" s="73">
        <v>0.0</v>
      </c>
      <c r="Q129" s="73">
        <v>0.0</v>
      </c>
      <c r="R129" s="73">
        <v>0.0</v>
      </c>
      <c r="S129" s="73">
        <v>0.0</v>
      </c>
      <c r="T129" s="13">
        <f t="shared" ref="T129:T138" si="28">SUM(E129:S129)</f>
        <v>49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1.0</v>
      </c>
      <c r="F130" s="73">
        <v>5.0</v>
      </c>
      <c r="G130" s="73">
        <v>8.0</v>
      </c>
      <c r="H130" s="73">
        <v>5.0</v>
      </c>
      <c r="I130" s="73">
        <v>18.0</v>
      </c>
      <c r="J130" s="73">
        <v>19.0</v>
      </c>
      <c r="K130" s="73">
        <v>8.0</v>
      </c>
      <c r="L130" s="73">
        <v>1.0</v>
      </c>
      <c r="M130" s="73">
        <v>0.0</v>
      </c>
      <c r="N130" s="73">
        <v>4.0</v>
      </c>
      <c r="O130" s="73">
        <v>6.0</v>
      </c>
      <c r="P130" s="73">
        <v>0.0</v>
      </c>
      <c r="Q130" s="73">
        <v>0.0</v>
      </c>
      <c r="R130" s="73">
        <v>0.0</v>
      </c>
      <c r="S130" s="73">
        <v>0.0</v>
      </c>
      <c r="T130" s="13">
        <f t="shared" si="28"/>
        <v>75</v>
      </c>
    </row>
    <row r="131" ht="12.75" customHeight="1">
      <c r="A131" s="18"/>
      <c r="B131" s="49"/>
      <c r="C131" s="50" t="s">
        <v>104</v>
      </c>
      <c r="D131" s="51"/>
      <c r="E131" s="73">
        <v>2.0</v>
      </c>
      <c r="F131" s="73">
        <v>0.0</v>
      </c>
      <c r="G131" s="73">
        <v>1.0</v>
      </c>
      <c r="H131" s="73">
        <v>0.0</v>
      </c>
      <c r="I131" s="73">
        <v>0.0</v>
      </c>
      <c r="J131" s="73">
        <v>1.0</v>
      </c>
      <c r="K131" s="73">
        <v>1.0</v>
      </c>
      <c r="L131" s="73">
        <v>1.0</v>
      </c>
      <c r="M131" s="73">
        <v>0.0</v>
      </c>
      <c r="N131" s="73">
        <v>0.0</v>
      </c>
      <c r="O131" s="73">
        <v>0.0</v>
      </c>
      <c r="P131" s="73">
        <v>0.0</v>
      </c>
      <c r="Q131" s="73">
        <v>0.0</v>
      </c>
      <c r="R131" s="73">
        <v>1.0</v>
      </c>
      <c r="S131" s="73">
        <v>1.0</v>
      </c>
      <c r="T131" s="13">
        <f t="shared" si="28"/>
        <v>8</v>
      </c>
    </row>
    <row r="132" ht="12.75" customHeight="1">
      <c r="A132" s="18"/>
      <c r="B132" s="49"/>
      <c r="C132" s="50" t="s">
        <v>105</v>
      </c>
      <c r="D132" s="51"/>
      <c r="E132" s="73">
        <v>2.0</v>
      </c>
      <c r="F132" s="73">
        <v>1.0</v>
      </c>
      <c r="G132" s="73">
        <v>0.0</v>
      </c>
      <c r="H132" s="73">
        <v>1.0</v>
      </c>
      <c r="I132" s="73">
        <v>2.0</v>
      </c>
      <c r="J132" s="73">
        <v>0.0</v>
      </c>
      <c r="K132" s="73">
        <v>3.0</v>
      </c>
      <c r="L132" s="73">
        <v>0.0</v>
      </c>
      <c r="M132" s="73">
        <v>4.0</v>
      </c>
      <c r="N132" s="73">
        <v>1.0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13">
        <f t="shared" si="28"/>
        <v>14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1.0</v>
      </c>
      <c r="H133" s="73">
        <v>0.0</v>
      </c>
      <c r="I133" s="73">
        <v>0.0</v>
      </c>
      <c r="J133" s="73">
        <v>0.0</v>
      </c>
      <c r="K133" s="73">
        <v>1.0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13">
        <f t="shared" si="28"/>
        <v>2</v>
      </c>
    </row>
    <row r="134" ht="12.75" customHeight="1">
      <c r="A134" s="18"/>
      <c r="B134" s="49"/>
      <c r="C134" s="50" t="s">
        <v>107</v>
      </c>
      <c r="D134" s="51"/>
      <c r="E134" s="73">
        <v>9.0</v>
      </c>
      <c r="F134" s="73">
        <v>1.0</v>
      </c>
      <c r="G134" s="73">
        <v>2.0</v>
      </c>
      <c r="H134" s="73">
        <v>1.0</v>
      </c>
      <c r="I134" s="73">
        <v>1.0</v>
      </c>
      <c r="J134" s="73">
        <v>0.0</v>
      </c>
      <c r="K134" s="73">
        <v>3.0</v>
      </c>
      <c r="L134" s="73">
        <v>3.0</v>
      </c>
      <c r="M134" s="73">
        <v>0.0</v>
      </c>
      <c r="N134" s="73">
        <v>3.0</v>
      </c>
      <c r="O134" s="73">
        <v>1.0</v>
      </c>
      <c r="P134" s="73">
        <v>1.0</v>
      </c>
      <c r="Q134" s="73">
        <v>0.0</v>
      </c>
      <c r="R134" s="73">
        <v>0.0</v>
      </c>
      <c r="S134" s="73">
        <v>0.0</v>
      </c>
      <c r="T134" s="13">
        <f t="shared" si="28"/>
        <v>25</v>
      </c>
    </row>
    <row r="135" ht="12.75" customHeight="1">
      <c r="A135" s="18"/>
      <c r="B135" s="49"/>
      <c r="C135" s="50" t="s">
        <v>108</v>
      </c>
      <c r="D135" s="51"/>
      <c r="E135" s="73">
        <v>0.0</v>
      </c>
      <c r="F135" s="73">
        <v>1.0</v>
      </c>
      <c r="G135" s="73">
        <v>2.0</v>
      </c>
      <c r="H135" s="73">
        <v>0.0</v>
      </c>
      <c r="I135" s="73">
        <v>0.0</v>
      </c>
      <c r="J135" s="73">
        <v>0.0</v>
      </c>
      <c r="K135" s="73">
        <v>2.0</v>
      </c>
      <c r="L135" s="73">
        <v>1.0</v>
      </c>
      <c r="M135" s="73">
        <v>1.0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73">
        <v>0.0</v>
      </c>
      <c r="T135" s="13">
        <f t="shared" si="28"/>
        <v>7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1.0</v>
      </c>
      <c r="I136" s="80">
        <v>1.0</v>
      </c>
      <c r="J136" s="80">
        <v>0.0</v>
      </c>
      <c r="K136" s="80">
        <v>0.0</v>
      </c>
      <c r="L136" s="80">
        <v>0.0</v>
      </c>
      <c r="M136" s="80">
        <v>0.0</v>
      </c>
      <c r="N136" s="80">
        <v>1.0</v>
      </c>
      <c r="O136" s="80">
        <v>0.0</v>
      </c>
      <c r="P136" s="80">
        <v>0.0</v>
      </c>
      <c r="Q136" s="80">
        <v>0.0</v>
      </c>
      <c r="R136" s="80">
        <v>0.0</v>
      </c>
      <c r="S136" s="80">
        <v>0.0</v>
      </c>
      <c r="T136" s="13">
        <f t="shared" si="28"/>
        <v>3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1.0</v>
      </c>
      <c r="G137" s="80">
        <v>1.0</v>
      </c>
      <c r="H137" s="80">
        <v>0.0</v>
      </c>
      <c r="I137" s="80">
        <v>1.0</v>
      </c>
      <c r="J137" s="80">
        <v>0.0</v>
      </c>
      <c r="K137" s="80">
        <v>1.0</v>
      </c>
      <c r="L137" s="80">
        <v>0.0</v>
      </c>
      <c r="M137" s="80">
        <v>0.0</v>
      </c>
      <c r="N137" s="80">
        <v>0.0</v>
      </c>
      <c r="O137" s="80">
        <v>0.0</v>
      </c>
      <c r="P137" s="80">
        <v>0.0</v>
      </c>
      <c r="Q137" s="80">
        <v>0.0</v>
      </c>
      <c r="R137" s="80">
        <v>0.0</v>
      </c>
      <c r="S137" s="80">
        <v>0.0</v>
      </c>
      <c r="T137" s="13">
        <f t="shared" si="28"/>
        <v>4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1.0</v>
      </c>
      <c r="I138" s="80">
        <v>0.0</v>
      </c>
      <c r="J138" s="80">
        <v>0.0</v>
      </c>
      <c r="K138" s="80">
        <v>0.0</v>
      </c>
      <c r="L138" s="80">
        <v>0.0</v>
      </c>
      <c r="M138" s="80">
        <v>0.0</v>
      </c>
      <c r="N138" s="80">
        <v>1.0</v>
      </c>
      <c r="O138" s="80">
        <v>1.0</v>
      </c>
      <c r="P138" s="80">
        <v>0.0</v>
      </c>
      <c r="Q138" s="80">
        <v>0.0</v>
      </c>
      <c r="R138" s="80">
        <v>0.0</v>
      </c>
      <c r="S138" s="80">
        <v>0.0</v>
      </c>
      <c r="T138" s="13">
        <f t="shared" si="28"/>
        <v>3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T139" si="29">SUM(E129:E138)</f>
        <v>14</v>
      </c>
      <c r="F139" s="13">
        <f t="shared" si="29"/>
        <v>12</v>
      </c>
      <c r="G139" s="13">
        <f t="shared" si="29"/>
        <v>21</v>
      </c>
      <c r="H139" s="13">
        <f t="shared" si="29"/>
        <v>10</v>
      </c>
      <c r="I139" s="13">
        <f t="shared" si="29"/>
        <v>37</v>
      </c>
      <c r="J139" s="13">
        <f t="shared" si="29"/>
        <v>23</v>
      </c>
      <c r="K139" s="13">
        <f t="shared" si="29"/>
        <v>29</v>
      </c>
      <c r="L139" s="13">
        <f t="shared" si="29"/>
        <v>9</v>
      </c>
      <c r="M139" s="13">
        <f t="shared" si="29"/>
        <v>7</v>
      </c>
      <c r="N139" s="13">
        <f t="shared" si="29"/>
        <v>13</v>
      </c>
      <c r="O139" s="13">
        <f t="shared" si="29"/>
        <v>12</v>
      </c>
      <c r="P139" s="13">
        <f t="shared" si="29"/>
        <v>1</v>
      </c>
      <c r="Q139" s="13">
        <f t="shared" si="29"/>
        <v>0</v>
      </c>
      <c r="R139" s="13">
        <f t="shared" si="29"/>
        <v>1</v>
      </c>
      <c r="S139" s="13">
        <f t="shared" si="29"/>
        <v>1</v>
      </c>
      <c r="T139" s="13">
        <f t="shared" si="29"/>
        <v>190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1.0</v>
      </c>
      <c r="L141" s="73">
        <v>0.0</v>
      </c>
      <c r="M141" s="73">
        <v>1.0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13">
        <f t="shared" ref="T141:T150" si="30">SUM(E141:S141)</f>
        <v>2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13">
        <f t="shared" si="30"/>
        <v>0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0.0</v>
      </c>
      <c r="T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T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1.0</v>
      </c>
      <c r="F153" s="73">
        <v>0.0</v>
      </c>
      <c r="G153" s="73">
        <v>0.0</v>
      </c>
      <c r="H153" s="73">
        <v>0.0</v>
      </c>
      <c r="I153" s="73">
        <v>1.0</v>
      </c>
      <c r="J153" s="73">
        <v>0.0</v>
      </c>
      <c r="K153" s="73">
        <v>1.0</v>
      </c>
      <c r="L153" s="73">
        <v>7.0</v>
      </c>
      <c r="M153" s="73">
        <v>2.0</v>
      </c>
      <c r="N153" s="73">
        <v>4.0</v>
      </c>
      <c r="O153" s="73">
        <v>4.0</v>
      </c>
      <c r="P153" s="73">
        <v>12.0</v>
      </c>
      <c r="Q153" s="73">
        <v>15.0</v>
      </c>
      <c r="R153" s="73">
        <v>37.0</v>
      </c>
      <c r="S153" s="73">
        <v>42.0</v>
      </c>
      <c r="T153" s="13">
        <f t="shared" ref="T153:T162" si="32">SUM(E153:S153)</f>
        <v>126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0.0</v>
      </c>
      <c r="H154" s="73">
        <v>0.0</v>
      </c>
      <c r="I154" s="73">
        <v>1.0</v>
      </c>
      <c r="J154" s="73">
        <v>5.0</v>
      </c>
      <c r="K154" s="73">
        <v>3.0</v>
      </c>
      <c r="L154" s="73">
        <v>4.0</v>
      </c>
      <c r="M154" s="73">
        <v>2.0</v>
      </c>
      <c r="N154" s="73">
        <v>4.0</v>
      </c>
      <c r="O154" s="73">
        <v>2.0</v>
      </c>
      <c r="P154" s="73">
        <v>8.0</v>
      </c>
      <c r="Q154" s="73">
        <v>17.0</v>
      </c>
      <c r="R154" s="73">
        <v>25.0</v>
      </c>
      <c r="S154" s="73">
        <v>21.0</v>
      </c>
      <c r="T154" s="13">
        <f t="shared" si="32"/>
        <v>92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1.0</v>
      </c>
      <c r="Q155" s="73">
        <v>3.0</v>
      </c>
      <c r="R155" s="73">
        <v>0.0</v>
      </c>
      <c r="S155" s="73">
        <v>5.0</v>
      </c>
      <c r="T155" s="13">
        <f t="shared" si="32"/>
        <v>9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0.0</v>
      </c>
      <c r="I156" s="73">
        <v>1.0</v>
      </c>
      <c r="J156" s="73">
        <v>1.0</v>
      </c>
      <c r="K156" s="73">
        <v>0.0</v>
      </c>
      <c r="L156" s="73">
        <v>0.0</v>
      </c>
      <c r="M156" s="73">
        <v>0.0</v>
      </c>
      <c r="N156" s="73">
        <v>1.0</v>
      </c>
      <c r="O156" s="73">
        <v>0.0</v>
      </c>
      <c r="P156" s="73">
        <v>0.0</v>
      </c>
      <c r="Q156" s="73">
        <v>0.0</v>
      </c>
      <c r="R156" s="73">
        <v>2.0</v>
      </c>
      <c r="S156" s="73">
        <v>2.0</v>
      </c>
      <c r="T156" s="13">
        <f t="shared" si="32"/>
        <v>7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1.0</v>
      </c>
      <c r="M157" s="73">
        <v>1.0</v>
      </c>
      <c r="N157" s="73">
        <v>0.0</v>
      </c>
      <c r="O157" s="73">
        <v>0.0</v>
      </c>
      <c r="P157" s="73">
        <v>0.0</v>
      </c>
      <c r="Q157" s="73">
        <v>0.0</v>
      </c>
      <c r="R157" s="73">
        <v>2.0</v>
      </c>
      <c r="S157" s="73">
        <v>2.0</v>
      </c>
      <c r="T157" s="13">
        <f t="shared" si="32"/>
        <v>6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0.0</v>
      </c>
      <c r="N158" s="80">
        <v>0.0</v>
      </c>
      <c r="O158" s="80">
        <v>0.0</v>
      </c>
      <c r="P158" s="73">
        <v>0.0</v>
      </c>
      <c r="Q158" s="80">
        <v>1.0</v>
      </c>
      <c r="R158" s="80">
        <v>1.0</v>
      </c>
      <c r="S158" s="80">
        <v>0.0</v>
      </c>
      <c r="T158" s="13">
        <f t="shared" si="32"/>
        <v>2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80">
        <v>2.0</v>
      </c>
      <c r="S159" s="80">
        <v>1.0</v>
      </c>
      <c r="T159" s="13">
        <f t="shared" si="32"/>
        <v>3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13">
        <f t="shared" si="32"/>
        <v>0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T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3</v>
      </c>
      <c r="J163" s="13">
        <f t="shared" si="33"/>
        <v>6</v>
      </c>
      <c r="K163" s="13">
        <f t="shared" si="33"/>
        <v>4</v>
      </c>
      <c r="L163" s="13">
        <f t="shared" si="33"/>
        <v>12</v>
      </c>
      <c r="M163" s="13">
        <f t="shared" si="33"/>
        <v>5</v>
      </c>
      <c r="N163" s="13">
        <f t="shared" si="33"/>
        <v>9</v>
      </c>
      <c r="O163" s="13">
        <f t="shared" si="33"/>
        <v>6</v>
      </c>
      <c r="P163" s="13">
        <f t="shared" si="33"/>
        <v>21</v>
      </c>
      <c r="Q163" s="13">
        <f t="shared" si="33"/>
        <v>36</v>
      </c>
      <c r="R163" s="13">
        <f t="shared" si="33"/>
        <v>69</v>
      </c>
      <c r="S163" s="13">
        <f t="shared" si="33"/>
        <v>73</v>
      </c>
      <c r="T163" s="13">
        <f t="shared" si="33"/>
        <v>245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1.0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1.0</v>
      </c>
      <c r="L165" s="73">
        <v>1.0</v>
      </c>
      <c r="M165" s="73">
        <v>0.0</v>
      </c>
      <c r="N165" s="73">
        <v>0.0</v>
      </c>
      <c r="O165" s="73">
        <v>1.0</v>
      </c>
      <c r="P165" s="73">
        <v>0.0</v>
      </c>
      <c r="Q165" s="73">
        <v>1.0</v>
      </c>
      <c r="R165" s="73">
        <v>0.0</v>
      </c>
      <c r="S165" s="73">
        <v>0.0</v>
      </c>
      <c r="T165" s="13">
        <f t="shared" ref="T165:T174" si="34">SUM(E165:S165)</f>
        <v>5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0.0</v>
      </c>
      <c r="F166" s="80">
        <v>0.0</v>
      </c>
      <c r="G166" s="80">
        <v>0.0</v>
      </c>
      <c r="H166" s="80">
        <v>1.0</v>
      </c>
      <c r="I166" s="80">
        <v>1.0</v>
      </c>
      <c r="J166" s="80">
        <v>0.0</v>
      </c>
      <c r="K166" s="80">
        <v>1.0</v>
      </c>
      <c r="L166" s="80">
        <v>0.0</v>
      </c>
      <c r="M166" s="80">
        <v>0.0</v>
      </c>
      <c r="N166" s="80">
        <v>1.0</v>
      </c>
      <c r="O166" s="80">
        <v>0.0</v>
      </c>
      <c r="P166" s="80">
        <v>0.0</v>
      </c>
      <c r="Q166" s="80">
        <v>0.0</v>
      </c>
      <c r="R166" s="80">
        <v>0.0</v>
      </c>
      <c r="S166" s="80">
        <v>1.0</v>
      </c>
      <c r="T166" s="13">
        <f t="shared" si="34"/>
        <v>5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T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0</v>
      </c>
      <c r="K175" s="13">
        <f t="shared" si="35"/>
        <v>2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10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2.0</v>
      </c>
      <c r="F177" s="73">
        <v>1.0</v>
      </c>
      <c r="G177" s="73">
        <v>2.0</v>
      </c>
      <c r="H177" s="73">
        <v>1.0</v>
      </c>
      <c r="I177" s="73">
        <v>2.0</v>
      </c>
      <c r="J177" s="73">
        <v>2.0</v>
      </c>
      <c r="K177" s="73">
        <v>4.0</v>
      </c>
      <c r="L177" s="73">
        <v>5.0</v>
      </c>
      <c r="M177" s="73">
        <v>5.0</v>
      </c>
      <c r="N177" s="73">
        <v>1.0</v>
      </c>
      <c r="O177" s="73">
        <v>3.0</v>
      </c>
      <c r="P177" s="73">
        <v>1.0</v>
      </c>
      <c r="Q177" s="73">
        <v>0.0</v>
      </c>
      <c r="R177" s="73">
        <v>0.0</v>
      </c>
      <c r="S177" s="73">
        <v>0.0</v>
      </c>
      <c r="T177" s="13">
        <f t="shared" ref="T177:T186" si="36">SUM(E177:S177)</f>
        <v>29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3.0</v>
      </c>
      <c r="F178" s="73">
        <v>4.0</v>
      </c>
      <c r="G178" s="73">
        <v>2.0</v>
      </c>
      <c r="H178" s="73">
        <v>2.0</v>
      </c>
      <c r="I178" s="73">
        <v>6.0</v>
      </c>
      <c r="J178" s="73">
        <v>5.0</v>
      </c>
      <c r="K178" s="73">
        <v>4.0</v>
      </c>
      <c r="L178" s="73">
        <v>2.0</v>
      </c>
      <c r="M178" s="73">
        <v>2.0</v>
      </c>
      <c r="N178" s="73">
        <v>5.0</v>
      </c>
      <c r="O178" s="73">
        <v>4.0</v>
      </c>
      <c r="P178" s="73">
        <v>1.0</v>
      </c>
      <c r="Q178" s="73">
        <v>2.0</v>
      </c>
      <c r="R178" s="73">
        <v>0.0</v>
      </c>
      <c r="S178" s="73">
        <v>0.0</v>
      </c>
      <c r="T178" s="13">
        <f t="shared" si="36"/>
        <v>42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1.0</v>
      </c>
      <c r="G179" s="73">
        <v>0.0</v>
      </c>
      <c r="H179" s="73">
        <v>0.0</v>
      </c>
      <c r="I179" s="73">
        <v>1.0</v>
      </c>
      <c r="J179" s="73">
        <v>3.0</v>
      </c>
      <c r="K179" s="73">
        <v>0.0</v>
      </c>
      <c r="L179" s="73">
        <v>1.0</v>
      </c>
      <c r="M179" s="73">
        <v>1.0</v>
      </c>
      <c r="N179" s="73">
        <v>0.0</v>
      </c>
      <c r="O179" s="73">
        <v>0.0</v>
      </c>
      <c r="P179" s="73">
        <v>0.0</v>
      </c>
      <c r="Q179" s="73">
        <v>0.0</v>
      </c>
      <c r="R179" s="73">
        <v>1.0</v>
      </c>
      <c r="S179" s="73">
        <v>0.0</v>
      </c>
      <c r="T179" s="13">
        <f t="shared" si="36"/>
        <v>8</v>
      </c>
    </row>
    <row r="180" ht="12.75" customHeight="1">
      <c r="A180" s="18"/>
      <c r="B180" s="49"/>
      <c r="C180" s="50" t="s">
        <v>133</v>
      </c>
      <c r="D180" s="51"/>
      <c r="E180" s="73">
        <v>1.0</v>
      </c>
      <c r="F180" s="73">
        <v>0.0</v>
      </c>
      <c r="G180" s="73">
        <v>1.0</v>
      </c>
      <c r="H180" s="73">
        <v>0.0</v>
      </c>
      <c r="I180" s="73">
        <v>3.0</v>
      </c>
      <c r="J180" s="73">
        <v>1.0</v>
      </c>
      <c r="K180" s="73">
        <v>1.0</v>
      </c>
      <c r="L180" s="73">
        <v>0.0</v>
      </c>
      <c r="M180" s="73">
        <v>2.0</v>
      </c>
      <c r="N180" s="73">
        <v>2.0</v>
      </c>
      <c r="O180" s="73">
        <v>0.0</v>
      </c>
      <c r="P180" s="73">
        <v>0.0</v>
      </c>
      <c r="Q180" s="73">
        <v>0.0</v>
      </c>
      <c r="R180" s="73">
        <v>0.0</v>
      </c>
      <c r="S180" s="73">
        <v>0.0</v>
      </c>
      <c r="T180" s="13">
        <f t="shared" si="36"/>
        <v>11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1.0</v>
      </c>
      <c r="G181" s="73">
        <v>0.0</v>
      </c>
      <c r="H181" s="73">
        <v>1.0</v>
      </c>
      <c r="I181" s="73">
        <v>1.0</v>
      </c>
      <c r="J181" s="73">
        <v>1.0</v>
      </c>
      <c r="K181" s="73">
        <v>2.0</v>
      </c>
      <c r="L181" s="73">
        <v>1.0</v>
      </c>
      <c r="M181" s="73">
        <v>1.0</v>
      </c>
      <c r="N181" s="73">
        <v>2.0</v>
      </c>
      <c r="O181" s="73">
        <v>1.0</v>
      </c>
      <c r="P181" s="73">
        <v>0.0</v>
      </c>
      <c r="Q181" s="73">
        <v>1.0</v>
      </c>
      <c r="R181" s="73">
        <v>0.0</v>
      </c>
      <c r="S181" s="73">
        <v>0.0</v>
      </c>
      <c r="T181" s="13">
        <f t="shared" si="36"/>
        <v>12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1.0</v>
      </c>
      <c r="J182" s="73">
        <v>0.0</v>
      </c>
      <c r="K182" s="73">
        <v>1.0</v>
      </c>
      <c r="L182" s="73">
        <v>0.0</v>
      </c>
      <c r="M182" s="73">
        <v>1.0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13">
        <f t="shared" si="36"/>
        <v>3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1.0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13">
        <f t="shared" si="36"/>
        <v>1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0.0</v>
      </c>
      <c r="J184" s="80">
        <v>0.0</v>
      </c>
      <c r="K184" s="80">
        <v>0.0</v>
      </c>
      <c r="L184" s="80">
        <v>0.0</v>
      </c>
      <c r="M184" s="80">
        <v>1.0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80">
        <v>0.0</v>
      </c>
      <c r="T184" s="13">
        <f t="shared" si="36"/>
        <v>1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0.0</v>
      </c>
      <c r="G185" s="80">
        <v>0.0</v>
      </c>
      <c r="H185" s="80">
        <v>0.0</v>
      </c>
      <c r="I185" s="80">
        <v>2.0</v>
      </c>
      <c r="J185" s="80">
        <v>1.0</v>
      </c>
      <c r="K185" s="80">
        <v>0.0</v>
      </c>
      <c r="L185" s="80">
        <v>0.0</v>
      </c>
      <c r="M185" s="80">
        <v>0.0</v>
      </c>
      <c r="N185" s="80">
        <v>0.0</v>
      </c>
      <c r="O185" s="80">
        <v>1.0</v>
      </c>
      <c r="P185" s="80">
        <v>0.0</v>
      </c>
      <c r="Q185" s="80">
        <v>0.0</v>
      </c>
      <c r="R185" s="80">
        <v>0.0</v>
      </c>
      <c r="S185" s="80">
        <v>0.0</v>
      </c>
      <c r="T185" s="13">
        <f t="shared" si="36"/>
        <v>4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0.0</v>
      </c>
      <c r="Q186" s="80">
        <v>0.0</v>
      </c>
      <c r="R186" s="80">
        <v>0.0</v>
      </c>
      <c r="S186" s="80">
        <v>0.0</v>
      </c>
      <c r="T186" s="13">
        <f t="shared" si="36"/>
        <v>0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T187" si="37">SUM(E177:E186)</f>
        <v>6</v>
      </c>
      <c r="F187" s="13">
        <f t="shared" si="37"/>
        <v>7</v>
      </c>
      <c r="G187" s="13">
        <f t="shared" si="37"/>
        <v>5</v>
      </c>
      <c r="H187" s="13">
        <f t="shared" si="37"/>
        <v>4</v>
      </c>
      <c r="I187" s="13">
        <f t="shared" si="37"/>
        <v>16</v>
      </c>
      <c r="J187" s="13">
        <f t="shared" si="37"/>
        <v>14</v>
      </c>
      <c r="K187" s="13">
        <f t="shared" si="37"/>
        <v>12</v>
      </c>
      <c r="L187" s="13">
        <f t="shared" si="37"/>
        <v>9</v>
      </c>
      <c r="M187" s="13">
        <f t="shared" si="37"/>
        <v>13</v>
      </c>
      <c r="N187" s="13">
        <f t="shared" si="37"/>
        <v>10</v>
      </c>
      <c r="O187" s="13">
        <f t="shared" si="37"/>
        <v>9</v>
      </c>
      <c r="P187" s="13">
        <f t="shared" si="37"/>
        <v>2</v>
      </c>
      <c r="Q187" s="13">
        <f t="shared" si="37"/>
        <v>3</v>
      </c>
      <c r="R187" s="13">
        <f t="shared" si="37"/>
        <v>1</v>
      </c>
      <c r="S187" s="13">
        <f t="shared" si="37"/>
        <v>0</v>
      </c>
      <c r="T187" s="13">
        <f t="shared" si="37"/>
        <v>111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T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2.0</v>
      </c>
      <c r="F189" s="73">
        <v>0.0</v>
      </c>
      <c r="G189" s="73">
        <v>1.0</v>
      </c>
      <c r="H189" s="73">
        <v>1.0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4.0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13">
        <f t="shared" ref="T189:T198" si="38">SUM(E189:S189)</f>
        <v>8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2.0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13">
        <f t="shared" si="38"/>
        <v>2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1.0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1.0</v>
      </c>
      <c r="N191" s="73">
        <v>1.0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13">
        <f t="shared" si="38"/>
        <v>3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1.0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2.0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13">
        <f t="shared" si="38"/>
        <v>3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1.0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1.0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13">
        <f t="shared" si="38"/>
        <v>2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1.0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13">
        <f t="shared" si="38"/>
        <v>1</v>
      </c>
    </row>
    <row r="195" ht="12.75" customHeight="1">
      <c r="A195" s="18"/>
      <c r="B195" s="49"/>
      <c r="C195" s="50" t="s">
        <v>147</v>
      </c>
      <c r="D195" s="51"/>
      <c r="E195" s="73">
        <v>1.0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13">
        <f t="shared" si="38"/>
        <v>1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1.0</v>
      </c>
      <c r="O196" s="80">
        <v>1.0</v>
      </c>
      <c r="P196" s="80">
        <v>0.0</v>
      </c>
      <c r="Q196" s="80">
        <v>0.0</v>
      </c>
      <c r="R196" s="80">
        <v>0.0</v>
      </c>
      <c r="S196" s="80">
        <v>0.0</v>
      </c>
      <c r="T196" s="13">
        <f t="shared" si="38"/>
        <v>2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1.0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13">
        <f t="shared" si="38"/>
        <v>1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T199" si="39">SUM(E189:E198)</f>
        <v>3</v>
      </c>
      <c r="F199" s="13">
        <f t="shared" si="39"/>
        <v>0</v>
      </c>
      <c r="G199" s="13">
        <f t="shared" si="39"/>
        <v>5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1</v>
      </c>
      <c r="N199" s="13">
        <f t="shared" si="39"/>
        <v>11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23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10.0</v>
      </c>
      <c r="F201" s="73">
        <v>2.0</v>
      </c>
      <c r="G201" s="73">
        <v>7.0</v>
      </c>
      <c r="H201" s="73">
        <v>1.0</v>
      </c>
      <c r="I201" s="73">
        <v>2.0</v>
      </c>
      <c r="J201" s="73">
        <v>4.0</v>
      </c>
      <c r="K201" s="73">
        <v>2.0</v>
      </c>
      <c r="L201" s="73">
        <v>7.0</v>
      </c>
      <c r="M201" s="73">
        <v>7.0</v>
      </c>
      <c r="N201" s="73">
        <v>1.0</v>
      </c>
      <c r="O201" s="73">
        <v>0.0</v>
      </c>
      <c r="P201" s="73">
        <v>3.0</v>
      </c>
      <c r="Q201" s="73">
        <v>0.0</v>
      </c>
      <c r="R201" s="73">
        <v>7.0</v>
      </c>
      <c r="S201" s="73">
        <v>4.0</v>
      </c>
      <c r="T201" s="13">
        <f t="shared" ref="T201:T210" si="40">SUM(E201:S201)</f>
        <v>57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4.0</v>
      </c>
      <c r="F202" s="73">
        <v>5.0</v>
      </c>
      <c r="G202" s="73">
        <v>3.0</v>
      </c>
      <c r="H202" s="73">
        <v>4.0</v>
      </c>
      <c r="I202" s="73">
        <v>10.0</v>
      </c>
      <c r="J202" s="73">
        <v>8.0</v>
      </c>
      <c r="K202" s="73">
        <v>2.0</v>
      </c>
      <c r="L202" s="73">
        <v>0.0</v>
      </c>
      <c r="M202" s="73">
        <v>6.0</v>
      </c>
      <c r="N202" s="73">
        <v>0.0</v>
      </c>
      <c r="O202" s="73">
        <v>1.0</v>
      </c>
      <c r="P202" s="73">
        <v>1.0</v>
      </c>
      <c r="Q202" s="73">
        <v>1.0</v>
      </c>
      <c r="R202" s="73">
        <v>7.0</v>
      </c>
      <c r="S202" s="73">
        <v>8.0</v>
      </c>
      <c r="T202" s="13">
        <f t="shared" si="40"/>
        <v>60</v>
      </c>
    </row>
    <row r="203" ht="12.75" customHeight="1">
      <c r="A203" s="18"/>
      <c r="B203" s="49"/>
      <c r="C203" s="50" t="s">
        <v>154</v>
      </c>
      <c r="D203" s="51"/>
      <c r="E203" s="73">
        <v>2.0</v>
      </c>
      <c r="F203" s="73">
        <v>1.0</v>
      </c>
      <c r="G203" s="73">
        <v>1.0</v>
      </c>
      <c r="H203" s="73">
        <v>3.0</v>
      </c>
      <c r="I203" s="73">
        <v>4.0</v>
      </c>
      <c r="J203" s="73">
        <v>1.0</v>
      </c>
      <c r="K203" s="73">
        <v>0.0</v>
      </c>
      <c r="L203" s="73">
        <v>1.0</v>
      </c>
      <c r="M203" s="73">
        <v>5.0</v>
      </c>
      <c r="N203" s="73">
        <v>0.0</v>
      </c>
      <c r="O203" s="73">
        <v>0.0</v>
      </c>
      <c r="P203" s="73">
        <v>1.0</v>
      </c>
      <c r="Q203" s="73">
        <v>3.0</v>
      </c>
      <c r="R203" s="73">
        <v>0.0</v>
      </c>
      <c r="S203" s="73">
        <v>1.0</v>
      </c>
      <c r="T203" s="13">
        <f t="shared" si="40"/>
        <v>23</v>
      </c>
    </row>
    <row r="204" ht="12.75" customHeight="1">
      <c r="A204" s="18"/>
      <c r="B204" s="49"/>
      <c r="C204" s="50" t="s">
        <v>155</v>
      </c>
      <c r="D204" s="51"/>
      <c r="E204" s="73">
        <v>1.0</v>
      </c>
      <c r="F204" s="73">
        <v>1.0</v>
      </c>
      <c r="G204" s="73">
        <v>0.0</v>
      </c>
      <c r="H204" s="73">
        <v>2.0</v>
      </c>
      <c r="I204" s="73">
        <v>2.0</v>
      </c>
      <c r="J204" s="73">
        <v>5.0</v>
      </c>
      <c r="K204" s="73">
        <v>3.0</v>
      </c>
      <c r="L204" s="73">
        <v>1.0</v>
      </c>
      <c r="M204" s="73">
        <v>3.0</v>
      </c>
      <c r="N204" s="73">
        <v>0.0</v>
      </c>
      <c r="O204" s="73">
        <v>1.0</v>
      </c>
      <c r="P204" s="73">
        <v>0.0</v>
      </c>
      <c r="Q204" s="73">
        <v>1.0</v>
      </c>
      <c r="R204" s="73">
        <v>4.0</v>
      </c>
      <c r="S204" s="73">
        <v>0.0</v>
      </c>
      <c r="T204" s="13">
        <f t="shared" si="40"/>
        <v>24</v>
      </c>
    </row>
    <row r="205" ht="12.75" customHeight="1">
      <c r="A205" s="18"/>
      <c r="B205" s="49"/>
      <c r="C205" s="50" t="s">
        <v>156</v>
      </c>
      <c r="D205" s="51"/>
      <c r="E205" s="73">
        <v>1.0</v>
      </c>
      <c r="F205" s="73">
        <v>0.0</v>
      </c>
      <c r="G205" s="73">
        <v>1.0</v>
      </c>
      <c r="H205" s="73">
        <v>0.0</v>
      </c>
      <c r="I205" s="73">
        <v>0.0</v>
      </c>
      <c r="J205" s="73">
        <v>1.0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1.0</v>
      </c>
      <c r="T205" s="13">
        <f t="shared" si="40"/>
        <v>4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1.0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1.0</v>
      </c>
      <c r="P206" s="73">
        <v>0.0</v>
      </c>
      <c r="Q206" s="73">
        <v>0.0</v>
      </c>
      <c r="R206" s="73">
        <v>0.0</v>
      </c>
      <c r="S206" s="73">
        <v>0.0</v>
      </c>
      <c r="T206" s="13">
        <f t="shared" si="40"/>
        <v>2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2.0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1.0</v>
      </c>
      <c r="T207" s="13">
        <f t="shared" si="40"/>
        <v>3</v>
      </c>
    </row>
    <row r="208" ht="12.75" customHeight="1">
      <c r="A208" s="79"/>
      <c r="B208" s="49"/>
      <c r="C208" s="50" t="s">
        <v>159</v>
      </c>
      <c r="D208" s="51"/>
      <c r="E208" s="80">
        <v>0.0</v>
      </c>
      <c r="F208" s="80">
        <v>1.0</v>
      </c>
      <c r="G208" s="80">
        <v>1.0</v>
      </c>
      <c r="H208" s="80">
        <v>1.0</v>
      </c>
      <c r="I208" s="80">
        <v>0.0</v>
      </c>
      <c r="J208" s="80">
        <v>0.0</v>
      </c>
      <c r="K208" s="80">
        <v>1.0</v>
      </c>
      <c r="L208" s="80">
        <v>0.0</v>
      </c>
      <c r="M208" s="80">
        <v>0.0</v>
      </c>
      <c r="N208" s="80">
        <v>0.0</v>
      </c>
      <c r="O208" s="80">
        <v>0.0</v>
      </c>
      <c r="P208" s="80">
        <v>1.0</v>
      </c>
      <c r="Q208" s="80">
        <v>0.0</v>
      </c>
      <c r="R208" s="80">
        <v>0.0</v>
      </c>
      <c r="S208" s="80">
        <v>0.0</v>
      </c>
      <c r="T208" s="13">
        <f t="shared" si="40"/>
        <v>5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0.0</v>
      </c>
      <c r="T209" s="13">
        <f t="shared" si="40"/>
        <v>0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1.0</v>
      </c>
      <c r="G210" s="80">
        <v>0.0</v>
      </c>
      <c r="H210" s="80">
        <v>0.0</v>
      </c>
      <c r="I210" s="80">
        <v>0.0</v>
      </c>
      <c r="J210" s="80">
        <v>0.0</v>
      </c>
      <c r="K210" s="80">
        <v>0.0</v>
      </c>
      <c r="L210" s="80">
        <v>0.0</v>
      </c>
      <c r="M210" s="80">
        <v>1.0</v>
      </c>
      <c r="N210" s="80">
        <v>0.0</v>
      </c>
      <c r="O210" s="80">
        <v>0.0</v>
      </c>
      <c r="P210" s="80">
        <v>0.0</v>
      </c>
      <c r="Q210" s="80">
        <v>0.0</v>
      </c>
      <c r="R210" s="80">
        <v>0.0</v>
      </c>
      <c r="S210" s="80">
        <v>0.0</v>
      </c>
      <c r="T210" s="13">
        <f t="shared" si="40"/>
        <v>2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T211" si="41">SUM(E201:E210)</f>
        <v>18</v>
      </c>
      <c r="F211" s="13">
        <f t="shared" si="41"/>
        <v>11</v>
      </c>
      <c r="G211" s="13">
        <f t="shared" si="41"/>
        <v>13</v>
      </c>
      <c r="H211" s="13">
        <f t="shared" si="41"/>
        <v>11</v>
      </c>
      <c r="I211" s="13">
        <f t="shared" si="41"/>
        <v>21</v>
      </c>
      <c r="J211" s="13">
        <f t="shared" si="41"/>
        <v>19</v>
      </c>
      <c r="K211" s="13">
        <f t="shared" si="41"/>
        <v>8</v>
      </c>
      <c r="L211" s="13">
        <f t="shared" si="41"/>
        <v>9</v>
      </c>
      <c r="M211" s="13">
        <f t="shared" si="41"/>
        <v>22</v>
      </c>
      <c r="N211" s="13">
        <f t="shared" si="41"/>
        <v>1</v>
      </c>
      <c r="O211" s="13">
        <f t="shared" si="41"/>
        <v>3</v>
      </c>
      <c r="P211" s="13">
        <f t="shared" si="41"/>
        <v>6</v>
      </c>
      <c r="Q211" s="13">
        <f t="shared" si="41"/>
        <v>5</v>
      </c>
      <c r="R211" s="13">
        <f t="shared" si="41"/>
        <v>18</v>
      </c>
      <c r="S211" s="13">
        <f t="shared" si="41"/>
        <v>15</v>
      </c>
      <c r="T211" s="13">
        <f t="shared" si="41"/>
        <v>180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1.0</v>
      </c>
      <c r="F213" s="73">
        <v>1.0</v>
      </c>
      <c r="G213" s="73">
        <v>5.0</v>
      </c>
      <c r="H213" s="73">
        <v>3.0</v>
      </c>
      <c r="I213" s="73">
        <v>2.0</v>
      </c>
      <c r="J213" s="73">
        <v>1.0</v>
      </c>
      <c r="K213" s="73">
        <v>0.0</v>
      </c>
      <c r="L213" s="73">
        <v>1.0</v>
      </c>
      <c r="M213" s="73">
        <v>1.0</v>
      </c>
      <c r="N213" s="73">
        <v>0.0</v>
      </c>
      <c r="O213" s="73">
        <v>2.0</v>
      </c>
      <c r="P213" s="73">
        <v>0.0</v>
      </c>
      <c r="Q213" s="73">
        <v>1.0</v>
      </c>
      <c r="R213" s="73">
        <v>1.0</v>
      </c>
      <c r="S213" s="73">
        <v>0.0</v>
      </c>
      <c r="T213" s="13">
        <f t="shared" ref="T213:T222" si="42">SUM(E213:S213)</f>
        <v>19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2.0</v>
      </c>
      <c r="F214" s="73">
        <v>1.0</v>
      </c>
      <c r="G214" s="73">
        <v>0.0</v>
      </c>
      <c r="H214" s="73">
        <v>4.0</v>
      </c>
      <c r="I214" s="73">
        <v>0.0</v>
      </c>
      <c r="J214" s="73">
        <v>0.0</v>
      </c>
      <c r="K214" s="73">
        <v>0.0</v>
      </c>
      <c r="L214" s="73">
        <v>0.0</v>
      </c>
      <c r="M214" s="73">
        <v>4.0</v>
      </c>
      <c r="N214" s="73">
        <v>0.0</v>
      </c>
      <c r="O214" s="73">
        <v>2.0</v>
      </c>
      <c r="P214" s="73">
        <v>2.0</v>
      </c>
      <c r="Q214" s="73">
        <v>0.0</v>
      </c>
      <c r="R214" s="73">
        <v>5.0</v>
      </c>
      <c r="S214" s="73">
        <v>0.0</v>
      </c>
      <c r="T214" s="13">
        <f t="shared" si="42"/>
        <v>20</v>
      </c>
    </row>
    <row r="215" ht="12.75" customHeight="1">
      <c r="A215" s="18"/>
      <c r="B215" s="49"/>
      <c r="C215" s="50" t="s">
        <v>165</v>
      </c>
      <c r="D215" s="51"/>
      <c r="E215" s="73">
        <v>4.0</v>
      </c>
      <c r="F215" s="73">
        <v>2.0</v>
      </c>
      <c r="G215" s="73">
        <v>1.0</v>
      </c>
      <c r="H215" s="73">
        <v>0.0</v>
      </c>
      <c r="I215" s="73">
        <v>0.0</v>
      </c>
      <c r="J215" s="73">
        <v>0.0</v>
      </c>
      <c r="K215" s="73">
        <v>0.0</v>
      </c>
      <c r="L215" s="73">
        <v>1.0</v>
      </c>
      <c r="M215" s="73">
        <v>1.0</v>
      </c>
      <c r="N215" s="73">
        <v>0.0</v>
      </c>
      <c r="O215" s="73">
        <v>0.0</v>
      </c>
      <c r="P215" s="73">
        <v>0.0</v>
      </c>
      <c r="Q215" s="73">
        <v>0.0</v>
      </c>
      <c r="R215" s="73">
        <v>1.0</v>
      </c>
      <c r="S215" s="73">
        <v>0.0</v>
      </c>
      <c r="T215" s="13">
        <f t="shared" si="42"/>
        <v>10</v>
      </c>
    </row>
    <row r="216" ht="12.75" customHeight="1">
      <c r="A216" s="18"/>
      <c r="B216" s="49"/>
      <c r="C216" s="50" t="s">
        <v>166</v>
      </c>
      <c r="D216" s="51"/>
      <c r="E216" s="73">
        <v>1.0</v>
      </c>
      <c r="F216" s="73">
        <v>1.0</v>
      </c>
      <c r="G216" s="73">
        <v>1.0</v>
      </c>
      <c r="H216" s="73">
        <v>1.0</v>
      </c>
      <c r="I216" s="73">
        <v>0.0</v>
      </c>
      <c r="J216" s="73">
        <v>1.0</v>
      </c>
      <c r="K216" s="73">
        <v>0.0</v>
      </c>
      <c r="L216" s="73">
        <v>0.0</v>
      </c>
      <c r="M216" s="73">
        <v>1.0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13">
        <f t="shared" si="42"/>
        <v>6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T223" si="43">SUM(E213:E222)</f>
        <v>8</v>
      </c>
      <c r="F223" s="13">
        <f t="shared" si="43"/>
        <v>5</v>
      </c>
      <c r="G223" s="13">
        <f t="shared" si="43"/>
        <v>7</v>
      </c>
      <c r="H223" s="13">
        <f t="shared" si="43"/>
        <v>8</v>
      </c>
      <c r="I223" s="13">
        <f t="shared" si="43"/>
        <v>2</v>
      </c>
      <c r="J223" s="13">
        <f t="shared" si="43"/>
        <v>2</v>
      </c>
      <c r="K223" s="13">
        <f t="shared" si="43"/>
        <v>0</v>
      </c>
      <c r="L223" s="13">
        <f t="shared" si="43"/>
        <v>2</v>
      </c>
      <c r="M223" s="13">
        <f t="shared" si="43"/>
        <v>7</v>
      </c>
      <c r="N223" s="13">
        <f t="shared" si="43"/>
        <v>0</v>
      </c>
      <c r="O223" s="13">
        <f t="shared" si="43"/>
        <v>4</v>
      </c>
      <c r="P223" s="13">
        <f t="shared" si="43"/>
        <v>2</v>
      </c>
      <c r="Q223" s="13">
        <f t="shared" si="43"/>
        <v>1</v>
      </c>
      <c r="R223" s="13">
        <f t="shared" si="43"/>
        <v>7</v>
      </c>
      <c r="S223" s="13">
        <f t="shared" si="43"/>
        <v>0</v>
      </c>
      <c r="T223" s="13">
        <f t="shared" si="43"/>
        <v>55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0.0</v>
      </c>
      <c r="G225" s="73">
        <v>0.0</v>
      </c>
      <c r="H225" s="73">
        <v>1.0</v>
      </c>
      <c r="I225" s="73">
        <v>0.0</v>
      </c>
      <c r="J225" s="73">
        <v>1.0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13">
        <f t="shared" ref="T225:T234" si="44">SUM(E225:S225)</f>
        <v>2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1.0</v>
      </c>
      <c r="P226" s="73">
        <v>0.0</v>
      </c>
      <c r="Q226" s="73">
        <v>0.0</v>
      </c>
      <c r="R226" s="73">
        <v>0.0</v>
      </c>
      <c r="S226" s="73">
        <v>0.0</v>
      </c>
      <c r="T226" s="13">
        <f t="shared" si="44"/>
        <v>1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1.0</v>
      </c>
      <c r="J227" s="73">
        <v>0.0</v>
      </c>
      <c r="K227" s="73">
        <v>0.0</v>
      </c>
      <c r="L227" s="73">
        <v>0.0</v>
      </c>
      <c r="M227" s="73">
        <v>1.0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13">
        <f t="shared" si="44"/>
        <v>2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13">
        <f t="shared" si="44"/>
        <v>0</v>
      </c>
    </row>
    <row r="229" ht="12.75" customHeight="1">
      <c r="A229" s="18"/>
      <c r="B229" s="49"/>
      <c r="C229" s="50" t="s">
        <v>172</v>
      </c>
      <c r="D229" s="51"/>
      <c r="E229" s="73">
        <v>1.0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13">
        <f t="shared" si="44"/>
        <v>1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T235" si="45">SUM(E225:E234)</f>
        <v>1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1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6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2.0</v>
      </c>
      <c r="F237" s="73">
        <v>1.0</v>
      </c>
      <c r="G237" s="73">
        <v>2.0</v>
      </c>
      <c r="H237" s="73">
        <v>2.0</v>
      </c>
      <c r="I237" s="73">
        <v>0.0</v>
      </c>
      <c r="J237" s="73">
        <v>0.0</v>
      </c>
      <c r="K237" s="73">
        <v>2.0</v>
      </c>
      <c r="L237" s="73">
        <v>7.0</v>
      </c>
      <c r="M237" s="73">
        <v>0.0</v>
      </c>
      <c r="N237" s="73">
        <v>0.0</v>
      </c>
      <c r="O237" s="73">
        <v>0.0</v>
      </c>
      <c r="P237" s="73">
        <v>0.0</v>
      </c>
      <c r="Q237" s="73">
        <v>1.0</v>
      </c>
      <c r="R237" s="73">
        <v>0.0</v>
      </c>
      <c r="S237" s="73">
        <v>1.0</v>
      </c>
      <c r="T237" s="13">
        <f t="shared" ref="T237:T246" si="46">SUM(E237:S237)</f>
        <v>18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1.0</v>
      </c>
      <c r="F238" s="73">
        <v>0.0</v>
      </c>
      <c r="G238" s="73">
        <v>0.0</v>
      </c>
      <c r="H238" s="73">
        <v>1.0</v>
      </c>
      <c r="I238" s="73">
        <v>2.0</v>
      </c>
      <c r="J238" s="73">
        <v>0.0</v>
      </c>
      <c r="K238" s="73">
        <v>0.0</v>
      </c>
      <c r="L238" s="73">
        <v>1.0</v>
      </c>
      <c r="M238" s="73">
        <v>0.0</v>
      </c>
      <c r="N238" s="73">
        <v>1.0</v>
      </c>
      <c r="O238" s="73">
        <v>2.0</v>
      </c>
      <c r="P238" s="73">
        <v>1.0</v>
      </c>
      <c r="Q238" s="73">
        <v>0.0</v>
      </c>
      <c r="R238" s="73">
        <v>1.0</v>
      </c>
      <c r="S238" s="73">
        <v>0.0</v>
      </c>
      <c r="T238" s="13">
        <f t="shared" si="46"/>
        <v>10</v>
      </c>
    </row>
    <row r="239" ht="12.75" customHeight="1">
      <c r="A239" s="18"/>
      <c r="B239" s="49"/>
      <c r="C239" s="50" t="s">
        <v>176</v>
      </c>
      <c r="D239" s="51"/>
      <c r="E239" s="73">
        <v>7.0</v>
      </c>
      <c r="F239" s="73">
        <v>9.0</v>
      </c>
      <c r="G239" s="73">
        <v>4.0</v>
      </c>
      <c r="H239" s="73">
        <v>29.0</v>
      </c>
      <c r="I239" s="73">
        <v>10.0</v>
      </c>
      <c r="J239" s="73">
        <v>8.0</v>
      </c>
      <c r="K239" s="73">
        <v>16.0</v>
      </c>
      <c r="L239" s="73">
        <v>16.0</v>
      </c>
      <c r="M239" s="73">
        <v>10.0</v>
      </c>
      <c r="N239" s="73">
        <v>6.0</v>
      </c>
      <c r="O239" s="73">
        <v>7.0</v>
      </c>
      <c r="P239" s="73">
        <v>5.0</v>
      </c>
      <c r="Q239" s="73">
        <v>4.0</v>
      </c>
      <c r="R239" s="73">
        <v>7.0</v>
      </c>
      <c r="S239" s="73">
        <v>0.0</v>
      </c>
      <c r="T239" s="13">
        <f t="shared" si="46"/>
        <v>138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13">
        <f t="shared" si="46"/>
        <v>0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1.0</v>
      </c>
      <c r="G241" s="73">
        <v>0.0</v>
      </c>
      <c r="H241" s="73">
        <v>0.0</v>
      </c>
      <c r="I241" s="73">
        <v>1.0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13">
        <f t="shared" si="46"/>
        <v>2</v>
      </c>
    </row>
    <row r="242" ht="12.75" customHeight="1">
      <c r="A242" s="18"/>
      <c r="B242" s="49"/>
      <c r="C242" s="50" t="s">
        <v>179</v>
      </c>
      <c r="D242" s="51"/>
      <c r="E242" s="73">
        <v>1.0</v>
      </c>
      <c r="F242" s="73">
        <v>0.0</v>
      </c>
      <c r="G242" s="73">
        <v>0.0</v>
      </c>
      <c r="H242" s="73">
        <v>1.0</v>
      </c>
      <c r="I242" s="73">
        <v>0.0</v>
      </c>
      <c r="J242" s="73">
        <v>0.0</v>
      </c>
      <c r="K242" s="73">
        <v>0.0</v>
      </c>
      <c r="L242" s="73">
        <v>0.0</v>
      </c>
      <c r="M242" s="73">
        <v>1.0</v>
      </c>
      <c r="N242" s="73">
        <v>1.0</v>
      </c>
      <c r="O242" s="73">
        <v>0.0</v>
      </c>
      <c r="P242" s="73">
        <v>0.0</v>
      </c>
      <c r="Q242" s="73">
        <v>2.0</v>
      </c>
      <c r="R242" s="73">
        <v>0.0</v>
      </c>
      <c r="S242" s="73">
        <v>0.0</v>
      </c>
      <c r="T242" s="13">
        <f t="shared" si="46"/>
        <v>6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1.0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13">
        <f t="shared" si="46"/>
        <v>1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1.0</v>
      </c>
      <c r="Q244" s="80">
        <v>0.0</v>
      </c>
      <c r="R244" s="80">
        <v>0.0</v>
      </c>
      <c r="S244" s="80">
        <v>0.0</v>
      </c>
      <c r="T244" s="13">
        <f t="shared" si="46"/>
        <v>1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1.0</v>
      </c>
      <c r="O245" s="80">
        <v>0.0</v>
      </c>
      <c r="P245" s="80">
        <v>0.0</v>
      </c>
      <c r="Q245" s="80">
        <v>0.0</v>
      </c>
      <c r="R245" s="80">
        <v>0.0</v>
      </c>
      <c r="S245" s="80">
        <v>0.0</v>
      </c>
      <c r="T245" s="13">
        <f t="shared" si="46"/>
        <v>1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0.0</v>
      </c>
      <c r="I246" s="80">
        <v>0.0</v>
      </c>
      <c r="J246" s="80">
        <v>0.0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0.0</v>
      </c>
      <c r="T246" s="13">
        <f t="shared" si="46"/>
        <v>0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T247" si="47">SUM(E237:E246)</f>
        <v>11</v>
      </c>
      <c r="F247" s="13">
        <f t="shared" si="47"/>
        <v>11</v>
      </c>
      <c r="G247" s="13">
        <f t="shared" si="47"/>
        <v>6</v>
      </c>
      <c r="H247" s="13">
        <f t="shared" si="47"/>
        <v>33</v>
      </c>
      <c r="I247" s="13">
        <f t="shared" si="47"/>
        <v>13</v>
      </c>
      <c r="J247" s="13">
        <f t="shared" si="47"/>
        <v>8</v>
      </c>
      <c r="K247" s="13">
        <f t="shared" si="47"/>
        <v>18</v>
      </c>
      <c r="L247" s="13">
        <f t="shared" si="47"/>
        <v>25</v>
      </c>
      <c r="M247" s="13">
        <f t="shared" si="47"/>
        <v>11</v>
      </c>
      <c r="N247" s="13">
        <f t="shared" si="47"/>
        <v>9</v>
      </c>
      <c r="O247" s="13">
        <f t="shared" si="47"/>
        <v>9</v>
      </c>
      <c r="P247" s="13">
        <f t="shared" si="47"/>
        <v>7</v>
      </c>
      <c r="Q247" s="13">
        <f t="shared" si="47"/>
        <v>7</v>
      </c>
      <c r="R247" s="13">
        <f t="shared" si="47"/>
        <v>8</v>
      </c>
      <c r="S247" s="13">
        <f t="shared" si="47"/>
        <v>1</v>
      </c>
      <c r="T247" s="13">
        <f t="shared" si="47"/>
        <v>177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1.0</v>
      </c>
      <c r="F249" s="73">
        <v>0.0</v>
      </c>
      <c r="G249" s="73">
        <v>1.0</v>
      </c>
      <c r="H249" s="73">
        <v>0.0</v>
      </c>
      <c r="I249" s="73">
        <v>0.0</v>
      </c>
      <c r="J249" s="73">
        <v>0.0</v>
      </c>
      <c r="K249" s="73">
        <v>9.0</v>
      </c>
      <c r="L249" s="73">
        <v>7.0</v>
      </c>
      <c r="M249" s="73">
        <v>4.0</v>
      </c>
      <c r="N249" s="73">
        <v>3.0</v>
      </c>
      <c r="O249" s="73">
        <v>7.0</v>
      </c>
      <c r="P249" s="73">
        <v>0.0</v>
      </c>
      <c r="Q249" s="73">
        <v>0.0</v>
      </c>
      <c r="R249" s="73">
        <v>0.0</v>
      </c>
      <c r="S249" s="73">
        <v>0.0</v>
      </c>
      <c r="T249" s="13">
        <f t="shared" ref="T249:T258" si="48">SUM(E249:S249)</f>
        <v>32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4.0</v>
      </c>
      <c r="F250" s="73">
        <v>0.0</v>
      </c>
      <c r="G250" s="73">
        <v>2.0</v>
      </c>
      <c r="H250" s="73">
        <v>0.0</v>
      </c>
      <c r="I250" s="73">
        <v>0.0</v>
      </c>
      <c r="J250" s="73">
        <v>1.0</v>
      </c>
      <c r="K250" s="73">
        <v>12.0</v>
      </c>
      <c r="L250" s="73">
        <v>13.0</v>
      </c>
      <c r="M250" s="73">
        <v>3.0</v>
      </c>
      <c r="N250" s="73">
        <v>8.0</v>
      </c>
      <c r="O250" s="73">
        <v>7.0</v>
      </c>
      <c r="P250" s="73">
        <v>0.0</v>
      </c>
      <c r="Q250" s="73">
        <v>1.0</v>
      </c>
      <c r="R250" s="73">
        <v>0.0</v>
      </c>
      <c r="S250" s="73">
        <v>0.0</v>
      </c>
      <c r="T250" s="13">
        <f t="shared" si="48"/>
        <v>51</v>
      </c>
    </row>
    <row r="251" ht="12.75" customHeight="1">
      <c r="A251" s="18"/>
      <c r="B251" s="49"/>
      <c r="C251" s="50" t="s">
        <v>187</v>
      </c>
      <c r="D251" s="51"/>
      <c r="E251" s="73">
        <v>1.0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2.0</v>
      </c>
      <c r="L251" s="73">
        <v>1.0</v>
      </c>
      <c r="M251" s="73">
        <v>0.0</v>
      </c>
      <c r="N251" s="73">
        <v>2.0</v>
      </c>
      <c r="O251" s="73">
        <v>2.0</v>
      </c>
      <c r="P251" s="73">
        <v>0.0</v>
      </c>
      <c r="Q251" s="73">
        <v>0.0</v>
      </c>
      <c r="R251" s="73">
        <v>0.0</v>
      </c>
      <c r="S251" s="73">
        <v>0.0</v>
      </c>
      <c r="T251" s="13">
        <f t="shared" si="48"/>
        <v>8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1.0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13">
        <f t="shared" si="48"/>
        <v>1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T259" si="49">SUM(E249:E258)</f>
        <v>6</v>
      </c>
      <c r="F259" s="13">
        <f t="shared" si="49"/>
        <v>0</v>
      </c>
      <c r="G259" s="13">
        <f t="shared" si="49"/>
        <v>3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23</v>
      </c>
      <c r="L259" s="13">
        <f t="shared" si="49"/>
        <v>21</v>
      </c>
      <c r="M259" s="13">
        <f t="shared" si="49"/>
        <v>8</v>
      </c>
      <c r="N259" s="13">
        <f t="shared" si="49"/>
        <v>13</v>
      </c>
      <c r="O259" s="13">
        <f t="shared" si="49"/>
        <v>16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92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S262" si="50">E55+E67+E79+E91+E103+E115+E127+E139+E151+E163+E175+E187+E199+E211+E223+E235+E247+E259</f>
        <v>182</v>
      </c>
      <c r="F262" s="19">
        <f t="shared" si="50"/>
        <v>174</v>
      </c>
      <c r="G262" s="19">
        <f t="shared" si="50"/>
        <v>167</v>
      </c>
      <c r="H262" s="19">
        <f t="shared" si="50"/>
        <v>177</v>
      </c>
      <c r="I262" s="19">
        <f t="shared" si="50"/>
        <v>180</v>
      </c>
      <c r="J262" s="19">
        <f t="shared" si="50"/>
        <v>159</v>
      </c>
      <c r="K262" s="19">
        <f t="shared" si="50"/>
        <v>188</v>
      </c>
      <c r="L262" s="19">
        <f t="shared" si="50"/>
        <v>182</v>
      </c>
      <c r="M262" s="19">
        <f t="shared" si="50"/>
        <v>193</v>
      </c>
      <c r="N262" s="19">
        <f t="shared" si="50"/>
        <v>164</v>
      </c>
      <c r="O262" s="19">
        <f t="shared" si="50"/>
        <v>175</v>
      </c>
      <c r="P262" s="19">
        <f t="shared" si="50"/>
        <v>158</v>
      </c>
      <c r="Q262" s="19">
        <f t="shared" si="50"/>
        <v>169</v>
      </c>
      <c r="R262" s="19">
        <f t="shared" si="50"/>
        <v>183</v>
      </c>
      <c r="S262" s="19">
        <f t="shared" si="50"/>
        <v>163</v>
      </c>
      <c r="T262" s="13">
        <f t="shared" ref="T262:T264" si="51">SUM(E262:S262)</f>
        <v>2614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26.0</v>
      </c>
      <c r="F263" s="73">
        <v>30.0</v>
      </c>
      <c r="G263" s="73">
        <v>25.0</v>
      </c>
      <c r="H263" s="73">
        <v>26.0</v>
      </c>
      <c r="I263" s="73">
        <v>28.0</v>
      </c>
      <c r="J263" s="73">
        <v>44.0</v>
      </c>
      <c r="K263" s="73">
        <v>24.0</v>
      </c>
      <c r="L263" s="73">
        <v>38.0</v>
      </c>
      <c r="M263" s="73">
        <v>24.0</v>
      </c>
      <c r="N263" s="73">
        <v>38.0</v>
      </c>
      <c r="O263" s="73">
        <v>25.0</v>
      </c>
      <c r="P263" s="73">
        <v>24.0</v>
      </c>
      <c r="Q263" s="73">
        <v>22.0</v>
      </c>
      <c r="R263" s="73">
        <v>33.0</v>
      </c>
      <c r="S263" s="73">
        <v>35.0</v>
      </c>
      <c r="T263" s="13">
        <f t="shared" si="51"/>
        <v>442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S264" si="52">SUM(E262:E263)</f>
        <v>208</v>
      </c>
      <c r="F264" s="13">
        <f t="shared" si="52"/>
        <v>204</v>
      </c>
      <c r="G264" s="13">
        <f t="shared" si="52"/>
        <v>192</v>
      </c>
      <c r="H264" s="13">
        <f t="shared" si="52"/>
        <v>203</v>
      </c>
      <c r="I264" s="13">
        <f t="shared" si="52"/>
        <v>208</v>
      </c>
      <c r="J264" s="13">
        <f t="shared" si="52"/>
        <v>203</v>
      </c>
      <c r="K264" s="13">
        <f t="shared" si="52"/>
        <v>212</v>
      </c>
      <c r="L264" s="13">
        <f t="shared" si="52"/>
        <v>220</v>
      </c>
      <c r="M264" s="13">
        <f t="shared" si="52"/>
        <v>217</v>
      </c>
      <c r="N264" s="13">
        <f t="shared" si="52"/>
        <v>202</v>
      </c>
      <c r="O264" s="13">
        <f t="shared" si="52"/>
        <v>200</v>
      </c>
      <c r="P264" s="13">
        <f t="shared" si="52"/>
        <v>182</v>
      </c>
      <c r="Q264" s="13">
        <f t="shared" si="52"/>
        <v>191</v>
      </c>
      <c r="R264" s="13">
        <f t="shared" si="52"/>
        <v>216</v>
      </c>
      <c r="S264" s="13">
        <f t="shared" si="52"/>
        <v>198</v>
      </c>
      <c r="T264" s="13">
        <f t="shared" si="51"/>
        <v>3056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8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214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73">
        <v>144.0</v>
      </c>
      <c r="F14" s="73">
        <v>127.0</v>
      </c>
      <c r="G14" s="73">
        <v>126.0</v>
      </c>
      <c r="H14" s="73">
        <v>136.0</v>
      </c>
      <c r="I14" s="73">
        <v>127.0</v>
      </c>
      <c r="J14" s="73">
        <v>137.0</v>
      </c>
      <c r="K14" s="73">
        <v>143.0</v>
      </c>
      <c r="L14" s="73">
        <v>135.0</v>
      </c>
      <c r="M14" s="73">
        <v>139.0</v>
      </c>
      <c r="N14" s="73">
        <v>141.0</v>
      </c>
      <c r="O14" s="73">
        <v>125.0</v>
      </c>
      <c r="P14" s="73">
        <v>134.0</v>
      </c>
      <c r="Q14" s="73">
        <v>148.0</v>
      </c>
      <c r="R14" s="73">
        <v>127.0</v>
      </c>
      <c r="S14" s="73">
        <v>138.0</v>
      </c>
      <c r="T14" s="73">
        <v>131.0</v>
      </c>
      <c r="U14" s="73">
        <v>123.0</v>
      </c>
      <c r="V14" s="73">
        <v>132.0</v>
      </c>
      <c r="W14" s="73">
        <v>142.0</v>
      </c>
      <c r="X14" s="73">
        <v>140.0</v>
      </c>
      <c r="Y14" s="73">
        <v>142.0</v>
      </c>
      <c r="Z14" s="73">
        <v>142.0</v>
      </c>
      <c r="AA14" s="73">
        <v>131.0</v>
      </c>
      <c r="AB14" s="13">
        <f t="shared" ref="AB14:AB16" si="1">SUM(E14:AA14)</f>
        <v>3110</v>
      </c>
    </row>
    <row r="15" ht="12.75" customHeight="1">
      <c r="A15" s="18"/>
      <c r="B15" s="26"/>
      <c r="C15" s="27"/>
      <c r="D15" s="19" t="s">
        <v>12</v>
      </c>
      <c r="E15" s="73">
        <v>146.0</v>
      </c>
      <c r="F15" s="73">
        <v>159.0</v>
      </c>
      <c r="G15" s="73">
        <v>162.0</v>
      </c>
      <c r="H15" s="73">
        <v>147.0</v>
      </c>
      <c r="I15" s="73">
        <v>147.0</v>
      </c>
      <c r="J15" s="73">
        <v>145.0</v>
      </c>
      <c r="K15" s="73">
        <v>142.0</v>
      </c>
      <c r="L15" s="73">
        <v>146.0</v>
      </c>
      <c r="M15" s="73">
        <v>156.0</v>
      </c>
      <c r="N15" s="73">
        <v>149.0</v>
      </c>
      <c r="O15" s="73">
        <v>162.0</v>
      </c>
      <c r="P15" s="73">
        <v>164.0</v>
      </c>
      <c r="Q15" s="73">
        <v>142.0</v>
      </c>
      <c r="R15" s="73">
        <v>147.0</v>
      </c>
      <c r="S15" s="73">
        <v>156.0</v>
      </c>
      <c r="T15" s="73">
        <v>147.0</v>
      </c>
      <c r="U15" s="73">
        <v>155.0</v>
      </c>
      <c r="V15" s="73">
        <v>149.0</v>
      </c>
      <c r="W15" s="73">
        <v>147.0</v>
      </c>
      <c r="X15" s="73">
        <v>147.0</v>
      </c>
      <c r="Y15" s="73">
        <v>144.0</v>
      </c>
      <c r="Z15" s="73">
        <v>152.0</v>
      </c>
      <c r="AA15" s="73">
        <v>152.0</v>
      </c>
      <c r="AB15" s="13">
        <f t="shared" si="1"/>
        <v>3463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290</v>
      </c>
      <c r="F16" s="13">
        <f t="shared" si="2"/>
        <v>286</v>
      </c>
      <c r="G16" s="13">
        <f t="shared" si="2"/>
        <v>288</v>
      </c>
      <c r="H16" s="13">
        <f t="shared" si="2"/>
        <v>283</v>
      </c>
      <c r="I16" s="13">
        <f t="shared" si="2"/>
        <v>274</v>
      </c>
      <c r="J16" s="13">
        <f t="shared" si="2"/>
        <v>282</v>
      </c>
      <c r="K16" s="13">
        <f t="shared" si="2"/>
        <v>285</v>
      </c>
      <c r="L16" s="13">
        <f t="shared" si="2"/>
        <v>281</v>
      </c>
      <c r="M16" s="13">
        <f t="shared" si="2"/>
        <v>295</v>
      </c>
      <c r="N16" s="13">
        <f t="shared" si="2"/>
        <v>290</v>
      </c>
      <c r="O16" s="13">
        <f t="shared" si="2"/>
        <v>287</v>
      </c>
      <c r="P16" s="13">
        <f t="shared" si="2"/>
        <v>298</v>
      </c>
      <c r="Q16" s="13">
        <f t="shared" si="2"/>
        <v>290</v>
      </c>
      <c r="R16" s="13">
        <f t="shared" si="2"/>
        <v>274</v>
      </c>
      <c r="S16" s="13">
        <f t="shared" si="2"/>
        <v>294</v>
      </c>
      <c r="T16" s="13">
        <f t="shared" si="2"/>
        <v>278</v>
      </c>
      <c r="U16" s="13">
        <f t="shared" si="2"/>
        <v>278</v>
      </c>
      <c r="V16" s="13">
        <f t="shared" si="2"/>
        <v>281</v>
      </c>
      <c r="W16" s="13">
        <f t="shared" si="2"/>
        <v>289</v>
      </c>
      <c r="X16" s="13">
        <f t="shared" si="2"/>
        <v>287</v>
      </c>
      <c r="Y16" s="13">
        <f t="shared" si="2"/>
        <v>286</v>
      </c>
      <c r="Z16" s="13">
        <f t="shared" si="2"/>
        <v>294</v>
      </c>
      <c r="AA16" s="13">
        <f t="shared" si="2"/>
        <v>283</v>
      </c>
      <c r="AB16" s="13">
        <f t="shared" si="1"/>
        <v>6573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19"/>
      <c r="U17" s="19"/>
      <c r="V17" s="19"/>
      <c r="W17" s="19"/>
      <c r="X17" s="74"/>
      <c r="Y17" s="74"/>
      <c r="Z17" s="74"/>
      <c r="AA17" s="74"/>
      <c r="AB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19"/>
      <c r="U18" s="19"/>
      <c r="V18" s="19"/>
      <c r="W18" s="19"/>
      <c r="X18" s="74"/>
      <c r="Y18" s="74"/>
      <c r="Z18" s="74"/>
      <c r="AA18" s="74"/>
      <c r="AB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102.0</v>
      </c>
      <c r="F19" s="73">
        <v>93.0</v>
      </c>
      <c r="G19" s="73">
        <v>89.0</v>
      </c>
      <c r="H19" s="73">
        <v>85.0</v>
      </c>
      <c r="I19" s="73">
        <v>87.0</v>
      </c>
      <c r="J19" s="73">
        <v>102.0</v>
      </c>
      <c r="K19" s="73">
        <v>109.0</v>
      </c>
      <c r="L19" s="73">
        <v>108.0</v>
      </c>
      <c r="M19" s="73">
        <v>97.0</v>
      </c>
      <c r="N19" s="73">
        <v>100.0</v>
      </c>
      <c r="O19" s="73">
        <v>90.0</v>
      </c>
      <c r="P19" s="73">
        <v>104.0</v>
      </c>
      <c r="Q19" s="73">
        <v>116.0</v>
      </c>
      <c r="R19" s="73">
        <v>95.0</v>
      </c>
      <c r="S19" s="73">
        <v>95.0</v>
      </c>
      <c r="T19" s="73">
        <v>84.0</v>
      </c>
      <c r="U19" s="73">
        <v>99.0</v>
      </c>
      <c r="V19" s="73">
        <v>91.0</v>
      </c>
      <c r="W19" s="73">
        <v>104.0</v>
      </c>
      <c r="X19" s="73">
        <v>101.0</v>
      </c>
      <c r="Y19" s="73">
        <v>91.0</v>
      </c>
      <c r="Z19" s="73">
        <v>95.0</v>
      </c>
      <c r="AA19" s="73">
        <v>87.0</v>
      </c>
      <c r="AB19" s="13">
        <f t="shared" ref="AB19:AB30" si="3">SUM(E19:AA19)</f>
        <v>2224</v>
      </c>
    </row>
    <row r="20" ht="12.75" customHeight="1">
      <c r="A20" s="33"/>
      <c r="B20" s="27"/>
      <c r="C20" s="34"/>
      <c r="D20" s="19" t="s">
        <v>12</v>
      </c>
      <c r="E20" s="73">
        <v>104.0</v>
      </c>
      <c r="F20" s="73">
        <v>132.0</v>
      </c>
      <c r="G20" s="73">
        <v>117.0</v>
      </c>
      <c r="H20" s="73">
        <v>104.0</v>
      </c>
      <c r="I20" s="73">
        <v>100.0</v>
      </c>
      <c r="J20" s="73">
        <v>117.0</v>
      </c>
      <c r="K20" s="73">
        <v>105.0</v>
      </c>
      <c r="L20" s="73">
        <v>121.0</v>
      </c>
      <c r="M20" s="73">
        <v>129.0</v>
      </c>
      <c r="N20" s="73">
        <v>118.0</v>
      </c>
      <c r="O20" s="73">
        <v>129.0</v>
      </c>
      <c r="P20" s="73">
        <v>119.0</v>
      </c>
      <c r="Q20" s="73">
        <v>110.0</v>
      </c>
      <c r="R20" s="73">
        <v>115.0</v>
      </c>
      <c r="S20" s="73">
        <v>123.0</v>
      </c>
      <c r="T20" s="73">
        <v>112.0</v>
      </c>
      <c r="U20" s="73">
        <v>129.0</v>
      </c>
      <c r="V20" s="73">
        <v>120.0</v>
      </c>
      <c r="W20" s="73">
        <v>128.0</v>
      </c>
      <c r="X20" s="73">
        <v>122.0</v>
      </c>
      <c r="Y20" s="73">
        <v>107.0</v>
      </c>
      <c r="Z20" s="73">
        <v>123.0</v>
      </c>
      <c r="AA20" s="73">
        <v>124.0</v>
      </c>
      <c r="AB20" s="13">
        <f t="shared" si="3"/>
        <v>2708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206</v>
      </c>
      <c r="F21" s="13">
        <f t="shared" si="4"/>
        <v>225</v>
      </c>
      <c r="G21" s="13">
        <f t="shared" si="4"/>
        <v>206</v>
      </c>
      <c r="H21" s="13">
        <f t="shared" si="4"/>
        <v>189</v>
      </c>
      <c r="I21" s="13">
        <f t="shared" si="4"/>
        <v>187</v>
      </c>
      <c r="J21" s="13">
        <f t="shared" si="4"/>
        <v>219</v>
      </c>
      <c r="K21" s="13">
        <f t="shared" si="4"/>
        <v>214</v>
      </c>
      <c r="L21" s="13">
        <f t="shared" si="4"/>
        <v>229</v>
      </c>
      <c r="M21" s="13">
        <f t="shared" si="4"/>
        <v>226</v>
      </c>
      <c r="N21" s="13">
        <f t="shared" si="4"/>
        <v>218</v>
      </c>
      <c r="O21" s="13">
        <f t="shared" si="4"/>
        <v>219</v>
      </c>
      <c r="P21" s="13">
        <f t="shared" si="4"/>
        <v>223</v>
      </c>
      <c r="Q21" s="13">
        <f t="shared" si="4"/>
        <v>226</v>
      </c>
      <c r="R21" s="13">
        <f t="shared" si="4"/>
        <v>210</v>
      </c>
      <c r="S21" s="13">
        <f t="shared" si="4"/>
        <v>218</v>
      </c>
      <c r="T21" s="13">
        <f t="shared" si="4"/>
        <v>196</v>
      </c>
      <c r="U21" s="13">
        <f t="shared" si="4"/>
        <v>228</v>
      </c>
      <c r="V21" s="13">
        <f t="shared" si="4"/>
        <v>211</v>
      </c>
      <c r="W21" s="13">
        <f t="shared" si="4"/>
        <v>232</v>
      </c>
      <c r="X21" s="13">
        <f t="shared" si="4"/>
        <v>223</v>
      </c>
      <c r="Y21" s="13">
        <f t="shared" si="4"/>
        <v>198</v>
      </c>
      <c r="Z21" s="13">
        <f t="shared" si="4"/>
        <v>218</v>
      </c>
      <c r="AA21" s="13">
        <f t="shared" si="4"/>
        <v>211</v>
      </c>
      <c r="AB21" s="13">
        <f t="shared" si="3"/>
        <v>4932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1.0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1.0</v>
      </c>
      <c r="M22" s="73">
        <v>0.0</v>
      </c>
      <c r="N22" s="73">
        <v>0.0</v>
      </c>
      <c r="O22" s="73">
        <v>0.0</v>
      </c>
      <c r="P22" s="73">
        <v>0.0</v>
      </c>
      <c r="Q22" s="73">
        <v>1.0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2.0</v>
      </c>
      <c r="Z22" s="73">
        <v>0.0</v>
      </c>
      <c r="AA22" s="73">
        <v>0.0</v>
      </c>
      <c r="AB22" s="13">
        <f t="shared" si="3"/>
        <v>5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2.0</v>
      </c>
      <c r="M23" s="73">
        <v>0.0</v>
      </c>
      <c r="N23" s="73">
        <v>0.0</v>
      </c>
      <c r="O23" s="73">
        <v>0.0</v>
      </c>
      <c r="P23" s="73">
        <v>0.0</v>
      </c>
      <c r="Q23" s="73">
        <v>1.0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2.0</v>
      </c>
      <c r="Z23" s="73">
        <v>0.0</v>
      </c>
      <c r="AA23" s="73">
        <v>0.0</v>
      </c>
      <c r="AB23" s="13">
        <f t="shared" si="3"/>
        <v>5</v>
      </c>
    </row>
    <row r="24" ht="12.75" customHeight="1">
      <c r="A24" s="35"/>
      <c r="B24" s="28"/>
      <c r="C24" s="36"/>
      <c r="D24" s="13" t="s">
        <v>13</v>
      </c>
      <c r="E24" s="13">
        <f t="shared" ref="E24:AA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4</v>
      </c>
      <c r="Z24" s="13">
        <f t="shared" si="5"/>
        <v>0</v>
      </c>
      <c r="AA24" s="13">
        <f t="shared" si="5"/>
        <v>0</v>
      </c>
      <c r="AB24" s="13">
        <f t="shared" si="3"/>
        <v>10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0.0</v>
      </c>
      <c r="F25" s="73">
        <v>0.0</v>
      </c>
      <c r="G25" s="73">
        <v>0.0</v>
      </c>
      <c r="H25" s="73">
        <v>0.0</v>
      </c>
      <c r="I25" s="73">
        <v>0.0</v>
      </c>
      <c r="J25" s="73">
        <v>1.0</v>
      </c>
      <c r="K25" s="73">
        <v>1.0</v>
      </c>
      <c r="L25" s="73">
        <v>0.0</v>
      </c>
      <c r="M25" s="73">
        <v>0.0</v>
      </c>
      <c r="N25" s="73">
        <v>3.0</v>
      </c>
      <c r="O25" s="73">
        <v>2.0</v>
      </c>
      <c r="P25" s="73">
        <v>2.0</v>
      </c>
      <c r="Q25" s="73">
        <v>5.0</v>
      </c>
      <c r="R25" s="73">
        <v>1.0</v>
      </c>
      <c r="S25" s="73">
        <v>1.0</v>
      </c>
      <c r="T25" s="73">
        <v>2.0</v>
      </c>
      <c r="U25" s="73">
        <v>0.0</v>
      </c>
      <c r="V25" s="73">
        <v>3.0</v>
      </c>
      <c r="W25" s="73">
        <v>1.0</v>
      </c>
      <c r="X25" s="73">
        <v>1.0</v>
      </c>
      <c r="Y25" s="73">
        <v>2.0</v>
      </c>
      <c r="Z25" s="73">
        <v>1.0</v>
      </c>
      <c r="AA25" s="73">
        <v>2.0</v>
      </c>
      <c r="AB25" s="13">
        <f t="shared" si="3"/>
        <v>28</v>
      </c>
    </row>
    <row r="26" ht="12.75" customHeight="1">
      <c r="A26" s="33"/>
      <c r="B26" s="27"/>
      <c r="C26" s="34"/>
      <c r="D26" s="19" t="s">
        <v>12</v>
      </c>
      <c r="E26" s="73">
        <v>1.0</v>
      </c>
      <c r="F26" s="73">
        <v>3.0</v>
      </c>
      <c r="G26" s="73">
        <v>0.0</v>
      </c>
      <c r="H26" s="73">
        <v>1.0</v>
      </c>
      <c r="I26" s="73">
        <v>1.0</v>
      </c>
      <c r="J26" s="73">
        <v>2.0</v>
      </c>
      <c r="K26" s="73">
        <v>2.0</v>
      </c>
      <c r="L26" s="73">
        <v>0.0</v>
      </c>
      <c r="M26" s="73">
        <v>0.0</v>
      </c>
      <c r="N26" s="73">
        <v>4.0</v>
      </c>
      <c r="O26" s="73">
        <v>1.0</v>
      </c>
      <c r="P26" s="73">
        <v>2.0</v>
      </c>
      <c r="Q26" s="73">
        <v>9.0</v>
      </c>
      <c r="R26" s="73">
        <v>0.0</v>
      </c>
      <c r="S26" s="73">
        <v>5.0</v>
      </c>
      <c r="T26" s="73">
        <v>3.0</v>
      </c>
      <c r="U26" s="73">
        <v>1.0</v>
      </c>
      <c r="V26" s="73">
        <v>3.0</v>
      </c>
      <c r="W26" s="73">
        <v>0.0</v>
      </c>
      <c r="X26" s="73">
        <v>0.0</v>
      </c>
      <c r="Y26" s="73">
        <v>2.0</v>
      </c>
      <c r="Z26" s="73">
        <v>0.0</v>
      </c>
      <c r="AA26" s="73">
        <v>0.0</v>
      </c>
      <c r="AB26" s="13">
        <f t="shared" si="3"/>
        <v>40</v>
      </c>
    </row>
    <row r="27" ht="12.75" customHeight="1">
      <c r="A27" s="35"/>
      <c r="B27" s="28"/>
      <c r="C27" s="36"/>
      <c r="D27" s="13" t="s">
        <v>13</v>
      </c>
      <c r="E27" s="13">
        <f t="shared" ref="E27:AA27" si="6">SUM(E25:E26)</f>
        <v>1</v>
      </c>
      <c r="F27" s="13">
        <f t="shared" si="6"/>
        <v>3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3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7</v>
      </c>
      <c r="O27" s="13">
        <f t="shared" si="6"/>
        <v>3</v>
      </c>
      <c r="P27" s="13">
        <f t="shared" si="6"/>
        <v>4</v>
      </c>
      <c r="Q27" s="13">
        <f t="shared" si="6"/>
        <v>14</v>
      </c>
      <c r="R27" s="13">
        <f t="shared" si="6"/>
        <v>1</v>
      </c>
      <c r="S27" s="13">
        <f t="shared" si="6"/>
        <v>6</v>
      </c>
      <c r="T27" s="13">
        <f t="shared" si="6"/>
        <v>5</v>
      </c>
      <c r="U27" s="13">
        <f t="shared" si="6"/>
        <v>1</v>
      </c>
      <c r="V27" s="13">
        <f t="shared" si="6"/>
        <v>6</v>
      </c>
      <c r="W27" s="13">
        <f t="shared" si="6"/>
        <v>1</v>
      </c>
      <c r="X27" s="13">
        <f t="shared" si="6"/>
        <v>1</v>
      </c>
      <c r="Y27" s="13">
        <f t="shared" si="6"/>
        <v>4</v>
      </c>
      <c r="Z27" s="13">
        <f t="shared" si="6"/>
        <v>1</v>
      </c>
      <c r="AA27" s="13">
        <f t="shared" si="6"/>
        <v>2</v>
      </c>
      <c r="AB27" s="13">
        <f t="shared" si="3"/>
        <v>68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7">SUM(E19,E22,E25)</f>
        <v>103</v>
      </c>
      <c r="F28" s="13">
        <f t="shared" si="7"/>
        <v>93</v>
      </c>
      <c r="G28" s="13">
        <f t="shared" si="7"/>
        <v>89</v>
      </c>
      <c r="H28" s="13">
        <f t="shared" si="7"/>
        <v>85</v>
      </c>
      <c r="I28" s="13">
        <f t="shared" si="7"/>
        <v>87</v>
      </c>
      <c r="J28" s="13">
        <f t="shared" si="7"/>
        <v>103</v>
      </c>
      <c r="K28" s="13">
        <f t="shared" si="7"/>
        <v>110</v>
      </c>
      <c r="L28" s="13">
        <f t="shared" si="7"/>
        <v>109</v>
      </c>
      <c r="M28" s="13">
        <f t="shared" si="7"/>
        <v>97</v>
      </c>
      <c r="N28" s="13">
        <f t="shared" si="7"/>
        <v>103</v>
      </c>
      <c r="O28" s="13">
        <f t="shared" si="7"/>
        <v>92</v>
      </c>
      <c r="P28" s="13">
        <f t="shared" si="7"/>
        <v>106</v>
      </c>
      <c r="Q28" s="13">
        <f t="shared" si="7"/>
        <v>122</v>
      </c>
      <c r="R28" s="13">
        <f t="shared" si="7"/>
        <v>96</v>
      </c>
      <c r="S28" s="13">
        <f t="shared" si="7"/>
        <v>96</v>
      </c>
      <c r="T28" s="13">
        <f t="shared" si="7"/>
        <v>86</v>
      </c>
      <c r="U28" s="13">
        <f t="shared" si="7"/>
        <v>99</v>
      </c>
      <c r="V28" s="13">
        <f t="shared" si="7"/>
        <v>94</v>
      </c>
      <c r="W28" s="13">
        <f t="shared" si="7"/>
        <v>105</v>
      </c>
      <c r="X28" s="13">
        <f t="shared" si="7"/>
        <v>102</v>
      </c>
      <c r="Y28" s="13">
        <f t="shared" si="7"/>
        <v>95</v>
      </c>
      <c r="Z28" s="13">
        <f t="shared" si="7"/>
        <v>96</v>
      </c>
      <c r="AA28" s="13">
        <f t="shared" si="7"/>
        <v>89</v>
      </c>
      <c r="AB28" s="13">
        <f t="shared" si="3"/>
        <v>2257</v>
      </c>
    </row>
    <row r="29" ht="12.75" customHeight="1">
      <c r="A29" s="35"/>
      <c r="B29" s="27"/>
      <c r="C29" s="34"/>
      <c r="D29" s="13" t="s">
        <v>12</v>
      </c>
      <c r="E29" s="13">
        <f t="shared" ref="E29:AA29" si="8">SUM(E20,E23,E26)</f>
        <v>105</v>
      </c>
      <c r="F29" s="13">
        <f t="shared" si="8"/>
        <v>135</v>
      </c>
      <c r="G29" s="13">
        <f t="shared" si="8"/>
        <v>117</v>
      </c>
      <c r="H29" s="13">
        <f t="shared" si="8"/>
        <v>105</v>
      </c>
      <c r="I29" s="13">
        <f t="shared" si="8"/>
        <v>101</v>
      </c>
      <c r="J29" s="13">
        <f t="shared" si="8"/>
        <v>119</v>
      </c>
      <c r="K29" s="13">
        <f t="shared" si="8"/>
        <v>107</v>
      </c>
      <c r="L29" s="13">
        <f t="shared" si="8"/>
        <v>123</v>
      </c>
      <c r="M29" s="13">
        <f t="shared" si="8"/>
        <v>129</v>
      </c>
      <c r="N29" s="13">
        <f t="shared" si="8"/>
        <v>122</v>
      </c>
      <c r="O29" s="13">
        <f t="shared" si="8"/>
        <v>130</v>
      </c>
      <c r="P29" s="13">
        <f t="shared" si="8"/>
        <v>121</v>
      </c>
      <c r="Q29" s="13">
        <f t="shared" si="8"/>
        <v>120</v>
      </c>
      <c r="R29" s="13">
        <f t="shared" si="8"/>
        <v>115</v>
      </c>
      <c r="S29" s="13">
        <f t="shared" si="8"/>
        <v>128</v>
      </c>
      <c r="T29" s="13">
        <f t="shared" si="8"/>
        <v>115</v>
      </c>
      <c r="U29" s="13">
        <f t="shared" si="8"/>
        <v>130</v>
      </c>
      <c r="V29" s="13">
        <f t="shared" si="8"/>
        <v>123</v>
      </c>
      <c r="W29" s="13">
        <f t="shared" si="8"/>
        <v>128</v>
      </c>
      <c r="X29" s="13">
        <f t="shared" si="8"/>
        <v>122</v>
      </c>
      <c r="Y29" s="13">
        <f t="shared" si="8"/>
        <v>111</v>
      </c>
      <c r="Z29" s="13">
        <f t="shared" si="8"/>
        <v>123</v>
      </c>
      <c r="AA29" s="13">
        <f t="shared" si="8"/>
        <v>124</v>
      </c>
      <c r="AB29" s="13">
        <f t="shared" si="3"/>
        <v>2753</v>
      </c>
    </row>
    <row r="30" ht="12.75" customHeight="1">
      <c r="A30" s="35"/>
      <c r="B30" s="28"/>
      <c r="C30" s="36"/>
      <c r="D30" s="13" t="s">
        <v>13</v>
      </c>
      <c r="E30" s="13">
        <f t="shared" ref="E30:AA30" si="9">SUM(E28:E29)</f>
        <v>208</v>
      </c>
      <c r="F30" s="13">
        <f t="shared" si="9"/>
        <v>228</v>
      </c>
      <c r="G30" s="13">
        <f t="shared" si="9"/>
        <v>206</v>
      </c>
      <c r="H30" s="13">
        <f t="shared" si="9"/>
        <v>190</v>
      </c>
      <c r="I30" s="13">
        <f t="shared" si="9"/>
        <v>188</v>
      </c>
      <c r="J30" s="13">
        <f t="shared" si="9"/>
        <v>222</v>
      </c>
      <c r="K30" s="13">
        <f t="shared" si="9"/>
        <v>217</v>
      </c>
      <c r="L30" s="13">
        <f t="shared" si="9"/>
        <v>232</v>
      </c>
      <c r="M30" s="13">
        <f t="shared" si="9"/>
        <v>226</v>
      </c>
      <c r="N30" s="13">
        <f t="shared" si="9"/>
        <v>225</v>
      </c>
      <c r="O30" s="13">
        <f t="shared" si="9"/>
        <v>222</v>
      </c>
      <c r="P30" s="13">
        <f t="shared" si="9"/>
        <v>227</v>
      </c>
      <c r="Q30" s="13">
        <f t="shared" si="9"/>
        <v>242</v>
      </c>
      <c r="R30" s="13">
        <f t="shared" si="9"/>
        <v>211</v>
      </c>
      <c r="S30" s="13">
        <f t="shared" si="9"/>
        <v>224</v>
      </c>
      <c r="T30" s="13">
        <f t="shared" si="9"/>
        <v>201</v>
      </c>
      <c r="U30" s="13">
        <f t="shared" si="9"/>
        <v>229</v>
      </c>
      <c r="V30" s="13">
        <f t="shared" si="9"/>
        <v>217</v>
      </c>
      <c r="W30" s="13">
        <f t="shared" si="9"/>
        <v>233</v>
      </c>
      <c r="X30" s="13">
        <f t="shared" si="9"/>
        <v>224</v>
      </c>
      <c r="Y30" s="13">
        <f t="shared" si="9"/>
        <v>206</v>
      </c>
      <c r="Z30" s="13">
        <f t="shared" si="9"/>
        <v>219</v>
      </c>
      <c r="AA30" s="13">
        <f t="shared" si="9"/>
        <v>213</v>
      </c>
      <c r="AB30" s="13">
        <f t="shared" si="3"/>
        <v>5010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19"/>
      <c r="U31" s="19"/>
      <c r="V31" s="19"/>
      <c r="W31" s="19"/>
      <c r="X31" s="74"/>
      <c r="Y31" s="74"/>
      <c r="Z31" s="74"/>
      <c r="AA31" s="74"/>
      <c r="AB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13"/>
      <c r="U32" s="13"/>
      <c r="V32" s="13"/>
      <c r="W32" s="13"/>
      <c r="X32" s="76"/>
      <c r="Y32" s="76"/>
      <c r="Z32" s="76"/>
      <c r="AA32" s="76"/>
      <c r="AB32" s="75"/>
    </row>
    <row r="33" ht="12.75" customHeight="1">
      <c r="A33" s="19">
        <v>1.0</v>
      </c>
      <c r="B33" s="20" t="s">
        <v>26</v>
      </c>
      <c r="C33" s="15"/>
      <c r="D33" s="16"/>
      <c r="E33" s="73">
        <v>296.0</v>
      </c>
      <c r="F33" s="73">
        <v>262.0</v>
      </c>
      <c r="G33" s="73">
        <v>294.0</v>
      </c>
      <c r="H33" s="73">
        <v>289.0</v>
      </c>
      <c r="I33" s="73">
        <v>270.0</v>
      </c>
      <c r="J33" s="73">
        <v>289.0</v>
      </c>
      <c r="K33" s="73">
        <v>291.0</v>
      </c>
      <c r="L33" s="73">
        <v>287.0</v>
      </c>
      <c r="M33" s="73">
        <v>301.0</v>
      </c>
      <c r="N33" s="73">
        <v>296.0</v>
      </c>
      <c r="O33" s="73">
        <v>273.0</v>
      </c>
      <c r="P33" s="73">
        <v>304.0</v>
      </c>
      <c r="Q33" s="73">
        <v>296.0</v>
      </c>
      <c r="R33" s="73">
        <v>280.0</v>
      </c>
      <c r="S33" s="73">
        <v>300.0</v>
      </c>
      <c r="T33" s="73">
        <v>284.0</v>
      </c>
      <c r="U33" s="73">
        <v>284.0</v>
      </c>
      <c r="V33" s="73">
        <v>287.0</v>
      </c>
      <c r="W33" s="73">
        <v>295.0</v>
      </c>
      <c r="X33" s="73">
        <v>293.0</v>
      </c>
      <c r="Y33" s="73">
        <v>292.0</v>
      </c>
      <c r="Z33" s="73">
        <v>300.0</v>
      </c>
      <c r="AA33" s="73">
        <v>279.0</v>
      </c>
      <c r="AB33" s="13">
        <f t="shared" ref="AB33:AB36" si="10">SUM(E33:AA33)</f>
        <v>6642</v>
      </c>
    </row>
    <row r="34" ht="12.75" customHeight="1">
      <c r="A34" s="19">
        <v>2.0</v>
      </c>
      <c r="B34" s="20" t="s">
        <v>27</v>
      </c>
      <c r="C34" s="15"/>
      <c r="D34" s="16"/>
      <c r="E34" s="77">
        <v>208.0</v>
      </c>
      <c r="F34" s="77">
        <v>228.0</v>
      </c>
      <c r="G34" s="77">
        <v>206.0</v>
      </c>
      <c r="H34" s="77">
        <v>190.0</v>
      </c>
      <c r="I34" s="77">
        <v>188.0</v>
      </c>
      <c r="J34" s="77">
        <v>222.0</v>
      </c>
      <c r="K34" s="77">
        <v>217.0</v>
      </c>
      <c r="L34" s="77">
        <v>232.0</v>
      </c>
      <c r="M34" s="77">
        <v>226.0</v>
      </c>
      <c r="N34" s="77">
        <v>225.0</v>
      </c>
      <c r="O34" s="77">
        <v>222.0</v>
      </c>
      <c r="P34" s="77">
        <v>227.0</v>
      </c>
      <c r="Q34" s="77">
        <v>242.0</v>
      </c>
      <c r="R34" s="77">
        <v>211.0</v>
      </c>
      <c r="S34" s="77">
        <v>224.0</v>
      </c>
      <c r="T34" s="77">
        <v>201.0</v>
      </c>
      <c r="U34" s="77">
        <v>229.0</v>
      </c>
      <c r="V34" s="77">
        <v>217.0</v>
      </c>
      <c r="W34" s="77">
        <v>233.0</v>
      </c>
      <c r="X34" s="77">
        <v>224.0</v>
      </c>
      <c r="Y34" s="77">
        <v>206.0</v>
      </c>
      <c r="Z34" s="77">
        <v>219.0</v>
      </c>
      <c r="AA34" s="77">
        <v>213.0</v>
      </c>
      <c r="AB34" s="13">
        <f t="shared" si="10"/>
        <v>5010</v>
      </c>
    </row>
    <row r="35" ht="12.75" customHeight="1">
      <c r="A35" s="19">
        <v>3.0</v>
      </c>
      <c r="B35" s="20" t="s">
        <v>28</v>
      </c>
      <c r="C35" s="15"/>
      <c r="D35" s="16"/>
      <c r="E35" s="73">
        <v>1.0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2.0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87</v>
      </c>
      <c r="F36" s="13">
        <f t="shared" si="11"/>
        <v>34</v>
      </c>
      <c r="G36" s="13">
        <f t="shared" si="11"/>
        <v>88</v>
      </c>
      <c r="H36" s="13">
        <f t="shared" si="11"/>
        <v>99</v>
      </c>
      <c r="I36" s="13">
        <f t="shared" si="11"/>
        <v>82</v>
      </c>
      <c r="J36" s="13">
        <f t="shared" si="11"/>
        <v>67</v>
      </c>
      <c r="K36" s="13">
        <f t="shared" si="11"/>
        <v>74</v>
      </c>
      <c r="L36" s="13">
        <f t="shared" si="11"/>
        <v>55</v>
      </c>
      <c r="M36" s="13">
        <f t="shared" si="11"/>
        <v>75</v>
      </c>
      <c r="N36" s="13">
        <f t="shared" si="11"/>
        <v>71</v>
      </c>
      <c r="O36" s="13">
        <f t="shared" si="11"/>
        <v>51</v>
      </c>
      <c r="P36" s="13">
        <f t="shared" si="11"/>
        <v>77</v>
      </c>
      <c r="Q36" s="13">
        <f t="shared" si="11"/>
        <v>54</v>
      </c>
      <c r="R36" s="13">
        <f t="shared" si="11"/>
        <v>69</v>
      </c>
      <c r="S36" s="13">
        <f t="shared" si="11"/>
        <v>74</v>
      </c>
      <c r="T36" s="13">
        <f t="shared" si="11"/>
        <v>83</v>
      </c>
      <c r="U36" s="13">
        <f t="shared" si="11"/>
        <v>55</v>
      </c>
      <c r="V36" s="13">
        <f t="shared" si="11"/>
        <v>70</v>
      </c>
      <c r="W36" s="13">
        <f t="shared" si="11"/>
        <v>62</v>
      </c>
      <c r="X36" s="13">
        <f t="shared" si="11"/>
        <v>69</v>
      </c>
      <c r="Y36" s="13">
        <f t="shared" si="11"/>
        <v>86</v>
      </c>
      <c r="Z36" s="13">
        <f t="shared" si="11"/>
        <v>81</v>
      </c>
      <c r="AA36" s="13">
        <f t="shared" si="11"/>
        <v>66</v>
      </c>
      <c r="AB36" s="13">
        <f t="shared" si="10"/>
        <v>1629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19"/>
      <c r="U37" s="19"/>
      <c r="V37" s="19"/>
      <c r="W37" s="19"/>
      <c r="X37" s="74"/>
      <c r="Y37" s="78"/>
      <c r="Z37" s="78"/>
      <c r="AA37" s="78"/>
      <c r="AB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13"/>
      <c r="U38" s="13"/>
      <c r="V38" s="13"/>
      <c r="W38" s="13"/>
      <c r="X38" s="76"/>
      <c r="Y38" s="76"/>
      <c r="Z38" s="76"/>
      <c r="AA38" s="76"/>
      <c r="AB38" s="75"/>
    </row>
    <row r="39" ht="12.75" customHeight="1">
      <c r="A39" s="30"/>
      <c r="B39" s="43" t="s">
        <v>32</v>
      </c>
      <c r="C39" s="23"/>
      <c r="D39" s="19" t="s">
        <v>11</v>
      </c>
      <c r="E39" s="73">
        <v>2.0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73">
        <v>1.0</v>
      </c>
      <c r="X39" s="19"/>
      <c r="Y39" s="19"/>
      <c r="Z39" s="19"/>
      <c r="AA39" s="19"/>
      <c r="AB39" s="13">
        <f t="shared" ref="AB39:AB41" si="12">SUM(E39:AA39)</f>
        <v>3</v>
      </c>
    </row>
    <row r="40" ht="12.75" customHeight="1">
      <c r="A40" s="33"/>
      <c r="C40" s="27"/>
      <c r="D40" s="19" t="s">
        <v>12</v>
      </c>
      <c r="E40" s="73">
        <v>1.0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73">
        <v>1.0</v>
      </c>
      <c r="AA40" s="19"/>
      <c r="AB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AA41" si="13">SUM(E39:E40)</f>
        <v>3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19"/>
      <c r="U42" s="19"/>
      <c r="V42" s="19"/>
      <c r="W42" s="19"/>
      <c r="X42" s="74"/>
      <c r="Y42" s="19"/>
      <c r="Z42" s="74"/>
      <c r="AA42" s="19"/>
      <c r="AB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13"/>
      <c r="U43" s="13"/>
      <c r="V43" s="13"/>
      <c r="W43" s="13"/>
      <c r="X43" s="76"/>
      <c r="Y43" s="13"/>
      <c r="Z43" s="76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19"/>
      <c r="U44" s="19"/>
      <c r="V44" s="19"/>
      <c r="W44" s="19"/>
      <c r="X44" s="74"/>
      <c r="Y44" s="19"/>
      <c r="Z44" s="74"/>
      <c r="AA44" s="19"/>
      <c r="AB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8.0</v>
      </c>
      <c r="F45" s="73">
        <v>9.0</v>
      </c>
      <c r="G45" s="73">
        <v>11.0</v>
      </c>
      <c r="H45" s="73">
        <v>7.0</v>
      </c>
      <c r="I45" s="73">
        <v>12.0</v>
      </c>
      <c r="J45" s="73">
        <v>4.0</v>
      </c>
      <c r="K45" s="73">
        <v>3.0</v>
      </c>
      <c r="L45" s="73">
        <v>3.0</v>
      </c>
      <c r="M45" s="73">
        <v>8.0</v>
      </c>
      <c r="N45" s="73">
        <v>2.0</v>
      </c>
      <c r="O45" s="73">
        <v>1.0</v>
      </c>
      <c r="P45" s="73">
        <v>6.0</v>
      </c>
      <c r="Q45" s="73">
        <v>7.0</v>
      </c>
      <c r="R45" s="73">
        <v>3.0</v>
      </c>
      <c r="S45" s="73">
        <v>11.0</v>
      </c>
      <c r="T45" s="73">
        <v>3.0</v>
      </c>
      <c r="U45" s="73">
        <v>10.0</v>
      </c>
      <c r="V45" s="73">
        <v>1.0</v>
      </c>
      <c r="W45" s="73">
        <v>6.0</v>
      </c>
      <c r="X45" s="73">
        <v>8.0</v>
      </c>
      <c r="Y45" s="73">
        <v>6.0</v>
      </c>
      <c r="Z45" s="73">
        <v>6.0</v>
      </c>
      <c r="AA45" s="73">
        <v>5.0</v>
      </c>
      <c r="AB45" s="13">
        <f t="shared" ref="AB45:AB54" si="14">SUM(E45:AA45)</f>
        <v>140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12.0</v>
      </c>
      <c r="F46" s="73">
        <v>17.0</v>
      </c>
      <c r="G46" s="73">
        <v>19.0</v>
      </c>
      <c r="H46" s="73">
        <v>28.0</v>
      </c>
      <c r="I46" s="73">
        <v>8.0</v>
      </c>
      <c r="J46" s="73">
        <v>10.0</v>
      </c>
      <c r="K46" s="73">
        <v>8.0</v>
      </c>
      <c r="L46" s="73">
        <v>3.0</v>
      </c>
      <c r="M46" s="73">
        <v>11.0</v>
      </c>
      <c r="N46" s="73">
        <v>17.0</v>
      </c>
      <c r="O46" s="73">
        <v>4.0</v>
      </c>
      <c r="P46" s="73">
        <v>12.0</v>
      </c>
      <c r="Q46" s="73">
        <v>6.0</v>
      </c>
      <c r="R46" s="73">
        <v>14.0</v>
      </c>
      <c r="S46" s="73">
        <v>17.0</v>
      </c>
      <c r="T46" s="73">
        <v>8.0</v>
      </c>
      <c r="U46" s="73">
        <v>23.0</v>
      </c>
      <c r="V46" s="73">
        <v>6.0</v>
      </c>
      <c r="W46" s="73">
        <v>21.0</v>
      </c>
      <c r="X46" s="73">
        <v>15.0</v>
      </c>
      <c r="Y46" s="73">
        <v>7.0</v>
      </c>
      <c r="Z46" s="73">
        <v>15.0</v>
      </c>
      <c r="AA46" s="73">
        <v>19.0</v>
      </c>
      <c r="AB46" s="13">
        <f t="shared" si="14"/>
        <v>300</v>
      </c>
    </row>
    <row r="47" ht="12.75" customHeight="1">
      <c r="A47" s="18"/>
      <c r="B47" s="49"/>
      <c r="C47" s="50" t="s">
        <v>40</v>
      </c>
      <c r="D47" s="51"/>
      <c r="E47" s="73">
        <v>1.0</v>
      </c>
      <c r="F47" s="73">
        <v>0.0</v>
      </c>
      <c r="G47" s="73">
        <v>0.0</v>
      </c>
      <c r="H47" s="73">
        <v>0.0</v>
      </c>
      <c r="I47" s="73">
        <v>2.0</v>
      </c>
      <c r="J47" s="73">
        <v>2.0</v>
      </c>
      <c r="K47" s="73">
        <v>0.0</v>
      </c>
      <c r="L47" s="73">
        <v>0.0</v>
      </c>
      <c r="M47" s="73">
        <v>0.0</v>
      </c>
      <c r="N47" s="73">
        <v>2.0</v>
      </c>
      <c r="O47" s="73">
        <v>0.0</v>
      </c>
      <c r="P47" s="73">
        <v>3.0</v>
      </c>
      <c r="Q47" s="73">
        <v>3.0</v>
      </c>
      <c r="R47" s="73">
        <v>2.0</v>
      </c>
      <c r="S47" s="73">
        <v>0.0</v>
      </c>
      <c r="T47" s="73">
        <v>3.0</v>
      </c>
      <c r="U47" s="73">
        <v>2.0</v>
      </c>
      <c r="V47" s="73">
        <v>0.0</v>
      </c>
      <c r="W47" s="73">
        <v>1.0</v>
      </c>
      <c r="X47" s="73">
        <v>1.0</v>
      </c>
      <c r="Y47" s="73">
        <v>2.0</v>
      </c>
      <c r="Z47" s="73">
        <v>1.0</v>
      </c>
      <c r="AA47" s="73">
        <v>1.0</v>
      </c>
      <c r="AB47" s="13">
        <f t="shared" si="14"/>
        <v>26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0.0</v>
      </c>
      <c r="G48" s="73">
        <v>1.0</v>
      </c>
      <c r="H48" s="73">
        <v>0.0</v>
      </c>
      <c r="I48" s="73">
        <v>0.0</v>
      </c>
      <c r="J48" s="73">
        <v>1.0</v>
      </c>
      <c r="K48" s="73">
        <v>0.0</v>
      </c>
      <c r="L48" s="73">
        <v>0.0</v>
      </c>
      <c r="M48" s="73">
        <v>0.0</v>
      </c>
      <c r="N48" s="73">
        <v>1.0</v>
      </c>
      <c r="O48" s="73">
        <v>1.0</v>
      </c>
      <c r="P48" s="73">
        <v>0.0</v>
      </c>
      <c r="Q48" s="73">
        <v>0.0</v>
      </c>
      <c r="R48" s="73">
        <v>0.0</v>
      </c>
      <c r="S48" s="73">
        <v>3.0</v>
      </c>
      <c r="T48" s="73">
        <v>0.0</v>
      </c>
      <c r="U48" s="73">
        <v>1.0</v>
      </c>
      <c r="V48" s="73">
        <v>0.0</v>
      </c>
      <c r="W48" s="73">
        <v>2.0</v>
      </c>
      <c r="X48" s="73">
        <v>0.0</v>
      </c>
      <c r="Y48" s="73">
        <v>1.0</v>
      </c>
      <c r="Z48" s="73">
        <v>0.0</v>
      </c>
      <c r="AA48" s="73">
        <v>2.0</v>
      </c>
      <c r="AB48" s="13">
        <f t="shared" si="14"/>
        <v>13</v>
      </c>
    </row>
    <row r="49" ht="12.75" customHeight="1">
      <c r="A49" s="18"/>
      <c r="B49" s="49"/>
      <c r="C49" s="50" t="s">
        <v>42</v>
      </c>
      <c r="D49" s="51"/>
      <c r="E49" s="73">
        <v>0.0</v>
      </c>
      <c r="F49" s="73">
        <v>1.0</v>
      </c>
      <c r="G49" s="73">
        <v>0.0</v>
      </c>
      <c r="H49" s="73">
        <v>1.0</v>
      </c>
      <c r="I49" s="73">
        <v>0.0</v>
      </c>
      <c r="J49" s="73">
        <v>0.0</v>
      </c>
      <c r="K49" s="73">
        <v>0.0</v>
      </c>
      <c r="L49" s="73">
        <v>0.0</v>
      </c>
      <c r="M49" s="73">
        <v>1.0</v>
      </c>
      <c r="N49" s="73">
        <v>1.0</v>
      </c>
      <c r="O49" s="73">
        <v>0.0</v>
      </c>
      <c r="P49" s="73">
        <v>1.0</v>
      </c>
      <c r="Q49" s="73">
        <v>1.0</v>
      </c>
      <c r="R49" s="73">
        <v>0.0</v>
      </c>
      <c r="S49" s="73">
        <v>0.0</v>
      </c>
      <c r="T49" s="73">
        <v>0.0</v>
      </c>
      <c r="U49" s="73">
        <v>1.0</v>
      </c>
      <c r="V49" s="73">
        <v>0.0</v>
      </c>
      <c r="W49" s="73">
        <v>0.0</v>
      </c>
      <c r="X49" s="73">
        <v>0.0</v>
      </c>
      <c r="Y49" s="73">
        <v>1.0</v>
      </c>
      <c r="Z49" s="73">
        <v>3.0</v>
      </c>
      <c r="AA49" s="73">
        <v>0.0</v>
      </c>
      <c r="AB49" s="13">
        <f t="shared" si="14"/>
        <v>11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0.0</v>
      </c>
      <c r="T50" s="73">
        <v>0.0</v>
      </c>
      <c r="U50" s="73">
        <v>1.0</v>
      </c>
      <c r="V50" s="73">
        <v>1.0</v>
      </c>
      <c r="W50" s="73">
        <v>1.0</v>
      </c>
      <c r="X50" s="73">
        <v>0.0</v>
      </c>
      <c r="Y50" s="73">
        <v>1.0</v>
      </c>
      <c r="Z50" s="73">
        <v>0.0</v>
      </c>
      <c r="AA50" s="73">
        <v>0.0</v>
      </c>
      <c r="AB50" s="13">
        <f t="shared" si="14"/>
        <v>4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1.0</v>
      </c>
      <c r="G51" s="73">
        <v>0.0</v>
      </c>
      <c r="H51" s="73">
        <v>0.0</v>
      </c>
      <c r="I51" s="73">
        <v>2.0</v>
      </c>
      <c r="J51" s="73">
        <v>1.0</v>
      </c>
      <c r="K51" s="73">
        <v>1.0</v>
      </c>
      <c r="L51" s="73">
        <v>0.0</v>
      </c>
      <c r="M51" s="73">
        <v>1.0</v>
      </c>
      <c r="N51" s="73">
        <v>0.0</v>
      </c>
      <c r="O51" s="73">
        <v>0.0</v>
      </c>
      <c r="P51" s="73">
        <v>0.0</v>
      </c>
      <c r="Q51" s="73">
        <v>0.0</v>
      </c>
      <c r="R51" s="73">
        <v>1.0</v>
      </c>
      <c r="S51" s="73">
        <v>0.0</v>
      </c>
      <c r="T51" s="73">
        <v>0.0</v>
      </c>
      <c r="U51" s="73">
        <v>1.0</v>
      </c>
      <c r="V51" s="73">
        <v>1.0</v>
      </c>
      <c r="W51" s="73">
        <v>0.0</v>
      </c>
      <c r="X51" s="73">
        <v>0.0</v>
      </c>
      <c r="Y51" s="73">
        <v>1.0</v>
      </c>
      <c r="Z51" s="73">
        <v>0.0</v>
      </c>
      <c r="AA51" s="73">
        <v>0.0</v>
      </c>
      <c r="AB51" s="13">
        <f t="shared" si="14"/>
        <v>10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0.0</v>
      </c>
      <c r="H52" s="80">
        <v>0.0</v>
      </c>
      <c r="I52" s="80">
        <v>0.0</v>
      </c>
      <c r="J52" s="80">
        <v>0.0</v>
      </c>
      <c r="K52" s="80">
        <v>0.0</v>
      </c>
      <c r="L52" s="80">
        <v>0.0</v>
      </c>
      <c r="M52" s="80">
        <v>0.0</v>
      </c>
      <c r="N52" s="80">
        <v>0.0</v>
      </c>
      <c r="O52" s="80">
        <v>1.0</v>
      </c>
      <c r="P52" s="80">
        <v>1.0</v>
      </c>
      <c r="Q52" s="80">
        <v>0.0</v>
      </c>
      <c r="R52" s="80">
        <v>2.0</v>
      </c>
      <c r="S52" s="80">
        <v>0.0</v>
      </c>
      <c r="T52" s="80">
        <v>0.0</v>
      </c>
      <c r="U52" s="80">
        <v>0.0</v>
      </c>
      <c r="V52" s="80">
        <v>0.0</v>
      </c>
      <c r="W52" s="80">
        <v>0.0</v>
      </c>
      <c r="X52" s="80">
        <v>0.0</v>
      </c>
      <c r="Y52" s="80">
        <v>0.0</v>
      </c>
      <c r="Z52" s="80">
        <v>0.0</v>
      </c>
      <c r="AA52" s="80">
        <v>0.0</v>
      </c>
      <c r="AB52" s="13">
        <f t="shared" si="14"/>
        <v>4</v>
      </c>
    </row>
    <row r="53" ht="12.75" customHeight="1">
      <c r="A53" s="79"/>
      <c r="B53" s="49"/>
      <c r="C53" s="50" t="s">
        <v>46</v>
      </c>
      <c r="D53" s="56"/>
      <c r="E53" s="80">
        <v>1.0</v>
      </c>
      <c r="F53" s="80">
        <v>0.0</v>
      </c>
      <c r="G53" s="80">
        <v>0.0</v>
      </c>
      <c r="H53" s="80">
        <v>0.0</v>
      </c>
      <c r="I53" s="80">
        <v>1.0</v>
      </c>
      <c r="J53" s="80">
        <v>0.0</v>
      </c>
      <c r="K53" s="80">
        <v>0.0</v>
      </c>
      <c r="L53" s="80">
        <v>0.0</v>
      </c>
      <c r="M53" s="80">
        <v>0.0</v>
      </c>
      <c r="N53" s="80">
        <v>1.0</v>
      </c>
      <c r="O53" s="80">
        <v>0.0</v>
      </c>
      <c r="P53" s="80">
        <v>0.0</v>
      </c>
      <c r="Q53" s="80">
        <v>0.0</v>
      </c>
      <c r="R53" s="80">
        <v>0.0</v>
      </c>
      <c r="S53" s="80">
        <v>0.0</v>
      </c>
      <c r="T53" s="80">
        <v>1.0</v>
      </c>
      <c r="U53" s="80">
        <v>0.0</v>
      </c>
      <c r="V53" s="80">
        <v>0.0</v>
      </c>
      <c r="W53" s="80">
        <v>0.0</v>
      </c>
      <c r="X53" s="80">
        <v>0.0</v>
      </c>
      <c r="Y53" s="80">
        <v>0.0</v>
      </c>
      <c r="Z53" s="80">
        <v>0.0</v>
      </c>
      <c r="AA53" s="80">
        <v>0.0</v>
      </c>
      <c r="AB53" s="13">
        <f t="shared" si="14"/>
        <v>4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1.0</v>
      </c>
      <c r="H54" s="80">
        <v>0.0</v>
      </c>
      <c r="I54" s="80">
        <v>0.0</v>
      </c>
      <c r="J54" s="80">
        <v>0.0</v>
      </c>
      <c r="K54" s="80">
        <v>0.0</v>
      </c>
      <c r="L54" s="80">
        <v>0.0</v>
      </c>
      <c r="M54" s="80">
        <v>0.0</v>
      </c>
      <c r="N54" s="80">
        <v>0.0</v>
      </c>
      <c r="O54" s="80">
        <v>1.0</v>
      </c>
      <c r="P54" s="80">
        <v>0.0</v>
      </c>
      <c r="Q54" s="80">
        <v>0.0</v>
      </c>
      <c r="R54" s="80">
        <v>1.0</v>
      </c>
      <c r="S54" s="80">
        <v>1.0</v>
      </c>
      <c r="T54" s="80">
        <v>0.0</v>
      </c>
      <c r="U54" s="80">
        <v>0.0</v>
      </c>
      <c r="V54" s="80">
        <v>0.0</v>
      </c>
      <c r="W54" s="80">
        <v>0.0</v>
      </c>
      <c r="X54" s="80">
        <v>2.0</v>
      </c>
      <c r="Y54" s="80">
        <v>0.0</v>
      </c>
      <c r="Z54" s="80">
        <v>0.0</v>
      </c>
      <c r="AA54" s="80">
        <v>1.0</v>
      </c>
      <c r="AB54" s="13">
        <f t="shared" si="14"/>
        <v>7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AB55" si="15">SUM(E45:E54)</f>
        <v>22</v>
      </c>
      <c r="F55" s="13">
        <f t="shared" si="15"/>
        <v>28</v>
      </c>
      <c r="G55" s="13">
        <f t="shared" si="15"/>
        <v>32</v>
      </c>
      <c r="H55" s="13">
        <f t="shared" si="15"/>
        <v>36</v>
      </c>
      <c r="I55" s="13">
        <f t="shared" si="15"/>
        <v>25</v>
      </c>
      <c r="J55" s="13">
        <f t="shared" si="15"/>
        <v>18</v>
      </c>
      <c r="K55" s="13">
        <f t="shared" si="15"/>
        <v>12</v>
      </c>
      <c r="L55" s="13">
        <f t="shared" si="15"/>
        <v>6</v>
      </c>
      <c r="M55" s="13">
        <f t="shared" si="15"/>
        <v>21</v>
      </c>
      <c r="N55" s="13">
        <f t="shared" si="15"/>
        <v>24</v>
      </c>
      <c r="O55" s="13">
        <f t="shared" si="15"/>
        <v>8</v>
      </c>
      <c r="P55" s="13">
        <f t="shared" si="15"/>
        <v>23</v>
      </c>
      <c r="Q55" s="13">
        <f t="shared" si="15"/>
        <v>17</v>
      </c>
      <c r="R55" s="13">
        <f t="shared" si="15"/>
        <v>23</v>
      </c>
      <c r="S55" s="13">
        <f t="shared" si="15"/>
        <v>32</v>
      </c>
      <c r="T55" s="13">
        <f t="shared" si="15"/>
        <v>15</v>
      </c>
      <c r="U55" s="13">
        <f t="shared" si="15"/>
        <v>39</v>
      </c>
      <c r="V55" s="13">
        <f t="shared" si="15"/>
        <v>9</v>
      </c>
      <c r="W55" s="13">
        <f t="shared" si="15"/>
        <v>31</v>
      </c>
      <c r="X55" s="13">
        <f t="shared" si="15"/>
        <v>26</v>
      </c>
      <c r="Y55" s="13">
        <f t="shared" si="15"/>
        <v>19</v>
      </c>
      <c r="Z55" s="13">
        <f t="shared" si="15"/>
        <v>25</v>
      </c>
      <c r="AA55" s="13">
        <f t="shared" si="15"/>
        <v>28</v>
      </c>
      <c r="AB55" s="13">
        <f t="shared" si="15"/>
        <v>519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8.0</v>
      </c>
      <c r="F57" s="73">
        <v>13.0</v>
      </c>
      <c r="G57" s="73">
        <v>11.0</v>
      </c>
      <c r="H57" s="73">
        <v>9.0</v>
      </c>
      <c r="I57" s="73">
        <v>13.0</v>
      </c>
      <c r="J57" s="73">
        <v>24.0</v>
      </c>
      <c r="K57" s="73">
        <v>8.0</v>
      </c>
      <c r="L57" s="73">
        <v>9.0</v>
      </c>
      <c r="M57" s="73">
        <v>13.0</v>
      </c>
      <c r="N57" s="73">
        <v>13.0</v>
      </c>
      <c r="O57" s="73">
        <v>7.0</v>
      </c>
      <c r="P57" s="73">
        <v>13.0</v>
      </c>
      <c r="Q57" s="73">
        <v>24.0</v>
      </c>
      <c r="R57" s="73">
        <v>12.0</v>
      </c>
      <c r="S57" s="73">
        <v>17.0</v>
      </c>
      <c r="T57" s="73">
        <v>15.0</v>
      </c>
      <c r="U57" s="73">
        <v>18.0</v>
      </c>
      <c r="V57" s="73">
        <v>8.0</v>
      </c>
      <c r="W57" s="73">
        <v>17.0</v>
      </c>
      <c r="X57" s="73">
        <v>25.0</v>
      </c>
      <c r="Y57" s="73">
        <v>9.0</v>
      </c>
      <c r="Z57" s="73">
        <v>6.0</v>
      </c>
      <c r="AA57" s="73">
        <v>11.0</v>
      </c>
      <c r="AB57" s="13">
        <f t="shared" ref="AB57:AB66" si="16">SUM(E57:AA57)</f>
        <v>303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3.0</v>
      </c>
      <c r="F58" s="73">
        <v>10.0</v>
      </c>
      <c r="G58" s="73">
        <v>1.0</v>
      </c>
      <c r="H58" s="73">
        <v>4.0</v>
      </c>
      <c r="I58" s="73">
        <v>4.0</v>
      </c>
      <c r="J58" s="73">
        <v>3.0</v>
      </c>
      <c r="K58" s="73">
        <v>2.0</v>
      </c>
      <c r="L58" s="73">
        <v>4.0</v>
      </c>
      <c r="M58" s="73">
        <v>7.0</v>
      </c>
      <c r="N58" s="73">
        <v>6.0</v>
      </c>
      <c r="O58" s="73">
        <v>10.0</v>
      </c>
      <c r="P58" s="73">
        <v>4.0</v>
      </c>
      <c r="Q58" s="73">
        <v>6.0</v>
      </c>
      <c r="R58" s="73">
        <v>8.0</v>
      </c>
      <c r="S58" s="73">
        <v>7.0</v>
      </c>
      <c r="T58" s="73">
        <v>6.0</v>
      </c>
      <c r="U58" s="73">
        <v>8.0</v>
      </c>
      <c r="V58" s="73">
        <v>6.0</v>
      </c>
      <c r="W58" s="73">
        <v>10.0</v>
      </c>
      <c r="X58" s="73">
        <v>5.0</v>
      </c>
      <c r="Y58" s="73">
        <v>5.0</v>
      </c>
      <c r="Z58" s="73">
        <v>2.0</v>
      </c>
      <c r="AA58" s="73">
        <v>6.0</v>
      </c>
      <c r="AB58" s="13">
        <f t="shared" si="16"/>
        <v>127</v>
      </c>
    </row>
    <row r="59" ht="12.75" customHeight="1">
      <c r="A59" s="18"/>
      <c r="B59" s="49"/>
      <c r="C59" s="50" t="s">
        <v>51</v>
      </c>
      <c r="D59" s="51"/>
      <c r="E59" s="73">
        <v>2.0</v>
      </c>
      <c r="F59" s="73">
        <v>10.0</v>
      </c>
      <c r="G59" s="73">
        <v>6.0</v>
      </c>
      <c r="H59" s="73">
        <v>9.0</v>
      </c>
      <c r="I59" s="73">
        <v>3.0</v>
      </c>
      <c r="J59" s="73">
        <v>7.0</v>
      </c>
      <c r="K59" s="73">
        <v>18.0</v>
      </c>
      <c r="L59" s="73">
        <v>8.0</v>
      </c>
      <c r="M59" s="73">
        <v>14.0</v>
      </c>
      <c r="N59" s="73">
        <v>3.0</v>
      </c>
      <c r="O59" s="73">
        <v>8.0</v>
      </c>
      <c r="P59" s="73">
        <v>13.0</v>
      </c>
      <c r="Q59" s="73">
        <v>9.0</v>
      </c>
      <c r="R59" s="73">
        <v>9.0</v>
      </c>
      <c r="S59" s="73">
        <v>16.0</v>
      </c>
      <c r="T59" s="73">
        <v>7.0</v>
      </c>
      <c r="U59" s="73">
        <v>5.0</v>
      </c>
      <c r="V59" s="73">
        <v>12.0</v>
      </c>
      <c r="W59" s="73">
        <v>4.0</v>
      </c>
      <c r="X59" s="73">
        <v>7.0</v>
      </c>
      <c r="Y59" s="73">
        <v>6.0</v>
      </c>
      <c r="Z59" s="73">
        <v>10.0</v>
      </c>
      <c r="AA59" s="73">
        <v>12.0</v>
      </c>
      <c r="AB59" s="13">
        <f t="shared" si="16"/>
        <v>198</v>
      </c>
    </row>
    <row r="60" ht="12.75" customHeight="1">
      <c r="A60" s="18"/>
      <c r="B60" s="49"/>
      <c r="C60" s="50" t="s">
        <v>52</v>
      </c>
      <c r="D60" s="51"/>
      <c r="E60" s="73">
        <v>3.0</v>
      </c>
      <c r="F60" s="73">
        <v>2.0</v>
      </c>
      <c r="G60" s="73">
        <v>2.0</v>
      </c>
      <c r="H60" s="73">
        <v>1.0</v>
      </c>
      <c r="I60" s="73">
        <v>3.0</v>
      </c>
      <c r="J60" s="73">
        <v>0.0</v>
      </c>
      <c r="K60" s="73">
        <v>0.0</v>
      </c>
      <c r="L60" s="73">
        <v>0.0</v>
      </c>
      <c r="M60" s="73">
        <v>1.0</v>
      </c>
      <c r="N60" s="73">
        <v>1.0</v>
      </c>
      <c r="O60" s="73">
        <v>4.0</v>
      </c>
      <c r="P60" s="73">
        <v>0.0</v>
      </c>
      <c r="Q60" s="73">
        <v>5.0</v>
      </c>
      <c r="R60" s="73">
        <v>2.0</v>
      </c>
      <c r="S60" s="73">
        <v>2.0</v>
      </c>
      <c r="T60" s="73">
        <v>4.0</v>
      </c>
      <c r="U60" s="73">
        <v>3.0</v>
      </c>
      <c r="V60" s="73">
        <v>3.0</v>
      </c>
      <c r="W60" s="73">
        <v>3.0</v>
      </c>
      <c r="X60" s="73">
        <v>2.0</v>
      </c>
      <c r="Y60" s="73">
        <v>2.0</v>
      </c>
      <c r="Z60" s="73">
        <v>1.0</v>
      </c>
      <c r="AA60" s="73">
        <v>1.0</v>
      </c>
      <c r="AB60" s="13">
        <f t="shared" si="16"/>
        <v>45</v>
      </c>
    </row>
    <row r="61" ht="12.75" customHeight="1">
      <c r="A61" s="18"/>
      <c r="B61" s="49"/>
      <c r="C61" s="50" t="s">
        <v>53</v>
      </c>
      <c r="D61" s="51"/>
      <c r="E61" s="73">
        <v>3.0</v>
      </c>
      <c r="F61" s="73">
        <v>5.0</v>
      </c>
      <c r="G61" s="73">
        <v>2.0</v>
      </c>
      <c r="H61" s="73">
        <v>2.0</v>
      </c>
      <c r="I61" s="73">
        <v>2.0</v>
      </c>
      <c r="J61" s="73">
        <v>1.0</v>
      </c>
      <c r="K61" s="73">
        <v>4.0</v>
      </c>
      <c r="L61" s="73">
        <v>0.0</v>
      </c>
      <c r="M61" s="73">
        <v>4.0</v>
      </c>
      <c r="N61" s="73">
        <v>2.0</v>
      </c>
      <c r="O61" s="73">
        <v>2.0</v>
      </c>
      <c r="P61" s="73">
        <v>5.0</v>
      </c>
      <c r="Q61" s="73">
        <v>4.0</v>
      </c>
      <c r="R61" s="73">
        <v>6.0</v>
      </c>
      <c r="S61" s="73">
        <v>2.0</v>
      </c>
      <c r="T61" s="73">
        <v>3.0</v>
      </c>
      <c r="U61" s="73">
        <v>2.0</v>
      </c>
      <c r="V61" s="73">
        <v>5.0</v>
      </c>
      <c r="W61" s="73">
        <v>1.0</v>
      </c>
      <c r="X61" s="73">
        <v>7.0</v>
      </c>
      <c r="Y61" s="73">
        <v>0.0</v>
      </c>
      <c r="Z61" s="73">
        <v>4.0</v>
      </c>
      <c r="AA61" s="73">
        <v>1.0</v>
      </c>
      <c r="AB61" s="13">
        <f t="shared" si="16"/>
        <v>67</v>
      </c>
    </row>
    <row r="62" ht="12.75" customHeight="1">
      <c r="A62" s="18"/>
      <c r="B62" s="49"/>
      <c r="C62" s="50" t="s">
        <v>54</v>
      </c>
      <c r="D62" s="51"/>
      <c r="E62" s="73">
        <v>0.0</v>
      </c>
      <c r="F62" s="73">
        <v>4.0</v>
      </c>
      <c r="G62" s="73">
        <v>0.0</v>
      </c>
      <c r="H62" s="73">
        <v>1.0</v>
      </c>
      <c r="I62" s="73">
        <v>1.0</v>
      </c>
      <c r="J62" s="73">
        <v>2.0</v>
      </c>
      <c r="K62" s="73">
        <v>2.0</v>
      </c>
      <c r="L62" s="73">
        <v>0.0</v>
      </c>
      <c r="M62" s="73">
        <v>0.0</v>
      </c>
      <c r="N62" s="73">
        <v>1.0</v>
      </c>
      <c r="O62" s="73">
        <v>1.0</v>
      </c>
      <c r="P62" s="73">
        <v>0.0</v>
      </c>
      <c r="Q62" s="73">
        <v>3.0</v>
      </c>
      <c r="R62" s="73">
        <v>1.0</v>
      </c>
      <c r="S62" s="73">
        <v>0.0</v>
      </c>
      <c r="T62" s="73">
        <v>0.0</v>
      </c>
      <c r="U62" s="73">
        <v>0.0</v>
      </c>
      <c r="V62" s="73">
        <v>2.0</v>
      </c>
      <c r="W62" s="73">
        <v>0.0</v>
      </c>
      <c r="X62" s="73">
        <v>1.0</v>
      </c>
      <c r="Y62" s="73">
        <v>4.0</v>
      </c>
      <c r="Z62" s="73">
        <v>0.0</v>
      </c>
      <c r="AA62" s="73">
        <v>1.0</v>
      </c>
      <c r="AB62" s="13">
        <f t="shared" si="16"/>
        <v>24</v>
      </c>
    </row>
    <row r="63" ht="12.75" customHeight="1">
      <c r="A63" s="18"/>
      <c r="B63" s="49"/>
      <c r="C63" s="50" t="s">
        <v>55</v>
      </c>
      <c r="D63" s="51"/>
      <c r="E63" s="73">
        <v>0.0</v>
      </c>
      <c r="F63" s="73">
        <v>1.0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0.0</v>
      </c>
      <c r="N63" s="73">
        <v>1.0</v>
      </c>
      <c r="O63" s="73">
        <v>0.0</v>
      </c>
      <c r="P63" s="73">
        <v>0.0</v>
      </c>
      <c r="Q63" s="73">
        <v>0.0</v>
      </c>
      <c r="R63" s="73">
        <v>0.0</v>
      </c>
      <c r="S63" s="73">
        <v>1.0</v>
      </c>
      <c r="T63" s="73">
        <v>1.0</v>
      </c>
      <c r="U63" s="73">
        <v>0.0</v>
      </c>
      <c r="V63" s="73">
        <v>0.0</v>
      </c>
      <c r="W63" s="73">
        <v>0.0</v>
      </c>
      <c r="X63" s="73">
        <v>0.0</v>
      </c>
      <c r="Y63" s="73">
        <v>1.0</v>
      </c>
      <c r="Z63" s="73">
        <v>0.0</v>
      </c>
      <c r="AA63" s="73">
        <v>0.0</v>
      </c>
      <c r="AB63" s="13">
        <f t="shared" si="16"/>
        <v>5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0.0</v>
      </c>
      <c r="G64" s="80">
        <v>0.0</v>
      </c>
      <c r="H64" s="80">
        <v>1.0</v>
      </c>
      <c r="I64" s="80">
        <v>0.0</v>
      </c>
      <c r="J64" s="80">
        <v>0.0</v>
      </c>
      <c r="K64" s="80">
        <v>1.0</v>
      </c>
      <c r="L64" s="80">
        <v>0.0</v>
      </c>
      <c r="M64" s="80">
        <v>1.0</v>
      </c>
      <c r="N64" s="80">
        <v>0.0</v>
      </c>
      <c r="O64" s="80">
        <v>0.0</v>
      </c>
      <c r="P64" s="80">
        <v>0.0</v>
      </c>
      <c r="Q64" s="80">
        <v>0.0</v>
      </c>
      <c r="R64" s="80">
        <v>0.0</v>
      </c>
      <c r="S64" s="80">
        <v>0.0</v>
      </c>
      <c r="T64" s="80">
        <v>0.0</v>
      </c>
      <c r="U64" s="80">
        <v>0.0</v>
      </c>
      <c r="V64" s="80">
        <v>0.0</v>
      </c>
      <c r="W64" s="80">
        <v>0.0</v>
      </c>
      <c r="X64" s="80">
        <v>1.0</v>
      </c>
      <c r="Y64" s="80">
        <v>0.0</v>
      </c>
      <c r="Z64" s="80">
        <v>0.0</v>
      </c>
      <c r="AA64" s="80">
        <v>0.0</v>
      </c>
      <c r="AB64" s="13">
        <f t="shared" si="16"/>
        <v>4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0.0</v>
      </c>
      <c r="H65" s="80">
        <v>0.0</v>
      </c>
      <c r="I65" s="80">
        <v>0.0</v>
      </c>
      <c r="J65" s="80">
        <v>0.0</v>
      </c>
      <c r="K65" s="80">
        <v>1.0</v>
      </c>
      <c r="L65" s="80">
        <v>0.0</v>
      </c>
      <c r="M65" s="80">
        <v>0.0</v>
      </c>
      <c r="N65" s="80">
        <v>0.0</v>
      </c>
      <c r="O65" s="80">
        <v>1.0</v>
      </c>
      <c r="P65" s="80">
        <v>0.0</v>
      </c>
      <c r="Q65" s="80">
        <v>0.0</v>
      </c>
      <c r="R65" s="80">
        <v>1.0</v>
      </c>
      <c r="S65" s="80">
        <v>0.0</v>
      </c>
      <c r="T65" s="80">
        <v>0.0</v>
      </c>
      <c r="U65" s="80">
        <v>1.0</v>
      </c>
      <c r="V65" s="80">
        <v>0.0</v>
      </c>
      <c r="W65" s="80">
        <v>0.0</v>
      </c>
      <c r="X65" s="80">
        <v>0.0</v>
      </c>
      <c r="Y65" s="80">
        <v>0.0</v>
      </c>
      <c r="Z65" s="80">
        <v>0.0</v>
      </c>
      <c r="AA65" s="80">
        <v>0.0</v>
      </c>
      <c r="AB65" s="13">
        <f t="shared" si="16"/>
        <v>4</v>
      </c>
    </row>
    <row r="66" ht="12.75" customHeight="1">
      <c r="A66" s="79"/>
      <c r="B66" s="49"/>
      <c r="C66" s="50" t="s">
        <v>58</v>
      </c>
      <c r="D66" s="51"/>
      <c r="E66" s="80">
        <v>2.0</v>
      </c>
      <c r="F66" s="80">
        <v>0.0</v>
      </c>
      <c r="G66" s="80">
        <v>0.0</v>
      </c>
      <c r="H66" s="80">
        <v>0.0</v>
      </c>
      <c r="I66" s="80">
        <v>1.0</v>
      </c>
      <c r="J66" s="80">
        <v>0.0</v>
      </c>
      <c r="K66" s="80">
        <v>0.0</v>
      </c>
      <c r="L66" s="80">
        <v>0.0</v>
      </c>
      <c r="M66" s="80">
        <v>0.0</v>
      </c>
      <c r="N66" s="80">
        <v>0.0</v>
      </c>
      <c r="O66" s="80">
        <v>1.0</v>
      </c>
      <c r="P66" s="80">
        <v>2.0</v>
      </c>
      <c r="Q66" s="80">
        <v>1.0</v>
      </c>
      <c r="R66" s="80">
        <v>1.0</v>
      </c>
      <c r="S66" s="80">
        <v>1.0</v>
      </c>
      <c r="T66" s="80">
        <v>1.0</v>
      </c>
      <c r="U66" s="80">
        <v>0.0</v>
      </c>
      <c r="V66" s="80">
        <v>0.0</v>
      </c>
      <c r="W66" s="80">
        <v>1.0</v>
      </c>
      <c r="X66" s="80">
        <v>1.0</v>
      </c>
      <c r="Y66" s="80">
        <v>0.0</v>
      </c>
      <c r="Z66" s="80">
        <v>0.0</v>
      </c>
      <c r="AA66" s="80">
        <v>2.0</v>
      </c>
      <c r="AB66" s="13">
        <f t="shared" si="16"/>
        <v>14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AB67" si="17">SUM(E57:E66)</f>
        <v>21</v>
      </c>
      <c r="F67" s="13">
        <f t="shared" si="17"/>
        <v>45</v>
      </c>
      <c r="G67" s="13">
        <f t="shared" si="17"/>
        <v>22</v>
      </c>
      <c r="H67" s="13">
        <f t="shared" si="17"/>
        <v>27</v>
      </c>
      <c r="I67" s="13">
        <f t="shared" si="17"/>
        <v>27</v>
      </c>
      <c r="J67" s="13">
        <f t="shared" si="17"/>
        <v>37</v>
      </c>
      <c r="K67" s="13">
        <f t="shared" si="17"/>
        <v>36</v>
      </c>
      <c r="L67" s="13">
        <f t="shared" si="17"/>
        <v>21</v>
      </c>
      <c r="M67" s="13">
        <f t="shared" si="17"/>
        <v>40</v>
      </c>
      <c r="N67" s="13">
        <f t="shared" si="17"/>
        <v>27</v>
      </c>
      <c r="O67" s="13">
        <f t="shared" si="17"/>
        <v>34</v>
      </c>
      <c r="P67" s="13">
        <f t="shared" si="17"/>
        <v>37</v>
      </c>
      <c r="Q67" s="13">
        <f t="shared" si="17"/>
        <v>52</v>
      </c>
      <c r="R67" s="13">
        <f t="shared" si="17"/>
        <v>40</v>
      </c>
      <c r="S67" s="13">
        <f t="shared" si="17"/>
        <v>46</v>
      </c>
      <c r="T67" s="13">
        <f t="shared" si="17"/>
        <v>37</v>
      </c>
      <c r="U67" s="13">
        <f t="shared" si="17"/>
        <v>37</v>
      </c>
      <c r="V67" s="13">
        <f t="shared" si="17"/>
        <v>36</v>
      </c>
      <c r="W67" s="13">
        <f t="shared" si="17"/>
        <v>36</v>
      </c>
      <c r="X67" s="13">
        <f t="shared" si="17"/>
        <v>49</v>
      </c>
      <c r="Y67" s="13">
        <f t="shared" si="17"/>
        <v>27</v>
      </c>
      <c r="Z67" s="13">
        <f t="shared" si="17"/>
        <v>23</v>
      </c>
      <c r="AA67" s="13">
        <f t="shared" si="17"/>
        <v>34</v>
      </c>
      <c r="AB67" s="13">
        <f t="shared" si="17"/>
        <v>791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6.0</v>
      </c>
      <c r="F69" s="73">
        <v>4.0</v>
      </c>
      <c r="G69" s="73">
        <v>8.0</v>
      </c>
      <c r="H69" s="73">
        <v>5.0</v>
      </c>
      <c r="I69" s="73">
        <v>7.0</v>
      </c>
      <c r="J69" s="73">
        <v>6.0</v>
      </c>
      <c r="K69" s="73">
        <v>6.0</v>
      </c>
      <c r="L69" s="73">
        <v>10.0</v>
      </c>
      <c r="M69" s="73">
        <v>4.0</v>
      </c>
      <c r="N69" s="73">
        <v>8.0</v>
      </c>
      <c r="O69" s="73">
        <v>6.0</v>
      </c>
      <c r="P69" s="73">
        <v>10.0</v>
      </c>
      <c r="Q69" s="73">
        <v>3.0</v>
      </c>
      <c r="R69" s="73">
        <v>6.0</v>
      </c>
      <c r="S69" s="73">
        <v>3.0</v>
      </c>
      <c r="T69" s="73">
        <v>8.0</v>
      </c>
      <c r="U69" s="73">
        <v>9.0</v>
      </c>
      <c r="V69" s="73">
        <v>6.0</v>
      </c>
      <c r="W69" s="73">
        <v>6.0</v>
      </c>
      <c r="X69" s="73">
        <v>2.0</v>
      </c>
      <c r="Y69" s="73">
        <v>9.0</v>
      </c>
      <c r="Z69" s="73">
        <v>10.0</v>
      </c>
      <c r="AA69" s="73">
        <v>8.0</v>
      </c>
      <c r="AB69" s="13">
        <f t="shared" ref="AB69:AB78" si="18">SUM(E69:AA69)</f>
        <v>150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3.0</v>
      </c>
      <c r="F70" s="73">
        <v>2.0</v>
      </c>
      <c r="G70" s="73">
        <v>0.0</v>
      </c>
      <c r="H70" s="73">
        <v>1.0</v>
      </c>
      <c r="I70" s="73">
        <v>6.0</v>
      </c>
      <c r="J70" s="73">
        <v>4.0</v>
      </c>
      <c r="K70" s="73">
        <v>1.0</v>
      </c>
      <c r="L70" s="73">
        <v>4.0</v>
      </c>
      <c r="M70" s="73">
        <v>2.0</v>
      </c>
      <c r="N70" s="73">
        <v>0.0</v>
      </c>
      <c r="O70" s="73">
        <v>5.0</v>
      </c>
      <c r="P70" s="73">
        <v>4.0</v>
      </c>
      <c r="Q70" s="73">
        <v>2.0</v>
      </c>
      <c r="R70" s="73">
        <v>3.0</v>
      </c>
      <c r="S70" s="73">
        <v>5.0</v>
      </c>
      <c r="T70" s="73">
        <v>4.0</v>
      </c>
      <c r="U70" s="73">
        <v>5.0</v>
      </c>
      <c r="V70" s="73">
        <v>1.0</v>
      </c>
      <c r="W70" s="73">
        <v>6.0</v>
      </c>
      <c r="X70" s="73">
        <v>0.0</v>
      </c>
      <c r="Y70" s="73">
        <v>2.0</v>
      </c>
      <c r="Z70" s="73">
        <v>1.0</v>
      </c>
      <c r="AA70" s="73">
        <v>4.0</v>
      </c>
      <c r="AB70" s="13">
        <f t="shared" si="18"/>
        <v>65</v>
      </c>
    </row>
    <row r="71" ht="12.75" customHeight="1">
      <c r="A71" s="18"/>
      <c r="B71" s="49"/>
      <c r="C71" s="50" t="s">
        <v>61</v>
      </c>
      <c r="D71" s="51"/>
      <c r="E71" s="73">
        <v>27.0</v>
      </c>
      <c r="F71" s="73">
        <v>7.0</v>
      </c>
      <c r="G71" s="73">
        <v>15.0</v>
      </c>
      <c r="H71" s="73">
        <v>23.0</v>
      </c>
      <c r="I71" s="73">
        <v>10.0</v>
      </c>
      <c r="J71" s="73">
        <v>22.0</v>
      </c>
      <c r="K71" s="73">
        <v>5.0</v>
      </c>
      <c r="L71" s="73">
        <v>43.0</v>
      </c>
      <c r="M71" s="73">
        <v>24.0</v>
      </c>
      <c r="N71" s="73">
        <v>17.0</v>
      </c>
      <c r="O71" s="73">
        <v>14.0</v>
      </c>
      <c r="P71" s="73">
        <v>14.0</v>
      </c>
      <c r="Q71" s="73">
        <v>35.0</v>
      </c>
      <c r="R71" s="73">
        <v>17.0</v>
      </c>
      <c r="S71" s="73">
        <v>10.0</v>
      </c>
      <c r="T71" s="73">
        <v>7.0</v>
      </c>
      <c r="U71" s="73">
        <v>11.0</v>
      </c>
      <c r="V71" s="73">
        <v>9.0</v>
      </c>
      <c r="W71" s="73">
        <v>17.0</v>
      </c>
      <c r="X71" s="73">
        <v>11.0</v>
      </c>
      <c r="Y71" s="73">
        <v>11.0</v>
      </c>
      <c r="Z71" s="73">
        <v>55.0</v>
      </c>
      <c r="AA71" s="73">
        <v>9.0</v>
      </c>
      <c r="AB71" s="13">
        <f t="shared" si="18"/>
        <v>413</v>
      </c>
    </row>
    <row r="72" ht="12.75" customHeight="1">
      <c r="A72" s="18"/>
      <c r="B72" s="49"/>
      <c r="C72" s="50" t="s">
        <v>62</v>
      </c>
      <c r="D72" s="51"/>
      <c r="E72" s="73">
        <v>0.0</v>
      </c>
      <c r="F72" s="73">
        <v>0.0</v>
      </c>
      <c r="G72" s="73">
        <v>1.0</v>
      </c>
      <c r="H72" s="73">
        <v>2.0</v>
      </c>
      <c r="I72" s="73">
        <v>3.0</v>
      </c>
      <c r="J72" s="73">
        <v>2.0</v>
      </c>
      <c r="K72" s="73">
        <v>1.0</v>
      </c>
      <c r="L72" s="73">
        <v>4.0</v>
      </c>
      <c r="M72" s="73">
        <v>1.0</v>
      </c>
      <c r="N72" s="73">
        <v>3.0</v>
      </c>
      <c r="O72" s="73">
        <v>2.0</v>
      </c>
      <c r="P72" s="73">
        <v>2.0</v>
      </c>
      <c r="Q72" s="73">
        <v>1.0</v>
      </c>
      <c r="R72" s="73">
        <v>5.0</v>
      </c>
      <c r="S72" s="73">
        <v>2.0</v>
      </c>
      <c r="T72" s="73">
        <v>2.0</v>
      </c>
      <c r="U72" s="73">
        <v>0.0</v>
      </c>
      <c r="V72" s="73">
        <v>3.0</v>
      </c>
      <c r="W72" s="73">
        <v>6.0</v>
      </c>
      <c r="X72" s="73">
        <v>1.0</v>
      </c>
      <c r="Y72" s="73">
        <v>3.0</v>
      </c>
      <c r="Z72" s="73">
        <v>2.0</v>
      </c>
      <c r="AA72" s="73">
        <v>1.0</v>
      </c>
      <c r="AB72" s="13">
        <f t="shared" si="18"/>
        <v>47</v>
      </c>
    </row>
    <row r="73" ht="12.75" customHeight="1">
      <c r="A73" s="18"/>
      <c r="B73" s="49"/>
      <c r="C73" s="50" t="s">
        <v>63</v>
      </c>
      <c r="D73" s="51"/>
      <c r="E73" s="73">
        <v>0.0</v>
      </c>
      <c r="F73" s="73">
        <v>0.0</v>
      </c>
      <c r="G73" s="73">
        <v>2.0</v>
      </c>
      <c r="H73" s="73">
        <v>0.0</v>
      </c>
      <c r="I73" s="73">
        <v>1.0</v>
      </c>
      <c r="J73" s="73">
        <v>0.0</v>
      </c>
      <c r="K73" s="73">
        <v>0.0</v>
      </c>
      <c r="L73" s="73">
        <v>0.0</v>
      </c>
      <c r="M73" s="73">
        <v>1.0</v>
      </c>
      <c r="N73" s="73">
        <v>1.0</v>
      </c>
      <c r="O73" s="73">
        <v>4.0</v>
      </c>
      <c r="P73" s="73">
        <v>1.0</v>
      </c>
      <c r="Q73" s="73">
        <v>1.0</v>
      </c>
      <c r="R73" s="73">
        <v>0.0</v>
      </c>
      <c r="S73" s="73">
        <v>1.0</v>
      </c>
      <c r="T73" s="73">
        <v>0.0</v>
      </c>
      <c r="U73" s="73">
        <v>1.0</v>
      </c>
      <c r="V73" s="73">
        <v>1.0</v>
      </c>
      <c r="W73" s="73">
        <v>2.0</v>
      </c>
      <c r="X73" s="73">
        <v>0.0</v>
      </c>
      <c r="Y73" s="73">
        <v>1.0</v>
      </c>
      <c r="Z73" s="73">
        <v>1.0</v>
      </c>
      <c r="AA73" s="73">
        <v>1.0</v>
      </c>
      <c r="AB73" s="13">
        <f t="shared" si="18"/>
        <v>19</v>
      </c>
    </row>
    <row r="74" ht="12.75" customHeight="1">
      <c r="A74" s="18"/>
      <c r="B74" s="49"/>
      <c r="C74" s="50" t="s">
        <v>64</v>
      </c>
      <c r="D74" s="51"/>
      <c r="E74" s="73">
        <v>0.0</v>
      </c>
      <c r="F74" s="73">
        <v>2.0</v>
      </c>
      <c r="G74" s="73">
        <v>1.0</v>
      </c>
      <c r="H74" s="73">
        <v>0.0</v>
      </c>
      <c r="I74" s="73">
        <v>0.0</v>
      </c>
      <c r="J74" s="73">
        <v>1.0</v>
      </c>
      <c r="K74" s="73">
        <v>2.0</v>
      </c>
      <c r="L74" s="73">
        <v>0.0</v>
      </c>
      <c r="M74" s="73">
        <v>1.0</v>
      </c>
      <c r="N74" s="73">
        <v>2.0</v>
      </c>
      <c r="O74" s="73">
        <v>0.0</v>
      </c>
      <c r="P74" s="73">
        <v>0.0</v>
      </c>
      <c r="Q74" s="73">
        <v>0.0</v>
      </c>
      <c r="R74" s="73">
        <v>1.0</v>
      </c>
      <c r="S74" s="73">
        <v>2.0</v>
      </c>
      <c r="T74" s="73">
        <v>0.0</v>
      </c>
      <c r="U74" s="73">
        <v>1.0</v>
      </c>
      <c r="V74" s="73">
        <v>0.0</v>
      </c>
      <c r="W74" s="73">
        <v>0.0</v>
      </c>
      <c r="X74" s="73">
        <v>1.0</v>
      </c>
      <c r="Y74" s="73">
        <v>1.0</v>
      </c>
      <c r="Z74" s="73">
        <v>0.0</v>
      </c>
      <c r="AA74" s="73">
        <v>0.0</v>
      </c>
      <c r="AB74" s="13">
        <f t="shared" si="18"/>
        <v>15</v>
      </c>
    </row>
    <row r="75" ht="12.75" customHeight="1">
      <c r="A75" s="18"/>
      <c r="B75" s="49"/>
      <c r="C75" s="50" t="s">
        <v>65</v>
      </c>
      <c r="D75" s="51"/>
      <c r="E75" s="73">
        <v>1.0</v>
      </c>
      <c r="F75" s="73">
        <v>1.0</v>
      </c>
      <c r="G75" s="73">
        <v>3.0</v>
      </c>
      <c r="H75" s="73">
        <v>0.0</v>
      </c>
      <c r="I75" s="73">
        <v>1.0</v>
      </c>
      <c r="J75" s="73">
        <v>0.0</v>
      </c>
      <c r="K75" s="73">
        <v>1.0</v>
      </c>
      <c r="L75" s="73">
        <v>0.0</v>
      </c>
      <c r="M75" s="73">
        <v>1.0</v>
      </c>
      <c r="N75" s="73">
        <v>0.0</v>
      </c>
      <c r="O75" s="73">
        <v>3.0</v>
      </c>
      <c r="P75" s="73">
        <v>0.0</v>
      </c>
      <c r="Q75" s="73">
        <v>0.0</v>
      </c>
      <c r="R75" s="73">
        <v>1.0</v>
      </c>
      <c r="S75" s="73">
        <v>1.0</v>
      </c>
      <c r="T75" s="73">
        <v>1.0</v>
      </c>
      <c r="U75" s="73">
        <v>0.0</v>
      </c>
      <c r="V75" s="73">
        <v>0.0</v>
      </c>
      <c r="W75" s="73">
        <v>3.0</v>
      </c>
      <c r="X75" s="73">
        <v>0.0</v>
      </c>
      <c r="Y75" s="73">
        <v>0.0</v>
      </c>
      <c r="Z75" s="73">
        <v>1.0</v>
      </c>
      <c r="AA75" s="73">
        <v>3.0</v>
      </c>
      <c r="AB75" s="13">
        <f t="shared" si="18"/>
        <v>21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1.0</v>
      </c>
      <c r="G76" s="80">
        <v>0.0</v>
      </c>
      <c r="H76" s="80">
        <v>0.0</v>
      </c>
      <c r="I76" s="80">
        <v>0.0</v>
      </c>
      <c r="J76" s="80">
        <v>1.0</v>
      </c>
      <c r="K76" s="80">
        <v>0.0</v>
      </c>
      <c r="L76" s="80">
        <v>0.0</v>
      </c>
      <c r="M76" s="80">
        <v>0.0</v>
      </c>
      <c r="N76" s="80">
        <v>0.0</v>
      </c>
      <c r="O76" s="80">
        <v>0.0</v>
      </c>
      <c r="P76" s="80">
        <v>1.0</v>
      </c>
      <c r="Q76" s="80">
        <v>0.0</v>
      </c>
      <c r="R76" s="80">
        <v>0.0</v>
      </c>
      <c r="S76" s="80">
        <v>0.0</v>
      </c>
      <c r="T76" s="80">
        <v>1.0</v>
      </c>
      <c r="U76" s="80">
        <v>1.0</v>
      </c>
      <c r="V76" s="80">
        <v>1.0</v>
      </c>
      <c r="W76" s="80">
        <v>1.0</v>
      </c>
      <c r="X76" s="80">
        <v>0.0</v>
      </c>
      <c r="Y76" s="80">
        <v>0.0</v>
      </c>
      <c r="Z76" s="80">
        <v>0.0</v>
      </c>
      <c r="AA76" s="80">
        <v>0.0</v>
      </c>
      <c r="AB76" s="13">
        <f t="shared" si="18"/>
        <v>7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0.0</v>
      </c>
      <c r="G77" s="80">
        <v>1.0</v>
      </c>
      <c r="H77" s="80">
        <v>0.0</v>
      </c>
      <c r="I77" s="80">
        <v>0.0</v>
      </c>
      <c r="J77" s="80">
        <v>0.0</v>
      </c>
      <c r="K77" s="80">
        <v>0.0</v>
      </c>
      <c r="L77" s="80">
        <v>0.0</v>
      </c>
      <c r="M77" s="80">
        <v>0.0</v>
      </c>
      <c r="N77" s="80">
        <v>0.0</v>
      </c>
      <c r="O77" s="80">
        <v>2.0</v>
      </c>
      <c r="P77" s="80">
        <v>2.0</v>
      </c>
      <c r="Q77" s="80">
        <v>0.0</v>
      </c>
      <c r="R77" s="80">
        <v>0.0</v>
      </c>
      <c r="S77" s="80">
        <v>0.0</v>
      </c>
      <c r="T77" s="80">
        <v>0.0</v>
      </c>
      <c r="U77" s="80">
        <v>0.0</v>
      </c>
      <c r="V77" s="80">
        <v>0.0</v>
      </c>
      <c r="W77" s="80">
        <v>0.0</v>
      </c>
      <c r="X77" s="80">
        <v>0.0</v>
      </c>
      <c r="Y77" s="80">
        <v>0.0</v>
      </c>
      <c r="Z77" s="80">
        <v>0.0</v>
      </c>
      <c r="AA77" s="80">
        <v>0.0</v>
      </c>
      <c r="AB77" s="13">
        <f t="shared" si="18"/>
        <v>5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0.0</v>
      </c>
      <c r="G78" s="80">
        <v>0.0</v>
      </c>
      <c r="H78" s="80">
        <v>1.0</v>
      </c>
      <c r="I78" s="80">
        <v>1.0</v>
      </c>
      <c r="J78" s="80">
        <v>0.0</v>
      </c>
      <c r="K78" s="80">
        <v>0.0</v>
      </c>
      <c r="L78" s="80">
        <v>0.0</v>
      </c>
      <c r="M78" s="80">
        <v>0.0</v>
      </c>
      <c r="N78" s="80">
        <v>1.0</v>
      </c>
      <c r="O78" s="80">
        <v>1.0</v>
      </c>
      <c r="P78" s="80">
        <v>0.0</v>
      </c>
      <c r="Q78" s="80">
        <v>0.0</v>
      </c>
      <c r="R78" s="80">
        <v>0.0</v>
      </c>
      <c r="S78" s="80">
        <v>0.0</v>
      </c>
      <c r="T78" s="80">
        <v>0.0</v>
      </c>
      <c r="U78" s="80">
        <v>0.0</v>
      </c>
      <c r="V78" s="80">
        <v>1.0</v>
      </c>
      <c r="W78" s="80">
        <v>0.0</v>
      </c>
      <c r="X78" s="80">
        <v>0.0</v>
      </c>
      <c r="Y78" s="80">
        <v>0.0</v>
      </c>
      <c r="Z78" s="80">
        <v>1.0</v>
      </c>
      <c r="AA78" s="80">
        <v>0.0</v>
      </c>
      <c r="AB78" s="13">
        <f t="shared" si="18"/>
        <v>6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AB79" si="19">SUM(E69:E78)</f>
        <v>37</v>
      </c>
      <c r="F79" s="13">
        <f t="shared" si="19"/>
        <v>17</v>
      </c>
      <c r="G79" s="13">
        <f t="shared" si="19"/>
        <v>31</v>
      </c>
      <c r="H79" s="13">
        <f t="shared" si="19"/>
        <v>32</v>
      </c>
      <c r="I79" s="13">
        <f t="shared" si="19"/>
        <v>29</v>
      </c>
      <c r="J79" s="13">
        <f t="shared" si="19"/>
        <v>36</v>
      </c>
      <c r="K79" s="13">
        <f t="shared" si="19"/>
        <v>16</v>
      </c>
      <c r="L79" s="13">
        <f t="shared" si="19"/>
        <v>61</v>
      </c>
      <c r="M79" s="13">
        <f t="shared" si="19"/>
        <v>34</v>
      </c>
      <c r="N79" s="13">
        <f t="shared" si="19"/>
        <v>32</v>
      </c>
      <c r="O79" s="13">
        <f t="shared" si="19"/>
        <v>37</v>
      </c>
      <c r="P79" s="13">
        <f t="shared" si="19"/>
        <v>34</v>
      </c>
      <c r="Q79" s="13">
        <f t="shared" si="19"/>
        <v>42</v>
      </c>
      <c r="R79" s="13">
        <f t="shared" si="19"/>
        <v>33</v>
      </c>
      <c r="S79" s="13">
        <f t="shared" si="19"/>
        <v>24</v>
      </c>
      <c r="T79" s="13">
        <f t="shared" si="19"/>
        <v>23</v>
      </c>
      <c r="U79" s="13">
        <f t="shared" si="19"/>
        <v>28</v>
      </c>
      <c r="V79" s="13">
        <f t="shared" si="19"/>
        <v>22</v>
      </c>
      <c r="W79" s="13">
        <f t="shared" si="19"/>
        <v>41</v>
      </c>
      <c r="X79" s="13">
        <f t="shared" si="19"/>
        <v>15</v>
      </c>
      <c r="Y79" s="13">
        <f t="shared" si="19"/>
        <v>27</v>
      </c>
      <c r="Z79" s="13">
        <f t="shared" si="19"/>
        <v>71</v>
      </c>
      <c r="AA79" s="13">
        <f t="shared" si="19"/>
        <v>26</v>
      </c>
      <c r="AB79" s="13">
        <f t="shared" si="19"/>
        <v>748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10.0</v>
      </c>
      <c r="F81" s="73">
        <v>5.0</v>
      </c>
      <c r="G81" s="73">
        <v>8.0</v>
      </c>
      <c r="H81" s="73">
        <v>1.0</v>
      </c>
      <c r="I81" s="73">
        <v>2.0</v>
      </c>
      <c r="J81" s="73">
        <v>1.0</v>
      </c>
      <c r="K81" s="73">
        <v>4.0</v>
      </c>
      <c r="L81" s="73">
        <v>2.0</v>
      </c>
      <c r="M81" s="73">
        <v>4.0</v>
      </c>
      <c r="N81" s="73">
        <v>7.0</v>
      </c>
      <c r="O81" s="73">
        <v>5.0</v>
      </c>
      <c r="P81" s="73">
        <v>6.0</v>
      </c>
      <c r="Q81" s="73">
        <v>0.0</v>
      </c>
      <c r="R81" s="73">
        <v>2.0</v>
      </c>
      <c r="S81" s="73">
        <v>11.0</v>
      </c>
      <c r="T81" s="73">
        <v>4.0</v>
      </c>
      <c r="U81" s="73">
        <v>3.0</v>
      </c>
      <c r="V81" s="73">
        <v>1.0</v>
      </c>
      <c r="W81" s="73">
        <v>6.0</v>
      </c>
      <c r="X81" s="73">
        <v>3.0</v>
      </c>
      <c r="Y81" s="73">
        <v>2.0</v>
      </c>
      <c r="Z81" s="73">
        <v>0.0</v>
      </c>
      <c r="AA81" s="73">
        <v>1.0</v>
      </c>
      <c r="AB81" s="13">
        <f t="shared" ref="AB81:AB90" si="20">SUM(E81:AA81)</f>
        <v>88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3.0</v>
      </c>
      <c r="F82" s="73">
        <v>11.0</v>
      </c>
      <c r="G82" s="73">
        <v>7.0</v>
      </c>
      <c r="H82" s="73">
        <v>5.0</v>
      </c>
      <c r="I82" s="73">
        <v>0.0</v>
      </c>
      <c r="J82" s="73">
        <v>0.0</v>
      </c>
      <c r="K82" s="73">
        <v>6.0</v>
      </c>
      <c r="L82" s="73">
        <v>1.0</v>
      </c>
      <c r="M82" s="73">
        <v>3.0</v>
      </c>
      <c r="N82" s="73">
        <v>0.0</v>
      </c>
      <c r="O82" s="73">
        <v>1.0</v>
      </c>
      <c r="P82" s="73">
        <v>2.0</v>
      </c>
      <c r="Q82" s="73">
        <v>2.0</v>
      </c>
      <c r="R82" s="73">
        <v>3.0</v>
      </c>
      <c r="S82" s="73">
        <v>0.0</v>
      </c>
      <c r="T82" s="73">
        <v>8.0</v>
      </c>
      <c r="U82" s="73">
        <v>6.0</v>
      </c>
      <c r="V82" s="73">
        <v>4.0</v>
      </c>
      <c r="W82" s="73">
        <v>2.0</v>
      </c>
      <c r="X82" s="73">
        <v>2.0</v>
      </c>
      <c r="Y82" s="73">
        <v>3.0</v>
      </c>
      <c r="Z82" s="73">
        <v>0.0</v>
      </c>
      <c r="AA82" s="73">
        <v>1.0</v>
      </c>
      <c r="AB82" s="13">
        <f t="shared" si="20"/>
        <v>70</v>
      </c>
    </row>
    <row r="83" ht="12.75" customHeight="1">
      <c r="A83" s="18"/>
      <c r="B83" s="49"/>
      <c r="C83" s="50" t="s">
        <v>71</v>
      </c>
      <c r="D83" s="51"/>
      <c r="E83" s="73">
        <v>0.0</v>
      </c>
      <c r="F83" s="73">
        <v>1.0</v>
      </c>
      <c r="G83" s="73">
        <v>2.0</v>
      </c>
      <c r="H83" s="73">
        <v>1.0</v>
      </c>
      <c r="I83" s="73">
        <v>1.0</v>
      </c>
      <c r="J83" s="73">
        <v>2.0</v>
      </c>
      <c r="K83" s="73">
        <v>1.0</v>
      </c>
      <c r="L83" s="73">
        <v>0.0</v>
      </c>
      <c r="M83" s="73">
        <v>2.0</v>
      </c>
      <c r="N83" s="73">
        <v>2.0</v>
      </c>
      <c r="O83" s="73">
        <v>2.0</v>
      </c>
      <c r="P83" s="73">
        <v>1.0</v>
      </c>
      <c r="Q83" s="73">
        <v>2.0</v>
      </c>
      <c r="R83" s="73">
        <v>2.0</v>
      </c>
      <c r="S83" s="73">
        <v>1.0</v>
      </c>
      <c r="T83" s="73">
        <v>1.0</v>
      </c>
      <c r="U83" s="73">
        <v>1.0</v>
      </c>
      <c r="V83" s="73">
        <v>0.0</v>
      </c>
      <c r="W83" s="73">
        <v>1.0</v>
      </c>
      <c r="X83" s="73">
        <v>1.0</v>
      </c>
      <c r="Y83" s="73">
        <v>1.0</v>
      </c>
      <c r="Z83" s="73">
        <v>1.0</v>
      </c>
      <c r="AA83" s="73">
        <v>1.0</v>
      </c>
      <c r="AB83" s="13">
        <f t="shared" si="20"/>
        <v>27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2.0</v>
      </c>
      <c r="G84" s="73">
        <v>0.0</v>
      </c>
      <c r="H84" s="73">
        <v>0.0</v>
      </c>
      <c r="I84" s="73">
        <v>0.0</v>
      </c>
      <c r="J84" s="73">
        <v>1.0</v>
      </c>
      <c r="K84" s="73">
        <v>0.0</v>
      </c>
      <c r="L84" s="73">
        <v>0.0</v>
      </c>
      <c r="M84" s="73">
        <v>1.0</v>
      </c>
      <c r="N84" s="73">
        <v>1.0</v>
      </c>
      <c r="O84" s="73">
        <v>0.0</v>
      </c>
      <c r="P84" s="73">
        <v>1.0</v>
      </c>
      <c r="Q84" s="73">
        <v>1.0</v>
      </c>
      <c r="R84" s="73">
        <v>0.0</v>
      </c>
      <c r="S84" s="73">
        <v>0.0</v>
      </c>
      <c r="T84" s="73">
        <v>1.0</v>
      </c>
      <c r="U84" s="73">
        <v>1.0</v>
      </c>
      <c r="V84" s="73">
        <v>0.0</v>
      </c>
      <c r="W84" s="73">
        <v>0.0</v>
      </c>
      <c r="X84" s="73">
        <v>0.0</v>
      </c>
      <c r="Y84" s="73">
        <v>1.0</v>
      </c>
      <c r="Z84" s="73">
        <v>1.0</v>
      </c>
      <c r="AA84" s="73">
        <v>2.0</v>
      </c>
      <c r="AB84" s="13">
        <f t="shared" si="20"/>
        <v>13</v>
      </c>
    </row>
    <row r="85" ht="12.75" customHeight="1">
      <c r="A85" s="18"/>
      <c r="B85" s="49"/>
      <c r="C85" s="50" t="s">
        <v>73</v>
      </c>
      <c r="D85" s="51"/>
      <c r="E85" s="73">
        <v>3.0</v>
      </c>
      <c r="F85" s="73">
        <v>1.0</v>
      </c>
      <c r="G85" s="73">
        <v>1.0</v>
      </c>
      <c r="H85" s="73">
        <v>1.0</v>
      </c>
      <c r="I85" s="73">
        <v>1.0</v>
      </c>
      <c r="J85" s="73">
        <v>2.0</v>
      </c>
      <c r="K85" s="73">
        <v>2.0</v>
      </c>
      <c r="L85" s="73">
        <v>4.0</v>
      </c>
      <c r="M85" s="73">
        <v>5.0</v>
      </c>
      <c r="N85" s="73">
        <v>2.0</v>
      </c>
      <c r="O85" s="73">
        <v>1.0</v>
      </c>
      <c r="P85" s="73">
        <v>2.0</v>
      </c>
      <c r="Q85" s="73">
        <v>0.0</v>
      </c>
      <c r="R85" s="73">
        <v>0.0</v>
      </c>
      <c r="S85" s="73">
        <v>3.0</v>
      </c>
      <c r="T85" s="73">
        <v>2.0</v>
      </c>
      <c r="U85" s="73">
        <v>1.0</v>
      </c>
      <c r="V85" s="73">
        <v>1.0</v>
      </c>
      <c r="W85" s="73">
        <v>2.0</v>
      </c>
      <c r="X85" s="73">
        <v>1.0</v>
      </c>
      <c r="Y85" s="73">
        <v>0.0</v>
      </c>
      <c r="Z85" s="73">
        <v>4.0</v>
      </c>
      <c r="AA85" s="73">
        <v>0.0</v>
      </c>
      <c r="AB85" s="13">
        <f t="shared" si="20"/>
        <v>39</v>
      </c>
    </row>
    <row r="86" ht="12.75" customHeight="1">
      <c r="A86" s="18"/>
      <c r="B86" s="49"/>
      <c r="C86" s="50" t="s">
        <v>74</v>
      </c>
      <c r="D86" s="51"/>
      <c r="E86" s="73">
        <v>4.0</v>
      </c>
      <c r="F86" s="73">
        <v>1.0</v>
      </c>
      <c r="G86" s="73">
        <v>1.0</v>
      </c>
      <c r="H86" s="73">
        <v>1.0</v>
      </c>
      <c r="I86" s="73">
        <v>0.0</v>
      </c>
      <c r="J86" s="73">
        <v>1.0</v>
      </c>
      <c r="K86" s="73">
        <v>1.0</v>
      </c>
      <c r="L86" s="73">
        <v>0.0</v>
      </c>
      <c r="M86" s="73">
        <v>0.0</v>
      </c>
      <c r="N86" s="73">
        <v>0.0</v>
      </c>
      <c r="O86" s="73">
        <v>0.0</v>
      </c>
      <c r="P86" s="73">
        <v>0.0</v>
      </c>
      <c r="Q86" s="73">
        <v>1.0</v>
      </c>
      <c r="R86" s="73">
        <v>1.0</v>
      </c>
      <c r="S86" s="73">
        <v>0.0</v>
      </c>
      <c r="T86" s="73">
        <v>0.0</v>
      </c>
      <c r="U86" s="73">
        <v>1.0</v>
      </c>
      <c r="V86" s="73">
        <v>2.0</v>
      </c>
      <c r="W86" s="73">
        <v>3.0</v>
      </c>
      <c r="X86" s="73">
        <v>0.0</v>
      </c>
      <c r="Y86" s="73">
        <v>1.0</v>
      </c>
      <c r="Z86" s="73">
        <v>0.0</v>
      </c>
      <c r="AA86" s="73">
        <v>1.0</v>
      </c>
      <c r="AB86" s="13">
        <f t="shared" si="20"/>
        <v>19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1.0</v>
      </c>
      <c r="K87" s="73">
        <v>0.0</v>
      </c>
      <c r="L87" s="73">
        <v>0.0</v>
      </c>
      <c r="M87" s="73">
        <v>0.0</v>
      </c>
      <c r="N87" s="73">
        <v>1.0</v>
      </c>
      <c r="O87" s="73">
        <v>0.0</v>
      </c>
      <c r="P87" s="73">
        <v>0.0</v>
      </c>
      <c r="Q87" s="73">
        <v>0.0</v>
      </c>
      <c r="R87" s="73">
        <v>1.0</v>
      </c>
      <c r="S87" s="73">
        <v>1.0</v>
      </c>
      <c r="T87" s="73">
        <v>0.0</v>
      </c>
      <c r="U87" s="73">
        <v>0.0</v>
      </c>
      <c r="V87" s="73">
        <v>1.0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13">
        <f t="shared" si="20"/>
        <v>5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0.0</v>
      </c>
      <c r="L88" s="80">
        <v>0.0</v>
      </c>
      <c r="M88" s="80">
        <v>0.0</v>
      </c>
      <c r="N88" s="80">
        <v>0.0</v>
      </c>
      <c r="O88" s="80">
        <v>0.0</v>
      </c>
      <c r="P88" s="80">
        <v>0.0</v>
      </c>
      <c r="Q88" s="80">
        <v>0.0</v>
      </c>
      <c r="R88" s="80">
        <v>0.0</v>
      </c>
      <c r="S88" s="80">
        <v>0.0</v>
      </c>
      <c r="T88" s="80">
        <v>2.0</v>
      </c>
      <c r="U88" s="80">
        <v>0.0</v>
      </c>
      <c r="V88" s="80">
        <v>0.0</v>
      </c>
      <c r="W88" s="80">
        <v>0.0</v>
      </c>
      <c r="X88" s="80">
        <v>0.0</v>
      </c>
      <c r="Y88" s="80">
        <v>0.0</v>
      </c>
      <c r="Z88" s="80">
        <v>0.0</v>
      </c>
      <c r="AA88" s="80">
        <v>0.0</v>
      </c>
      <c r="AB88" s="13">
        <f t="shared" si="20"/>
        <v>2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1.0</v>
      </c>
      <c r="L89" s="80">
        <v>0.0</v>
      </c>
      <c r="M89" s="80">
        <v>1.0</v>
      </c>
      <c r="N89" s="80">
        <v>0.0</v>
      </c>
      <c r="O89" s="80">
        <v>0.0</v>
      </c>
      <c r="P89" s="80">
        <v>0.0</v>
      </c>
      <c r="Q89" s="80">
        <v>0.0</v>
      </c>
      <c r="R89" s="80">
        <v>0.0</v>
      </c>
      <c r="S89" s="80">
        <v>0.0</v>
      </c>
      <c r="T89" s="80">
        <v>0.0</v>
      </c>
      <c r="U89" s="80">
        <v>0.0</v>
      </c>
      <c r="V89" s="80">
        <v>1.0</v>
      </c>
      <c r="W89" s="80">
        <v>1.0</v>
      </c>
      <c r="X89" s="80">
        <v>0.0</v>
      </c>
      <c r="Y89" s="80">
        <v>0.0</v>
      </c>
      <c r="Z89" s="80">
        <v>0.0</v>
      </c>
      <c r="AA89" s="80">
        <v>0.0</v>
      </c>
      <c r="AB89" s="13">
        <f t="shared" si="20"/>
        <v>4</v>
      </c>
    </row>
    <row r="90" ht="12.75" customHeight="1">
      <c r="A90" s="79"/>
      <c r="B90" s="49"/>
      <c r="C90" s="50" t="s">
        <v>78</v>
      </c>
      <c r="D90" s="51"/>
      <c r="E90" s="82"/>
      <c r="F90" s="82"/>
      <c r="G90" s="82"/>
      <c r="H90" s="80">
        <v>1.0</v>
      </c>
      <c r="I90" s="82"/>
      <c r="J90" s="82"/>
      <c r="K90" s="80">
        <v>1.0</v>
      </c>
      <c r="L90" s="82"/>
      <c r="M90" s="82"/>
      <c r="N90" s="82"/>
      <c r="O90" s="82"/>
      <c r="P90" s="82"/>
      <c r="Q90" s="82"/>
      <c r="R90" s="80">
        <v>1.0</v>
      </c>
      <c r="S90" s="82"/>
      <c r="T90" s="80">
        <v>0.0</v>
      </c>
      <c r="U90" s="80">
        <v>0.0</v>
      </c>
      <c r="V90" s="80">
        <v>1.0</v>
      </c>
      <c r="W90" s="80">
        <v>0.0</v>
      </c>
      <c r="X90" s="80">
        <v>0.0</v>
      </c>
      <c r="Y90" s="80">
        <v>0.0</v>
      </c>
      <c r="Z90" s="80">
        <v>0.0</v>
      </c>
      <c r="AA90" s="80">
        <v>4.0</v>
      </c>
      <c r="AB90" s="13">
        <f t="shared" si="20"/>
        <v>8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AB91" si="21">SUM(E81:E90)</f>
        <v>20</v>
      </c>
      <c r="F91" s="13">
        <f t="shared" si="21"/>
        <v>21</v>
      </c>
      <c r="G91" s="13">
        <f t="shared" si="21"/>
        <v>19</v>
      </c>
      <c r="H91" s="13">
        <f t="shared" si="21"/>
        <v>10</v>
      </c>
      <c r="I91" s="13">
        <f t="shared" si="21"/>
        <v>4</v>
      </c>
      <c r="J91" s="13">
        <f t="shared" si="21"/>
        <v>8</v>
      </c>
      <c r="K91" s="13">
        <f t="shared" si="21"/>
        <v>16</v>
      </c>
      <c r="L91" s="13">
        <f t="shared" si="21"/>
        <v>7</v>
      </c>
      <c r="M91" s="13">
        <f t="shared" si="21"/>
        <v>16</v>
      </c>
      <c r="N91" s="13">
        <f t="shared" si="21"/>
        <v>13</v>
      </c>
      <c r="O91" s="13">
        <f t="shared" si="21"/>
        <v>9</v>
      </c>
      <c r="P91" s="13">
        <f t="shared" si="21"/>
        <v>12</v>
      </c>
      <c r="Q91" s="13">
        <f t="shared" si="21"/>
        <v>6</v>
      </c>
      <c r="R91" s="13">
        <f t="shared" si="21"/>
        <v>10</v>
      </c>
      <c r="S91" s="13">
        <f t="shared" si="21"/>
        <v>16</v>
      </c>
      <c r="T91" s="13">
        <f t="shared" si="21"/>
        <v>18</v>
      </c>
      <c r="U91" s="13">
        <f t="shared" si="21"/>
        <v>13</v>
      </c>
      <c r="V91" s="13">
        <f t="shared" si="21"/>
        <v>11</v>
      </c>
      <c r="W91" s="13">
        <f t="shared" si="21"/>
        <v>15</v>
      </c>
      <c r="X91" s="13">
        <f t="shared" si="21"/>
        <v>7</v>
      </c>
      <c r="Y91" s="13">
        <f t="shared" si="21"/>
        <v>8</v>
      </c>
      <c r="Z91" s="13">
        <f t="shared" si="21"/>
        <v>6</v>
      </c>
      <c r="AA91" s="13">
        <f t="shared" si="21"/>
        <v>10</v>
      </c>
      <c r="AB91" s="13">
        <f t="shared" si="21"/>
        <v>275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4.0</v>
      </c>
      <c r="F93" s="73">
        <v>1.0</v>
      </c>
      <c r="G93" s="73">
        <v>3.0</v>
      </c>
      <c r="H93" s="73">
        <v>1.0</v>
      </c>
      <c r="I93" s="73">
        <v>1.0</v>
      </c>
      <c r="J93" s="73">
        <v>1.0</v>
      </c>
      <c r="K93" s="73">
        <v>0.0</v>
      </c>
      <c r="L93" s="73">
        <v>3.0</v>
      </c>
      <c r="M93" s="73">
        <v>1.0</v>
      </c>
      <c r="N93" s="73">
        <v>4.0</v>
      </c>
      <c r="O93" s="73">
        <v>1.0</v>
      </c>
      <c r="P93" s="73">
        <v>2.0</v>
      </c>
      <c r="Q93" s="73">
        <v>1.0</v>
      </c>
      <c r="R93" s="73">
        <v>0.0</v>
      </c>
      <c r="S93" s="73">
        <v>3.0</v>
      </c>
      <c r="T93" s="73">
        <v>0.0</v>
      </c>
      <c r="U93" s="73">
        <v>0.0</v>
      </c>
      <c r="V93" s="73">
        <v>0.0</v>
      </c>
      <c r="W93" s="73">
        <v>1.0</v>
      </c>
      <c r="X93" s="73">
        <v>3.0</v>
      </c>
      <c r="Y93" s="73">
        <v>0.0</v>
      </c>
      <c r="Z93" s="73">
        <v>2.0</v>
      </c>
      <c r="AA93" s="73">
        <v>1.0</v>
      </c>
      <c r="AB93" s="13">
        <f t="shared" ref="AB93:AB102" si="22">SUM(E93:AA93)</f>
        <v>33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5.0</v>
      </c>
      <c r="F94" s="73">
        <v>1.0</v>
      </c>
      <c r="G94" s="73">
        <v>2.0</v>
      </c>
      <c r="H94" s="73">
        <v>1.0</v>
      </c>
      <c r="I94" s="73">
        <v>5.0</v>
      </c>
      <c r="J94" s="73">
        <v>0.0</v>
      </c>
      <c r="K94" s="73">
        <v>0.0</v>
      </c>
      <c r="L94" s="73">
        <v>2.0</v>
      </c>
      <c r="M94" s="73">
        <v>6.0</v>
      </c>
      <c r="N94" s="73">
        <v>1.0</v>
      </c>
      <c r="O94" s="73">
        <v>5.0</v>
      </c>
      <c r="P94" s="73">
        <v>0.0</v>
      </c>
      <c r="Q94" s="73">
        <v>1.0</v>
      </c>
      <c r="R94" s="73">
        <v>2.0</v>
      </c>
      <c r="S94" s="73">
        <v>4.0</v>
      </c>
      <c r="T94" s="73">
        <v>1.0</v>
      </c>
      <c r="U94" s="73">
        <v>0.0</v>
      </c>
      <c r="V94" s="73">
        <v>4.0</v>
      </c>
      <c r="W94" s="73">
        <v>1.0</v>
      </c>
      <c r="X94" s="73">
        <v>1.0</v>
      </c>
      <c r="Y94" s="73">
        <v>0.0</v>
      </c>
      <c r="Z94" s="73">
        <v>3.0</v>
      </c>
      <c r="AA94" s="73">
        <v>0.0</v>
      </c>
      <c r="AB94" s="13">
        <f t="shared" si="22"/>
        <v>45</v>
      </c>
    </row>
    <row r="95" ht="12.75" customHeight="1">
      <c r="A95" s="18"/>
      <c r="B95" s="49"/>
      <c r="C95" s="50" t="s">
        <v>82</v>
      </c>
      <c r="D95" s="56"/>
      <c r="E95" s="73">
        <v>1.0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1.0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1.0</v>
      </c>
      <c r="AA95" s="73">
        <v>0.0</v>
      </c>
      <c r="AB95" s="13">
        <f t="shared" si="22"/>
        <v>3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1.0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1.0</v>
      </c>
      <c r="X96" s="73">
        <v>0.0</v>
      </c>
      <c r="Y96" s="73">
        <v>1.0</v>
      </c>
      <c r="Z96" s="73">
        <v>0.0</v>
      </c>
      <c r="AA96" s="73">
        <v>0.0</v>
      </c>
      <c r="AB96" s="13">
        <f t="shared" si="22"/>
        <v>3</v>
      </c>
    </row>
    <row r="97" ht="12.75" customHeight="1">
      <c r="A97" s="18"/>
      <c r="B97" s="49"/>
      <c r="C97" s="50" t="s">
        <v>84</v>
      </c>
      <c r="D97" s="56"/>
      <c r="E97" s="73">
        <v>1.0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1.0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13">
        <f t="shared" si="22"/>
        <v>2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1.0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1.0</v>
      </c>
      <c r="N98" s="73"/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13">
        <f t="shared" si="22"/>
        <v>2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1.0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13">
        <f t="shared" si="22"/>
        <v>1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0.0</v>
      </c>
      <c r="T100" s="80">
        <v>0.0</v>
      </c>
      <c r="U100" s="80">
        <v>0.0</v>
      </c>
      <c r="V100" s="80">
        <v>1.0</v>
      </c>
      <c r="W100" s="80">
        <v>0.0</v>
      </c>
      <c r="X100" s="80">
        <v>0.0</v>
      </c>
      <c r="Y100" s="80">
        <v>0.0</v>
      </c>
      <c r="Z100" s="80">
        <v>0.0</v>
      </c>
      <c r="AA100" s="80">
        <v>0.0</v>
      </c>
      <c r="AB100" s="13">
        <f t="shared" si="22"/>
        <v>1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80">
        <v>0.0</v>
      </c>
      <c r="M101" s="80">
        <v>0.0</v>
      </c>
      <c r="N101" s="80">
        <v>0.0</v>
      </c>
      <c r="O101" s="80">
        <v>0.0</v>
      </c>
      <c r="P101" s="80">
        <v>1.0</v>
      </c>
      <c r="Q101" s="80">
        <v>0.0</v>
      </c>
      <c r="R101" s="80">
        <v>0.0</v>
      </c>
      <c r="S101" s="80">
        <v>0.0</v>
      </c>
      <c r="T101" s="80">
        <v>0.0</v>
      </c>
      <c r="U101" s="80">
        <v>0.0</v>
      </c>
      <c r="V101" s="80">
        <v>0.0</v>
      </c>
      <c r="W101" s="80">
        <v>0.0</v>
      </c>
      <c r="X101" s="80">
        <v>0.0</v>
      </c>
      <c r="Y101" s="80">
        <v>0.0</v>
      </c>
      <c r="Z101" s="80">
        <v>0.0</v>
      </c>
      <c r="AA101" s="80">
        <v>0.0</v>
      </c>
      <c r="AB101" s="13">
        <f t="shared" si="22"/>
        <v>1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80">
        <v>0.0</v>
      </c>
      <c r="V102" s="80">
        <v>0.0</v>
      </c>
      <c r="W102" s="80">
        <v>0.0</v>
      </c>
      <c r="X102" s="80">
        <v>0.0</v>
      </c>
      <c r="Y102" s="80">
        <v>0.0</v>
      </c>
      <c r="Z102" s="80">
        <v>1.0</v>
      </c>
      <c r="AA102" s="80">
        <v>0.0</v>
      </c>
      <c r="AB102" s="13">
        <f t="shared" si="22"/>
        <v>1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AB103" si="23">SUM(E93:E102)</f>
        <v>11</v>
      </c>
      <c r="F103" s="13">
        <f t="shared" si="23"/>
        <v>2</v>
      </c>
      <c r="G103" s="13">
        <f t="shared" si="23"/>
        <v>6</v>
      </c>
      <c r="H103" s="13">
        <f t="shared" si="23"/>
        <v>2</v>
      </c>
      <c r="I103" s="13">
        <f t="shared" si="23"/>
        <v>6</v>
      </c>
      <c r="J103" s="13">
        <f t="shared" si="23"/>
        <v>1</v>
      </c>
      <c r="K103" s="13">
        <f t="shared" si="23"/>
        <v>0</v>
      </c>
      <c r="L103" s="13">
        <f t="shared" si="23"/>
        <v>5</v>
      </c>
      <c r="M103" s="13">
        <f t="shared" si="23"/>
        <v>9</v>
      </c>
      <c r="N103" s="13">
        <f t="shared" si="23"/>
        <v>5</v>
      </c>
      <c r="O103" s="13">
        <f t="shared" si="23"/>
        <v>6</v>
      </c>
      <c r="P103" s="13">
        <f t="shared" si="23"/>
        <v>4</v>
      </c>
      <c r="Q103" s="13">
        <f t="shared" si="23"/>
        <v>2</v>
      </c>
      <c r="R103" s="13">
        <f t="shared" si="23"/>
        <v>2</v>
      </c>
      <c r="S103" s="13">
        <f t="shared" si="23"/>
        <v>7</v>
      </c>
      <c r="T103" s="13">
        <f t="shared" si="23"/>
        <v>3</v>
      </c>
      <c r="U103" s="13">
        <f t="shared" si="23"/>
        <v>0</v>
      </c>
      <c r="V103" s="13">
        <f t="shared" si="23"/>
        <v>5</v>
      </c>
      <c r="W103" s="13">
        <f t="shared" si="23"/>
        <v>3</v>
      </c>
      <c r="X103" s="13">
        <f t="shared" si="23"/>
        <v>4</v>
      </c>
      <c r="Y103" s="13">
        <f t="shared" si="23"/>
        <v>1</v>
      </c>
      <c r="Z103" s="13">
        <f t="shared" si="23"/>
        <v>7</v>
      </c>
      <c r="AA103" s="13">
        <f t="shared" si="23"/>
        <v>1</v>
      </c>
      <c r="AB103" s="13">
        <f t="shared" si="23"/>
        <v>92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0.0</v>
      </c>
      <c r="G105" s="73">
        <v>1.0</v>
      </c>
      <c r="H105" s="73">
        <v>0.0</v>
      </c>
      <c r="I105" s="73">
        <v>0.0</v>
      </c>
      <c r="J105" s="73">
        <v>1.0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1.0</v>
      </c>
      <c r="Q105" s="73">
        <v>1.0</v>
      </c>
      <c r="R105" s="73">
        <v>2.0</v>
      </c>
      <c r="S105" s="73">
        <v>0.0</v>
      </c>
      <c r="T105" s="73">
        <v>0.0</v>
      </c>
      <c r="U105" s="73">
        <v>2.0</v>
      </c>
      <c r="V105" s="73">
        <v>0.0</v>
      </c>
      <c r="W105" s="73">
        <v>0.0</v>
      </c>
      <c r="X105" s="73">
        <v>2.0</v>
      </c>
      <c r="Y105" s="73">
        <v>0.0</v>
      </c>
      <c r="Z105" s="73">
        <v>1.0</v>
      </c>
      <c r="AA105" s="73">
        <v>0.0</v>
      </c>
      <c r="AB105" s="13">
        <f t="shared" ref="AB105:AB114" si="24">SUM(E105:AA105)</f>
        <v>11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1.0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1.0</v>
      </c>
      <c r="L106" s="73">
        <v>1.0</v>
      </c>
      <c r="M106" s="73">
        <v>0.0</v>
      </c>
      <c r="N106" s="73">
        <v>0.0</v>
      </c>
      <c r="O106" s="73">
        <v>0.0</v>
      </c>
      <c r="P106" s="73">
        <v>0.0</v>
      </c>
      <c r="Q106" s="73">
        <v>1.0</v>
      </c>
      <c r="R106" s="73">
        <v>2.0</v>
      </c>
      <c r="S106" s="73">
        <v>1.0</v>
      </c>
      <c r="T106" s="73">
        <v>0.0</v>
      </c>
      <c r="U106" s="73">
        <v>0.0</v>
      </c>
      <c r="V106" s="73">
        <v>0.0</v>
      </c>
      <c r="W106" s="73">
        <v>1.0</v>
      </c>
      <c r="X106" s="73">
        <v>0.0</v>
      </c>
      <c r="Y106" s="73">
        <v>1.0</v>
      </c>
      <c r="Z106" s="73">
        <v>0.0</v>
      </c>
      <c r="AA106" s="73">
        <v>0.0</v>
      </c>
      <c r="AB106" s="13">
        <f t="shared" si="24"/>
        <v>9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0.0</v>
      </c>
      <c r="I107" s="80">
        <v>0.0</v>
      </c>
      <c r="J107" s="80">
        <v>0.0</v>
      </c>
      <c r="K107" s="80">
        <v>0.0</v>
      </c>
      <c r="L107" s="80">
        <v>0.0</v>
      </c>
      <c r="M107" s="80">
        <v>0.0</v>
      </c>
      <c r="N107" s="80">
        <v>0.0</v>
      </c>
      <c r="O107" s="80">
        <v>0.0</v>
      </c>
      <c r="P107" s="80">
        <v>1.0</v>
      </c>
      <c r="Q107" s="80">
        <v>0.0</v>
      </c>
      <c r="R107" s="80">
        <v>0.0</v>
      </c>
      <c r="S107" s="80">
        <v>0.0</v>
      </c>
      <c r="T107" s="80">
        <v>1.0</v>
      </c>
      <c r="U107" s="80">
        <v>0.0</v>
      </c>
      <c r="V107" s="80">
        <v>0.0</v>
      </c>
      <c r="W107" s="80">
        <v>1.0</v>
      </c>
      <c r="X107" s="80">
        <v>0.0</v>
      </c>
      <c r="Y107" s="80">
        <v>0.0</v>
      </c>
      <c r="Z107" s="80">
        <v>0.0</v>
      </c>
      <c r="AA107" s="80">
        <v>0.0</v>
      </c>
      <c r="AB107" s="13">
        <f t="shared" si="24"/>
        <v>3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AB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2</v>
      </c>
      <c r="Q115" s="13">
        <f t="shared" si="25"/>
        <v>2</v>
      </c>
      <c r="R115" s="13">
        <f t="shared" si="25"/>
        <v>4</v>
      </c>
      <c r="S115" s="13">
        <f t="shared" si="25"/>
        <v>1</v>
      </c>
      <c r="T115" s="13">
        <f t="shared" si="25"/>
        <v>1</v>
      </c>
      <c r="U115" s="13">
        <f t="shared" si="25"/>
        <v>2</v>
      </c>
      <c r="V115" s="13">
        <f t="shared" si="25"/>
        <v>0</v>
      </c>
      <c r="W115" s="13">
        <f t="shared" si="25"/>
        <v>2</v>
      </c>
      <c r="X115" s="13">
        <f t="shared" si="25"/>
        <v>2</v>
      </c>
      <c r="Y115" s="13">
        <f t="shared" si="25"/>
        <v>1</v>
      </c>
      <c r="Z115" s="13">
        <f t="shared" si="25"/>
        <v>1</v>
      </c>
      <c r="AA115" s="13">
        <f t="shared" si="25"/>
        <v>0</v>
      </c>
      <c r="AB115" s="13">
        <f t="shared" si="25"/>
        <v>23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0.0</v>
      </c>
      <c r="G117" s="73">
        <v>1.0</v>
      </c>
      <c r="H117" s="73">
        <v>0.0</v>
      </c>
      <c r="I117" s="73">
        <v>1.0</v>
      </c>
      <c r="J117" s="73">
        <v>6.0</v>
      </c>
      <c r="K117" s="73">
        <v>0.0</v>
      </c>
      <c r="L117" s="73">
        <v>2.0</v>
      </c>
      <c r="M117" s="73">
        <v>2.0</v>
      </c>
      <c r="N117" s="73">
        <v>1.0</v>
      </c>
      <c r="O117" s="73">
        <v>2.0</v>
      </c>
      <c r="P117" s="73">
        <v>0.0</v>
      </c>
      <c r="Q117" s="73">
        <v>0.0</v>
      </c>
      <c r="R117" s="73">
        <v>0.0</v>
      </c>
      <c r="S117" s="73">
        <v>0.0</v>
      </c>
      <c r="T117" s="73">
        <v>3.0</v>
      </c>
      <c r="U117" s="73">
        <v>1.0</v>
      </c>
      <c r="V117" s="73">
        <v>1.0</v>
      </c>
      <c r="W117" s="73">
        <v>0.0</v>
      </c>
      <c r="X117" s="73">
        <v>1.0</v>
      </c>
      <c r="Y117" s="73">
        <v>1.0</v>
      </c>
      <c r="Z117" s="73">
        <v>1.0</v>
      </c>
      <c r="AA117" s="73">
        <v>2.0</v>
      </c>
      <c r="AB117" s="13">
        <f t="shared" ref="AB117:AB126" si="26">SUM(E117:AA117)</f>
        <v>25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1.0</v>
      </c>
      <c r="G118" s="73">
        <v>1.0</v>
      </c>
      <c r="H118" s="73">
        <v>1.0</v>
      </c>
      <c r="I118" s="73">
        <v>2.0</v>
      </c>
      <c r="J118" s="73">
        <v>3.0</v>
      </c>
      <c r="K118" s="73">
        <v>0.0</v>
      </c>
      <c r="L118" s="73">
        <v>3.0</v>
      </c>
      <c r="M118" s="73">
        <v>1.0</v>
      </c>
      <c r="N118" s="73">
        <v>3.0</v>
      </c>
      <c r="O118" s="73">
        <v>1.0</v>
      </c>
      <c r="P118" s="73">
        <v>0.0</v>
      </c>
      <c r="Q118" s="73">
        <v>0.0</v>
      </c>
      <c r="R118" s="73">
        <v>3.0</v>
      </c>
      <c r="S118" s="73">
        <v>0.0</v>
      </c>
      <c r="T118" s="73">
        <v>2.0</v>
      </c>
      <c r="U118" s="73">
        <v>0.0</v>
      </c>
      <c r="V118" s="73">
        <v>0.0</v>
      </c>
      <c r="W118" s="73">
        <v>1.0</v>
      </c>
      <c r="X118" s="73">
        <v>0.0</v>
      </c>
      <c r="Y118" s="73">
        <v>0.0</v>
      </c>
      <c r="Z118" s="73">
        <v>1.0</v>
      </c>
      <c r="AA118" s="73">
        <v>0.0</v>
      </c>
      <c r="AB118" s="13">
        <f t="shared" si="26"/>
        <v>23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2.0</v>
      </c>
      <c r="K119" s="73">
        <v>3.0</v>
      </c>
      <c r="L119" s="73">
        <v>0.0</v>
      </c>
      <c r="M119" s="73">
        <v>3.0</v>
      </c>
      <c r="N119" s="73">
        <v>0.0</v>
      </c>
      <c r="O119" s="73">
        <v>0.0</v>
      </c>
      <c r="P119" s="73">
        <v>0.0</v>
      </c>
      <c r="Q119" s="73">
        <v>0.0</v>
      </c>
      <c r="R119" s="73">
        <v>1.0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13">
        <f t="shared" si="26"/>
        <v>9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1.0</v>
      </c>
      <c r="G120" s="73">
        <v>0.0</v>
      </c>
      <c r="H120" s="73">
        <v>0.0</v>
      </c>
      <c r="I120" s="73">
        <v>1.0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1.0</v>
      </c>
      <c r="T120" s="73">
        <v>1.0</v>
      </c>
      <c r="U120" s="73">
        <v>0.0</v>
      </c>
      <c r="V120" s="73">
        <v>0.0</v>
      </c>
      <c r="W120" s="73">
        <v>1.0</v>
      </c>
      <c r="X120" s="73">
        <v>0.0</v>
      </c>
      <c r="Y120" s="73">
        <v>0.0</v>
      </c>
      <c r="Z120" s="73">
        <v>0.0</v>
      </c>
      <c r="AA120" s="73">
        <v>0.0</v>
      </c>
      <c r="AB120" s="13">
        <f t="shared" si="26"/>
        <v>5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80">
        <v>0.0</v>
      </c>
      <c r="U121" s="80">
        <v>0.0</v>
      </c>
      <c r="V121" s="80">
        <v>0.0</v>
      </c>
      <c r="W121" s="80">
        <v>0.0</v>
      </c>
      <c r="X121" s="80">
        <v>0.0</v>
      </c>
      <c r="Y121" s="80">
        <v>0.0</v>
      </c>
      <c r="Z121" s="80">
        <v>0.0</v>
      </c>
      <c r="AA121" s="80">
        <v>0.0</v>
      </c>
      <c r="AB121" s="13">
        <f t="shared" si="26"/>
        <v>0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1.0</v>
      </c>
      <c r="G122" s="80">
        <v>0.0</v>
      </c>
      <c r="H122" s="80">
        <v>1.0</v>
      </c>
      <c r="I122" s="80">
        <v>2.0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0.0</v>
      </c>
      <c r="R122" s="80">
        <v>0.0</v>
      </c>
      <c r="S122" s="80">
        <v>0.0</v>
      </c>
      <c r="T122" s="80">
        <v>0.0</v>
      </c>
      <c r="U122" s="80">
        <v>1.0</v>
      </c>
      <c r="V122" s="80">
        <v>0.0</v>
      </c>
      <c r="W122" s="80">
        <v>0.0</v>
      </c>
      <c r="X122" s="80">
        <v>0.0</v>
      </c>
      <c r="Y122" s="80">
        <v>0.0</v>
      </c>
      <c r="Z122" s="80">
        <v>0.0</v>
      </c>
      <c r="AA122" s="80">
        <v>0.0</v>
      </c>
      <c r="AB122" s="13">
        <f t="shared" si="26"/>
        <v>5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AB127" si="27">SUM(E117:E126)</f>
        <v>0</v>
      </c>
      <c r="F127" s="13">
        <f t="shared" si="27"/>
        <v>3</v>
      </c>
      <c r="G127" s="13">
        <f t="shared" si="27"/>
        <v>2</v>
      </c>
      <c r="H127" s="13">
        <f t="shared" si="27"/>
        <v>2</v>
      </c>
      <c r="I127" s="13">
        <f t="shared" si="27"/>
        <v>6</v>
      </c>
      <c r="J127" s="13">
        <f t="shared" si="27"/>
        <v>11</v>
      </c>
      <c r="K127" s="13">
        <f t="shared" si="27"/>
        <v>3</v>
      </c>
      <c r="L127" s="13">
        <f t="shared" si="27"/>
        <v>5</v>
      </c>
      <c r="M127" s="13">
        <f t="shared" si="27"/>
        <v>6</v>
      </c>
      <c r="N127" s="13">
        <f t="shared" si="27"/>
        <v>4</v>
      </c>
      <c r="O127" s="13">
        <f t="shared" si="27"/>
        <v>3</v>
      </c>
      <c r="P127" s="13">
        <f t="shared" si="27"/>
        <v>0</v>
      </c>
      <c r="Q127" s="13">
        <f t="shared" si="27"/>
        <v>0</v>
      </c>
      <c r="R127" s="13">
        <f t="shared" si="27"/>
        <v>4</v>
      </c>
      <c r="S127" s="13">
        <f t="shared" si="27"/>
        <v>1</v>
      </c>
      <c r="T127" s="13">
        <f t="shared" si="27"/>
        <v>6</v>
      </c>
      <c r="U127" s="13">
        <f t="shared" si="27"/>
        <v>2</v>
      </c>
      <c r="V127" s="13">
        <f t="shared" si="27"/>
        <v>1</v>
      </c>
      <c r="W127" s="13">
        <f t="shared" si="27"/>
        <v>2</v>
      </c>
      <c r="X127" s="13">
        <f t="shared" si="27"/>
        <v>1</v>
      </c>
      <c r="Y127" s="13">
        <f t="shared" si="27"/>
        <v>1</v>
      </c>
      <c r="Z127" s="13">
        <f t="shared" si="27"/>
        <v>2</v>
      </c>
      <c r="AA127" s="13">
        <f t="shared" si="27"/>
        <v>2</v>
      </c>
      <c r="AB127" s="13">
        <f t="shared" si="27"/>
        <v>67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7.0</v>
      </c>
      <c r="F129" s="73">
        <v>11.0</v>
      </c>
      <c r="G129" s="73">
        <v>7.0</v>
      </c>
      <c r="H129" s="73">
        <v>3.0</v>
      </c>
      <c r="I129" s="73">
        <v>4.0</v>
      </c>
      <c r="J129" s="73">
        <v>0.0</v>
      </c>
      <c r="K129" s="73">
        <v>3.0</v>
      </c>
      <c r="L129" s="73">
        <v>0.0</v>
      </c>
      <c r="M129" s="73">
        <v>2.0</v>
      </c>
      <c r="N129" s="73">
        <v>6.0</v>
      </c>
      <c r="O129" s="73">
        <v>3.0</v>
      </c>
      <c r="P129" s="73">
        <v>0.0</v>
      </c>
      <c r="Q129" s="73">
        <v>3.0</v>
      </c>
      <c r="R129" s="73">
        <v>3.0</v>
      </c>
      <c r="S129" s="19"/>
      <c r="T129" s="73">
        <v>3.0</v>
      </c>
      <c r="U129" s="73">
        <v>0.0</v>
      </c>
      <c r="V129" s="73">
        <v>9.0</v>
      </c>
      <c r="W129" s="73">
        <v>6.0</v>
      </c>
      <c r="X129" s="73">
        <v>6.0</v>
      </c>
      <c r="Y129" s="73">
        <v>12.0</v>
      </c>
      <c r="Z129" s="73">
        <v>1.0</v>
      </c>
      <c r="AA129" s="73">
        <v>8.0</v>
      </c>
      <c r="AB129" s="13">
        <f t="shared" ref="AB129:AB138" si="28">SUM(E129:AA129)</f>
        <v>97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2.0</v>
      </c>
      <c r="F130" s="73">
        <v>9.0</v>
      </c>
      <c r="G130" s="73">
        <v>4.0</v>
      </c>
      <c r="H130" s="73">
        <v>2.0</v>
      </c>
      <c r="I130" s="73">
        <v>5.0</v>
      </c>
      <c r="J130" s="73">
        <v>4.0</v>
      </c>
      <c r="K130" s="73">
        <v>7.0</v>
      </c>
      <c r="L130" s="73">
        <v>0.0</v>
      </c>
      <c r="M130" s="73">
        <v>3.0</v>
      </c>
      <c r="N130" s="73">
        <v>4.0</v>
      </c>
      <c r="O130" s="73">
        <v>15.0</v>
      </c>
      <c r="P130" s="73">
        <v>24.0</v>
      </c>
      <c r="Q130" s="73">
        <v>1.0</v>
      </c>
      <c r="R130" s="73">
        <v>5.0</v>
      </c>
      <c r="S130" s="73">
        <v>7.0</v>
      </c>
      <c r="T130" s="73">
        <v>16.0</v>
      </c>
      <c r="U130" s="73">
        <v>2.0</v>
      </c>
      <c r="V130" s="73">
        <v>32.0</v>
      </c>
      <c r="W130" s="73">
        <v>4.0</v>
      </c>
      <c r="X130" s="73">
        <v>4.0</v>
      </c>
      <c r="Y130" s="73">
        <v>13.0</v>
      </c>
      <c r="Z130" s="73">
        <v>5.0</v>
      </c>
      <c r="AA130" s="73">
        <v>4.0</v>
      </c>
      <c r="AB130" s="13">
        <f t="shared" si="28"/>
        <v>172</v>
      </c>
    </row>
    <row r="131" ht="12.75" customHeight="1">
      <c r="A131" s="18"/>
      <c r="B131" s="49"/>
      <c r="C131" s="50" t="s">
        <v>104</v>
      </c>
      <c r="D131" s="51"/>
      <c r="E131" s="73">
        <v>1.0</v>
      </c>
      <c r="F131" s="73">
        <v>1.0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6.0</v>
      </c>
      <c r="P131" s="73">
        <v>1.0</v>
      </c>
      <c r="Q131" s="73">
        <v>0.0</v>
      </c>
      <c r="R131" s="73">
        <v>0.0</v>
      </c>
      <c r="S131" s="73">
        <v>0.0</v>
      </c>
      <c r="T131" s="73">
        <v>2.0</v>
      </c>
      <c r="U131" s="73">
        <v>0.0</v>
      </c>
      <c r="V131" s="73">
        <v>2.0</v>
      </c>
      <c r="W131" s="73">
        <v>2.0</v>
      </c>
      <c r="X131" s="73">
        <v>0.0</v>
      </c>
      <c r="Y131" s="73">
        <v>0.0</v>
      </c>
      <c r="Z131" s="73">
        <v>0.0</v>
      </c>
      <c r="AA131" s="73">
        <v>2.0</v>
      </c>
      <c r="AB131" s="13">
        <f t="shared" si="28"/>
        <v>17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3.0</v>
      </c>
      <c r="G132" s="73">
        <v>0.0</v>
      </c>
      <c r="H132" s="73">
        <v>0.0</v>
      </c>
      <c r="I132" s="73">
        <v>0.0</v>
      </c>
      <c r="J132" s="73">
        <v>1.0</v>
      </c>
      <c r="K132" s="73">
        <v>1.0</v>
      </c>
      <c r="L132" s="73">
        <v>0.0</v>
      </c>
      <c r="M132" s="73">
        <v>0.0</v>
      </c>
      <c r="N132" s="73">
        <v>2.0</v>
      </c>
      <c r="O132" s="73">
        <v>4.0</v>
      </c>
      <c r="P132" s="73">
        <v>2.0</v>
      </c>
      <c r="Q132" s="73">
        <v>0.0</v>
      </c>
      <c r="R132" s="73">
        <v>0.0</v>
      </c>
      <c r="S132" s="73">
        <v>1.0</v>
      </c>
      <c r="T132" s="73">
        <v>0.0</v>
      </c>
      <c r="U132" s="73">
        <v>0.0</v>
      </c>
      <c r="V132" s="73">
        <v>2.0</v>
      </c>
      <c r="W132" s="73">
        <v>2.0</v>
      </c>
      <c r="X132" s="73">
        <v>1.0</v>
      </c>
      <c r="Y132" s="73">
        <v>0.0</v>
      </c>
      <c r="Z132" s="73">
        <v>0.0</v>
      </c>
      <c r="AA132" s="73">
        <v>1.0</v>
      </c>
      <c r="AB132" s="13">
        <f t="shared" si="28"/>
        <v>20</v>
      </c>
    </row>
    <row r="133" ht="12.75" customHeight="1">
      <c r="A133" s="18"/>
      <c r="B133" s="49"/>
      <c r="C133" s="50" t="s">
        <v>106</v>
      </c>
      <c r="D133" s="51"/>
      <c r="E133" s="73">
        <v>1.0</v>
      </c>
      <c r="F133" s="73">
        <v>2.0</v>
      </c>
      <c r="G133" s="73">
        <v>2.0</v>
      </c>
      <c r="H133" s="73">
        <v>0.0</v>
      </c>
      <c r="I133" s="73">
        <v>0.0</v>
      </c>
      <c r="J133" s="73">
        <v>0.0</v>
      </c>
      <c r="K133" s="73">
        <v>1.0</v>
      </c>
      <c r="L133" s="73">
        <v>0.0</v>
      </c>
      <c r="M133" s="73">
        <v>0.0</v>
      </c>
      <c r="N133" s="73">
        <v>1.0</v>
      </c>
      <c r="O133" s="73">
        <v>1.0</v>
      </c>
      <c r="P133" s="73">
        <v>1.0</v>
      </c>
      <c r="Q133" s="73">
        <v>0.0</v>
      </c>
      <c r="R133" s="73">
        <v>1.0</v>
      </c>
      <c r="S133" s="73">
        <v>0.0</v>
      </c>
      <c r="T133" s="73">
        <v>0.0</v>
      </c>
      <c r="U133" s="73">
        <v>0.0</v>
      </c>
      <c r="V133" s="73">
        <v>3.0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13">
        <f t="shared" si="28"/>
        <v>13</v>
      </c>
    </row>
    <row r="134" ht="12.75" customHeight="1">
      <c r="A134" s="18"/>
      <c r="B134" s="49"/>
      <c r="C134" s="50" t="s">
        <v>107</v>
      </c>
      <c r="D134" s="51"/>
      <c r="E134" s="73">
        <v>1.0</v>
      </c>
      <c r="F134" s="73">
        <v>0.0</v>
      </c>
      <c r="G134" s="73">
        <v>3.0</v>
      </c>
      <c r="H134" s="73">
        <v>1.0</v>
      </c>
      <c r="I134" s="73">
        <v>4.0</v>
      </c>
      <c r="J134" s="73">
        <v>0.0</v>
      </c>
      <c r="K134" s="73">
        <v>2.0</v>
      </c>
      <c r="L134" s="73">
        <v>0.0</v>
      </c>
      <c r="M134" s="73">
        <v>1.0</v>
      </c>
      <c r="N134" s="73">
        <v>1.0</v>
      </c>
      <c r="O134" s="73">
        <v>5.0</v>
      </c>
      <c r="P134" s="73">
        <v>2.0</v>
      </c>
      <c r="Q134" s="73">
        <v>1.0</v>
      </c>
      <c r="R134" s="73">
        <v>4.0</v>
      </c>
      <c r="S134" s="73">
        <v>0.0</v>
      </c>
      <c r="T134" s="73">
        <v>3.0</v>
      </c>
      <c r="U134" s="73">
        <v>0.0</v>
      </c>
      <c r="V134" s="73">
        <v>1.0</v>
      </c>
      <c r="W134" s="73">
        <v>4.0</v>
      </c>
      <c r="X134" s="73">
        <v>0.0</v>
      </c>
      <c r="Y134" s="73">
        <v>1.0</v>
      </c>
      <c r="Z134" s="73">
        <v>0.0</v>
      </c>
      <c r="AA134" s="73">
        <v>3.0</v>
      </c>
      <c r="AB134" s="13">
        <f t="shared" si="28"/>
        <v>37</v>
      </c>
    </row>
    <row r="135" ht="12.75" customHeight="1">
      <c r="A135" s="18"/>
      <c r="B135" s="49"/>
      <c r="C135" s="50" t="s">
        <v>108</v>
      </c>
      <c r="D135" s="51"/>
      <c r="E135" s="73">
        <v>0.0</v>
      </c>
      <c r="F135" s="73">
        <v>3.0</v>
      </c>
      <c r="G135" s="73">
        <v>1.0</v>
      </c>
      <c r="H135" s="73">
        <v>1.0</v>
      </c>
      <c r="I135" s="73">
        <v>1.0</v>
      </c>
      <c r="J135" s="73">
        <v>0.0</v>
      </c>
      <c r="K135" s="73">
        <v>1.0</v>
      </c>
      <c r="L135" s="73">
        <v>0.0</v>
      </c>
      <c r="M135" s="73">
        <v>1.0</v>
      </c>
      <c r="N135" s="73">
        <v>1.0</v>
      </c>
      <c r="O135" s="73">
        <v>4.0</v>
      </c>
      <c r="P135" s="73">
        <v>2.0</v>
      </c>
      <c r="Q135" s="73">
        <v>0.0</v>
      </c>
      <c r="R135" s="73">
        <v>0.0</v>
      </c>
      <c r="S135" s="73">
        <v>2.0</v>
      </c>
      <c r="T135" s="73">
        <v>4.0</v>
      </c>
      <c r="U135" s="73">
        <v>0.0</v>
      </c>
      <c r="V135" s="73">
        <v>0.0</v>
      </c>
      <c r="W135" s="73">
        <v>0.0</v>
      </c>
      <c r="X135" s="73">
        <v>0.0</v>
      </c>
      <c r="Y135" s="73">
        <v>1.0</v>
      </c>
      <c r="Z135" s="73">
        <v>0.0</v>
      </c>
      <c r="AA135" s="73">
        <v>0.0</v>
      </c>
      <c r="AB135" s="13">
        <f t="shared" si="28"/>
        <v>22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3.0</v>
      </c>
      <c r="H136" s="80">
        <v>0.0</v>
      </c>
      <c r="I136" s="80">
        <v>0.0</v>
      </c>
      <c r="J136" s="80">
        <v>0.0</v>
      </c>
      <c r="K136" s="80">
        <v>0.0</v>
      </c>
      <c r="L136" s="80">
        <v>0.0</v>
      </c>
      <c r="M136" s="80">
        <v>0.0</v>
      </c>
      <c r="N136" s="80">
        <v>1.0</v>
      </c>
      <c r="O136" s="80">
        <v>1.0</v>
      </c>
      <c r="P136" s="80">
        <v>0.0</v>
      </c>
      <c r="Q136" s="80">
        <v>0.0</v>
      </c>
      <c r="R136" s="80">
        <v>0.0</v>
      </c>
      <c r="S136" s="80">
        <v>1.0</v>
      </c>
      <c r="T136" s="80">
        <v>1.0</v>
      </c>
      <c r="U136" s="80">
        <v>0.0</v>
      </c>
      <c r="V136" s="80">
        <v>0.0</v>
      </c>
      <c r="W136" s="80">
        <v>0.0</v>
      </c>
      <c r="X136" s="80">
        <v>0.0</v>
      </c>
      <c r="Y136" s="80">
        <v>1.0</v>
      </c>
      <c r="Z136" s="80">
        <v>2.0</v>
      </c>
      <c r="AA136" s="80">
        <v>0.0</v>
      </c>
      <c r="AB136" s="13">
        <f t="shared" si="28"/>
        <v>10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1.0</v>
      </c>
      <c r="H137" s="80">
        <v>0.0</v>
      </c>
      <c r="I137" s="80">
        <v>0.0</v>
      </c>
      <c r="J137" s="80">
        <v>1.0</v>
      </c>
      <c r="K137" s="80">
        <v>0.0</v>
      </c>
      <c r="L137" s="80">
        <v>0.0</v>
      </c>
      <c r="M137" s="80">
        <v>0.0</v>
      </c>
      <c r="N137" s="80">
        <v>1.0</v>
      </c>
      <c r="O137" s="80">
        <v>0.0</v>
      </c>
      <c r="P137" s="80">
        <v>0.0</v>
      </c>
      <c r="Q137" s="80">
        <v>0.0</v>
      </c>
      <c r="R137" s="80">
        <v>0.0</v>
      </c>
      <c r="S137" s="80">
        <v>0.0</v>
      </c>
      <c r="T137" s="80">
        <v>0.0</v>
      </c>
      <c r="U137" s="80">
        <v>0.0</v>
      </c>
      <c r="V137" s="80">
        <v>0.0</v>
      </c>
      <c r="W137" s="80">
        <v>0.0</v>
      </c>
      <c r="X137" s="80">
        <v>0.0</v>
      </c>
      <c r="Y137" s="80">
        <v>0.0</v>
      </c>
      <c r="Z137" s="80">
        <v>0.0</v>
      </c>
      <c r="AA137" s="80">
        <v>0.0</v>
      </c>
      <c r="AB137" s="13">
        <f t="shared" si="28"/>
        <v>3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2.0</v>
      </c>
      <c r="H138" s="80">
        <v>0.0</v>
      </c>
      <c r="I138" s="80">
        <v>0.0</v>
      </c>
      <c r="J138" s="80">
        <v>0.0</v>
      </c>
      <c r="K138" s="80">
        <v>1.0</v>
      </c>
      <c r="L138" s="80">
        <v>0.0</v>
      </c>
      <c r="M138" s="80">
        <v>0.0</v>
      </c>
      <c r="N138" s="80">
        <v>0.0</v>
      </c>
      <c r="O138" s="80">
        <v>1.0</v>
      </c>
      <c r="P138" s="80">
        <v>0.0</v>
      </c>
      <c r="Q138" s="80">
        <v>0.0</v>
      </c>
      <c r="R138" s="80">
        <v>0.0</v>
      </c>
      <c r="S138" s="80">
        <v>3.0</v>
      </c>
      <c r="T138" s="80">
        <v>1.0</v>
      </c>
      <c r="U138" s="80">
        <v>0.0</v>
      </c>
      <c r="V138" s="80">
        <v>0.0</v>
      </c>
      <c r="W138" s="80">
        <v>0.0</v>
      </c>
      <c r="X138" s="80">
        <v>0.0</v>
      </c>
      <c r="Y138" s="80">
        <v>0.0</v>
      </c>
      <c r="Z138" s="80">
        <v>0.0</v>
      </c>
      <c r="AA138" s="80">
        <v>0.0</v>
      </c>
      <c r="AB138" s="13">
        <f t="shared" si="28"/>
        <v>8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AB139" si="29">SUM(E129:E138)</f>
        <v>12</v>
      </c>
      <c r="F139" s="13">
        <f t="shared" si="29"/>
        <v>29</v>
      </c>
      <c r="G139" s="13">
        <f t="shared" si="29"/>
        <v>23</v>
      </c>
      <c r="H139" s="13">
        <f t="shared" si="29"/>
        <v>7</v>
      </c>
      <c r="I139" s="13">
        <f t="shared" si="29"/>
        <v>14</v>
      </c>
      <c r="J139" s="13">
        <f t="shared" si="29"/>
        <v>6</v>
      </c>
      <c r="K139" s="13">
        <f t="shared" si="29"/>
        <v>16</v>
      </c>
      <c r="L139" s="13">
        <f t="shared" si="29"/>
        <v>0</v>
      </c>
      <c r="M139" s="13">
        <f t="shared" si="29"/>
        <v>7</v>
      </c>
      <c r="N139" s="13">
        <f t="shared" si="29"/>
        <v>17</v>
      </c>
      <c r="O139" s="13">
        <f t="shared" si="29"/>
        <v>40</v>
      </c>
      <c r="P139" s="13">
        <f t="shared" si="29"/>
        <v>32</v>
      </c>
      <c r="Q139" s="13">
        <f t="shared" si="29"/>
        <v>5</v>
      </c>
      <c r="R139" s="13">
        <f t="shared" si="29"/>
        <v>13</v>
      </c>
      <c r="S139" s="13">
        <f t="shared" si="29"/>
        <v>14</v>
      </c>
      <c r="T139" s="13">
        <f t="shared" si="29"/>
        <v>30</v>
      </c>
      <c r="U139" s="13">
        <f t="shared" si="29"/>
        <v>2</v>
      </c>
      <c r="V139" s="13">
        <f t="shared" si="29"/>
        <v>49</v>
      </c>
      <c r="W139" s="13">
        <f t="shared" si="29"/>
        <v>18</v>
      </c>
      <c r="X139" s="13">
        <f t="shared" si="29"/>
        <v>11</v>
      </c>
      <c r="Y139" s="13">
        <f t="shared" si="29"/>
        <v>28</v>
      </c>
      <c r="Z139" s="13">
        <f t="shared" si="29"/>
        <v>8</v>
      </c>
      <c r="AA139" s="13">
        <f t="shared" si="29"/>
        <v>18</v>
      </c>
      <c r="AB139" s="13">
        <f t="shared" si="29"/>
        <v>399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13">
        <f t="shared" ref="AB141:AB150" si="30">SUM(E141:AA141)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1.0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13">
        <f t="shared" si="30"/>
        <v>1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80">
        <v>0.0</v>
      </c>
      <c r="U143" s="80">
        <v>0.0</v>
      </c>
      <c r="V143" s="80">
        <v>0.0</v>
      </c>
      <c r="W143" s="80">
        <v>0.0</v>
      </c>
      <c r="X143" s="80">
        <v>0.0</v>
      </c>
      <c r="Y143" s="80">
        <v>0.0</v>
      </c>
      <c r="Z143" s="80">
        <v>0.0</v>
      </c>
      <c r="AA143" s="80">
        <v>0.0</v>
      </c>
      <c r="AB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0.0</v>
      </c>
      <c r="T144" s="80">
        <v>0.0</v>
      </c>
      <c r="U144" s="80">
        <v>0.0</v>
      </c>
      <c r="V144" s="80">
        <v>0.0</v>
      </c>
      <c r="W144" s="80">
        <v>0.0</v>
      </c>
      <c r="X144" s="80">
        <v>0.0</v>
      </c>
      <c r="Y144" s="80">
        <v>0.0</v>
      </c>
      <c r="Z144" s="80">
        <v>0.0</v>
      </c>
      <c r="AA144" s="80">
        <v>0.0</v>
      </c>
      <c r="AB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AB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0.0</v>
      </c>
      <c r="G153" s="73">
        <v>2.0</v>
      </c>
      <c r="H153" s="73">
        <v>1.0</v>
      </c>
      <c r="I153" s="73">
        <v>1.0</v>
      </c>
      <c r="J153" s="73">
        <v>8.0</v>
      </c>
      <c r="K153" s="73">
        <v>1.0</v>
      </c>
      <c r="L153" s="73">
        <v>14.0</v>
      </c>
      <c r="M153" s="73">
        <v>3.0</v>
      </c>
      <c r="N153" s="73">
        <v>6.0</v>
      </c>
      <c r="O153" s="73">
        <v>0.0</v>
      </c>
      <c r="P153" s="73">
        <v>1.0</v>
      </c>
      <c r="Q153" s="73">
        <v>17.0</v>
      </c>
      <c r="R153" s="73">
        <v>6.0</v>
      </c>
      <c r="S153" s="73">
        <v>4.0</v>
      </c>
      <c r="T153" s="73">
        <v>3.0</v>
      </c>
      <c r="U153" s="73">
        <v>19.0</v>
      </c>
      <c r="V153" s="73">
        <v>4.0</v>
      </c>
      <c r="W153" s="73">
        <v>16.0</v>
      </c>
      <c r="X153" s="73">
        <v>6.0</v>
      </c>
      <c r="Y153" s="73">
        <v>8.0</v>
      </c>
      <c r="Z153" s="73">
        <v>5.0</v>
      </c>
      <c r="AA153" s="73">
        <v>0.0</v>
      </c>
      <c r="AB153" s="13">
        <f t="shared" ref="AB153:AB162" si="32">SUM(E153:AA153)</f>
        <v>125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1.0</v>
      </c>
      <c r="H154" s="73">
        <v>2.0</v>
      </c>
      <c r="I154" s="73">
        <v>2.0</v>
      </c>
      <c r="J154" s="73">
        <v>5.0</v>
      </c>
      <c r="K154" s="73">
        <v>0.0</v>
      </c>
      <c r="L154" s="73">
        <v>6.0</v>
      </c>
      <c r="M154" s="73">
        <v>5.0</v>
      </c>
      <c r="N154" s="73">
        <v>5.0</v>
      </c>
      <c r="O154" s="73">
        <v>0.0</v>
      </c>
      <c r="P154" s="73">
        <v>0.0</v>
      </c>
      <c r="Q154" s="73">
        <v>14.0</v>
      </c>
      <c r="R154" s="73">
        <v>5.0</v>
      </c>
      <c r="S154" s="73">
        <v>4.0</v>
      </c>
      <c r="T154" s="73">
        <v>2.0</v>
      </c>
      <c r="U154" s="73">
        <v>3.0</v>
      </c>
      <c r="V154" s="73">
        <v>3.0</v>
      </c>
      <c r="W154" s="73">
        <v>3.0</v>
      </c>
      <c r="X154" s="73">
        <v>2.0</v>
      </c>
      <c r="Y154" s="73">
        <v>8.0</v>
      </c>
      <c r="Z154" s="73">
        <v>2.0</v>
      </c>
      <c r="AA154" s="73">
        <v>1.0</v>
      </c>
      <c r="AB154" s="13">
        <f t="shared" si="32"/>
        <v>73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2.0</v>
      </c>
      <c r="K155" s="73">
        <v>1.0</v>
      </c>
      <c r="L155" s="73">
        <v>1.0</v>
      </c>
      <c r="M155" s="73">
        <v>0.0</v>
      </c>
      <c r="N155" s="73">
        <v>0.0</v>
      </c>
      <c r="O155" s="73">
        <v>0.0</v>
      </c>
      <c r="P155" s="73">
        <v>0.0</v>
      </c>
      <c r="Q155" s="73">
        <v>1.0</v>
      </c>
      <c r="R155" s="73">
        <v>0.0</v>
      </c>
      <c r="S155" s="73">
        <v>0.0</v>
      </c>
      <c r="T155" s="73">
        <v>0.0</v>
      </c>
      <c r="U155" s="73">
        <v>2.0</v>
      </c>
      <c r="V155" s="73">
        <v>0.0</v>
      </c>
      <c r="W155" s="73">
        <v>0.0</v>
      </c>
      <c r="X155" s="73">
        <v>0.0</v>
      </c>
      <c r="Y155" s="73">
        <v>2.0</v>
      </c>
      <c r="Z155" s="73">
        <v>2.0</v>
      </c>
      <c r="AA155" s="73">
        <v>1.0</v>
      </c>
      <c r="AB155" s="13">
        <f t="shared" si="32"/>
        <v>12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1.0</v>
      </c>
      <c r="I156" s="73">
        <v>0.0</v>
      </c>
      <c r="J156" s="73">
        <v>0.0</v>
      </c>
      <c r="K156" s="73">
        <v>0.0</v>
      </c>
      <c r="L156" s="73">
        <v>1.0</v>
      </c>
      <c r="M156" s="73">
        <v>1.0</v>
      </c>
      <c r="N156" s="73">
        <v>0.0</v>
      </c>
      <c r="O156" s="73">
        <v>0.0</v>
      </c>
      <c r="P156" s="73">
        <v>0.0</v>
      </c>
      <c r="Q156" s="73">
        <v>0.0</v>
      </c>
      <c r="R156" s="73">
        <v>2.0</v>
      </c>
      <c r="S156" s="73">
        <v>0.0</v>
      </c>
      <c r="T156" s="73">
        <v>1.0</v>
      </c>
      <c r="U156" s="73">
        <v>1.0</v>
      </c>
      <c r="V156" s="73">
        <v>0.0</v>
      </c>
      <c r="W156" s="73">
        <v>3.0</v>
      </c>
      <c r="X156" s="73">
        <v>0.0</v>
      </c>
      <c r="Y156" s="73">
        <v>1.0</v>
      </c>
      <c r="Z156" s="73">
        <v>0.0</v>
      </c>
      <c r="AA156" s="73">
        <v>1.0</v>
      </c>
      <c r="AB156" s="13">
        <f t="shared" si="32"/>
        <v>12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1.0</v>
      </c>
      <c r="J157" s="73">
        <v>1.0</v>
      </c>
      <c r="K157" s="73">
        <v>0.0</v>
      </c>
      <c r="L157" s="73">
        <v>0.0</v>
      </c>
      <c r="M157" s="73">
        <v>0.0</v>
      </c>
      <c r="N157" s="73">
        <v>1.0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1.0</v>
      </c>
      <c r="AA157" s="73">
        <v>0.0</v>
      </c>
      <c r="AB157" s="13">
        <f t="shared" si="32"/>
        <v>4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1.0</v>
      </c>
      <c r="N158" s="80">
        <v>1.0</v>
      </c>
      <c r="O158" s="80">
        <v>0.0</v>
      </c>
      <c r="P158" s="73">
        <v>0.0</v>
      </c>
      <c r="Q158" s="80">
        <v>0.0</v>
      </c>
      <c r="R158" s="80">
        <v>0.0</v>
      </c>
      <c r="S158" s="80">
        <v>0.0</v>
      </c>
      <c r="T158" s="80">
        <v>1.0</v>
      </c>
      <c r="U158" s="80">
        <v>1.0</v>
      </c>
      <c r="V158" s="80">
        <v>0.0</v>
      </c>
      <c r="W158" s="80">
        <v>0.0</v>
      </c>
      <c r="X158" s="80">
        <v>0.0</v>
      </c>
      <c r="Y158" s="80">
        <v>1.0</v>
      </c>
      <c r="Z158" s="80">
        <v>1.0</v>
      </c>
      <c r="AA158" s="80">
        <v>0.0</v>
      </c>
      <c r="AB158" s="13">
        <f t="shared" si="32"/>
        <v>6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1.0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1.0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80">
        <v>0.0</v>
      </c>
      <c r="S159" s="80">
        <v>0.0</v>
      </c>
      <c r="T159" s="80">
        <v>0.0</v>
      </c>
      <c r="U159" s="80">
        <v>0.0</v>
      </c>
      <c r="V159" s="80">
        <v>0.0</v>
      </c>
      <c r="W159" s="80">
        <v>0.0</v>
      </c>
      <c r="X159" s="80">
        <v>0.0</v>
      </c>
      <c r="Y159" s="80">
        <v>0.0</v>
      </c>
      <c r="Z159" s="80">
        <v>0.0</v>
      </c>
      <c r="AA159" s="80">
        <v>0.0</v>
      </c>
      <c r="AB159" s="13">
        <f t="shared" si="32"/>
        <v>2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82"/>
      <c r="U160" s="82"/>
      <c r="V160" s="82"/>
      <c r="W160" s="82"/>
      <c r="X160" s="82"/>
      <c r="Y160" s="82"/>
      <c r="Z160" s="82"/>
      <c r="AA160" s="82"/>
      <c r="AB160" s="13">
        <f t="shared" si="32"/>
        <v>0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AB163" si="33">SUM(E153:E162)</f>
        <v>0</v>
      </c>
      <c r="F163" s="13">
        <f t="shared" si="33"/>
        <v>1</v>
      </c>
      <c r="G163" s="13">
        <f t="shared" si="33"/>
        <v>3</v>
      </c>
      <c r="H163" s="13">
        <f t="shared" si="33"/>
        <v>4</v>
      </c>
      <c r="I163" s="13">
        <f t="shared" si="33"/>
        <v>4</v>
      </c>
      <c r="J163" s="13">
        <f t="shared" si="33"/>
        <v>16</v>
      </c>
      <c r="K163" s="13">
        <f t="shared" si="33"/>
        <v>2</v>
      </c>
      <c r="L163" s="13">
        <f t="shared" si="33"/>
        <v>23</v>
      </c>
      <c r="M163" s="13">
        <f t="shared" si="33"/>
        <v>10</v>
      </c>
      <c r="N163" s="13">
        <f t="shared" si="33"/>
        <v>13</v>
      </c>
      <c r="O163" s="13">
        <f t="shared" si="33"/>
        <v>0</v>
      </c>
      <c r="P163" s="13">
        <f t="shared" si="33"/>
        <v>1</v>
      </c>
      <c r="Q163" s="13">
        <f t="shared" si="33"/>
        <v>32</v>
      </c>
      <c r="R163" s="13">
        <f t="shared" si="33"/>
        <v>13</v>
      </c>
      <c r="S163" s="13">
        <f t="shared" si="33"/>
        <v>8</v>
      </c>
      <c r="T163" s="13">
        <f t="shared" si="33"/>
        <v>7</v>
      </c>
      <c r="U163" s="13">
        <f t="shared" si="33"/>
        <v>26</v>
      </c>
      <c r="V163" s="13">
        <f t="shared" si="33"/>
        <v>7</v>
      </c>
      <c r="W163" s="13">
        <f t="shared" si="33"/>
        <v>22</v>
      </c>
      <c r="X163" s="13">
        <f t="shared" si="33"/>
        <v>8</v>
      </c>
      <c r="Y163" s="13">
        <f t="shared" si="33"/>
        <v>20</v>
      </c>
      <c r="Z163" s="13">
        <f t="shared" si="33"/>
        <v>11</v>
      </c>
      <c r="AA163" s="13">
        <f t="shared" si="33"/>
        <v>3</v>
      </c>
      <c r="AB163" s="13">
        <f t="shared" si="33"/>
        <v>234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1.0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1.0</v>
      </c>
      <c r="O165" s="73">
        <v>1.0</v>
      </c>
      <c r="P165" s="73">
        <v>0.0</v>
      </c>
      <c r="Q165" s="73">
        <v>0.0</v>
      </c>
      <c r="R165" s="73">
        <v>1.0</v>
      </c>
      <c r="S165" s="73">
        <v>0.0</v>
      </c>
      <c r="T165" s="73">
        <v>1.0</v>
      </c>
      <c r="U165" s="73">
        <v>0.0</v>
      </c>
      <c r="V165" s="73">
        <v>0.0</v>
      </c>
      <c r="W165" s="73">
        <v>0.0</v>
      </c>
      <c r="X165" s="73">
        <v>2.0</v>
      </c>
      <c r="Y165" s="73">
        <v>0.0</v>
      </c>
      <c r="Z165" s="73">
        <v>0.0</v>
      </c>
      <c r="AA165" s="73">
        <v>0.0</v>
      </c>
      <c r="AB165" s="13">
        <f t="shared" ref="AB165:AB174" si="34">SUM(E165:AA165)</f>
        <v>7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0.0</v>
      </c>
      <c r="F166" s="80">
        <v>0.0</v>
      </c>
      <c r="G166" s="80">
        <v>0.0</v>
      </c>
      <c r="H166" s="80">
        <v>0.0</v>
      </c>
      <c r="I166" s="80">
        <v>1.0</v>
      </c>
      <c r="J166" s="80">
        <v>0.0</v>
      </c>
      <c r="K166" s="80">
        <v>1.0</v>
      </c>
      <c r="L166" s="80">
        <v>0.0</v>
      </c>
      <c r="M166" s="80">
        <v>1.0</v>
      </c>
      <c r="N166" s="80">
        <v>0.0</v>
      </c>
      <c r="O166" s="80">
        <v>0.0</v>
      </c>
      <c r="P166" s="80">
        <v>2.0</v>
      </c>
      <c r="Q166" s="80">
        <v>0.0</v>
      </c>
      <c r="R166" s="80">
        <v>1.0</v>
      </c>
      <c r="S166" s="80">
        <v>4.0</v>
      </c>
      <c r="T166" s="80">
        <v>1.0</v>
      </c>
      <c r="U166" s="80">
        <v>2.0</v>
      </c>
      <c r="V166" s="80">
        <v>2.0</v>
      </c>
      <c r="W166" s="80">
        <v>2.0</v>
      </c>
      <c r="X166" s="80">
        <v>1.0</v>
      </c>
      <c r="Y166" s="80">
        <v>1.0</v>
      </c>
      <c r="Z166" s="80">
        <v>0.0</v>
      </c>
      <c r="AA166" s="80">
        <v>0.0</v>
      </c>
      <c r="AB166" s="13">
        <f t="shared" si="34"/>
        <v>19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AB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1</v>
      </c>
      <c r="P175" s="13">
        <f t="shared" si="35"/>
        <v>2</v>
      </c>
      <c r="Q175" s="13">
        <f t="shared" si="35"/>
        <v>0</v>
      </c>
      <c r="R175" s="13">
        <f t="shared" si="35"/>
        <v>2</v>
      </c>
      <c r="S175" s="13">
        <f t="shared" si="35"/>
        <v>4</v>
      </c>
      <c r="T175" s="13">
        <f t="shared" si="35"/>
        <v>2</v>
      </c>
      <c r="U175" s="13">
        <f t="shared" si="35"/>
        <v>2</v>
      </c>
      <c r="V175" s="13">
        <f t="shared" si="35"/>
        <v>2</v>
      </c>
      <c r="W175" s="13">
        <f t="shared" si="35"/>
        <v>2</v>
      </c>
      <c r="X175" s="13">
        <f t="shared" si="35"/>
        <v>3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26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1.0</v>
      </c>
      <c r="F177" s="73">
        <v>1.0</v>
      </c>
      <c r="G177" s="73">
        <v>2.0</v>
      </c>
      <c r="H177" s="73">
        <v>0.0</v>
      </c>
      <c r="I177" s="73">
        <v>0.0</v>
      </c>
      <c r="J177" s="73">
        <v>1.0</v>
      </c>
      <c r="K177" s="73">
        <v>3.0</v>
      </c>
      <c r="L177" s="73">
        <v>0.0</v>
      </c>
      <c r="M177" s="73">
        <v>1.0</v>
      </c>
      <c r="N177" s="73">
        <v>2.0</v>
      </c>
      <c r="O177" s="73">
        <v>1.0</v>
      </c>
      <c r="P177" s="73">
        <v>0.0</v>
      </c>
      <c r="Q177" s="73">
        <v>0.0</v>
      </c>
      <c r="R177" s="73">
        <v>1.0</v>
      </c>
      <c r="S177" s="73">
        <v>1.0</v>
      </c>
      <c r="T177" s="73">
        <v>1.0</v>
      </c>
      <c r="U177" s="73">
        <v>2.0</v>
      </c>
      <c r="V177" s="73">
        <v>1.0</v>
      </c>
      <c r="W177" s="73">
        <v>0.0</v>
      </c>
      <c r="X177" s="73">
        <v>2.0</v>
      </c>
      <c r="Y177" s="73">
        <v>1.0</v>
      </c>
      <c r="Z177" s="73">
        <v>0.0</v>
      </c>
      <c r="AA177" s="73">
        <v>1.0</v>
      </c>
      <c r="AB177" s="13">
        <f t="shared" ref="AB177:AB186" si="36">SUM(E177:AA177)</f>
        <v>22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1.0</v>
      </c>
      <c r="F178" s="73">
        <v>2.0</v>
      </c>
      <c r="G178" s="73">
        <v>3.0</v>
      </c>
      <c r="H178" s="73">
        <v>1.0</v>
      </c>
      <c r="I178" s="73">
        <v>3.0</v>
      </c>
      <c r="J178" s="73">
        <v>0.0</v>
      </c>
      <c r="K178" s="73">
        <v>0.0</v>
      </c>
      <c r="L178" s="73">
        <v>0.0</v>
      </c>
      <c r="M178" s="73">
        <v>2.0</v>
      </c>
      <c r="N178" s="73">
        <v>1.0</v>
      </c>
      <c r="O178" s="73">
        <v>2.0</v>
      </c>
      <c r="P178" s="73">
        <v>0.0</v>
      </c>
      <c r="Q178" s="73">
        <v>1.0</v>
      </c>
      <c r="R178" s="73">
        <v>0.0</v>
      </c>
      <c r="S178" s="73">
        <v>0.0</v>
      </c>
      <c r="T178" s="73">
        <v>3.0</v>
      </c>
      <c r="U178" s="73">
        <v>0.0</v>
      </c>
      <c r="V178" s="73">
        <v>0.0</v>
      </c>
      <c r="W178" s="73">
        <v>2.0</v>
      </c>
      <c r="X178" s="73">
        <v>1.0</v>
      </c>
      <c r="Y178" s="73">
        <v>0.0</v>
      </c>
      <c r="Z178" s="73">
        <v>5.0</v>
      </c>
      <c r="AA178" s="73">
        <v>1.0</v>
      </c>
      <c r="AB178" s="13">
        <f t="shared" si="36"/>
        <v>28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2.0</v>
      </c>
      <c r="G179" s="73">
        <v>0.0</v>
      </c>
      <c r="H179" s="73">
        <v>0.0</v>
      </c>
      <c r="I179" s="73">
        <v>0.0</v>
      </c>
      <c r="J179" s="73">
        <v>0.0</v>
      </c>
      <c r="K179" s="73">
        <v>1.0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1.0</v>
      </c>
      <c r="T179" s="73">
        <v>0.0</v>
      </c>
      <c r="U179" s="73">
        <v>0.0</v>
      </c>
      <c r="V179" s="73">
        <v>0.0</v>
      </c>
      <c r="W179" s="73">
        <v>0.0</v>
      </c>
      <c r="X179" s="73">
        <v>1.0</v>
      </c>
      <c r="Y179" s="73">
        <v>0.0</v>
      </c>
      <c r="Z179" s="73">
        <v>0.0</v>
      </c>
      <c r="AA179" s="73">
        <v>0.0</v>
      </c>
      <c r="AB179" s="13">
        <f t="shared" si="36"/>
        <v>5</v>
      </c>
    </row>
    <row r="180" ht="12.75" customHeight="1">
      <c r="A180" s="18"/>
      <c r="B180" s="49"/>
      <c r="C180" s="50" t="s">
        <v>133</v>
      </c>
      <c r="D180" s="51"/>
      <c r="E180" s="73">
        <v>1.0</v>
      </c>
      <c r="F180" s="73">
        <v>1.0</v>
      </c>
      <c r="G180" s="73">
        <v>0.0</v>
      </c>
      <c r="H180" s="73">
        <v>2.0</v>
      </c>
      <c r="I180" s="73">
        <v>2.0</v>
      </c>
      <c r="J180" s="73">
        <v>0.0</v>
      </c>
      <c r="K180" s="73">
        <v>1.0</v>
      </c>
      <c r="L180" s="73">
        <v>0.0</v>
      </c>
      <c r="M180" s="73">
        <v>1.0</v>
      </c>
      <c r="N180" s="73">
        <v>0.0</v>
      </c>
      <c r="O180" s="73">
        <v>1.0</v>
      </c>
      <c r="P180" s="73">
        <v>1.0</v>
      </c>
      <c r="Q180" s="73">
        <v>0.0</v>
      </c>
      <c r="R180" s="73">
        <v>0.0</v>
      </c>
      <c r="S180" s="73">
        <v>0.0</v>
      </c>
      <c r="T180" s="73">
        <v>0.0</v>
      </c>
      <c r="U180" s="73">
        <v>1.0</v>
      </c>
      <c r="V180" s="73">
        <v>0.0</v>
      </c>
      <c r="W180" s="73">
        <v>0.0</v>
      </c>
      <c r="X180" s="73">
        <v>0.0</v>
      </c>
      <c r="Y180" s="73">
        <v>1.0</v>
      </c>
      <c r="Z180" s="73">
        <v>2.0</v>
      </c>
      <c r="AA180" s="73">
        <v>2.0</v>
      </c>
      <c r="AB180" s="13">
        <f t="shared" si="36"/>
        <v>16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2.0</v>
      </c>
      <c r="G181" s="73">
        <v>0.0</v>
      </c>
      <c r="H181" s="73">
        <v>0.0</v>
      </c>
      <c r="I181" s="73">
        <v>2.0</v>
      </c>
      <c r="J181" s="73">
        <v>0.0</v>
      </c>
      <c r="K181" s="73">
        <v>1.0</v>
      </c>
      <c r="L181" s="73">
        <v>0.0</v>
      </c>
      <c r="M181" s="73">
        <v>0.0</v>
      </c>
      <c r="N181" s="73">
        <v>0.0</v>
      </c>
      <c r="O181" s="73">
        <v>6.0</v>
      </c>
      <c r="P181" s="73">
        <v>2.0</v>
      </c>
      <c r="Q181" s="73">
        <v>0.0</v>
      </c>
      <c r="R181" s="73">
        <v>1.0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0.0</v>
      </c>
      <c r="AA181" s="73">
        <v>0.0</v>
      </c>
      <c r="AB181" s="13">
        <f t="shared" si="36"/>
        <v>14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1.0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1.0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13">
        <f t="shared" si="36"/>
        <v>2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13">
        <f t="shared" si="36"/>
        <v>0</v>
      </c>
    </row>
    <row r="184" ht="12.75" customHeight="1">
      <c r="A184" s="79"/>
      <c r="B184" s="49"/>
      <c r="C184" s="50" t="s">
        <v>137</v>
      </c>
      <c r="D184" s="51"/>
      <c r="E184" s="73">
        <v>0.0</v>
      </c>
      <c r="F184" s="73">
        <v>1.0</v>
      </c>
      <c r="G184" s="73">
        <v>0.0</v>
      </c>
      <c r="H184" s="73">
        <v>0.0</v>
      </c>
      <c r="I184" s="73">
        <v>0.0</v>
      </c>
      <c r="J184" s="73">
        <v>0.0</v>
      </c>
      <c r="K184" s="73">
        <v>0.0</v>
      </c>
      <c r="L184" s="73">
        <v>0.0</v>
      </c>
      <c r="M184" s="73">
        <v>0.0</v>
      </c>
      <c r="N184" s="73">
        <v>0.0</v>
      </c>
      <c r="O184" s="73">
        <v>0.0</v>
      </c>
      <c r="P184" s="73">
        <v>0.0</v>
      </c>
      <c r="Q184" s="73">
        <v>0.0</v>
      </c>
      <c r="R184" s="73">
        <v>0.0</v>
      </c>
      <c r="S184" s="73">
        <v>0.0</v>
      </c>
      <c r="T184" s="80">
        <v>0.0</v>
      </c>
      <c r="U184" s="80">
        <v>1.0</v>
      </c>
      <c r="V184" s="80">
        <v>0.0</v>
      </c>
      <c r="W184" s="80">
        <v>0.0</v>
      </c>
      <c r="X184" s="80">
        <v>0.0</v>
      </c>
      <c r="Y184" s="80">
        <v>0.0</v>
      </c>
      <c r="Z184" s="80">
        <v>0.0</v>
      </c>
      <c r="AA184" s="80">
        <v>0.0</v>
      </c>
      <c r="AB184" s="13">
        <f t="shared" si="36"/>
        <v>2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1.0</v>
      </c>
      <c r="G185" s="80">
        <v>0.0</v>
      </c>
      <c r="H185" s="80">
        <v>0.0</v>
      </c>
      <c r="I185" s="80">
        <v>0.0</v>
      </c>
      <c r="J185" s="80">
        <v>0.0</v>
      </c>
      <c r="K185" s="80">
        <v>0.0</v>
      </c>
      <c r="L185" s="80">
        <v>0.0</v>
      </c>
      <c r="M185" s="80">
        <v>0.0</v>
      </c>
      <c r="N185" s="80">
        <v>1.0</v>
      </c>
      <c r="O185" s="80">
        <v>0.0</v>
      </c>
      <c r="P185" s="80">
        <v>0.0</v>
      </c>
      <c r="Q185" s="80">
        <v>0.0</v>
      </c>
      <c r="R185" s="80">
        <v>0.0</v>
      </c>
      <c r="S185" s="80">
        <v>1.0</v>
      </c>
      <c r="T185" s="80">
        <v>0.0</v>
      </c>
      <c r="U185" s="80">
        <v>0.0</v>
      </c>
      <c r="V185" s="80">
        <v>0.0</v>
      </c>
      <c r="W185" s="80">
        <v>0.0</v>
      </c>
      <c r="X185" s="80">
        <v>0.0</v>
      </c>
      <c r="Y185" s="80">
        <v>0.0</v>
      </c>
      <c r="Z185" s="80">
        <v>0.0</v>
      </c>
      <c r="AA185" s="80">
        <v>0.0</v>
      </c>
      <c r="AB185" s="13">
        <f t="shared" si="36"/>
        <v>3</v>
      </c>
    </row>
    <row r="186" ht="12.75" customHeight="1">
      <c r="A186" s="79"/>
      <c r="B186" s="49"/>
      <c r="C186" s="50" t="s">
        <v>139</v>
      </c>
      <c r="D186" s="51"/>
      <c r="E186" s="80">
        <v>1.0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0.0</v>
      </c>
      <c r="Q186" s="80">
        <v>0.0</v>
      </c>
      <c r="R186" s="80">
        <v>0.0</v>
      </c>
      <c r="S186" s="80">
        <v>0.0</v>
      </c>
      <c r="T186" s="80">
        <v>0.0</v>
      </c>
      <c r="U186" s="80">
        <v>0.0</v>
      </c>
      <c r="V186" s="80">
        <v>0.0</v>
      </c>
      <c r="W186" s="80">
        <v>0.0</v>
      </c>
      <c r="X186" s="80">
        <v>0.0</v>
      </c>
      <c r="Y186" s="80">
        <v>0.0</v>
      </c>
      <c r="Z186" s="80">
        <v>0.0</v>
      </c>
      <c r="AA186" s="80">
        <v>0.0</v>
      </c>
      <c r="AB186" s="13">
        <f t="shared" si="36"/>
        <v>1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AB187" si="37">SUM(E177:E186)</f>
        <v>4</v>
      </c>
      <c r="F187" s="13">
        <f t="shared" si="37"/>
        <v>10</v>
      </c>
      <c r="G187" s="13">
        <f t="shared" si="37"/>
        <v>5</v>
      </c>
      <c r="H187" s="13">
        <f t="shared" si="37"/>
        <v>4</v>
      </c>
      <c r="I187" s="13">
        <f t="shared" si="37"/>
        <v>7</v>
      </c>
      <c r="J187" s="13">
        <f t="shared" si="37"/>
        <v>1</v>
      </c>
      <c r="K187" s="13">
        <f t="shared" si="37"/>
        <v>6</v>
      </c>
      <c r="L187" s="13">
        <f t="shared" si="37"/>
        <v>0</v>
      </c>
      <c r="M187" s="13">
        <f t="shared" si="37"/>
        <v>4</v>
      </c>
      <c r="N187" s="13">
        <f t="shared" si="37"/>
        <v>5</v>
      </c>
      <c r="O187" s="13">
        <f t="shared" si="37"/>
        <v>10</v>
      </c>
      <c r="P187" s="13">
        <f t="shared" si="37"/>
        <v>3</v>
      </c>
      <c r="Q187" s="13">
        <f t="shared" si="37"/>
        <v>1</v>
      </c>
      <c r="R187" s="13">
        <f t="shared" si="37"/>
        <v>2</v>
      </c>
      <c r="S187" s="13">
        <f t="shared" si="37"/>
        <v>3</v>
      </c>
      <c r="T187" s="13">
        <f t="shared" si="37"/>
        <v>4</v>
      </c>
      <c r="U187" s="13">
        <f t="shared" si="37"/>
        <v>4</v>
      </c>
      <c r="V187" s="13">
        <f t="shared" si="37"/>
        <v>1</v>
      </c>
      <c r="W187" s="13">
        <f t="shared" si="37"/>
        <v>2</v>
      </c>
      <c r="X187" s="13">
        <f t="shared" si="37"/>
        <v>4</v>
      </c>
      <c r="Y187" s="13">
        <f t="shared" si="37"/>
        <v>2</v>
      </c>
      <c r="Z187" s="13">
        <f t="shared" si="37"/>
        <v>7</v>
      </c>
      <c r="AA187" s="13">
        <f t="shared" si="37"/>
        <v>4</v>
      </c>
      <c r="AB187" s="13">
        <f t="shared" si="37"/>
        <v>93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T188" s="81"/>
      <c r="U188" s="81"/>
      <c r="V188" s="81"/>
      <c r="W188" s="81"/>
      <c r="X188" s="81"/>
      <c r="AB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1.0</v>
      </c>
      <c r="F189" s="73">
        <v>0.0</v>
      </c>
      <c r="G189" s="73">
        <v>1.0</v>
      </c>
      <c r="H189" s="73">
        <v>0.0</v>
      </c>
      <c r="I189" s="73">
        <v>2.0</v>
      </c>
      <c r="J189" s="73">
        <v>1.0</v>
      </c>
      <c r="K189" s="73">
        <v>2.0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1.0</v>
      </c>
      <c r="S189" s="73">
        <v>0.0</v>
      </c>
      <c r="T189" s="73">
        <v>0.0</v>
      </c>
      <c r="U189" s="73">
        <v>0.0</v>
      </c>
      <c r="V189" s="73">
        <v>1.0</v>
      </c>
      <c r="W189" s="73">
        <v>0.0</v>
      </c>
      <c r="X189" s="73">
        <v>1.0</v>
      </c>
      <c r="Y189" s="73">
        <v>0.0</v>
      </c>
      <c r="Z189" s="73">
        <v>1.0</v>
      </c>
      <c r="AA189" s="73">
        <v>0.0</v>
      </c>
      <c r="AB189" s="13">
        <f t="shared" ref="AB189:AB198" si="38">SUM(E189:AA189)</f>
        <v>11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1.0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1.0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13">
        <f t="shared" si="38"/>
        <v>2</v>
      </c>
    </row>
    <row r="191" ht="12.75" customHeight="1">
      <c r="A191" s="18"/>
      <c r="B191" s="49"/>
      <c r="C191" s="50" t="s">
        <v>143</v>
      </c>
      <c r="D191" s="51"/>
      <c r="E191" s="73">
        <v>2.0</v>
      </c>
      <c r="F191" s="73">
        <v>0.0</v>
      </c>
      <c r="G191" s="73">
        <v>0.0</v>
      </c>
      <c r="H191" s="73">
        <v>0.0</v>
      </c>
      <c r="I191" s="73">
        <v>0.0</v>
      </c>
      <c r="J191" s="73">
        <v>1.0</v>
      </c>
      <c r="K191" s="73">
        <v>0.0</v>
      </c>
      <c r="L191" s="73">
        <v>0.0</v>
      </c>
      <c r="M191" s="73">
        <v>0.0</v>
      </c>
      <c r="N191" s="73">
        <v>1.0</v>
      </c>
      <c r="O191" s="73">
        <v>1.0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13">
        <f t="shared" si="38"/>
        <v>5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1.0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13">
        <f t="shared" si="38"/>
        <v>1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1.0</v>
      </c>
      <c r="Y193" s="73">
        <v>0.0</v>
      </c>
      <c r="Z193" s="73">
        <v>0.0</v>
      </c>
      <c r="AA193" s="73">
        <v>0.0</v>
      </c>
      <c r="AB193" s="13">
        <f t="shared" si="38"/>
        <v>1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13">
        <f t="shared" si="38"/>
        <v>0</v>
      </c>
    </row>
    <row r="195" ht="12.75" customHeight="1">
      <c r="A195" s="18"/>
      <c r="B195" s="49"/>
      <c r="C195" s="50" t="s">
        <v>147</v>
      </c>
      <c r="D195" s="51"/>
      <c r="E195" s="73">
        <v>1.0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13">
        <f t="shared" si="38"/>
        <v>1</v>
      </c>
    </row>
    <row r="196" ht="12.75" customHeight="1">
      <c r="A196" s="79"/>
      <c r="B196" s="49"/>
      <c r="C196" s="50" t="s">
        <v>148</v>
      </c>
      <c r="D196" s="51"/>
      <c r="E196" s="80">
        <v>1.0</v>
      </c>
      <c r="F196" s="80">
        <v>0.0</v>
      </c>
      <c r="G196" s="80">
        <v>0.0</v>
      </c>
      <c r="H196" s="80">
        <v>1.0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0.0</v>
      </c>
      <c r="S196" s="80">
        <v>0.0</v>
      </c>
      <c r="T196" s="80">
        <v>0.0</v>
      </c>
      <c r="U196" s="80">
        <v>0.0</v>
      </c>
      <c r="V196" s="80">
        <v>0.0</v>
      </c>
      <c r="W196" s="80">
        <v>0.0</v>
      </c>
      <c r="X196" s="80">
        <v>0.0</v>
      </c>
      <c r="Y196" s="80">
        <v>0.0</v>
      </c>
      <c r="Z196" s="80">
        <v>0.0</v>
      </c>
      <c r="AA196" s="80">
        <v>0.0</v>
      </c>
      <c r="AB196" s="13">
        <f t="shared" si="38"/>
        <v>2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1.0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0">
        <v>0.0</v>
      </c>
      <c r="U197" s="80">
        <v>0.0</v>
      </c>
      <c r="V197" s="80">
        <v>0.0</v>
      </c>
      <c r="W197" s="80">
        <v>0.0</v>
      </c>
      <c r="X197" s="80">
        <v>0.0</v>
      </c>
      <c r="Y197" s="80">
        <v>0.0</v>
      </c>
      <c r="Z197" s="80">
        <v>0.0</v>
      </c>
      <c r="AA197" s="80">
        <v>0.0</v>
      </c>
      <c r="AB197" s="13">
        <f t="shared" si="38"/>
        <v>1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80">
        <v>0.0</v>
      </c>
      <c r="V198" s="80">
        <v>1.0</v>
      </c>
      <c r="W198" s="80">
        <v>0.0</v>
      </c>
      <c r="X198" s="80">
        <v>0.0</v>
      </c>
      <c r="Y198" s="80">
        <v>0.0</v>
      </c>
      <c r="Z198" s="80">
        <v>0.0</v>
      </c>
      <c r="AA198" s="80">
        <v>0.0</v>
      </c>
      <c r="AB198" s="13">
        <f t="shared" si="38"/>
        <v>1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AB199" si="39">SUM(E189:E198)</f>
        <v>5</v>
      </c>
      <c r="F199" s="13">
        <f t="shared" si="39"/>
        <v>1</v>
      </c>
      <c r="G199" s="13">
        <f t="shared" si="39"/>
        <v>2</v>
      </c>
      <c r="H199" s="13">
        <f t="shared" si="39"/>
        <v>2</v>
      </c>
      <c r="I199" s="13">
        <f t="shared" si="39"/>
        <v>2</v>
      </c>
      <c r="J199" s="13">
        <f t="shared" si="39"/>
        <v>2</v>
      </c>
      <c r="K199" s="13">
        <f t="shared" si="39"/>
        <v>2</v>
      </c>
      <c r="L199" s="13">
        <f t="shared" si="39"/>
        <v>1</v>
      </c>
      <c r="M199" s="13">
        <f t="shared" si="39"/>
        <v>0</v>
      </c>
      <c r="N199" s="13">
        <f t="shared" si="39"/>
        <v>1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2</v>
      </c>
      <c r="W199" s="13">
        <f t="shared" si="39"/>
        <v>0</v>
      </c>
      <c r="X199" s="13">
        <f t="shared" si="39"/>
        <v>2</v>
      </c>
      <c r="Y199" s="13">
        <f t="shared" si="39"/>
        <v>0</v>
      </c>
      <c r="Z199" s="13">
        <f t="shared" si="39"/>
        <v>1</v>
      </c>
      <c r="AA199" s="13">
        <f t="shared" si="39"/>
        <v>0</v>
      </c>
      <c r="AB199" s="13">
        <f t="shared" si="39"/>
        <v>25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8.0</v>
      </c>
      <c r="F201" s="73">
        <v>6.0</v>
      </c>
      <c r="G201" s="73">
        <v>2.0</v>
      </c>
      <c r="H201" s="73">
        <v>7.0</v>
      </c>
      <c r="I201" s="73">
        <v>7.0</v>
      </c>
      <c r="J201" s="73">
        <v>12.0</v>
      </c>
      <c r="K201" s="73">
        <v>14.0</v>
      </c>
      <c r="L201" s="73">
        <v>3.0</v>
      </c>
      <c r="M201" s="73">
        <v>7.0</v>
      </c>
      <c r="N201" s="73">
        <v>10.0</v>
      </c>
      <c r="O201" s="73">
        <v>10.0</v>
      </c>
      <c r="P201" s="73">
        <v>5.0</v>
      </c>
      <c r="Q201" s="73">
        <v>3.0</v>
      </c>
      <c r="R201" s="73">
        <v>2.0</v>
      </c>
      <c r="S201" s="73">
        <v>4.0</v>
      </c>
      <c r="T201" s="73">
        <v>1.0</v>
      </c>
      <c r="U201" s="73">
        <v>6.0</v>
      </c>
      <c r="V201" s="73">
        <v>8.0</v>
      </c>
      <c r="W201" s="73">
        <v>3.0</v>
      </c>
      <c r="X201" s="73">
        <v>9.0</v>
      </c>
      <c r="Y201" s="73">
        <v>5.0</v>
      </c>
      <c r="Z201" s="73">
        <v>7.0</v>
      </c>
      <c r="AA201" s="73">
        <v>12.0</v>
      </c>
      <c r="AB201" s="13">
        <f t="shared" ref="AB201:AB211" si="40">SUM(E201:AA201)</f>
        <v>151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5.0</v>
      </c>
      <c r="F202" s="73">
        <v>7.0</v>
      </c>
      <c r="G202" s="73">
        <v>8.0</v>
      </c>
      <c r="H202" s="73">
        <v>34.0</v>
      </c>
      <c r="I202" s="73">
        <v>8.0</v>
      </c>
      <c r="J202" s="73">
        <v>25.0</v>
      </c>
      <c r="K202" s="73">
        <v>58.0</v>
      </c>
      <c r="L202" s="73">
        <v>9.0</v>
      </c>
      <c r="M202" s="73">
        <v>18.0</v>
      </c>
      <c r="N202" s="73">
        <v>31.0</v>
      </c>
      <c r="O202" s="73">
        <v>14.0</v>
      </c>
      <c r="P202" s="73">
        <v>7.0</v>
      </c>
      <c r="Q202" s="73">
        <v>1.0</v>
      </c>
      <c r="R202" s="73">
        <v>19.0</v>
      </c>
      <c r="S202" s="73">
        <v>5.0</v>
      </c>
      <c r="T202" s="73">
        <v>6.0</v>
      </c>
      <c r="U202" s="73">
        <v>7.0</v>
      </c>
      <c r="V202" s="73">
        <v>9.0</v>
      </c>
      <c r="W202" s="73">
        <v>3.0</v>
      </c>
      <c r="X202" s="73">
        <v>36.0</v>
      </c>
      <c r="Y202" s="73">
        <v>2.0</v>
      </c>
      <c r="Z202" s="73">
        <v>4.0</v>
      </c>
      <c r="AA202" s="73">
        <v>10.0</v>
      </c>
      <c r="AB202" s="13">
        <f t="shared" si="40"/>
        <v>326</v>
      </c>
    </row>
    <row r="203" ht="12.75" customHeight="1">
      <c r="A203" s="18"/>
      <c r="B203" s="49"/>
      <c r="C203" s="50" t="s">
        <v>154</v>
      </c>
      <c r="D203" s="51"/>
      <c r="E203" s="73">
        <v>2.0</v>
      </c>
      <c r="F203" s="73">
        <v>4.0</v>
      </c>
      <c r="G203" s="73">
        <v>3.0</v>
      </c>
      <c r="H203" s="73">
        <v>1.0</v>
      </c>
      <c r="I203" s="73">
        <v>6.0</v>
      </c>
      <c r="J203" s="73">
        <v>7.0</v>
      </c>
      <c r="K203" s="73">
        <v>1.0</v>
      </c>
      <c r="L203" s="73">
        <v>1.0</v>
      </c>
      <c r="M203" s="73">
        <v>6.0</v>
      </c>
      <c r="N203" s="73">
        <v>4.0</v>
      </c>
      <c r="O203" s="73">
        <v>6.0</v>
      </c>
      <c r="P203" s="73">
        <v>5.0</v>
      </c>
      <c r="Q203" s="73">
        <v>4.0</v>
      </c>
      <c r="R203" s="73">
        <v>12.0</v>
      </c>
      <c r="S203" s="73">
        <v>9.0</v>
      </c>
      <c r="T203" s="73">
        <v>4.0</v>
      </c>
      <c r="U203" s="73">
        <v>3.0</v>
      </c>
      <c r="V203" s="73">
        <v>3.0</v>
      </c>
      <c r="W203" s="73">
        <v>4.0</v>
      </c>
      <c r="X203" s="73">
        <v>4.0</v>
      </c>
      <c r="Y203" s="73">
        <v>2.0</v>
      </c>
      <c r="Z203" s="73">
        <v>4.0</v>
      </c>
      <c r="AA203" s="73">
        <v>30.0</v>
      </c>
      <c r="AB203" s="13">
        <f t="shared" si="40"/>
        <v>125</v>
      </c>
    </row>
    <row r="204" ht="12.75" customHeight="1">
      <c r="A204" s="18"/>
      <c r="B204" s="49"/>
      <c r="C204" s="50" t="s">
        <v>155</v>
      </c>
      <c r="D204" s="51"/>
      <c r="E204" s="73">
        <v>0.0</v>
      </c>
      <c r="F204" s="73">
        <v>2.0</v>
      </c>
      <c r="G204" s="73">
        <v>2.0</v>
      </c>
      <c r="H204" s="73">
        <v>0.0</v>
      </c>
      <c r="I204" s="73">
        <v>1.0</v>
      </c>
      <c r="J204" s="73">
        <v>2.0</v>
      </c>
      <c r="K204" s="73">
        <v>1.0</v>
      </c>
      <c r="L204" s="73">
        <v>1.0</v>
      </c>
      <c r="M204" s="73">
        <v>3.0</v>
      </c>
      <c r="N204" s="73">
        <v>0.0</v>
      </c>
      <c r="O204" s="73">
        <v>0.0</v>
      </c>
      <c r="P204" s="73">
        <v>1.0</v>
      </c>
      <c r="Q204" s="73">
        <v>4.0</v>
      </c>
      <c r="R204" s="73">
        <v>0.0</v>
      </c>
      <c r="S204" s="73">
        <v>0.0</v>
      </c>
      <c r="T204" s="73">
        <v>0.0</v>
      </c>
      <c r="U204" s="73">
        <v>1.0</v>
      </c>
      <c r="V204" s="73">
        <v>4.0</v>
      </c>
      <c r="W204" s="73">
        <v>1.0</v>
      </c>
      <c r="X204" s="73">
        <v>0.0</v>
      </c>
      <c r="Y204" s="73">
        <v>1.0</v>
      </c>
      <c r="Z204" s="73">
        <v>1.0</v>
      </c>
      <c r="AA204" s="73">
        <v>2.0</v>
      </c>
      <c r="AB204" s="13">
        <f t="shared" si="40"/>
        <v>27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2.0</v>
      </c>
      <c r="J205" s="73">
        <v>0.0</v>
      </c>
      <c r="K205" s="73">
        <v>0.0</v>
      </c>
      <c r="L205" s="73">
        <v>0.0</v>
      </c>
      <c r="M205" s="73">
        <v>1.0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3.0</v>
      </c>
      <c r="T205" s="73">
        <v>0.0</v>
      </c>
      <c r="U205" s="73">
        <v>0.0</v>
      </c>
      <c r="V205" s="73">
        <v>0.0</v>
      </c>
      <c r="W205" s="73">
        <v>0.0</v>
      </c>
      <c r="X205" s="73">
        <v>2.0</v>
      </c>
      <c r="Y205" s="73">
        <v>1.0</v>
      </c>
      <c r="Z205" s="73">
        <v>0.0</v>
      </c>
      <c r="AA205" s="73">
        <v>2.0</v>
      </c>
      <c r="AB205" s="13">
        <f t="shared" si="40"/>
        <v>11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1.0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1.0</v>
      </c>
      <c r="N206" s="73">
        <v>1.0</v>
      </c>
      <c r="O206" s="73">
        <v>1.0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1.0</v>
      </c>
      <c r="AA206" s="73">
        <v>0.0</v>
      </c>
      <c r="AB206" s="13">
        <f t="shared" si="40"/>
        <v>5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2.0</v>
      </c>
      <c r="O207" s="73">
        <v>0.0</v>
      </c>
      <c r="P207" s="73">
        <v>2.0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1.0</v>
      </c>
      <c r="W207" s="73">
        <v>0.0</v>
      </c>
      <c r="X207" s="73">
        <v>0.0</v>
      </c>
      <c r="Y207" s="73">
        <v>0.0</v>
      </c>
      <c r="Z207" s="73">
        <v>1.0</v>
      </c>
      <c r="AA207" s="73">
        <v>0.0</v>
      </c>
      <c r="AB207" s="13">
        <f t="shared" si="40"/>
        <v>6</v>
      </c>
    </row>
    <row r="208" ht="12.75" customHeight="1">
      <c r="A208" s="79"/>
      <c r="B208" s="49"/>
      <c r="C208" s="50" t="s">
        <v>159</v>
      </c>
      <c r="D208" s="51"/>
      <c r="E208" s="80">
        <v>0.0</v>
      </c>
      <c r="F208" s="80">
        <v>1.0</v>
      </c>
      <c r="G208" s="80">
        <v>1.0</v>
      </c>
      <c r="H208" s="80">
        <v>0.0</v>
      </c>
      <c r="I208" s="80">
        <v>2.0</v>
      </c>
      <c r="J208" s="80">
        <v>0.0</v>
      </c>
      <c r="K208" s="80">
        <v>1.0</v>
      </c>
      <c r="L208" s="80">
        <v>0.0</v>
      </c>
      <c r="M208" s="80">
        <v>0.0</v>
      </c>
      <c r="N208" s="80">
        <v>0.0</v>
      </c>
      <c r="O208" s="80">
        <v>0.0</v>
      </c>
      <c r="P208" s="80">
        <v>0.0</v>
      </c>
      <c r="Q208" s="80">
        <v>0.0</v>
      </c>
      <c r="R208" s="80">
        <v>0.0</v>
      </c>
      <c r="S208" s="80">
        <v>3.0</v>
      </c>
      <c r="T208" s="80">
        <v>1.0</v>
      </c>
      <c r="U208" s="80">
        <v>2.0</v>
      </c>
      <c r="V208" s="80">
        <v>0.0</v>
      </c>
      <c r="W208" s="80">
        <v>0.0</v>
      </c>
      <c r="X208" s="80">
        <v>2.0</v>
      </c>
      <c r="Y208" s="80">
        <v>0.0</v>
      </c>
      <c r="Z208" s="80">
        <v>0.0</v>
      </c>
      <c r="AA208" s="80">
        <v>2.0</v>
      </c>
      <c r="AB208" s="13">
        <f t="shared" si="40"/>
        <v>15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0.0</v>
      </c>
      <c r="T209" s="80">
        <v>0.0</v>
      </c>
      <c r="U209" s="80">
        <v>0.0</v>
      </c>
      <c r="V209" s="80">
        <v>1.0</v>
      </c>
      <c r="W209" s="80">
        <v>0.0</v>
      </c>
      <c r="X209" s="80">
        <v>0.0</v>
      </c>
      <c r="Y209" s="80">
        <v>0.0</v>
      </c>
      <c r="Z209" s="80">
        <v>0.0</v>
      </c>
      <c r="AA209" s="80">
        <v>0.0</v>
      </c>
      <c r="AB209" s="13">
        <f t="shared" si="40"/>
        <v>1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0.0</v>
      </c>
      <c r="H210" s="80">
        <v>0.0</v>
      </c>
      <c r="I210" s="80">
        <v>0.0</v>
      </c>
      <c r="J210" s="80">
        <v>0.0</v>
      </c>
      <c r="K210" s="80">
        <v>0.0</v>
      </c>
      <c r="L210" s="80">
        <v>0.0</v>
      </c>
      <c r="M210" s="80">
        <v>1.0</v>
      </c>
      <c r="N210" s="80">
        <v>0.0</v>
      </c>
      <c r="O210" s="80">
        <v>0.0</v>
      </c>
      <c r="P210" s="80">
        <v>0.0</v>
      </c>
      <c r="Q210" s="80">
        <v>0.0</v>
      </c>
      <c r="R210" s="80">
        <v>0.0</v>
      </c>
      <c r="S210" s="80">
        <v>0.0</v>
      </c>
      <c r="T210" s="80">
        <v>0.0</v>
      </c>
      <c r="U210" s="80">
        <v>1.0</v>
      </c>
      <c r="V210" s="80">
        <v>1.0</v>
      </c>
      <c r="W210" s="80">
        <v>1.0</v>
      </c>
      <c r="X210" s="80">
        <v>0.0</v>
      </c>
      <c r="Y210" s="80">
        <v>0.0</v>
      </c>
      <c r="Z210" s="80">
        <v>0.0</v>
      </c>
      <c r="AA210" s="80">
        <v>2.0</v>
      </c>
      <c r="AB210" s="13">
        <f t="shared" si="40"/>
        <v>6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AA211" si="41">SUM(E201:E210)</f>
        <v>15</v>
      </c>
      <c r="F211" s="13">
        <f t="shared" si="41"/>
        <v>21</v>
      </c>
      <c r="G211" s="13">
        <f t="shared" si="41"/>
        <v>16</v>
      </c>
      <c r="H211" s="13">
        <f t="shared" si="41"/>
        <v>42</v>
      </c>
      <c r="I211" s="13">
        <f t="shared" si="41"/>
        <v>26</v>
      </c>
      <c r="J211" s="13">
        <f t="shared" si="41"/>
        <v>46</v>
      </c>
      <c r="K211" s="13">
        <f t="shared" si="41"/>
        <v>75</v>
      </c>
      <c r="L211" s="13">
        <f t="shared" si="41"/>
        <v>14</v>
      </c>
      <c r="M211" s="13">
        <f t="shared" si="41"/>
        <v>37</v>
      </c>
      <c r="N211" s="13">
        <f t="shared" si="41"/>
        <v>48</v>
      </c>
      <c r="O211" s="13">
        <f t="shared" si="41"/>
        <v>31</v>
      </c>
      <c r="P211" s="13">
        <f t="shared" si="41"/>
        <v>20</v>
      </c>
      <c r="Q211" s="13">
        <f t="shared" si="41"/>
        <v>12</v>
      </c>
      <c r="R211" s="13">
        <f t="shared" si="41"/>
        <v>33</v>
      </c>
      <c r="S211" s="13">
        <f t="shared" si="41"/>
        <v>24</v>
      </c>
      <c r="T211" s="13">
        <f t="shared" si="41"/>
        <v>12</v>
      </c>
      <c r="U211" s="13">
        <f t="shared" si="41"/>
        <v>20</v>
      </c>
      <c r="V211" s="13">
        <f t="shared" si="41"/>
        <v>27</v>
      </c>
      <c r="W211" s="13">
        <f t="shared" si="41"/>
        <v>12</v>
      </c>
      <c r="X211" s="13">
        <f t="shared" si="41"/>
        <v>53</v>
      </c>
      <c r="Y211" s="13">
        <f t="shared" si="41"/>
        <v>11</v>
      </c>
      <c r="Z211" s="13">
        <f t="shared" si="41"/>
        <v>18</v>
      </c>
      <c r="AA211" s="13">
        <f t="shared" si="41"/>
        <v>60</v>
      </c>
      <c r="AB211" s="13">
        <f t="shared" si="40"/>
        <v>673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7.0</v>
      </c>
      <c r="F213" s="73">
        <v>5.0</v>
      </c>
      <c r="G213" s="73">
        <v>4.0</v>
      </c>
      <c r="H213" s="73">
        <v>0.0</v>
      </c>
      <c r="I213" s="73">
        <v>2.0</v>
      </c>
      <c r="J213" s="73">
        <v>2.0</v>
      </c>
      <c r="K213" s="73">
        <v>2.0</v>
      </c>
      <c r="L213" s="73">
        <v>0.0</v>
      </c>
      <c r="M213" s="73">
        <v>4.0</v>
      </c>
      <c r="N213" s="73">
        <v>1.0</v>
      </c>
      <c r="O213" s="73">
        <v>4.0</v>
      </c>
      <c r="P213" s="73">
        <v>5.0</v>
      </c>
      <c r="Q213" s="73">
        <v>0.0</v>
      </c>
      <c r="R213" s="73">
        <v>4.0</v>
      </c>
      <c r="S213" s="73">
        <v>4.0</v>
      </c>
      <c r="T213" s="73">
        <v>4.0</v>
      </c>
      <c r="U213" s="73">
        <v>3.0</v>
      </c>
      <c r="V213" s="73">
        <v>1.0</v>
      </c>
      <c r="W213" s="73">
        <v>2.0</v>
      </c>
      <c r="X213" s="73">
        <v>3.0</v>
      </c>
      <c r="Y213" s="73">
        <v>5.0</v>
      </c>
      <c r="Z213" s="73">
        <v>3.0</v>
      </c>
      <c r="AA213" s="73">
        <v>3.0</v>
      </c>
      <c r="AB213" s="13">
        <f t="shared" ref="AB213:AB222" si="42">SUM(E213:AA213)</f>
        <v>68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3.0</v>
      </c>
      <c r="F214" s="73">
        <v>5.0</v>
      </c>
      <c r="G214" s="73">
        <v>0.0</v>
      </c>
      <c r="H214" s="73">
        <v>2.0</v>
      </c>
      <c r="I214" s="73">
        <v>0.0</v>
      </c>
      <c r="J214" s="73">
        <v>3.0</v>
      </c>
      <c r="K214" s="73">
        <v>3.0</v>
      </c>
      <c r="L214" s="73">
        <v>0.0</v>
      </c>
      <c r="M214" s="73">
        <v>1.0</v>
      </c>
      <c r="N214" s="73">
        <v>0.0</v>
      </c>
      <c r="O214" s="73">
        <v>3.0</v>
      </c>
      <c r="P214" s="73">
        <v>3.0</v>
      </c>
      <c r="Q214" s="73">
        <v>0.0</v>
      </c>
      <c r="R214" s="73">
        <v>0.0</v>
      </c>
      <c r="S214" s="73">
        <v>3.0</v>
      </c>
      <c r="T214" s="73">
        <v>0.0</v>
      </c>
      <c r="U214" s="73">
        <v>0.0</v>
      </c>
      <c r="V214" s="73">
        <v>1.0</v>
      </c>
      <c r="W214" s="73">
        <v>1.0</v>
      </c>
      <c r="X214" s="73">
        <v>0.0</v>
      </c>
      <c r="Y214" s="73">
        <v>2.0</v>
      </c>
      <c r="Z214" s="73">
        <v>3.0</v>
      </c>
      <c r="AA214" s="73">
        <v>0.0</v>
      </c>
      <c r="AB214" s="13">
        <f t="shared" si="42"/>
        <v>33</v>
      </c>
    </row>
    <row r="215" ht="12.75" customHeight="1">
      <c r="A215" s="18"/>
      <c r="B215" s="49"/>
      <c r="C215" s="50" t="s">
        <v>165</v>
      </c>
      <c r="D215" s="51"/>
      <c r="E215" s="73">
        <v>3.0</v>
      </c>
      <c r="F215" s="73">
        <v>3.0</v>
      </c>
      <c r="G215" s="73">
        <v>4.0</v>
      </c>
      <c r="H215" s="73">
        <v>1.0</v>
      </c>
      <c r="I215" s="73">
        <v>1.0</v>
      </c>
      <c r="J215" s="73">
        <v>0.0</v>
      </c>
      <c r="K215" s="73">
        <v>0.0</v>
      </c>
      <c r="L215" s="73">
        <v>1.0</v>
      </c>
      <c r="M215" s="73">
        <v>0.0</v>
      </c>
      <c r="N215" s="73">
        <v>3.0</v>
      </c>
      <c r="O215" s="73">
        <v>4.0</v>
      </c>
      <c r="P215" s="73">
        <v>3.0</v>
      </c>
      <c r="Q215" s="73">
        <v>2.0</v>
      </c>
      <c r="R215" s="73">
        <v>3.0</v>
      </c>
      <c r="S215" s="73">
        <v>3.0</v>
      </c>
      <c r="T215" s="73">
        <v>1.0</v>
      </c>
      <c r="U215" s="73">
        <v>5.0</v>
      </c>
      <c r="V215" s="73">
        <v>2.0</v>
      </c>
      <c r="W215" s="73">
        <v>1.0</v>
      </c>
      <c r="X215" s="73">
        <v>1.0</v>
      </c>
      <c r="Y215" s="73">
        <v>1.0</v>
      </c>
      <c r="Z215" s="73">
        <v>1.0</v>
      </c>
      <c r="AA215" s="73">
        <v>3.0</v>
      </c>
      <c r="AB215" s="13">
        <f t="shared" si="42"/>
        <v>46</v>
      </c>
    </row>
    <row r="216" ht="12.75" customHeight="1">
      <c r="A216" s="18"/>
      <c r="B216" s="49"/>
      <c r="C216" s="50" t="s">
        <v>166</v>
      </c>
      <c r="D216" s="51"/>
      <c r="E216" s="73">
        <v>1.0</v>
      </c>
      <c r="F216" s="73">
        <v>0.0</v>
      </c>
      <c r="G216" s="73">
        <v>1.0</v>
      </c>
      <c r="H216" s="73">
        <v>0.0</v>
      </c>
      <c r="I216" s="73">
        <v>1.0</v>
      </c>
      <c r="J216" s="73">
        <v>1.0</v>
      </c>
      <c r="K216" s="73">
        <v>0.0</v>
      </c>
      <c r="L216" s="73">
        <v>0.0</v>
      </c>
      <c r="M216" s="73">
        <v>1.0</v>
      </c>
      <c r="N216" s="73">
        <v>0.0</v>
      </c>
      <c r="O216" s="73">
        <v>1.0</v>
      </c>
      <c r="P216" s="73">
        <v>1.0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0.0</v>
      </c>
      <c r="W216" s="73">
        <v>0.0</v>
      </c>
      <c r="X216" s="73">
        <v>0.0</v>
      </c>
      <c r="Y216" s="73">
        <v>1.0</v>
      </c>
      <c r="Z216" s="73">
        <v>0.0</v>
      </c>
      <c r="AA216" s="73">
        <v>0.0</v>
      </c>
      <c r="AB216" s="13">
        <f t="shared" si="42"/>
        <v>8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AB223" si="43">SUM(E213:E222)</f>
        <v>14</v>
      </c>
      <c r="F223" s="13">
        <f t="shared" si="43"/>
        <v>13</v>
      </c>
      <c r="G223" s="13">
        <f t="shared" si="43"/>
        <v>9</v>
      </c>
      <c r="H223" s="13">
        <f t="shared" si="43"/>
        <v>3</v>
      </c>
      <c r="I223" s="13">
        <f t="shared" si="43"/>
        <v>4</v>
      </c>
      <c r="J223" s="13">
        <f t="shared" si="43"/>
        <v>6</v>
      </c>
      <c r="K223" s="13">
        <f t="shared" si="43"/>
        <v>5</v>
      </c>
      <c r="L223" s="13">
        <f t="shared" si="43"/>
        <v>1</v>
      </c>
      <c r="M223" s="13">
        <f t="shared" si="43"/>
        <v>6</v>
      </c>
      <c r="N223" s="13">
        <f t="shared" si="43"/>
        <v>4</v>
      </c>
      <c r="O223" s="13">
        <f t="shared" si="43"/>
        <v>12</v>
      </c>
      <c r="P223" s="13">
        <f t="shared" si="43"/>
        <v>12</v>
      </c>
      <c r="Q223" s="13">
        <f t="shared" si="43"/>
        <v>2</v>
      </c>
      <c r="R223" s="13">
        <f t="shared" si="43"/>
        <v>7</v>
      </c>
      <c r="S223" s="13">
        <f t="shared" si="43"/>
        <v>10</v>
      </c>
      <c r="T223" s="13">
        <f t="shared" si="43"/>
        <v>5</v>
      </c>
      <c r="U223" s="13">
        <f t="shared" si="43"/>
        <v>8</v>
      </c>
      <c r="V223" s="13">
        <f t="shared" si="43"/>
        <v>4</v>
      </c>
      <c r="W223" s="13">
        <f t="shared" si="43"/>
        <v>4</v>
      </c>
      <c r="X223" s="13">
        <f t="shared" si="43"/>
        <v>4</v>
      </c>
      <c r="Y223" s="13">
        <f t="shared" si="43"/>
        <v>9</v>
      </c>
      <c r="Z223" s="13">
        <f t="shared" si="43"/>
        <v>7</v>
      </c>
      <c r="AA223" s="13">
        <f t="shared" si="43"/>
        <v>6</v>
      </c>
      <c r="AB223" s="13">
        <f t="shared" si="43"/>
        <v>155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1.0</v>
      </c>
      <c r="W225" s="73">
        <v>1.0</v>
      </c>
      <c r="X225" s="73">
        <v>1.0</v>
      </c>
      <c r="Y225" s="73">
        <v>0.0</v>
      </c>
      <c r="Z225" s="73">
        <v>0.0</v>
      </c>
      <c r="AA225" s="73">
        <v>0.0</v>
      </c>
      <c r="AB225" s="13">
        <f t="shared" ref="AB225:AB234" si="44">SUM(E225:AA225)</f>
        <v>3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6.0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1.0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1.0</v>
      </c>
      <c r="R226" s="73">
        <v>0.0</v>
      </c>
      <c r="S226" s="73">
        <v>1.0</v>
      </c>
      <c r="T226" s="73">
        <v>0.0</v>
      </c>
      <c r="U226" s="73">
        <v>1.0</v>
      </c>
      <c r="V226" s="73">
        <v>0.0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1.0</v>
      </c>
      <c r="AB226" s="13">
        <f t="shared" si="44"/>
        <v>11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1.0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13">
        <f t="shared" si="44"/>
        <v>1</v>
      </c>
    </row>
    <row r="228" ht="12.75" customHeight="1">
      <c r="A228" s="18"/>
      <c r="B228" s="49"/>
      <c r="C228" s="50" t="s">
        <v>171</v>
      </c>
      <c r="D228" s="51"/>
      <c r="E228" s="73">
        <v>1.0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1.0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13">
        <f t="shared" si="44"/>
        <v>2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1.0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1.0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13">
        <f t="shared" si="44"/>
        <v>2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AB235" si="45">SUM(E225:E234)</f>
        <v>7</v>
      </c>
      <c r="F235" s="13">
        <f t="shared" si="45"/>
        <v>1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2</v>
      </c>
      <c r="T235" s="13">
        <f t="shared" si="45"/>
        <v>0</v>
      </c>
      <c r="U235" s="13">
        <f t="shared" si="45"/>
        <v>1</v>
      </c>
      <c r="V235" s="13">
        <f t="shared" si="45"/>
        <v>1</v>
      </c>
      <c r="W235" s="13">
        <f t="shared" si="45"/>
        <v>1</v>
      </c>
      <c r="X235" s="13">
        <f t="shared" si="45"/>
        <v>1</v>
      </c>
      <c r="Y235" s="13">
        <f t="shared" si="45"/>
        <v>0</v>
      </c>
      <c r="Z235" s="13">
        <f t="shared" si="45"/>
        <v>0</v>
      </c>
      <c r="AA235" s="13">
        <f t="shared" si="45"/>
        <v>1</v>
      </c>
      <c r="AB235" s="13">
        <f t="shared" si="45"/>
        <v>19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2.0</v>
      </c>
      <c r="F237" s="73">
        <v>0.0</v>
      </c>
      <c r="G237" s="73">
        <v>0.0</v>
      </c>
      <c r="H237" s="73">
        <v>0.0</v>
      </c>
      <c r="I237" s="73">
        <v>1.0</v>
      </c>
      <c r="J237" s="73">
        <v>3.0</v>
      </c>
      <c r="K237" s="73">
        <v>0.0</v>
      </c>
      <c r="L237" s="73">
        <v>0.0</v>
      </c>
      <c r="M237" s="73">
        <v>0.0</v>
      </c>
      <c r="N237" s="73">
        <v>2.0</v>
      </c>
      <c r="O237" s="73">
        <v>0.0</v>
      </c>
      <c r="P237" s="73">
        <v>0.0</v>
      </c>
      <c r="Q237" s="73">
        <v>1.0</v>
      </c>
      <c r="R237" s="73">
        <v>0.0</v>
      </c>
      <c r="S237" s="73">
        <v>0.0</v>
      </c>
      <c r="T237" s="73">
        <v>3.0</v>
      </c>
      <c r="U237" s="73">
        <v>2.0</v>
      </c>
      <c r="V237" s="73">
        <v>1.0</v>
      </c>
      <c r="W237" s="73">
        <v>0.0</v>
      </c>
      <c r="X237" s="73">
        <v>1.0</v>
      </c>
      <c r="Y237" s="73">
        <v>0.0</v>
      </c>
      <c r="Z237" s="73">
        <v>0.0</v>
      </c>
      <c r="AA237" s="73">
        <v>0.0</v>
      </c>
      <c r="AB237" s="13">
        <f t="shared" ref="AB237:AB246" si="46">SUM(E237:AA237)</f>
        <v>16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1.0</v>
      </c>
      <c r="F238" s="73">
        <v>1.0</v>
      </c>
      <c r="G238" s="73">
        <v>0.0</v>
      </c>
      <c r="H238" s="73">
        <v>2.0</v>
      </c>
      <c r="I238" s="73">
        <v>2.0</v>
      </c>
      <c r="J238" s="73">
        <v>0.0</v>
      </c>
      <c r="K238" s="73">
        <v>1.0</v>
      </c>
      <c r="L238" s="73">
        <v>0.0</v>
      </c>
      <c r="M238" s="73">
        <v>2.0</v>
      </c>
      <c r="N238" s="73">
        <v>0.0</v>
      </c>
      <c r="O238" s="73">
        <v>0.0</v>
      </c>
      <c r="P238" s="73">
        <v>1.0</v>
      </c>
      <c r="Q238" s="73">
        <v>0.0</v>
      </c>
      <c r="R238" s="73">
        <v>1.0</v>
      </c>
      <c r="S238" s="73">
        <v>0.0</v>
      </c>
      <c r="T238" s="73">
        <v>1.0</v>
      </c>
      <c r="U238" s="73">
        <v>0.0</v>
      </c>
      <c r="V238" s="73">
        <v>1.0</v>
      </c>
      <c r="W238" s="73">
        <v>1.0</v>
      </c>
      <c r="X238" s="73">
        <v>6.0</v>
      </c>
      <c r="Y238" s="73">
        <v>1.0</v>
      </c>
      <c r="Z238" s="73">
        <v>0.0</v>
      </c>
      <c r="AA238" s="73">
        <v>1.0</v>
      </c>
      <c r="AB238" s="13">
        <f t="shared" si="46"/>
        <v>22</v>
      </c>
    </row>
    <row r="239" ht="12.75" customHeight="1">
      <c r="A239" s="18"/>
      <c r="B239" s="49"/>
      <c r="C239" s="50" t="s">
        <v>176</v>
      </c>
      <c r="D239" s="51"/>
      <c r="E239" s="73">
        <v>4.0</v>
      </c>
      <c r="F239" s="73">
        <v>1.0</v>
      </c>
      <c r="G239" s="73">
        <v>7.0</v>
      </c>
      <c r="H239" s="73">
        <v>0.0</v>
      </c>
      <c r="I239" s="73">
        <v>2.0</v>
      </c>
      <c r="J239" s="73">
        <v>1.0</v>
      </c>
      <c r="K239" s="73">
        <v>0.0</v>
      </c>
      <c r="L239" s="73">
        <v>0.0</v>
      </c>
      <c r="M239" s="73">
        <v>3.0</v>
      </c>
      <c r="N239" s="73">
        <v>0.0</v>
      </c>
      <c r="O239" s="73">
        <v>2.0</v>
      </c>
      <c r="P239" s="73">
        <v>1.0</v>
      </c>
      <c r="Q239" s="73">
        <v>0.0</v>
      </c>
      <c r="R239" s="73">
        <v>0.0</v>
      </c>
      <c r="S239" s="73">
        <v>1.0</v>
      </c>
      <c r="T239" s="73">
        <v>5.0</v>
      </c>
      <c r="U239" s="73">
        <v>4.0</v>
      </c>
      <c r="V239" s="73">
        <v>1.0</v>
      </c>
      <c r="W239" s="73">
        <v>3.0</v>
      </c>
      <c r="X239" s="73">
        <v>0.0</v>
      </c>
      <c r="Y239" s="73">
        <v>1.0</v>
      </c>
      <c r="Z239" s="73">
        <v>1.0</v>
      </c>
      <c r="AA239" s="73">
        <v>1.0</v>
      </c>
      <c r="AB239" s="13">
        <f t="shared" si="46"/>
        <v>38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1.0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1.0</v>
      </c>
      <c r="AB240" s="13">
        <f t="shared" si="46"/>
        <v>2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1.0</v>
      </c>
      <c r="I241" s="73">
        <v>0.0</v>
      </c>
      <c r="J241" s="73">
        <v>0.0</v>
      </c>
      <c r="K241" s="73">
        <v>0.0</v>
      </c>
      <c r="L241" s="73">
        <v>0.0</v>
      </c>
      <c r="M241" s="73">
        <v>1.0</v>
      </c>
      <c r="N241" s="73">
        <v>0.0</v>
      </c>
      <c r="O241" s="73">
        <v>0.0</v>
      </c>
      <c r="P241" s="73">
        <v>0.0</v>
      </c>
      <c r="Q241" s="73">
        <v>1.0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1.0</v>
      </c>
      <c r="Z241" s="73">
        <v>0.0</v>
      </c>
      <c r="AA241" s="73">
        <v>0.0</v>
      </c>
      <c r="AB241" s="13">
        <f t="shared" si="46"/>
        <v>4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0.0</v>
      </c>
      <c r="G242" s="73">
        <v>0.0</v>
      </c>
      <c r="H242" s="73">
        <v>1.0</v>
      </c>
      <c r="I242" s="73">
        <v>0.0</v>
      </c>
      <c r="J242" s="73">
        <v>0.0</v>
      </c>
      <c r="K242" s="73">
        <v>0.0</v>
      </c>
      <c r="L242" s="73">
        <v>1.0</v>
      </c>
      <c r="M242" s="73">
        <v>0.0</v>
      </c>
      <c r="N242" s="73">
        <v>1.0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1.0</v>
      </c>
      <c r="U242" s="73">
        <v>0.0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13">
        <f t="shared" si="46"/>
        <v>4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1.0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1.0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13">
        <f t="shared" si="46"/>
        <v>2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1.0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1.0</v>
      </c>
      <c r="O244" s="80">
        <v>0.0</v>
      </c>
      <c r="P244" s="80">
        <v>0.0</v>
      </c>
      <c r="Q244" s="80">
        <v>0.0</v>
      </c>
      <c r="R244" s="80">
        <v>0.0</v>
      </c>
      <c r="S244" s="80">
        <v>0.0</v>
      </c>
      <c r="T244" s="80">
        <v>0.0</v>
      </c>
      <c r="U244" s="80">
        <v>0.0</v>
      </c>
      <c r="V244" s="80">
        <v>0.0</v>
      </c>
      <c r="W244" s="80">
        <v>0.0</v>
      </c>
      <c r="X244" s="80">
        <v>0.0</v>
      </c>
      <c r="Y244" s="80">
        <v>0.0</v>
      </c>
      <c r="Z244" s="80">
        <v>0.0</v>
      </c>
      <c r="AA244" s="80">
        <v>0.0</v>
      </c>
      <c r="AB244" s="13">
        <f t="shared" si="46"/>
        <v>2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2.0</v>
      </c>
      <c r="P245" s="80">
        <v>0.0</v>
      </c>
      <c r="Q245" s="80">
        <v>0.0</v>
      </c>
      <c r="R245" s="80">
        <v>0.0</v>
      </c>
      <c r="S245" s="80">
        <v>0.0</v>
      </c>
      <c r="T245" s="80">
        <v>0.0</v>
      </c>
      <c r="U245" s="80">
        <v>0.0</v>
      </c>
      <c r="V245" s="80">
        <v>0.0</v>
      </c>
      <c r="W245" s="80">
        <v>0.0</v>
      </c>
      <c r="X245" s="80">
        <v>0.0</v>
      </c>
      <c r="Y245" s="80">
        <v>0.0</v>
      </c>
      <c r="Z245" s="80">
        <v>0.0</v>
      </c>
      <c r="AA245" s="80">
        <v>0.0</v>
      </c>
      <c r="AB245" s="13">
        <f t="shared" si="46"/>
        <v>2</v>
      </c>
    </row>
    <row r="246" ht="12.75" customHeight="1">
      <c r="A246" s="79"/>
      <c r="B246" s="49"/>
      <c r="C246" s="50" t="s">
        <v>183</v>
      </c>
      <c r="D246" s="51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0">
        <v>0.0</v>
      </c>
      <c r="U246" s="80">
        <v>0.0</v>
      </c>
      <c r="V246" s="80">
        <v>1.0</v>
      </c>
      <c r="W246" s="80">
        <v>0.0</v>
      </c>
      <c r="X246" s="80">
        <v>0.0</v>
      </c>
      <c r="Y246" s="80">
        <v>0.0</v>
      </c>
      <c r="Z246" s="80">
        <v>0.0</v>
      </c>
      <c r="AA246" s="80">
        <v>0.0</v>
      </c>
      <c r="AB246" s="13">
        <f t="shared" si="46"/>
        <v>1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AB247" si="47">SUM(E237:E246)</f>
        <v>7</v>
      </c>
      <c r="F247" s="13">
        <f t="shared" si="47"/>
        <v>3</v>
      </c>
      <c r="G247" s="13">
        <f t="shared" si="47"/>
        <v>7</v>
      </c>
      <c r="H247" s="13">
        <f t="shared" si="47"/>
        <v>4</v>
      </c>
      <c r="I247" s="13">
        <f t="shared" si="47"/>
        <v>5</v>
      </c>
      <c r="J247" s="13">
        <f t="shared" si="47"/>
        <v>4</v>
      </c>
      <c r="K247" s="13">
        <f t="shared" si="47"/>
        <v>1</v>
      </c>
      <c r="L247" s="13">
        <f t="shared" si="47"/>
        <v>1</v>
      </c>
      <c r="M247" s="13">
        <f t="shared" si="47"/>
        <v>8</v>
      </c>
      <c r="N247" s="13">
        <f t="shared" si="47"/>
        <v>4</v>
      </c>
      <c r="O247" s="13">
        <f t="shared" si="47"/>
        <v>4</v>
      </c>
      <c r="P247" s="13">
        <f t="shared" si="47"/>
        <v>2</v>
      </c>
      <c r="Q247" s="13">
        <f t="shared" si="47"/>
        <v>2</v>
      </c>
      <c r="R247" s="13">
        <f t="shared" si="47"/>
        <v>1</v>
      </c>
      <c r="S247" s="13">
        <f t="shared" si="47"/>
        <v>1</v>
      </c>
      <c r="T247" s="13">
        <f t="shared" si="47"/>
        <v>10</v>
      </c>
      <c r="U247" s="13">
        <f t="shared" si="47"/>
        <v>6</v>
      </c>
      <c r="V247" s="13">
        <f t="shared" si="47"/>
        <v>5</v>
      </c>
      <c r="W247" s="13">
        <f t="shared" si="47"/>
        <v>4</v>
      </c>
      <c r="X247" s="13">
        <f t="shared" si="47"/>
        <v>7</v>
      </c>
      <c r="Y247" s="13">
        <f t="shared" si="47"/>
        <v>3</v>
      </c>
      <c r="Z247" s="13">
        <f t="shared" si="47"/>
        <v>1</v>
      </c>
      <c r="AA247" s="13">
        <f t="shared" si="47"/>
        <v>3</v>
      </c>
      <c r="AB247" s="13">
        <f t="shared" si="47"/>
        <v>93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1.0</v>
      </c>
      <c r="N249" s="73">
        <v>1.0</v>
      </c>
      <c r="O249" s="73">
        <v>0.0</v>
      </c>
      <c r="P249" s="73">
        <v>0.0</v>
      </c>
      <c r="Q249" s="73">
        <v>0.0</v>
      </c>
      <c r="R249" s="73">
        <v>0.0</v>
      </c>
      <c r="S249" s="73">
        <v>2.0</v>
      </c>
      <c r="T249" s="73">
        <v>0.0</v>
      </c>
      <c r="U249" s="73">
        <v>0.0</v>
      </c>
      <c r="V249" s="73">
        <v>0.0</v>
      </c>
      <c r="W249" s="73">
        <v>1.0</v>
      </c>
      <c r="X249" s="73">
        <v>0.0</v>
      </c>
      <c r="Y249" s="73">
        <v>0.0</v>
      </c>
      <c r="Z249" s="73">
        <v>0.0</v>
      </c>
      <c r="AA249" s="73">
        <v>0.0</v>
      </c>
      <c r="AB249" s="13">
        <f t="shared" ref="AB249:AB258" si="48">SUM(E249:AA249)</f>
        <v>5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6.0</v>
      </c>
      <c r="F250" s="73">
        <v>1.0</v>
      </c>
      <c r="G250" s="73">
        <v>2.0</v>
      </c>
      <c r="H250" s="73">
        <v>0.0</v>
      </c>
      <c r="I250" s="73">
        <v>1.0</v>
      </c>
      <c r="J250" s="73">
        <v>0.0</v>
      </c>
      <c r="K250" s="73">
        <v>1.0</v>
      </c>
      <c r="L250" s="73">
        <v>0.0</v>
      </c>
      <c r="M250" s="73">
        <v>2.0</v>
      </c>
      <c r="N250" s="73">
        <v>1.0</v>
      </c>
      <c r="O250" s="73">
        <v>1.0</v>
      </c>
      <c r="P250" s="73">
        <v>2.0</v>
      </c>
      <c r="Q250" s="73">
        <v>0.0</v>
      </c>
      <c r="R250" s="73">
        <v>0.0</v>
      </c>
      <c r="S250" s="73">
        <v>0.0</v>
      </c>
      <c r="T250" s="73">
        <v>2.0</v>
      </c>
      <c r="U250" s="73">
        <v>0.0</v>
      </c>
      <c r="V250" s="73">
        <v>1.0</v>
      </c>
      <c r="W250" s="73">
        <v>3.0</v>
      </c>
      <c r="X250" s="73">
        <v>1.0</v>
      </c>
      <c r="Y250" s="73">
        <v>0.0</v>
      </c>
      <c r="Z250" s="73">
        <v>0.0</v>
      </c>
      <c r="AA250" s="73">
        <v>0.0</v>
      </c>
      <c r="AB250" s="13">
        <f t="shared" si="48"/>
        <v>24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1.0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13">
        <f t="shared" si="48"/>
        <v>1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1.0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13">
        <f t="shared" si="48"/>
        <v>1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AB259" si="49">SUM(E249:E258)</f>
        <v>6</v>
      </c>
      <c r="F259" s="13">
        <f t="shared" si="49"/>
        <v>1</v>
      </c>
      <c r="G259" s="13">
        <f t="shared" si="49"/>
        <v>2</v>
      </c>
      <c r="H259" s="13">
        <f t="shared" si="49"/>
        <v>1</v>
      </c>
      <c r="I259" s="13">
        <f t="shared" si="49"/>
        <v>1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3</v>
      </c>
      <c r="N259" s="13">
        <f t="shared" si="49"/>
        <v>3</v>
      </c>
      <c r="O259" s="13">
        <f t="shared" si="49"/>
        <v>1</v>
      </c>
      <c r="P259" s="13">
        <f t="shared" si="49"/>
        <v>2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2</v>
      </c>
      <c r="U259" s="13">
        <f t="shared" si="49"/>
        <v>0</v>
      </c>
      <c r="V259" s="13">
        <f t="shared" si="49"/>
        <v>1</v>
      </c>
      <c r="W259" s="13">
        <f t="shared" si="49"/>
        <v>4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31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13"/>
      <c r="U261" s="13"/>
      <c r="V261" s="13"/>
      <c r="W261" s="13"/>
      <c r="X261" s="76"/>
      <c r="Y261" s="76"/>
      <c r="Z261" s="76"/>
      <c r="AA261" s="76"/>
      <c r="AB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AA262" si="50">E55+E67+E79+E91+E103+E115+E127+E139+E151+E163+E175+E187+E199+E211+E223+E235+E247+E259</f>
        <v>183</v>
      </c>
      <c r="F262" s="19">
        <f t="shared" si="50"/>
        <v>196</v>
      </c>
      <c r="G262" s="19">
        <f t="shared" si="50"/>
        <v>181</v>
      </c>
      <c r="H262" s="19">
        <f t="shared" si="50"/>
        <v>176</v>
      </c>
      <c r="I262" s="19">
        <f t="shared" si="50"/>
        <v>161</v>
      </c>
      <c r="J262" s="19">
        <f t="shared" si="50"/>
        <v>193</v>
      </c>
      <c r="K262" s="19">
        <f t="shared" si="50"/>
        <v>194</v>
      </c>
      <c r="L262" s="19">
        <f t="shared" si="50"/>
        <v>146</v>
      </c>
      <c r="M262" s="19">
        <f t="shared" si="50"/>
        <v>202</v>
      </c>
      <c r="N262" s="19">
        <f t="shared" si="50"/>
        <v>201</v>
      </c>
      <c r="O262" s="19">
        <f t="shared" si="50"/>
        <v>198</v>
      </c>
      <c r="P262" s="19">
        <f t="shared" si="50"/>
        <v>186</v>
      </c>
      <c r="Q262" s="19">
        <f t="shared" si="50"/>
        <v>177</v>
      </c>
      <c r="R262" s="19">
        <f t="shared" si="50"/>
        <v>188</v>
      </c>
      <c r="S262" s="19">
        <f t="shared" si="50"/>
        <v>195</v>
      </c>
      <c r="T262" s="19">
        <f t="shared" si="50"/>
        <v>175</v>
      </c>
      <c r="U262" s="19">
        <f t="shared" si="50"/>
        <v>190</v>
      </c>
      <c r="V262" s="19">
        <f t="shared" si="50"/>
        <v>183</v>
      </c>
      <c r="W262" s="19">
        <f t="shared" si="50"/>
        <v>199</v>
      </c>
      <c r="X262" s="19">
        <f t="shared" si="50"/>
        <v>198</v>
      </c>
      <c r="Y262" s="19">
        <f t="shared" si="50"/>
        <v>158</v>
      </c>
      <c r="Z262" s="19">
        <f t="shared" si="50"/>
        <v>188</v>
      </c>
      <c r="AA262" s="19">
        <f t="shared" si="50"/>
        <v>196</v>
      </c>
      <c r="AB262" s="13">
        <f t="shared" ref="AB262:AB264" si="51">SUM(E262:AA262)</f>
        <v>4264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25.0</v>
      </c>
      <c r="F263" s="73">
        <v>31.0</v>
      </c>
      <c r="G263" s="73">
        <v>25.0</v>
      </c>
      <c r="H263" s="73">
        <v>15.0</v>
      </c>
      <c r="I263" s="73">
        <v>26.0</v>
      </c>
      <c r="J263" s="73">
        <v>29.0</v>
      </c>
      <c r="K263" s="73">
        <v>22.0</v>
      </c>
      <c r="L263" s="73">
        <v>86.0</v>
      </c>
      <c r="M263" s="73">
        <v>29.0</v>
      </c>
      <c r="N263" s="73">
        <v>32.0</v>
      </c>
      <c r="O263" s="73">
        <v>23.0</v>
      </c>
      <c r="P263" s="73">
        <v>32.0</v>
      </c>
      <c r="Q263" s="73">
        <v>68.0</v>
      </c>
      <c r="R263" s="73">
        <v>22.0</v>
      </c>
      <c r="S263" s="73">
        <v>26.0</v>
      </c>
      <c r="T263" s="73">
        <v>26.0</v>
      </c>
      <c r="U263" s="73">
        <v>39.0</v>
      </c>
      <c r="V263" s="73">
        <v>35.0</v>
      </c>
      <c r="W263" s="73">
        <v>34.0</v>
      </c>
      <c r="X263" s="73">
        <v>25.0</v>
      </c>
      <c r="Y263" s="73">
        <v>48.0</v>
      </c>
      <c r="Z263" s="73">
        <v>31.0</v>
      </c>
      <c r="AA263" s="73">
        <v>17.0</v>
      </c>
      <c r="AB263" s="13">
        <f t="shared" si="51"/>
        <v>746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AA264" si="52">SUM(E262:E263)</f>
        <v>208</v>
      </c>
      <c r="F264" s="13">
        <f t="shared" si="52"/>
        <v>227</v>
      </c>
      <c r="G264" s="13">
        <f t="shared" si="52"/>
        <v>206</v>
      </c>
      <c r="H264" s="13">
        <f t="shared" si="52"/>
        <v>191</v>
      </c>
      <c r="I264" s="13">
        <f t="shared" si="52"/>
        <v>187</v>
      </c>
      <c r="J264" s="13">
        <f t="shared" si="52"/>
        <v>222</v>
      </c>
      <c r="K264" s="13">
        <f t="shared" si="52"/>
        <v>216</v>
      </c>
      <c r="L264" s="13">
        <f t="shared" si="52"/>
        <v>232</v>
      </c>
      <c r="M264" s="13">
        <f t="shared" si="52"/>
        <v>231</v>
      </c>
      <c r="N264" s="13">
        <f t="shared" si="52"/>
        <v>233</v>
      </c>
      <c r="O264" s="13">
        <f t="shared" si="52"/>
        <v>221</v>
      </c>
      <c r="P264" s="13">
        <f t="shared" si="52"/>
        <v>218</v>
      </c>
      <c r="Q264" s="13">
        <f t="shared" si="52"/>
        <v>245</v>
      </c>
      <c r="R264" s="13">
        <f t="shared" si="52"/>
        <v>210</v>
      </c>
      <c r="S264" s="13">
        <f t="shared" si="52"/>
        <v>221</v>
      </c>
      <c r="T264" s="13">
        <f t="shared" si="52"/>
        <v>201</v>
      </c>
      <c r="U264" s="13">
        <f t="shared" si="52"/>
        <v>229</v>
      </c>
      <c r="V264" s="13">
        <f t="shared" si="52"/>
        <v>218</v>
      </c>
      <c r="W264" s="13">
        <f t="shared" si="52"/>
        <v>233</v>
      </c>
      <c r="X264" s="13">
        <f t="shared" si="52"/>
        <v>223</v>
      </c>
      <c r="Y264" s="13">
        <f t="shared" si="52"/>
        <v>206</v>
      </c>
      <c r="Z264" s="13">
        <f t="shared" si="52"/>
        <v>219</v>
      </c>
      <c r="AA264" s="13">
        <f t="shared" si="52"/>
        <v>213</v>
      </c>
      <c r="AB264" s="13">
        <f t="shared" si="51"/>
        <v>5010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E34&lt;&gt;E64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8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36"/>
    </row>
    <row r="14" ht="12.75" customHeight="1">
      <c r="A14" s="18"/>
      <c r="B14" s="22" t="s">
        <v>10</v>
      </c>
      <c r="C14" s="23"/>
      <c r="D14" s="19" t="s">
        <v>11</v>
      </c>
      <c r="E14" s="73">
        <v>135.0</v>
      </c>
      <c r="F14" s="73">
        <v>150.0</v>
      </c>
      <c r="G14" s="73">
        <v>140.0</v>
      </c>
      <c r="H14" s="73">
        <v>130.0</v>
      </c>
      <c r="I14" s="73">
        <v>145.0</v>
      </c>
      <c r="J14" s="73">
        <v>139.0</v>
      </c>
      <c r="K14" s="73">
        <v>138.0</v>
      </c>
      <c r="L14" s="73">
        <v>138.0</v>
      </c>
      <c r="M14" s="73">
        <v>146.0</v>
      </c>
      <c r="N14" s="73">
        <v>141.0</v>
      </c>
      <c r="O14" s="73">
        <v>134.0</v>
      </c>
      <c r="P14" s="73">
        <v>136.0</v>
      </c>
      <c r="Q14" s="73">
        <v>135.0</v>
      </c>
      <c r="R14" s="73">
        <v>127.0</v>
      </c>
      <c r="S14" s="73">
        <v>124.0</v>
      </c>
      <c r="T14" s="73">
        <v>127.0</v>
      </c>
      <c r="U14" s="73">
        <v>138.0</v>
      </c>
      <c r="V14" s="73">
        <v>147.0</v>
      </c>
      <c r="W14" s="73">
        <v>129.0</v>
      </c>
      <c r="X14" s="73">
        <v>120.0</v>
      </c>
      <c r="Y14" s="73">
        <v>130.0</v>
      </c>
      <c r="Z14" s="73">
        <v>135.0</v>
      </c>
      <c r="AA14" s="73">
        <v>136.0</v>
      </c>
      <c r="AB14" s="73">
        <v>125.0</v>
      </c>
      <c r="AC14" s="73">
        <v>136.0</v>
      </c>
      <c r="AD14" s="73">
        <v>135.0</v>
      </c>
      <c r="AE14" s="73">
        <v>82.0</v>
      </c>
      <c r="AF14" s="73">
        <v>74.0</v>
      </c>
      <c r="AG14" s="73">
        <v>148.0</v>
      </c>
      <c r="AH14" s="13">
        <f t="shared" ref="AH14:AH16" si="1">SUM(E14:AG14)</f>
        <v>3820</v>
      </c>
    </row>
    <row r="15" ht="12.75" customHeight="1">
      <c r="A15" s="18"/>
      <c r="B15" s="26"/>
      <c r="C15" s="27"/>
      <c r="D15" s="19" t="s">
        <v>12</v>
      </c>
      <c r="E15" s="73">
        <v>155.0</v>
      </c>
      <c r="F15" s="73">
        <v>142.0</v>
      </c>
      <c r="G15" s="73">
        <v>154.0</v>
      </c>
      <c r="H15" s="73">
        <v>159.0</v>
      </c>
      <c r="I15" s="73">
        <v>146.0</v>
      </c>
      <c r="J15" s="73">
        <v>140.0</v>
      </c>
      <c r="K15" s="73">
        <v>149.0</v>
      </c>
      <c r="L15" s="73">
        <v>154.0</v>
      </c>
      <c r="M15" s="73">
        <v>144.0</v>
      </c>
      <c r="N15" s="73">
        <v>155.0</v>
      </c>
      <c r="O15" s="73">
        <v>162.0</v>
      </c>
      <c r="P15" s="73">
        <v>143.0</v>
      </c>
      <c r="Q15" s="73">
        <v>129.0</v>
      </c>
      <c r="R15" s="73">
        <v>147.0</v>
      </c>
      <c r="S15" s="73">
        <v>144.0</v>
      </c>
      <c r="T15" s="73">
        <v>143.0</v>
      </c>
      <c r="U15" s="73">
        <v>153.0</v>
      </c>
      <c r="V15" s="73">
        <v>146.0</v>
      </c>
      <c r="W15" s="73">
        <v>146.0</v>
      </c>
      <c r="X15" s="73">
        <v>150.0</v>
      </c>
      <c r="Y15" s="73">
        <v>153.0</v>
      </c>
      <c r="Z15" s="73">
        <v>149.0</v>
      </c>
      <c r="AA15" s="73">
        <v>154.0</v>
      </c>
      <c r="AB15" s="73">
        <v>152.0</v>
      </c>
      <c r="AC15" s="73">
        <v>160.0</v>
      </c>
      <c r="AD15" s="73">
        <v>148.0</v>
      </c>
      <c r="AE15" s="73">
        <v>96.0</v>
      </c>
      <c r="AF15" s="73">
        <v>83.0</v>
      </c>
      <c r="AG15" s="73">
        <v>150.0</v>
      </c>
      <c r="AH15" s="13">
        <f t="shared" si="1"/>
        <v>4206</v>
      </c>
    </row>
    <row r="16" ht="12.75" customHeight="1">
      <c r="A16" s="25"/>
      <c r="B16" s="21"/>
      <c r="C16" s="28"/>
      <c r="D16" s="13" t="s">
        <v>13</v>
      </c>
      <c r="E16" s="13">
        <f t="shared" ref="E16:AG16" si="2">SUM(E14:E15)</f>
        <v>290</v>
      </c>
      <c r="F16" s="13">
        <f t="shared" si="2"/>
        <v>292</v>
      </c>
      <c r="G16" s="13">
        <f t="shared" si="2"/>
        <v>294</v>
      </c>
      <c r="H16" s="13">
        <f t="shared" si="2"/>
        <v>289</v>
      </c>
      <c r="I16" s="13">
        <f t="shared" si="2"/>
        <v>291</v>
      </c>
      <c r="J16" s="13">
        <f t="shared" si="2"/>
        <v>279</v>
      </c>
      <c r="K16" s="13">
        <f t="shared" si="2"/>
        <v>287</v>
      </c>
      <c r="L16" s="13">
        <f t="shared" si="2"/>
        <v>292</v>
      </c>
      <c r="M16" s="13">
        <f t="shared" si="2"/>
        <v>290</v>
      </c>
      <c r="N16" s="13">
        <f t="shared" si="2"/>
        <v>296</v>
      </c>
      <c r="O16" s="13">
        <f t="shared" si="2"/>
        <v>296</v>
      </c>
      <c r="P16" s="13">
        <f t="shared" si="2"/>
        <v>279</v>
      </c>
      <c r="Q16" s="13">
        <f t="shared" si="2"/>
        <v>264</v>
      </c>
      <c r="R16" s="13">
        <f t="shared" si="2"/>
        <v>274</v>
      </c>
      <c r="S16" s="13">
        <f t="shared" si="2"/>
        <v>268</v>
      </c>
      <c r="T16" s="13">
        <f t="shared" si="2"/>
        <v>270</v>
      </c>
      <c r="U16" s="13">
        <f t="shared" si="2"/>
        <v>291</v>
      </c>
      <c r="V16" s="13">
        <f t="shared" si="2"/>
        <v>293</v>
      </c>
      <c r="W16" s="13">
        <f t="shared" si="2"/>
        <v>275</v>
      </c>
      <c r="X16" s="13">
        <f t="shared" si="2"/>
        <v>270</v>
      </c>
      <c r="Y16" s="13">
        <f t="shared" si="2"/>
        <v>283</v>
      </c>
      <c r="Z16" s="13">
        <f t="shared" si="2"/>
        <v>284</v>
      </c>
      <c r="AA16" s="13">
        <f t="shared" si="2"/>
        <v>290</v>
      </c>
      <c r="AB16" s="13">
        <f t="shared" si="2"/>
        <v>277</v>
      </c>
      <c r="AC16" s="13">
        <f t="shared" si="2"/>
        <v>296</v>
      </c>
      <c r="AD16" s="13">
        <f t="shared" si="2"/>
        <v>283</v>
      </c>
      <c r="AE16" s="13">
        <f t="shared" si="2"/>
        <v>178</v>
      </c>
      <c r="AF16" s="13">
        <f t="shared" si="2"/>
        <v>157</v>
      </c>
      <c r="AG16" s="13">
        <f t="shared" si="2"/>
        <v>298</v>
      </c>
      <c r="AH16" s="13">
        <f t="shared" si="1"/>
        <v>8026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94.0</v>
      </c>
      <c r="F19" s="73">
        <v>111.0</v>
      </c>
      <c r="G19" s="73">
        <v>95.0</v>
      </c>
      <c r="H19" s="73">
        <v>95.0</v>
      </c>
      <c r="I19" s="73">
        <v>112.0</v>
      </c>
      <c r="J19" s="73">
        <v>109.0</v>
      </c>
      <c r="K19" s="73">
        <v>103.0</v>
      </c>
      <c r="L19" s="73">
        <v>99.0</v>
      </c>
      <c r="M19" s="73">
        <v>113.0</v>
      </c>
      <c r="N19" s="73">
        <v>91.0</v>
      </c>
      <c r="O19" s="73">
        <v>101.0</v>
      </c>
      <c r="P19" s="73">
        <v>92.0</v>
      </c>
      <c r="Q19" s="73">
        <v>97.0</v>
      </c>
      <c r="R19" s="73">
        <v>92.0</v>
      </c>
      <c r="S19" s="73">
        <v>89.0</v>
      </c>
      <c r="T19" s="73">
        <v>92.0</v>
      </c>
      <c r="U19" s="73">
        <v>96.0</v>
      </c>
      <c r="V19" s="73">
        <v>118.0</v>
      </c>
      <c r="W19" s="73">
        <v>100.0</v>
      </c>
      <c r="X19" s="73">
        <v>88.0</v>
      </c>
      <c r="Y19" s="73">
        <v>93.0</v>
      </c>
      <c r="Z19" s="73">
        <v>94.0</v>
      </c>
      <c r="AA19" s="73">
        <v>101.0</v>
      </c>
      <c r="AB19" s="73">
        <v>87.0</v>
      </c>
      <c r="AC19" s="73">
        <v>102.0</v>
      </c>
      <c r="AD19" s="73">
        <v>96.0</v>
      </c>
      <c r="AE19" s="73">
        <v>56.0</v>
      </c>
      <c r="AF19" s="73">
        <v>53.0</v>
      </c>
      <c r="AG19" s="73">
        <v>123.0</v>
      </c>
      <c r="AH19" s="13">
        <f t="shared" ref="AH19:AH30" si="3">SUM(E19:AG19)</f>
        <v>2792</v>
      </c>
    </row>
    <row r="20" ht="12.75" customHeight="1">
      <c r="A20" s="33"/>
      <c r="B20" s="27"/>
      <c r="C20" s="34"/>
      <c r="D20" s="19" t="s">
        <v>12</v>
      </c>
      <c r="E20" s="73">
        <v>121.0</v>
      </c>
      <c r="F20" s="73">
        <v>112.0</v>
      </c>
      <c r="G20" s="73">
        <v>112.0</v>
      </c>
      <c r="H20" s="73">
        <v>127.0</v>
      </c>
      <c r="I20" s="73">
        <v>127.0</v>
      </c>
      <c r="J20" s="73">
        <v>104.0</v>
      </c>
      <c r="K20" s="73">
        <v>116.0</v>
      </c>
      <c r="L20" s="73">
        <v>126.0</v>
      </c>
      <c r="M20" s="73">
        <v>120.0</v>
      </c>
      <c r="N20" s="73">
        <v>111.0</v>
      </c>
      <c r="O20" s="73">
        <v>122.0</v>
      </c>
      <c r="P20" s="73">
        <v>116.0</v>
      </c>
      <c r="Q20" s="73">
        <v>112.0</v>
      </c>
      <c r="R20" s="73">
        <v>111.0</v>
      </c>
      <c r="S20" s="73">
        <v>117.0</v>
      </c>
      <c r="T20" s="73">
        <v>107.0</v>
      </c>
      <c r="U20" s="73">
        <v>124.0</v>
      </c>
      <c r="V20" s="73">
        <v>128.0</v>
      </c>
      <c r="W20" s="73">
        <v>120.0</v>
      </c>
      <c r="X20" s="73">
        <v>123.0</v>
      </c>
      <c r="Y20" s="73">
        <v>127.0</v>
      </c>
      <c r="Z20" s="73">
        <v>118.0</v>
      </c>
      <c r="AA20" s="73">
        <v>121.0</v>
      </c>
      <c r="AB20" s="73">
        <v>113.0</v>
      </c>
      <c r="AC20" s="73">
        <v>128.0</v>
      </c>
      <c r="AD20" s="73">
        <v>126.0</v>
      </c>
      <c r="AE20" s="73">
        <v>70.0</v>
      </c>
      <c r="AF20" s="73">
        <v>67.0</v>
      </c>
      <c r="AG20" s="73">
        <v>128.0</v>
      </c>
      <c r="AH20" s="13">
        <f t="shared" si="3"/>
        <v>3354</v>
      </c>
    </row>
    <row r="21" ht="12.75" customHeight="1">
      <c r="A21" s="35"/>
      <c r="B21" s="28"/>
      <c r="C21" s="36"/>
      <c r="D21" s="13" t="s">
        <v>13</v>
      </c>
      <c r="E21" s="13">
        <f t="shared" ref="E21:AG21" si="4">SUM(E19:E20)</f>
        <v>215</v>
      </c>
      <c r="F21" s="13">
        <f t="shared" si="4"/>
        <v>223</v>
      </c>
      <c r="G21" s="13">
        <f t="shared" si="4"/>
        <v>207</v>
      </c>
      <c r="H21" s="13">
        <f t="shared" si="4"/>
        <v>222</v>
      </c>
      <c r="I21" s="13">
        <f t="shared" si="4"/>
        <v>239</v>
      </c>
      <c r="J21" s="13">
        <f t="shared" si="4"/>
        <v>213</v>
      </c>
      <c r="K21" s="13">
        <f t="shared" si="4"/>
        <v>219</v>
      </c>
      <c r="L21" s="13">
        <f t="shared" si="4"/>
        <v>225</v>
      </c>
      <c r="M21" s="13">
        <f t="shared" si="4"/>
        <v>233</v>
      </c>
      <c r="N21" s="13">
        <f t="shared" si="4"/>
        <v>202</v>
      </c>
      <c r="O21" s="13">
        <f t="shared" si="4"/>
        <v>223</v>
      </c>
      <c r="P21" s="13">
        <f t="shared" si="4"/>
        <v>208</v>
      </c>
      <c r="Q21" s="13">
        <f t="shared" si="4"/>
        <v>209</v>
      </c>
      <c r="R21" s="13">
        <f t="shared" si="4"/>
        <v>203</v>
      </c>
      <c r="S21" s="13">
        <f t="shared" si="4"/>
        <v>206</v>
      </c>
      <c r="T21" s="13">
        <f t="shared" si="4"/>
        <v>199</v>
      </c>
      <c r="U21" s="13">
        <f t="shared" si="4"/>
        <v>220</v>
      </c>
      <c r="V21" s="13">
        <f t="shared" si="4"/>
        <v>246</v>
      </c>
      <c r="W21" s="13">
        <f t="shared" si="4"/>
        <v>220</v>
      </c>
      <c r="X21" s="13">
        <f t="shared" si="4"/>
        <v>211</v>
      </c>
      <c r="Y21" s="13">
        <f t="shared" si="4"/>
        <v>220</v>
      </c>
      <c r="Z21" s="13">
        <f t="shared" si="4"/>
        <v>212</v>
      </c>
      <c r="AA21" s="13">
        <f t="shared" si="4"/>
        <v>222</v>
      </c>
      <c r="AB21" s="13">
        <f t="shared" si="4"/>
        <v>200</v>
      </c>
      <c r="AC21" s="13">
        <f t="shared" si="4"/>
        <v>230</v>
      </c>
      <c r="AD21" s="13">
        <f t="shared" si="4"/>
        <v>222</v>
      </c>
      <c r="AE21" s="13">
        <f t="shared" si="4"/>
        <v>126</v>
      </c>
      <c r="AF21" s="13">
        <f t="shared" si="4"/>
        <v>120</v>
      </c>
      <c r="AG21" s="13">
        <f t="shared" si="4"/>
        <v>251</v>
      </c>
      <c r="AH21" s="13">
        <f t="shared" si="3"/>
        <v>6146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1.0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1.0</v>
      </c>
      <c r="T22" s="73">
        <v>7.0</v>
      </c>
      <c r="U22" s="73">
        <v>2.0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1.0</v>
      </c>
      <c r="AC22" s="73">
        <v>0.0</v>
      </c>
      <c r="AD22" s="73">
        <v>11.0</v>
      </c>
      <c r="AE22" s="73">
        <v>8.0</v>
      </c>
      <c r="AF22" s="73">
        <v>0.0</v>
      </c>
      <c r="AG22" s="73">
        <v>0.0</v>
      </c>
      <c r="AH22" s="13">
        <f t="shared" si="3"/>
        <v>31</v>
      </c>
    </row>
    <row r="23" ht="12.75" customHeight="1">
      <c r="A23" s="33"/>
      <c r="B23" s="27"/>
      <c r="C23" s="34"/>
      <c r="D23" s="19" t="s">
        <v>12</v>
      </c>
      <c r="E23" s="73">
        <v>2.0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1.0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2.0</v>
      </c>
      <c r="T23" s="73">
        <v>1.0</v>
      </c>
      <c r="U23" s="73">
        <v>3.0</v>
      </c>
      <c r="V23" s="73">
        <v>0.0</v>
      </c>
      <c r="W23" s="73">
        <v>0.0</v>
      </c>
      <c r="X23" s="73">
        <v>0.0</v>
      </c>
      <c r="Y23" s="73">
        <v>2.0</v>
      </c>
      <c r="Z23" s="73">
        <v>1.0</v>
      </c>
      <c r="AA23" s="73">
        <v>0.0</v>
      </c>
      <c r="AB23" s="73">
        <v>1.0</v>
      </c>
      <c r="AC23" s="73">
        <v>0.0</v>
      </c>
      <c r="AD23" s="73">
        <v>1.0</v>
      </c>
      <c r="AE23" s="73">
        <v>0.0</v>
      </c>
      <c r="AF23" s="73">
        <v>0.0</v>
      </c>
      <c r="AG23" s="73">
        <v>0.0</v>
      </c>
      <c r="AH23" s="13">
        <f t="shared" si="3"/>
        <v>14</v>
      </c>
    </row>
    <row r="24" ht="12.75" customHeight="1">
      <c r="A24" s="35"/>
      <c r="B24" s="28"/>
      <c r="C24" s="36"/>
      <c r="D24" s="13" t="s">
        <v>13</v>
      </c>
      <c r="E24" s="13">
        <f t="shared" ref="E24:AG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3</v>
      </c>
      <c r="T24" s="13">
        <f t="shared" si="5"/>
        <v>8</v>
      </c>
      <c r="U24" s="13">
        <f t="shared" si="5"/>
        <v>5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2</v>
      </c>
      <c r="Z24" s="13">
        <f t="shared" si="5"/>
        <v>1</v>
      </c>
      <c r="AA24" s="13">
        <f t="shared" si="5"/>
        <v>0</v>
      </c>
      <c r="AB24" s="13">
        <f t="shared" si="5"/>
        <v>2</v>
      </c>
      <c r="AC24" s="13">
        <f t="shared" si="5"/>
        <v>0</v>
      </c>
      <c r="AD24" s="13">
        <f t="shared" si="5"/>
        <v>12</v>
      </c>
      <c r="AE24" s="13">
        <f t="shared" si="5"/>
        <v>8</v>
      </c>
      <c r="AF24" s="13">
        <f t="shared" si="5"/>
        <v>0</v>
      </c>
      <c r="AG24" s="13">
        <f t="shared" si="5"/>
        <v>0</v>
      </c>
      <c r="AH24" s="13">
        <f t="shared" si="3"/>
        <v>45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1.0</v>
      </c>
      <c r="F25" s="73">
        <v>0.0</v>
      </c>
      <c r="G25" s="73">
        <v>2.0</v>
      </c>
      <c r="H25" s="73">
        <v>1.0</v>
      </c>
      <c r="I25" s="73">
        <v>0.0</v>
      </c>
      <c r="J25" s="73">
        <v>0.0</v>
      </c>
      <c r="K25" s="73">
        <v>3.0</v>
      </c>
      <c r="L25" s="73">
        <v>2.0</v>
      </c>
      <c r="M25" s="73">
        <v>1.0</v>
      </c>
      <c r="N25" s="73">
        <v>1.0</v>
      </c>
      <c r="O25" s="73">
        <v>1.0</v>
      </c>
      <c r="P25" s="73">
        <v>0.0</v>
      </c>
      <c r="Q25" s="73">
        <v>4.0</v>
      </c>
      <c r="R25" s="73">
        <v>4.0</v>
      </c>
      <c r="S25" s="73">
        <v>4.0</v>
      </c>
      <c r="T25" s="73">
        <v>0.0</v>
      </c>
      <c r="U25" s="73">
        <v>0.0</v>
      </c>
      <c r="V25" s="73">
        <v>1.0</v>
      </c>
      <c r="W25" s="73">
        <v>0.0</v>
      </c>
      <c r="X25" s="73">
        <v>0.0</v>
      </c>
      <c r="Y25" s="73">
        <v>1.0</v>
      </c>
      <c r="Z25" s="73">
        <v>1.0</v>
      </c>
      <c r="AA25" s="73">
        <v>0.0</v>
      </c>
      <c r="AB25" s="73">
        <v>0.0</v>
      </c>
      <c r="AC25" s="73">
        <v>2.0</v>
      </c>
      <c r="AD25" s="73">
        <v>1.0</v>
      </c>
      <c r="AE25" s="73">
        <v>2.0</v>
      </c>
      <c r="AF25" s="73">
        <v>2.0</v>
      </c>
      <c r="AG25" s="73">
        <v>0.0</v>
      </c>
      <c r="AH25" s="13">
        <f t="shared" si="3"/>
        <v>34</v>
      </c>
    </row>
    <row r="26" ht="12.75" customHeight="1">
      <c r="A26" s="33"/>
      <c r="B26" s="27"/>
      <c r="C26" s="34"/>
      <c r="D26" s="19" t="s">
        <v>12</v>
      </c>
      <c r="E26" s="73">
        <v>0.0</v>
      </c>
      <c r="F26" s="73">
        <v>3.0</v>
      </c>
      <c r="G26" s="73">
        <v>2.0</v>
      </c>
      <c r="H26" s="73">
        <v>2.0</v>
      </c>
      <c r="I26" s="73">
        <v>0.0</v>
      </c>
      <c r="J26" s="73">
        <v>1.0</v>
      </c>
      <c r="K26" s="73">
        <v>4.0</v>
      </c>
      <c r="L26" s="73">
        <v>1.0</v>
      </c>
      <c r="M26" s="73">
        <v>5.0</v>
      </c>
      <c r="N26" s="73">
        <v>1.0</v>
      </c>
      <c r="O26" s="73">
        <v>1.0</v>
      </c>
      <c r="P26" s="73">
        <v>1.0</v>
      </c>
      <c r="Q26" s="73">
        <v>2.0</v>
      </c>
      <c r="R26" s="73">
        <v>2.0</v>
      </c>
      <c r="S26" s="73">
        <v>5.0</v>
      </c>
      <c r="T26" s="73">
        <v>2.0</v>
      </c>
      <c r="U26" s="73">
        <v>0.0</v>
      </c>
      <c r="V26" s="73">
        <v>1.0</v>
      </c>
      <c r="W26" s="73">
        <v>2.0</v>
      </c>
      <c r="X26" s="73">
        <v>4.0</v>
      </c>
      <c r="Y26" s="73">
        <v>2.0</v>
      </c>
      <c r="Z26" s="73">
        <v>1.0</v>
      </c>
      <c r="AA26" s="73">
        <v>0.0</v>
      </c>
      <c r="AB26" s="73">
        <v>0.0</v>
      </c>
      <c r="AC26" s="73">
        <v>0.0</v>
      </c>
      <c r="AD26" s="73">
        <v>2.0</v>
      </c>
      <c r="AE26" s="73">
        <v>3.0</v>
      </c>
      <c r="AF26" s="73">
        <v>5.0</v>
      </c>
      <c r="AG26" s="73">
        <v>0.0</v>
      </c>
      <c r="AH26" s="13">
        <f t="shared" si="3"/>
        <v>52</v>
      </c>
    </row>
    <row r="27" ht="12.75" customHeight="1">
      <c r="A27" s="35"/>
      <c r="B27" s="28"/>
      <c r="C27" s="36"/>
      <c r="D27" s="13" t="s">
        <v>13</v>
      </c>
      <c r="E27" s="13">
        <f t="shared" ref="E27:AG27" si="6">SUM(E25:E26)</f>
        <v>1</v>
      </c>
      <c r="F27" s="13">
        <f t="shared" si="6"/>
        <v>3</v>
      </c>
      <c r="G27" s="13">
        <f t="shared" si="6"/>
        <v>4</v>
      </c>
      <c r="H27" s="13">
        <f t="shared" si="6"/>
        <v>3</v>
      </c>
      <c r="I27" s="13">
        <f t="shared" si="6"/>
        <v>0</v>
      </c>
      <c r="J27" s="13">
        <f t="shared" si="6"/>
        <v>1</v>
      </c>
      <c r="K27" s="13">
        <f t="shared" si="6"/>
        <v>7</v>
      </c>
      <c r="L27" s="13">
        <f t="shared" si="6"/>
        <v>3</v>
      </c>
      <c r="M27" s="13">
        <f t="shared" si="6"/>
        <v>6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6</v>
      </c>
      <c r="R27" s="13">
        <f t="shared" si="6"/>
        <v>6</v>
      </c>
      <c r="S27" s="13">
        <f t="shared" si="6"/>
        <v>9</v>
      </c>
      <c r="T27" s="13">
        <f t="shared" si="6"/>
        <v>2</v>
      </c>
      <c r="U27" s="13">
        <f t="shared" si="6"/>
        <v>0</v>
      </c>
      <c r="V27" s="13">
        <f t="shared" si="6"/>
        <v>2</v>
      </c>
      <c r="W27" s="13">
        <f t="shared" si="6"/>
        <v>2</v>
      </c>
      <c r="X27" s="13">
        <f t="shared" si="6"/>
        <v>4</v>
      </c>
      <c r="Y27" s="13">
        <f t="shared" si="6"/>
        <v>3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3</v>
      </c>
      <c r="AE27" s="13">
        <f t="shared" si="6"/>
        <v>5</v>
      </c>
      <c r="AF27" s="13">
        <f t="shared" si="6"/>
        <v>7</v>
      </c>
      <c r="AG27" s="13">
        <f t="shared" si="6"/>
        <v>0</v>
      </c>
      <c r="AH27" s="13">
        <f t="shared" si="3"/>
        <v>86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G28" si="7">SUM(E19,E22,E25)</f>
        <v>95</v>
      </c>
      <c r="F28" s="13">
        <f t="shared" si="7"/>
        <v>111</v>
      </c>
      <c r="G28" s="13">
        <f t="shared" si="7"/>
        <v>97</v>
      </c>
      <c r="H28" s="13">
        <f t="shared" si="7"/>
        <v>96</v>
      </c>
      <c r="I28" s="13">
        <f t="shared" si="7"/>
        <v>112</v>
      </c>
      <c r="J28" s="13">
        <f t="shared" si="7"/>
        <v>109</v>
      </c>
      <c r="K28" s="13">
        <f t="shared" si="7"/>
        <v>106</v>
      </c>
      <c r="L28" s="13">
        <f t="shared" si="7"/>
        <v>101</v>
      </c>
      <c r="M28" s="13">
        <f t="shared" si="7"/>
        <v>115</v>
      </c>
      <c r="N28" s="13">
        <f t="shared" si="7"/>
        <v>92</v>
      </c>
      <c r="O28" s="13">
        <f t="shared" si="7"/>
        <v>102</v>
      </c>
      <c r="P28" s="13">
        <f t="shared" si="7"/>
        <v>92</v>
      </c>
      <c r="Q28" s="13">
        <f t="shared" si="7"/>
        <v>101</v>
      </c>
      <c r="R28" s="13">
        <f t="shared" si="7"/>
        <v>96</v>
      </c>
      <c r="S28" s="13">
        <f t="shared" si="7"/>
        <v>94</v>
      </c>
      <c r="T28" s="13">
        <f t="shared" si="7"/>
        <v>99</v>
      </c>
      <c r="U28" s="13">
        <f t="shared" si="7"/>
        <v>98</v>
      </c>
      <c r="V28" s="13">
        <f t="shared" si="7"/>
        <v>119</v>
      </c>
      <c r="W28" s="13">
        <f t="shared" si="7"/>
        <v>100</v>
      </c>
      <c r="X28" s="13">
        <f t="shared" si="7"/>
        <v>88</v>
      </c>
      <c r="Y28" s="13">
        <f t="shared" si="7"/>
        <v>94</v>
      </c>
      <c r="Z28" s="13">
        <f t="shared" si="7"/>
        <v>95</v>
      </c>
      <c r="AA28" s="13">
        <f t="shared" si="7"/>
        <v>101</v>
      </c>
      <c r="AB28" s="13">
        <f t="shared" si="7"/>
        <v>88</v>
      </c>
      <c r="AC28" s="13">
        <f t="shared" si="7"/>
        <v>104</v>
      </c>
      <c r="AD28" s="13">
        <f t="shared" si="7"/>
        <v>108</v>
      </c>
      <c r="AE28" s="13">
        <f t="shared" si="7"/>
        <v>66</v>
      </c>
      <c r="AF28" s="13">
        <f t="shared" si="7"/>
        <v>55</v>
      </c>
      <c r="AG28" s="13">
        <f t="shared" si="7"/>
        <v>123</v>
      </c>
      <c r="AH28" s="13">
        <f t="shared" si="3"/>
        <v>2857</v>
      </c>
    </row>
    <row r="29" ht="12.75" customHeight="1">
      <c r="A29" s="35"/>
      <c r="B29" s="27"/>
      <c r="C29" s="34"/>
      <c r="D29" s="13" t="s">
        <v>12</v>
      </c>
      <c r="E29" s="13">
        <f t="shared" ref="E29:AG29" si="8">SUM(E20,E23,E26)</f>
        <v>123</v>
      </c>
      <c r="F29" s="13">
        <f t="shared" si="8"/>
        <v>115</v>
      </c>
      <c r="G29" s="13">
        <f t="shared" si="8"/>
        <v>114</v>
      </c>
      <c r="H29" s="13">
        <f t="shared" si="8"/>
        <v>129</v>
      </c>
      <c r="I29" s="13">
        <f t="shared" si="8"/>
        <v>127</v>
      </c>
      <c r="J29" s="13">
        <f t="shared" si="8"/>
        <v>105</v>
      </c>
      <c r="K29" s="13">
        <f t="shared" si="8"/>
        <v>120</v>
      </c>
      <c r="L29" s="13">
        <f t="shared" si="8"/>
        <v>128</v>
      </c>
      <c r="M29" s="13">
        <f t="shared" si="8"/>
        <v>125</v>
      </c>
      <c r="N29" s="13">
        <f t="shared" si="8"/>
        <v>112</v>
      </c>
      <c r="O29" s="13">
        <f t="shared" si="8"/>
        <v>123</v>
      </c>
      <c r="P29" s="13">
        <f t="shared" si="8"/>
        <v>117</v>
      </c>
      <c r="Q29" s="13">
        <f t="shared" si="8"/>
        <v>114</v>
      </c>
      <c r="R29" s="13">
        <f t="shared" si="8"/>
        <v>113</v>
      </c>
      <c r="S29" s="13">
        <f t="shared" si="8"/>
        <v>124</v>
      </c>
      <c r="T29" s="13">
        <f t="shared" si="8"/>
        <v>110</v>
      </c>
      <c r="U29" s="13">
        <f t="shared" si="8"/>
        <v>127</v>
      </c>
      <c r="V29" s="13">
        <f t="shared" si="8"/>
        <v>129</v>
      </c>
      <c r="W29" s="13">
        <f t="shared" si="8"/>
        <v>122</v>
      </c>
      <c r="X29" s="13">
        <f t="shared" si="8"/>
        <v>127</v>
      </c>
      <c r="Y29" s="13">
        <f t="shared" si="8"/>
        <v>131</v>
      </c>
      <c r="Z29" s="13">
        <f t="shared" si="8"/>
        <v>120</v>
      </c>
      <c r="AA29" s="13">
        <f t="shared" si="8"/>
        <v>121</v>
      </c>
      <c r="AB29" s="13">
        <f t="shared" si="8"/>
        <v>114</v>
      </c>
      <c r="AC29" s="13">
        <f t="shared" si="8"/>
        <v>128</v>
      </c>
      <c r="AD29" s="13">
        <f t="shared" si="8"/>
        <v>129</v>
      </c>
      <c r="AE29" s="13">
        <f t="shared" si="8"/>
        <v>73</v>
      </c>
      <c r="AF29" s="13">
        <f t="shared" si="8"/>
        <v>72</v>
      </c>
      <c r="AG29" s="13">
        <f t="shared" si="8"/>
        <v>128</v>
      </c>
      <c r="AH29" s="13">
        <f t="shared" si="3"/>
        <v>3420</v>
      </c>
    </row>
    <row r="30" ht="12.75" customHeight="1">
      <c r="A30" s="35"/>
      <c r="B30" s="28"/>
      <c r="C30" s="36"/>
      <c r="D30" s="13" t="s">
        <v>13</v>
      </c>
      <c r="E30" s="13">
        <f t="shared" ref="E30:AG30" si="9">SUM(E28:E29)</f>
        <v>218</v>
      </c>
      <c r="F30" s="13">
        <f t="shared" si="9"/>
        <v>226</v>
      </c>
      <c r="G30" s="13">
        <f t="shared" si="9"/>
        <v>211</v>
      </c>
      <c r="H30" s="13">
        <f t="shared" si="9"/>
        <v>225</v>
      </c>
      <c r="I30" s="13">
        <f t="shared" si="9"/>
        <v>239</v>
      </c>
      <c r="J30" s="13">
        <f t="shared" si="9"/>
        <v>214</v>
      </c>
      <c r="K30" s="13">
        <f t="shared" si="9"/>
        <v>226</v>
      </c>
      <c r="L30" s="13">
        <f t="shared" si="9"/>
        <v>229</v>
      </c>
      <c r="M30" s="13">
        <f t="shared" si="9"/>
        <v>240</v>
      </c>
      <c r="N30" s="13">
        <f t="shared" si="9"/>
        <v>204</v>
      </c>
      <c r="O30" s="13">
        <f t="shared" si="9"/>
        <v>225</v>
      </c>
      <c r="P30" s="13">
        <f t="shared" si="9"/>
        <v>209</v>
      </c>
      <c r="Q30" s="13">
        <f t="shared" si="9"/>
        <v>215</v>
      </c>
      <c r="R30" s="13">
        <f t="shared" si="9"/>
        <v>209</v>
      </c>
      <c r="S30" s="13">
        <f t="shared" si="9"/>
        <v>218</v>
      </c>
      <c r="T30" s="13">
        <f t="shared" si="9"/>
        <v>209</v>
      </c>
      <c r="U30" s="13">
        <f t="shared" si="9"/>
        <v>225</v>
      </c>
      <c r="V30" s="13">
        <f t="shared" si="9"/>
        <v>248</v>
      </c>
      <c r="W30" s="13">
        <f t="shared" si="9"/>
        <v>222</v>
      </c>
      <c r="X30" s="13">
        <f t="shared" si="9"/>
        <v>215</v>
      </c>
      <c r="Y30" s="13">
        <f t="shared" si="9"/>
        <v>225</v>
      </c>
      <c r="Z30" s="13">
        <f t="shared" si="9"/>
        <v>215</v>
      </c>
      <c r="AA30" s="13">
        <f t="shared" si="9"/>
        <v>222</v>
      </c>
      <c r="AB30" s="13">
        <f t="shared" si="9"/>
        <v>202</v>
      </c>
      <c r="AC30" s="13">
        <f t="shared" si="9"/>
        <v>232</v>
      </c>
      <c r="AD30" s="13">
        <f t="shared" si="9"/>
        <v>237</v>
      </c>
      <c r="AE30" s="13">
        <f t="shared" si="9"/>
        <v>139</v>
      </c>
      <c r="AF30" s="13">
        <f t="shared" si="9"/>
        <v>127</v>
      </c>
      <c r="AG30" s="13">
        <f t="shared" si="9"/>
        <v>251</v>
      </c>
      <c r="AH30" s="13">
        <f t="shared" si="3"/>
        <v>6277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5"/>
    </row>
    <row r="33" ht="12.75" customHeight="1">
      <c r="A33" s="19">
        <v>1.0</v>
      </c>
      <c r="B33" s="20" t="s">
        <v>26</v>
      </c>
      <c r="C33" s="15"/>
      <c r="D33" s="16"/>
      <c r="E33" s="73">
        <v>296.0</v>
      </c>
      <c r="F33" s="73">
        <v>279.0</v>
      </c>
      <c r="G33" s="73">
        <v>300.0</v>
      </c>
      <c r="H33" s="73">
        <v>295.0</v>
      </c>
      <c r="I33" s="73">
        <v>297.0</v>
      </c>
      <c r="J33" s="73">
        <v>285.0</v>
      </c>
      <c r="K33" s="73">
        <v>288.0</v>
      </c>
      <c r="L33" s="73">
        <v>288.0</v>
      </c>
      <c r="M33" s="73">
        <v>270.0</v>
      </c>
      <c r="N33" s="73">
        <v>296.0</v>
      </c>
      <c r="O33" s="73">
        <v>302.0</v>
      </c>
      <c r="P33" s="73">
        <v>270.0</v>
      </c>
      <c r="Q33" s="73">
        <v>270.0</v>
      </c>
      <c r="R33" s="73">
        <v>280.0</v>
      </c>
      <c r="S33" s="73">
        <v>275.0</v>
      </c>
      <c r="T33" s="73">
        <v>276.0</v>
      </c>
      <c r="U33" s="73">
        <v>297.0</v>
      </c>
      <c r="V33" s="73">
        <v>299.0</v>
      </c>
      <c r="W33" s="73">
        <v>281.0</v>
      </c>
      <c r="X33" s="73">
        <v>275.0</v>
      </c>
      <c r="Y33" s="73">
        <v>289.0</v>
      </c>
      <c r="Z33" s="73">
        <v>280.0</v>
      </c>
      <c r="AA33" s="73">
        <v>283.0</v>
      </c>
      <c r="AB33" s="73">
        <v>283.0</v>
      </c>
      <c r="AC33" s="73">
        <v>302.0</v>
      </c>
      <c r="AD33" s="73">
        <v>290.0</v>
      </c>
      <c r="AE33" s="73">
        <v>240.0</v>
      </c>
      <c r="AF33" s="73">
        <v>168.0</v>
      </c>
      <c r="AG33" s="73">
        <v>306.0</v>
      </c>
      <c r="AH33" s="13">
        <f t="shared" ref="AH33:AH36" si="10">SUM(E33:AG33)</f>
        <v>8160</v>
      </c>
    </row>
    <row r="34" ht="12.75" customHeight="1">
      <c r="A34" s="19">
        <v>2.0</v>
      </c>
      <c r="B34" s="20" t="s">
        <v>27</v>
      </c>
      <c r="C34" s="15"/>
      <c r="D34" s="16"/>
      <c r="E34" s="77">
        <v>218.0</v>
      </c>
      <c r="F34" s="77">
        <v>226.0</v>
      </c>
      <c r="G34" s="77">
        <v>211.0</v>
      </c>
      <c r="H34" s="77">
        <v>225.0</v>
      </c>
      <c r="I34" s="77">
        <v>239.0</v>
      </c>
      <c r="J34" s="77">
        <v>214.0</v>
      </c>
      <c r="K34" s="77">
        <v>226.0</v>
      </c>
      <c r="L34" s="77">
        <v>229.0</v>
      </c>
      <c r="M34" s="77">
        <v>240.0</v>
      </c>
      <c r="N34" s="77">
        <v>204.0</v>
      </c>
      <c r="O34" s="77">
        <v>225.0</v>
      </c>
      <c r="P34" s="77">
        <v>209.0</v>
      </c>
      <c r="Q34" s="77">
        <v>215.0</v>
      </c>
      <c r="R34" s="77">
        <v>209.0</v>
      </c>
      <c r="S34" s="77">
        <v>218.0</v>
      </c>
      <c r="T34" s="77">
        <v>209.0</v>
      </c>
      <c r="U34" s="77">
        <v>225.0</v>
      </c>
      <c r="V34" s="77">
        <v>248.0</v>
      </c>
      <c r="W34" s="77">
        <v>222.0</v>
      </c>
      <c r="X34" s="77">
        <v>215.0</v>
      </c>
      <c r="Y34" s="77">
        <v>225.0</v>
      </c>
      <c r="Z34" s="77">
        <v>215.0</v>
      </c>
      <c r="AA34" s="77">
        <v>222.0</v>
      </c>
      <c r="AB34" s="77">
        <v>202.0</v>
      </c>
      <c r="AC34" s="77">
        <v>232.0</v>
      </c>
      <c r="AD34" s="77">
        <v>237.0</v>
      </c>
      <c r="AE34" s="77">
        <v>139.0</v>
      </c>
      <c r="AF34" s="77">
        <v>127.0</v>
      </c>
      <c r="AG34" s="77">
        <v>251.0</v>
      </c>
      <c r="AH34" s="13">
        <f t="shared" si="10"/>
        <v>6277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1.0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2.0</v>
      </c>
      <c r="S35" s="73">
        <v>0.0</v>
      </c>
      <c r="T35" s="19"/>
      <c r="U35" s="73">
        <v>1.0</v>
      </c>
      <c r="V35" s="73">
        <v>1.0</v>
      </c>
      <c r="W35" s="19"/>
      <c r="X35" s="19"/>
      <c r="Y35" s="19"/>
      <c r="Z35" s="73">
        <v>2.0</v>
      </c>
      <c r="AA35" s="73">
        <v>1.0</v>
      </c>
      <c r="AB35" s="19"/>
      <c r="AC35" s="19"/>
      <c r="AD35" s="19"/>
      <c r="AE35" s="19"/>
      <c r="AF35" s="73">
        <v>1.0</v>
      </c>
      <c r="AG35" s="19"/>
      <c r="AH35" s="13">
        <f t="shared" si="10"/>
        <v>9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G36" si="11">E33-(E34+E35)</f>
        <v>78</v>
      </c>
      <c r="F36" s="13">
        <f t="shared" si="11"/>
        <v>53</v>
      </c>
      <c r="G36" s="13">
        <f t="shared" si="11"/>
        <v>89</v>
      </c>
      <c r="H36" s="13">
        <f t="shared" si="11"/>
        <v>70</v>
      </c>
      <c r="I36" s="13">
        <f t="shared" si="11"/>
        <v>58</v>
      </c>
      <c r="J36" s="13">
        <f t="shared" si="11"/>
        <v>71</v>
      </c>
      <c r="K36" s="13">
        <f t="shared" si="11"/>
        <v>61</v>
      </c>
      <c r="L36" s="13">
        <f t="shared" si="11"/>
        <v>59</v>
      </c>
      <c r="M36" s="13">
        <f t="shared" si="11"/>
        <v>30</v>
      </c>
      <c r="N36" s="13">
        <f t="shared" si="11"/>
        <v>92</v>
      </c>
      <c r="O36" s="13">
        <f t="shared" si="11"/>
        <v>77</v>
      </c>
      <c r="P36" s="13">
        <f t="shared" si="11"/>
        <v>61</v>
      </c>
      <c r="Q36" s="13">
        <f t="shared" si="11"/>
        <v>55</v>
      </c>
      <c r="R36" s="13">
        <f t="shared" si="11"/>
        <v>69</v>
      </c>
      <c r="S36" s="13">
        <f t="shared" si="11"/>
        <v>57</v>
      </c>
      <c r="T36" s="13">
        <f t="shared" si="11"/>
        <v>67</v>
      </c>
      <c r="U36" s="13">
        <f t="shared" si="11"/>
        <v>71</v>
      </c>
      <c r="V36" s="13">
        <f t="shared" si="11"/>
        <v>50</v>
      </c>
      <c r="W36" s="13">
        <f t="shared" si="11"/>
        <v>59</v>
      </c>
      <c r="X36" s="13">
        <f t="shared" si="11"/>
        <v>60</v>
      </c>
      <c r="Y36" s="13">
        <f t="shared" si="11"/>
        <v>64</v>
      </c>
      <c r="Z36" s="13">
        <f t="shared" si="11"/>
        <v>63</v>
      </c>
      <c r="AA36" s="13">
        <f t="shared" si="11"/>
        <v>60</v>
      </c>
      <c r="AB36" s="13">
        <f t="shared" si="11"/>
        <v>81</v>
      </c>
      <c r="AC36" s="13">
        <f t="shared" si="11"/>
        <v>70</v>
      </c>
      <c r="AD36" s="13">
        <f t="shared" si="11"/>
        <v>53</v>
      </c>
      <c r="AE36" s="13">
        <f t="shared" si="11"/>
        <v>101</v>
      </c>
      <c r="AF36" s="13">
        <f t="shared" si="11"/>
        <v>40</v>
      </c>
      <c r="AG36" s="13">
        <f t="shared" si="11"/>
        <v>55</v>
      </c>
      <c r="AH36" s="13">
        <f t="shared" si="10"/>
        <v>1874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5"/>
    </row>
    <row r="39" ht="12.75" customHeight="1">
      <c r="A39" s="30"/>
      <c r="B39" s="43" t="s">
        <v>32</v>
      </c>
      <c r="C39" s="23"/>
      <c r="D39" s="19" t="s">
        <v>11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73">
        <v>1.0</v>
      </c>
      <c r="P39" s="19"/>
      <c r="Q39" s="19"/>
      <c r="R39" s="73">
        <v>2.0</v>
      </c>
      <c r="S39" s="19"/>
      <c r="T39" s="19"/>
      <c r="U39" s="19"/>
      <c r="V39" s="19"/>
      <c r="W39" s="19"/>
      <c r="X39" s="73">
        <v>1.0</v>
      </c>
      <c r="Y39" s="19"/>
      <c r="Z39" s="19"/>
      <c r="AA39" s="19"/>
      <c r="AB39" s="19"/>
      <c r="AC39" s="73">
        <v>1.0</v>
      </c>
      <c r="AD39" s="19"/>
      <c r="AE39" s="73">
        <v>1.0</v>
      </c>
      <c r="AF39" s="19"/>
      <c r="AG39" s="19"/>
      <c r="AH39" s="13">
        <f t="shared" ref="AH39:AH41" si="12">SUM(E39:AG39)</f>
        <v>6</v>
      </c>
    </row>
    <row r="40" ht="12.75" customHeight="1">
      <c r="A40" s="33"/>
      <c r="C40" s="27"/>
      <c r="D40" s="19" t="s">
        <v>12</v>
      </c>
      <c r="E40" s="19"/>
      <c r="F40" s="19"/>
      <c r="G40" s="19"/>
      <c r="H40" s="19"/>
      <c r="I40" s="19"/>
      <c r="J40" s="19"/>
      <c r="K40" s="19"/>
      <c r="L40" s="73">
        <v>1.0</v>
      </c>
      <c r="M40" s="19"/>
      <c r="N40" s="19"/>
      <c r="O40" s="19"/>
      <c r="P40" s="19"/>
      <c r="Q40" s="19"/>
      <c r="R40" s="73">
        <v>1.0</v>
      </c>
      <c r="S40" s="19"/>
      <c r="T40" s="19"/>
      <c r="U40" s="73">
        <v>1.0</v>
      </c>
      <c r="V40" s="19"/>
      <c r="W40" s="19"/>
      <c r="X40" s="73">
        <v>1.0</v>
      </c>
      <c r="Y40" s="19"/>
      <c r="Z40" s="73">
        <v>1.0</v>
      </c>
      <c r="AA40" s="19"/>
      <c r="AB40" s="19"/>
      <c r="AC40" s="19"/>
      <c r="AD40" s="19"/>
      <c r="AE40" s="19"/>
      <c r="AF40" s="19"/>
      <c r="AG40" s="19"/>
      <c r="AH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AG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1</v>
      </c>
      <c r="AD41" s="13">
        <f t="shared" si="13"/>
        <v>0</v>
      </c>
      <c r="AE41" s="13">
        <f t="shared" si="13"/>
        <v>1</v>
      </c>
      <c r="AF41" s="13">
        <f t="shared" si="13"/>
        <v>0</v>
      </c>
      <c r="AG41" s="13">
        <f t="shared" si="13"/>
        <v>0</v>
      </c>
      <c r="AH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9"/>
      <c r="X42" s="74"/>
      <c r="Y42" s="19"/>
      <c r="Z42" s="74"/>
      <c r="AA42" s="19"/>
      <c r="AB42" s="74"/>
      <c r="AC42" s="19"/>
      <c r="AD42" s="74"/>
      <c r="AE42" s="19"/>
      <c r="AF42" s="74"/>
      <c r="AG42" s="19"/>
      <c r="AH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  <c r="X43" s="76"/>
      <c r="Y43" s="13"/>
      <c r="Z43" s="76"/>
      <c r="AA43" s="13"/>
      <c r="AB43" s="76"/>
      <c r="AC43" s="13"/>
      <c r="AD43" s="76"/>
      <c r="AE43" s="13"/>
      <c r="AF43" s="76"/>
      <c r="AG43" s="13"/>
      <c r="AH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9"/>
      <c r="X44" s="74"/>
      <c r="Y44" s="19"/>
      <c r="Z44" s="74"/>
      <c r="AA44" s="19"/>
      <c r="AB44" s="74"/>
      <c r="AC44" s="19"/>
      <c r="AD44" s="74"/>
      <c r="AE44" s="19"/>
      <c r="AF44" s="74"/>
      <c r="AG44" s="19"/>
      <c r="AH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12.0</v>
      </c>
      <c r="F45" s="73">
        <v>8.0</v>
      </c>
      <c r="G45" s="73">
        <v>6.0</v>
      </c>
      <c r="H45" s="73">
        <v>13.0</v>
      </c>
      <c r="I45" s="73">
        <v>11.0</v>
      </c>
      <c r="J45" s="73">
        <v>5.0</v>
      </c>
      <c r="K45" s="73">
        <v>4.0</v>
      </c>
      <c r="L45" s="73">
        <v>5.0</v>
      </c>
      <c r="M45" s="73">
        <v>7.0</v>
      </c>
      <c r="N45" s="73">
        <v>2.0</v>
      </c>
      <c r="O45" s="73">
        <v>2.0</v>
      </c>
      <c r="P45" s="73">
        <v>3.0</v>
      </c>
      <c r="Q45" s="73">
        <v>6.0</v>
      </c>
      <c r="R45" s="73">
        <v>4.0</v>
      </c>
      <c r="S45" s="73">
        <v>1.0</v>
      </c>
      <c r="T45" s="73">
        <v>4.0</v>
      </c>
      <c r="U45" s="73">
        <v>5.0</v>
      </c>
      <c r="V45" s="73">
        <v>10.0</v>
      </c>
      <c r="W45" s="73">
        <v>4.0</v>
      </c>
      <c r="X45" s="73">
        <v>6.0</v>
      </c>
      <c r="Y45" s="73">
        <v>3.0</v>
      </c>
      <c r="Z45" s="73">
        <v>1.0</v>
      </c>
      <c r="AA45" s="73">
        <v>2.0</v>
      </c>
      <c r="AB45" s="73">
        <v>1.0</v>
      </c>
      <c r="AC45" s="73">
        <v>2.0</v>
      </c>
      <c r="AD45" s="73">
        <v>2.0</v>
      </c>
      <c r="AE45" s="73">
        <v>1.0</v>
      </c>
      <c r="AF45" s="73">
        <v>4.0</v>
      </c>
      <c r="AG45" s="73">
        <v>2.0</v>
      </c>
      <c r="AH45" s="13">
        <f t="shared" ref="AH45:AH54" si="14">SUM(E45:AG45)</f>
        <v>136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14.0</v>
      </c>
      <c r="F46" s="73">
        <v>22.0</v>
      </c>
      <c r="G46" s="73">
        <v>12.0</v>
      </c>
      <c r="H46" s="73">
        <v>21.0</v>
      </c>
      <c r="I46" s="73">
        <v>23.0</v>
      </c>
      <c r="J46" s="73">
        <v>15.0</v>
      </c>
      <c r="K46" s="73">
        <v>21.0</v>
      </c>
      <c r="L46" s="73">
        <v>17.0</v>
      </c>
      <c r="M46" s="73">
        <v>21.0</v>
      </c>
      <c r="N46" s="73">
        <v>19.0</v>
      </c>
      <c r="O46" s="73">
        <v>21.0</v>
      </c>
      <c r="P46" s="73">
        <v>8.0</v>
      </c>
      <c r="Q46" s="73">
        <v>12.0</v>
      </c>
      <c r="R46" s="73">
        <v>13.0</v>
      </c>
      <c r="S46" s="73">
        <v>4.0</v>
      </c>
      <c r="T46" s="73">
        <v>8.0</v>
      </c>
      <c r="U46" s="73">
        <v>19.0</v>
      </c>
      <c r="V46" s="73">
        <v>19.0</v>
      </c>
      <c r="W46" s="73">
        <v>10.0</v>
      </c>
      <c r="X46" s="73">
        <v>11.0</v>
      </c>
      <c r="Y46" s="73">
        <v>10.0</v>
      </c>
      <c r="Z46" s="73">
        <v>12.0</v>
      </c>
      <c r="AA46" s="73">
        <v>16.0</v>
      </c>
      <c r="AB46" s="73">
        <v>6.0</v>
      </c>
      <c r="AC46" s="73">
        <v>14.0</v>
      </c>
      <c r="AD46" s="73">
        <v>14.0</v>
      </c>
      <c r="AE46" s="73">
        <v>6.0</v>
      </c>
      <c r="AF46" s="73">
        <v>7.0</v>
      </c>
      <c r="AG46" s="73">
        <v>7.0</v>
      </c>
      <c r="AH46" s="13">
        <f t="shared" si="14"/>
        <v>402</v>
      </c>
    </row>
    <row r="47" ht="12.75" customHeight="1">
      <c r="A47" s="18"/>
      <c r="B47" s="49"/>
      <c r="C47" s="50" t="s">
        <v>40</v>
      </c>
      <c r="D47" s="51"/>
      <c r="E47" s="73">
        <v>0.0</v>
      </c>
      <c r="F47" s="73">
        <v>0.0</v>
      </c>
      <c r="G47" s="73">
        <v>0.0</v>
      </c>
      <c r="H47" s="73">
        <v>4.0</v>
      </c>
      <c r="I47" s="73">
        <v>3.0</v>
      </c>
      <c r="J47" s="73">
        <v>3.0</v>
      </c>
      <c r="K47" s="73">
        <v>2.0</v>
      </c>
      <c r="L47" s="73">
        <v>1.0</v>
      </c>
      <c r="M47" s="73">
        <v>0.0</v>
      </c>
      <c r="N47" s="73">
        <v>0.0</v>
      </c>
      <c r="O47" s="73">
        <v>1.0</v>
      </c>
      <c r="P47" s="73">
        <v>0.0</v>
      </c>
      <c r="Q47" s="73">
        <v>2.0</v>
      </c>
      <c r="R47" s="73">
        <v>2.0</v>
      </c>
      <c r="S47" s="73">
        <v>0.0</v>
      </c>
      <c r="T47" s="73">
        <v>0.0</v>
      </c>
      <c r="U47" s="73">
        <v>3.0</v>
      </c>
      <c r="V47" s="73">
        <v>0.0</v>
      </c>
      <c r="W47" s="73">
        <v>0.0</v>
      </c>
      <c r="X47" s="73">
        <v>0.0</v>
      </c>
      <c r="Y47" s="73">
        <v>0.0</v>
      </c>
      <c r="Z47" s="73">
        <v>0.0</v>
      </c>
      <c r="AA47" s="73">
        <v>2.0</v>
      </c>
      <c r="AB47" s="73">
        <v>0.0</v>
      </c>
      <c r="AC47" s="73">
        <v>2.0</v>
      </c>
      <c r="AD47" s="73">
        <v>1.0</v>
      </c>
      <c r="AE47" s="73">
        <v>2.0</v>
      </c>
      <c r="AF47" s="73">
        <v>2.0</v>
      </c>
      <c r="AG47" s="73">
        <v>1.0</v>
      </c>
      <c r="AH47" s="13">
        <f t="shared" si="14"/>
        <v>31</v>
      </c>
    </row>
    <row r="48" ht="12.75" customHeight="1">
      <c r="A48" s="18"/>
      <c r="B48" s="49"/>
      <c r="C48" s="50" t="s">
        <v>41</v>
      </c>
      <c r="D48" s="51"/>
      <c r="E48" s="73">
        <v>1.0</v>
      </c>
      <c r="F48" s="73">
        <v>0.0</v>
      </c>
      <c r="G48" s="73">
        <v>0.0</v>
      </c>
      <c r="H48" s="73">
        <v>0.0</v>
      </c>
      <c r="I48" s="73">
        <v>0.0</v>
      </c>
      <c r="J48" s="73">
        <v>0.0</v>
      </c>
      <c r="K48" s="73">
        <v>0.0</v>
      </c>
      <c r="L48" s="73">
        <v>0.0</v>
      </c>
      <c r="M48" s="73">
        <v>4.0</v>
      </c>
      <c r="N48" s="73">
        <v>1.0</v>
      </c>
      <c r="O48" s="73">
        <v>1.0</v>
      </c>
      <c r="P48" s="73">
        <v>0.0</v>
      </c>
      <c r="Q48" s="73">
        <v>1.0</v>
      </c>
      <c r="R48" s="73">
        <v>1.0</v>
      </c>
      <c r="S48" s="73">
        <v>1.0</v>
      </c>
      <c r="T48" s="73">
        <v>0.0</v>
      </c>
      <c r="U48" s="73">
        <v>0.0</v>
      </c>
      <c r="V48" s="73">
        <v>0.0</v>
      </c>
      <c r="W48" s="73">
        <v>3.0</v>
      </c>
      <c r="X48" s="73">
        <v>0.0</v>
      </c>
      <c r="Y48" s="73">
        <v>0.0</v>
      </c>
      <c r="Z48" s="73">
        <v>1.0</v>
      </c>
      <c r="AA48" s="73">
        <v>0.0</v>
      </c>
      <c r="AB48" s="73">
        <v>2.0</v>
      </c>
      <c r="AC48" s="73">
        <v>3.0</v>
      </c>
      <c r="AD48" s="73">
        <v>3.0</v>
      </c>
      <c r="AE48" s="73">
        <v>0.0</v>
      </c>
      <c r="AF48" s="73">
        <v>0.0</v>
      </c>
      <c r="AG48" s="73">
        <v>0.0</v>
      </c>
      <c r="AH48" s="13">
        <f t="shared" si="14"/>
        <v>22</v>
      </c>
    </row>
    <row r="49" ht="12.75" customHeight="1">
      <c r="A49" s="18"/>
      <c r="B49" s="49"/>
      <c r="C49" s="50" t="s">
        <v>42</v>
      </c>
      <c r="D49" s="51"/>
      <c r="E49" s="73">
        <v>1.0</v>
      </c>
      <c r="F49" s="73">
        <v>1.0</v>
      </c>
      <c r="G49" s="73">
        <v>1.0</v>
      </c>
      <c r="H49" s="73">
        <v>1.0</v>
      </c>
      <c r="I49" s="73">
        <v>0.0</v>
      </c>
      <c r="J49" s="73">
        <v>0.0</v>
      </c>
      <c r="K49" s="73">
        <v>1.0</v>
      </c>
      <c r="L49" s="73">
        <v>1.0</v>
      </c>
      <c r="M49" s="73">
        <v>1.0</v>
      </c>
      <c r="N49" s="73">
        <v>1.0</v>
      </c>
      <c r="O49" s="73">
        <v>2.0</v>
      </c>
      <c r="P49" s="73">
        <v>0.0</v>
      </c>
      <c r="Q49" s="73">
        <v>0.0</v>
      </c>
      <c r="R49" s="73">
        <v>1.0</v>
      </c>
      <c r="S49" s="73">
        <v>1.0</v>
      </c>
      <c r="T49" s="73">
        <v>1.0</v>
      </c>
      <c r="U49" s="73">
        <v>1.0</v>
      </c>
      <c r="V49" s="73">
        <v>0.0</v>
      </c>
      <c r="W49" s="73">
        <v>0.0</v>
      </c>
      <c r="X49" s="73">
        <v>1.0</v>
      </c>
      <c r="Y49" s="73">
        <v>1.0</v>
      </c>
      <c r="Z49" s="73">
        <v>0.0</v>
      </c>
      <c r="AA49" s="73">
        <v>0.0</v>
      </c>
      <c r="AB49" s="73">
        <v>0.0</v>
      </c>
      <c r="AC49" s="73">
        <v>0.0</v>
      </c>
      <c r="AD49" s="73">
        <v>0.0</v>
      </c>
      <c r="AE49" s="73">
        <v>0.0</v>
      </c>
      <c r="AF49" s="73">
        <v>0.0</v>
      </c>
      <c r="AG49" s="73">
        <v>0.0</v>
      </c>
      <c r="AH49" s="13">
        <f t="shared" si="14"/>
        <v>16</v>
      </c>
    </row>
    <row r="50" ht="12.75" customHeight="1">
      <c r="A50" s="18"/>
      <c r="B50" s="49"/>
      <c r="C50" s="50" t="s">
        <v>43</v>
      </c>
      <c r="D50" s="51"/>
      <c r="E50" s="73">
        <v>2.0</v>
      </c>
      <c r="F50" s="73">
        <v>0.0</v>
      </c>
      <c r="G50" s="73">
        <v>0.0</v>
      </c>
      <c r="H50" s="73">
        <v>0.0</v>
      </c>
      <c r="I50" s="73">
        <v>0.0</v>
      </c>
      <c r="J50" s="73">
        <v>2.0</v>
      </c>
      <c r="K50" s="73">
        <v>0.0</v>
      </c>
      <c r="L50" s="73">
        <v>0.0</v>
      </c>
      <c r="M50" s="73">
        <v>1.0</v>
      </c>
      <c r="N50" s="73">
        <v>1.0</v>
      </c>
      <c r="O50" s="73">
        <v>0.0</v>
      </c>
      <c r="P50" s="73">
        <v>0.0</v>
      </c>
      <c r="Q50" s="73">
        <v>2.0</v>
      </c>
      <c r="R50" s="73">
        <v>0.0</v>
      </c>
      <c r="S50" s="73">
        <v>0.0</v>
      </c>
      <c r="T50" s="73">
        <v>1.0</v>
      </c>
      <c r="U50" s="73">
        <v>0.0</v>
      </c>
      <c r="V50" s="73">
        <v>1.0</v>
      </c>
      <c r="W50" s="73">
        <v>3.0</v>
      </c>
      <c r="X50" s="73">
        <v>0.0</v>
      </c>
      <c r="Y50" s="73">
        <v>0.0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73">
        <v>1.0</v>
      </c>
      <c r="AF50" s="73">
        <v>0.0</v>
      </c>
      <c r="AG50" s="73">
        <v>1.0</v>
      </c>
      <c r="AH50" s="13">
        <f t="shared" si="14"/>
        <v>15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0.0</v>
      </c>
      <c r="H51" s="73">
        <v>1.0</v>
      </c>
      <c r="I51" s="73">
        <v>0.0</v>
      </c>
      <c r="J51" s="73">
        <v>0.0</v>
      </c>
      <c r="K51" s="73">
        <v>0.0</v>
      </c>
      <c r="L51" s="73">
        <v>1.0</v>
      </c>
      <c r="M51" s="73">
        <v>1.0</v>
      </c>
      <c r="N51" s="73">
        <v>1.0</v>
      </c>
      <c r="O51" s="73">
        <v>0.0</v>
      </c>
      <c r="P51" s="73">
        <v>0.0</v>
      </c>
      <c r="Q51" s="73">
        <v>0.0</v>
      </c>
      <c r="R51" s="73">
        <v>0.0</v>
      </c>
      <c r="S51" s="73">
        <v>0.0</v>
      </c>
      <c r="T51" s="73">
        <v>1.0</v>
      </c>
      <c r="U51" s="73">
        <v>1.0</v>
      </c>
      <c r="V51" s="73">
        <v>0.0</v>
      </c>
      <c r="W51" s="73">
        <v>1.0</v>
      </c>
      <c r="X51" s="73">
        <v>0.0</v>
      </c>
      <c r="Y51" s="73">
        <v>0.0</v>
      </c>
      <c r="Z51" s="73">
        <v>0.0</v>
      </c>
      <c r="AA51" s="73">
        <v>1.0</v>
      </c>
      <c r="AB51" s="73">
        <v>1.0</v>
      </c>
      <c r="AC51" s="73">
        <v>2.0</v>
      </c>
      <c r="AD51" s="73">
        <v>0.0</v>
      </c>
      <c r="AE51" s="73">
        <v>0.0</v>
      </c>
      <c r="AF51" s="73">
        <v>0.0</v>
      </c>
      <c r="AG51" s="73">
        <v>0.0</v>
      </c>
      <c r="AH51" s="13">
        <f t="shared" si="14"/>
        <v>11</v>
      </c>
    </row>
    <row r="52" ht="12.75" customHeight="1">
      <c r="A52" s="79"/>
      <c r="B52" s="49"/>
      <c r="C52" s="50" t="s">
        <v>45</v>
      </c>
      <c r="D52" s="51"/>
      <c r="E52" s="80">
        <v>2.0</v>
      </c>
      <c r="F52" s="80">
        <v>0.0</v>
      </c>
      <c r="G52" s="80">
        <v>0.0</v>
      </c>
      <c r="H52" s="80">
        <v>0.0</v>
      </c>
      <c r="I52" s="80">
        <v>0.0</v>
      </c>
      <c r="J52" s="80">
        <v>1.0</v>
      </c>
      <c r="K52" s="80">
        <v>1.0</v>
      </c>
      <c r="L52" s="80">
        <v>0.0</v>
      </c>
      <c r="M52" s="80">
        <v>0.0</v>
      </c>
      <c r="N52" s="80">
        <v>0.0</v>
      </c>
      <c r="O52" s="80">
        <v>0.0</v>
      </c>
      <c r="P52" s="80">
        <v>0.0</v>
      </c>
      <c r="Q52" s="80">
        <v>1.0</v>
      </c>
      <c r="R52" s="80">
        <v>0.0</v>
      </c>
      <c r="S52" s="80">
        <v>0.0</v>
      </c>
      <c r="T52" s="80">
        <v>0.0</v>
      </c>
      <c r="U52" s="80">
        <v>1.0</v>
      </c>
      <c r="V52" s="80">
        <v>2.0</v>
      </c>
      <c r="W52" s="80">
        <v>0.0</v>
      </c>
      <c r="X52" s="80">
        <v>0.0</v>
      </c>
      <c r="Y52" s="80">
        <v>1.0</v>
      </c>
      <c r="Z52" s="80">
        <v>1.0</v>
      </c>
      <c r="AA52" s="80">
        <v>0.0</v>
      </c>
      <c r="AB52" s="80">
        <v>0.0</v>
      </c>
      <c r="AC52" s="80">
        <v>0.0</v>
      </c>
      <c r="AD52" s="80">
        <v>1.0</v>
      </c>
      <c r="AE52" s="80">
        <v>0.0</v>
      </c>
      <c r="AF52" s="80">
        <v>0.0</v>
      </c>
      <c r="AG52" s="80">
        <v>0.0</v>
      </c>
      <c r="AH52" s="13">
        <f t="shared" si="14"/>
        <v>11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1.0</v>
      </c>
      <c r="G53" s="80">
        <v>0.0</v>
      </c>
      <c r="H53" s="80">
        <v>0.0</v>
      </c>
      <c r="I53" s="80">
        <v>1.0</v>
      </c>
      <c r="J53" s="80">
        <v>1.0</v>
      </c>
      <c r="K53" s="80">
        <v>0.0</v>
      </c>
      <c r="L53" s="80">
        <v>0.0</v>
      </c>
      <c r="M53" s="80">
        <v>0.0</v>
      </c>
      <c r="N53" s="80">
        <v>0.0</v>
      </c>
      <c r="O53" s="80">
        <v>0.0</v>
      </c>
      <c r="P53" s="80">
        <v>0.0</v>
      </c>
      <c r="Q53" s="80">
        <v>0.0</v>
      </c>
      <c r="R53" s="80">
        <v>0.0</v>
      </c>
      <c r="S53" s="80">
        <v>0.0</v>
      </c>
      <c r="T53" s="80">
        <v>0.0</v>
      </c>
      <c r="U53" s="80">
        <v>0.0</v>
      </c>
      <c r="V53" s="80">
        <v>1.0</v>
      </c>
      <c r="W53" s="80">
        <v>0.0</v>
      </c>
      <c r="X53" s="80">
        <v>0.0</v>
      </c>
      <c r="Y53" s="80">
        <v>1.0</v>
      </c>
      <c r="Z53" s="80">
        <v>0.0</v>
      </c>
      <c r="AA53" s="80">
        <v>0.0</v>
      </c>
      <c r="AB53" s="80">
        <v>0.0</v>
      </c>
      <c r="AC53" s="80">
        <v>0.0</v>
      </c>
      <c r="AD53" s="80">
        <v>0.0</v>
      </c>
      <c r="AE53" s="80">
        <v>0.0</v>
      </c>
      <c r="AF53" s="80">
        <v>0.0</v>
      </c>
      <c r="AG53" s="80">
        <v>0.0</v>
      </c>
      <c r="AH53" s="13">
        <f t="shared" si="14"/>
        <v>5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0.0</v>
      </c>
      <c r="H54" s="80">
        <v>0.0</v>
      </c>
      <c r="I54" s="80">
        <v>1.0</v>
      </c>
      <c r="J54" s="80">
        <v>0.0</v>
      </c>
      <c r="K54" s="80">
        <v>0.0</v>
      </c>
      <c r="L54" s="80">
        <v>0.0</v>
      </c>
      <c r="M54" s="80">
        <v>0.0</v>
      </c>
      <c r="N54" s="80">
        <v>0.0</v>
      </c>
      <c r="O54" s="80">
        <v>1.0</v>
      </c>
      <c r="P54" s="80">
        <v>1.0</v>
      </c>
      <c r="Q54" s="80">
        <v>0.0</v>
      </c>
      <c r="R54" s="80">
        <v>0.0</v>
      </c>
      <c r="S54" s="80">
        <v>0.0</v>
      </c>
      <c r="T54" s="80">
        <v>0.0</v>
      </c>
      <c r="U54" s="80">
        <v>0.0</v>
      </c>
      <c r="V54" s="80">
        <v>0.0</v>
      </c>
      <c r="W54" s="80">
        <v>0.0</v>
      </c>
      <c r="X54" s="80">
        <v>0.0</v>
      </c>
      <c r="Y54" s="80">
        <v>0.0</v>
      </c>
      <c r="Z54" s="80">
        <v>0.0</v>
      </c>
      <c r="AA54" s="80">
        <v>0.0</v>
      </c>
      <c r="AB54" s="80">
        <v>0.0</v>
      </c>
      <c r="AC54" s="80">
        <v>0.0</v>
      </c>
      <c r="AD54" s="80">
        <v>0.0</v>
      </c>
      <c r="AE54" s="80">
        <v>0.0</v>
      </c>
      <c r="AF54" s="80">
        <v>0.0</v>
      </c>
      <c r="AG54" s="80">
        <v>0.0</v>
      </c>
      <c r="AH54" s="13">
        <f t="shared" si="14"/>
        <v>3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AH55" si="15">SUM(E45:E54)</f>
        <v>32</v>
      </c>
      <c r="F55" s="13">
        <f t="shared" si="15"/>
        <v>32</v>
      </c>
      <c r="G55" s="13">
        <f t="shared" si="15"/>
        <v>19</v>
      </c>
      <c r="H55" s="13">
        <f t="shared" si="15"/>
        <v>40</v>
      </c>
      <c r="I55" s="13">
        <f t="shared" si="15"/>
        <v>39</v>
      </c>
      <c r="J55" s="13">
        <f t="shared" si="15"/>
        <v>27</v>
      </c>
      <c r="K55" s="13">
        <f t="shared" si="15"/>
        <v>29</v>
      </c>
      <c r="L55" s="13">
        <f t="shared" si="15"/>
        <v>25</v>
      </c>
      <c r="M55" s="13">
        <f t="shared" si="15"/>
        <v>35</v>
      </c>
      <c r="N55" s="13">
        <f t="shared" si="15"/>
        <v>25</v>
      </c>
      <c r="O55" s="13">
        <f t="shared" si="15"/>
        <v>28</v>
      </c>
      <c r="P55" s="13">
        <f t="shared" si="15"/>
        <v>12</v>
      </c>
      <c r="Q55" s="13">
        <f t="shared" si="15"/>
        <v>24</v>
      </c>
      <c r="R55" s="13">
        <f t="shared" si="15"/>
        <v>21</v>
      </c>
      <c r="S55" s="13">
        <f t="shared" si="15"/>
        <v>7</v>
      </c>
      <c r="T55" s="13">
        <f t="shared" si="15"/>
        <v>15</v>
      </c>
      <c r="U55" s="13">
        <f t="shared" si="15"/>
        <v>30</v>
      </c>
      <c r="V55" s="13">
        <f t="shared" si="15"/>
        <v>33</v>
      </c>
      <c r="W55" s="13">
        <f t="shared" si="15"/>
        <v>21</v>
      </c>
      <c r="X55" s="13">
        <f t="shared" si="15"/>
        <v>18</v>
      </c>
      <c r="Y55" s="13">
        <f t="shared" si="15"/>
        <v>16</v>
      </c>
      <c r="Z55" s="13">
        <f t="shared" si="15"/>
        <v>15</v>
      </c>
      <c r="AA55" s="13">
        <f t="shared" si="15"/>
        <v>21</v>
      </c>
      <c r="AB55" s="13">
        <f t="shared" si="15"/>
        <v>10</v>
      </c>
      <c r="AC55" s="13">
        <f t="shared" si="15"/>
        <v>23</v>
      </c>
      <c r="AD55" s="13">
        <f t="shared" si="15"/>
        <v>21</v>
      </c>
      <c r="AE55" s="13">
        <f t="shared" si="15"/>
        <v>10</v>
      </c>
      <c r="AF55" s="13">
        <f t="shared" si="15"/>
        <v>13</v>
      </c>
      <c r="AG55" s="13">
        <f t="shared" si="15"/>
        <v>11</v>
      </c>
      <c r="AH55" s="13">
        <f t="shared" si="15"/>
        <v>652</v>
      </c>
    </row>
    <row r="56" ht="12.75" customHeight="1">
      <c r="A56" s="45"/>
      <c r="B56" s="44"/>
      <c r="C56" s="44"/>
      <c r="D56" s="44"/>
      <c r="E56" s="44"/>
      <c r="AH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12.0</v>
      </c>
      <c r="F57" s="73">
        <v>17.0</v>
      </c>
      <c r="G57" s="73">
        <v>7.0</v>
      </c>
      <c r="H57" s="73">
        <v>7.0</v>
      </c>
      <c r="I57" s="73">
        <v>11.0</v>
      </c>
      <c r="J57" s="73">
        <v>5.0</v>
      </c>
      <c r="K57" s="73">
        <v>8.0</v>
      </c>
      <c r="L57" s="73">
        <v>12.0</v>
      </c>
      <c r="M57" s="73">
        <v>11.0</v>
      </c>
      <c r="N57" s="73">
        <v>10.0</v>
      </c>
      <c r="O57" s="73">
        <v>13.0</v>
      </c>
      <c r="P57" s="73">
        <v>5.0</v>
      </c>
      <c r="Q57" s="73">
        <v>22.0</v>
      </c>
      <c r="R57" s="73">
        <v>5.0</v>
      </c>
      <c r="S57" s="73">
        <v>14.0</v>
      </c>
      <c r="T57" s="73">
        <v>8.0</v>
      </c>
      <c r="U57" s="73">
        <v>7.0</v>
      </c>
      <c r="V57" s="73">
        <v>16.0</v>
      </c>
      <c r="W57" s="73">
        <v>11.0</v>
      </c>
      <c r="X57" s="73">
        <v>8.0</v>
      </c>
      <c r="Y57" s="73">
        <v>5.0</v>
      </c>
      <c r="Z57" s="73">
        <v>7.0</v>
      </c>
      <c r="AA57" s="73">
        <v>5.0</v>
      </c>
      <c r="AB57" s="73">
        <v>9.0</v>
      </c>
      <c r="AC57" s="73">
        <v>12.0</v>
      </c>
      <c r="AD57" s="73">
        <v>2.0</v>
      </c>
      <c r="AE57" s="73">
        <v>7.0</v>
      </c>
      <c r="AF57" s="73">
        <v>4.0</v>
      </c>
      <c r="AG57" s="73">
        <v>10.0</v>
      </c>
      <c r="AH57" s="13">
        <f t="shared" ref="AH57:AH66" si="16">SUM(E57:AG57)</f>
        <v>270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7.0</v>
      </c>
      <c r="F58" s="73">
        <v>5.0</v>
      </c>
      <c r="G58" s="73">
        <v>6.0</v>
      </c>
      <c r="H58" s="73">
        <v>3.0</v>
      </c>
      <c r="I58" s="73">
        <v>6.0</v>
      </c>
      <c r="J58" s="73">
        <v>3.0</v>
      </c>
      <c r="K58" s="73">
        <v>7.0</v>
      </c>
      <c r="L58" s="73">
        <v>7.0</v>
      </c>
      <c r="M58" s="73">
        <v>5.0</v>
      </c>
      <c r="N58" s="73">
        <v>5.0</v>
      </c>
      <c r="O58" s="73">
        <v>9.0</v>
      </c>
      <c r="P58" s="73">
        <v>8.0</v>
      </c>
      <c r="Q58" s="73">
        <v>2.0</v>
      </c>
      <c r="R58" s="73">
        <v>6.0</v>
      </c>
      <c r="S58" s="73">
        <v>7.0</v>
      </c>
      <c r="T58" s="73">
        <v>6.0</v>
      </c>
      <c r="U58" s="73">
        <v>2.0</v>
      </c>
      <c r="V58" s="73">
        <v>3.0</v>
      </c>
      <c r="W58" s="73">
        <v>2.0</v>
      </c>
      <c r="X58" s="73">
        <v>5.0</v>
      </c>
      <c r="Y58" s="73">
        <v>7.0</v>
      </c>
      <c r="Z58" s="73">
        <v>7.0</v>
      </c>
      <c r="AA58" s="73">
        <v>6.0</v>
      </c>
      <c r="AB58" s="73">
        <v>4.0</v>
      </c>
      <c r="AC58" s="73">
        <v>6.0</v>
      </c>
      <c r="AD58" s="73">
        <v>2.0</v>
      </c>
      <c r="AE58" s="73">
        <v>7.0</v>
      </c>
      <c r="AF58" s="73">
        <v>1.0</v>
      </c>
      <c r="AG58" s="73">
        <v>7.0</v>
      </c>
      <c r="AH58" s="13">
        <f t="shared" si="16"/>
        <v>151</v>
      </c>
    </row>
    <row r="59" ht="12.75" customHeight="1">
      <c r="A59" s="18"/>
      <c r="B59" s="49"/>
      <c r="C59" s="50" t="s">
        <v>51</v>
      </c>
      <c r="D59" s="51"/>
      <c r="E59" s="73">
        <v>8.0</v>
      </c>
      <c r="F59" s="73">
        <v>12.0</v>
      </c>
      <c r="G59" s="73">
        <v>6.0</v>
      </c>
      <c r="H59" s="73">
        <v>4.0</v>
      </c>
      <c r="I59" s="73">
        <v>4.0</v>
      </c>
      <c r="J59" s="73">
        <v>4.0</v>
      </c>
      <c r="K59" s="73">
        <v>9.0</v>
      </c>
      <c r="L59" s="73">
        <v>3.0</v>
      </c>
      <c r="M59" s="73">
        <v>8.0</v>
      </c>
      <c r="N59" s="73">
        <v>12.0</v>
      </c>
      <c r="O59" s="73">
        <v>11.0</v>
      </c>
      <c r="P59" s="73">
        <v>8.0</v>
      </c>
      <c r="Q59" s="73">
        <v>5.0</v>
      </c>
      <c r="R59" s="73">
        <v>7.0</v>
      </c>
      <c r="S59" s="73">
        <v>11.0</v>
      </c>
      <c r="T59" s="73">
        <v>1.0</v>
      </c>
      <c r="U59" s="73">
        <v>11.0</v>
      </c>
      <c r="V59" s="73">
        <v>8.0</v>
      </c>
      <c r="W59" s="73">
        <v>4.0</v>
      </c>
      <c r="X59" s="73">
        <v>20.0</v>
      </c>
      <c r="Y59" s="73">
        <v>8.0</v>
      </c>
      <c r="Z59" s="73">
        <v>16.0</v>
      </c>
      <c r="AA59" s="73">
        <v>14.0</v>
      </c>
      <c r="AB59" s="73">
        <v>10.0</v>
      </c>
      <c r="AC59" s="73">
        <v>11.0</v>
      </c>
      <c r="AD59" s="73">
        <v>5.0</v>
      </c>
      <c r="AE59" s="73">
        <v>8.0</v>
      </c>
      <c r="AF59" s="73">
        <v>4.0</v>
      </c>
      <c r="AG59" s="73">
        <v>5.0</v>
      </c>
      <c r="AH59" s="13">
        <f t="shared" si="16"/>
        <v>237</v>
      </c>
    </row>
    <row r="60" ht="12.75" customHeight="1">
      <c r="A60" s="18"/>
      <c r="B60" s="49"/>
      <c r="C60" s="50" t="s">
        <v>52</v>
      </c>
      <c r="D60" s="51"/>
      <c r="E60" s="73">
        <v>0.0</v>
      </c>
      <c r="F60" s="73">
        <v>3.0</v>
      </c>
      <c r="G60" s="73">
        <v>2.0</v>
      </c>
      <c r="H60" s="73">
        <v>1.0</v>
      </c>
      <c r="I60" s="73">
        <v>1.0</v>
      </c>
      <c r="J60" s="73">
        <v>2.0</v>
      </c>
      <c r="K60" s="73">
        <v>2.0</v>
      </c>
      <c r="L60" s="73">
        <v>2.0</v>
      </c>
      <c r="M60" s="73">
        <v>1.0</v>
      </c>
      <c r="N60" s="73">
        <v>1.0</v>
      </c>
      <c r="O60" s="73">
        <v>4.0</v>
      </c>
      <c r="P60" s="73">
        <v>3.0</v>
      </c>
      <c r="Q60" s="73">
        <v>1.0</v>
      </c>
      <c r="R60" s="73">
        <v>1.0</v>
      </c>
      <c r="S60" s="73">
        <v>2.0</v>
      </c>
      <c r="T60" s="73">
        <v>1.0</v>
      </c>
      <c r="U60" s="73">
        <v>1.0</v>
      </c>
      <c r="V60" s="73">
        <v>5.0</v>
      </c>
      <c r="W60" s="73">
        <v>2.0</v>
      </c>
      <c r="X60" s="73">
        <v>4.0</v>
      </c>
      <c r="Y60" s="73">
        <v>4.0</v>
      </c>
      <c r="Z60" s="73">
        <v>3.0</v>
      </c>
      <c r="AA60" s="73">
        <v>3.0</v>
      </c>
      <c r="AB60" s="73">
        <v>4.0</v>
      </c>
      <c r="AC60" s="73">
        <v>2.0</v>
      </c>
      <c r="AD60" s="73">
        <v>4.0</v>
      </c>
      <c r="AE60" s="73">
        <v>3.0</v>
      </c>
      <c r="AF60" s="73">
        <v>1.0</v>
      </c>
      <c r="AG60" s="73">
        <v>1.0</v>
      </c>
      <c r="AH60" s="13">
        <f t="shared" si="16"/>
        <v>64</v>
      </c>
    </row>
    <row r="61" ht="12.75" customHeight="1">
      <c r="A61" s="18"/>
      <c r="B61" s="49"/>
      <c r="C61" s="50" t="s">
        <v>53</v>
      </c>
      <c r="D61" s="51"/>
      <c r="E61" s="73">
        <v>1.0</v>
      </c>
      <c r="F61" s="73">
        <v>2.0</v>
      </c>
      <c r="G61" s="73">
        <v>2.0</v>
      </c>
      <c r="H61" s="73">
        <v>0.0</v>
      </c>
      <c r="I61" s="73">
        <v>2.0</v>
      </c>
      <c r="J61" s="73">
        <v>5.0</v>
      </c>
      <c r="K61" s="73">
        <v>1.0</v>
      </c>
      <c r="L61" s="73">
        <v>3.0</v>
      </c>
      <c r="M61" s="73">
        <v>4.0</v>
      </c>
      <c r="N61" s="73">
        <v>3.0</v>
      </c>
      <c r="O61" s="73">
        <v>4.0</v>
      </c>
      <c r="P61" s="73">
        <v>10.0</v>
      </c>
      <c r="Q61" s="73">
        <v>4.0</v>
      </c>
      <c r="R61" s="73">
        <v>5.0</v>
      </c>
      <c r="S61" s="73">
        <v>5.0</v>
      </c>
      <c r="T61" s="73">
        <v>1.0</v>
      </c>
      <c r="U61" s="73">
        <v>1.0</v>
      </c>
      <c r="V61" s="73">
        <v>2.0</v>
      </c>
      <c r="W61" s="73">
        <v>1.0</v>
      </c>
      <c r="X61" s="73">
        <v>0.0</v>
      </c>
      <c r="Y61" s="73">
        <v>4.0</v>
      </c>
      <c r="Z61" s="73">
        <v>4.0</v>
      </c>
      <c r="AA61" s="73">
        <v>2.0</v>
      </c>
      <c r="AB61" s="73">
        <v>2.0</v>
      </c>
      <c r="AC61" s="73">
        <v>0.0</v>
      </c>
      <c r="AD61" s="73">
        <v>3.0</v>
      </c>
      <c r="AE61" s="73">
        <v>1.0</v>
      </c>
      <c r="AF61" s="73">
        <v>2.0</v>
      </c>
      <c r="AG61" s="73">
        <v>0.0</v>
      </c>
      <c r="AH61" s="13">
        <f t="shared" si="16"/>
        <v>74</v>
      </c>
    </row>
    <row r="62" ht="12.75" customHeight="1">
      <c r="A62" s="18"/>
      <c r="B62" s="49"/>
      <c r="C62" s="50" t="s">
        <v>54</v>
      </c>
      <c r="D62" s="51"/>
      <c r="E62" s="73">
        <v>0.0</v>
      </c>
      <c r="F62" s="73">
        <v>1.0</v>
      </c>
      <c r="G62" s="73">
        <v>2.0</v>
      </c>
      <c r="H62" s="73">
        <v>1.0</v>
      </c>
      <c r="I62" s="73">
        <v>1.0</v>
      </c>
      <c r="J62" s="73">
        <v>0.0</v>
      </c>
      <c r="K62" s="73">
        <v>2.0</v>
      </c>
      <c r="L62" s="73">
        <v>1.0</v>
      </c>
      <c r="M62" s="73">
        <v>1.0</v>
      </c>
      <c r="N62" s="73">
        <v>0.0</v>
      </c>
      <c r="O62" s="73">
        <v>1.0</v>
      </c>
      <c r="P62" s="73">
        <v>1.0</v>
      </c>
      <c r="Q62" s="73">
        <v>0.0</v>
      </c>
      <c r="R62" s="73">
        <v>0.0</v>
      </c>
      <c r="S62" s="73">
        <v>0.0</v>
      </c>
      <c r="T62" s="73">
        <v>0.0</v>
      </c>
      <c r="U62" s="73">
        <v>0.0</v>
      </c>
      <c r="V62" s="73">
        <v>0.0</v>
      </c>
      <c r="W62" s="73">
        <v>1.0</v>
      </c>
      <c r="X62" s="73">
        <v>0.0</v>
      </c>
      <c r="Y62" s="73">
        <v>1.0</v>
      </c>
      <c r="Z62" s="73">
        <v>2.0</v>
      </c>
      <c r="AA62" s="73">
        <v>1.0</v>
      </c>
      <c r="AB62" s="73">
        <v>2.0</v>
      </c>
      <c r="AC62" s="73">
        <v>1.0</v>
      </c>
      <c r="AD62" s="73">
        <v>1.0</v>
      </c>
      <c r="AE62" s="73">
        <v>0.0</v>
      </c>
      <c r="AF62" s="73">
        <v>1.0</v>
      </c>
      <c r="AG62" s="73">
        <v>0.0</v>
      </c>
      <c r="AH62" s="13">
        <f t="shared" si="16"/>
        <v>21</v>
      </c>
    </row>
    <row r="63" ht="12.75" customHeight="1">
      <c r="A63" s="18"/>
      <c r="B63" s="49"/>
      <c r="C63" s="50" t="s">
        <v>55</v>
      </c>
      <c r="D63" s="51"/>
      <c r="E63" s="73">
        <v>0.0</v>
      </c>
      <c r="F63" s="73">
        <v>2.0</v>
      </c>
      <c r="G63" s="73">
        <v>1.0</v>
      </c>
      <c r="H63" s="73">
        <v>0.0</v>
      </c>
      <c r="I63" s="73">
        <v>0.0</v>
      </c>
      <c r="J63" s="73">
        <v>0.0</v>
      </c>
      <c r="K63" s="73">
        <v>1.0</v>
      </c>
      <c r="L63" s="73">
        <v>0.0</v>
      </c>
      <c r="M63" s="73">
        <v>0.0</v>
      </c>
      <c r="N63" s="73">
        <v>0.0</v>
      </c>
      <c r="O63" s="73">
        <v>0.0</v>
      </c>
      <c r="P63" s="73">
        <v>2.0</v>
      </c>
      <c r="Q63" s="73">
        <v>0.0</v>
      </c>
      <c r="R63" s="73">
        <v>1.0</v>
      </c>
      <c r="S63" s="73">
        <v>0.0</v>
      </c>
      <c r="T63" s="73">
        <v>0.0</v>
      </c>
      <c r="U63" s="73">
        <v>0.0</v>
      </c>
      <c r="V63" s="73">
        <v>1.0</v>
      </c>
      <c r="W63" s="73">
        <v>0.0</v>
      </c>
      <c r="X63" s="73">
        <v>1.0</v>
      </c>
      <c r="Y63" s="73">
        <v>0.0</v>
      </c>
      <c r="Z63" s="73">
        <v>0.0</v>
      </c>
      <c r="AA63" s="73">
        <v>0.0</v>
      </c>
      <c r="AB63" s="73">
        <v>1.0</v>
      </c>
      <c r="AC63" s="73">
        <v>0.0</v>
      </c>
      <c r="AD63" s="73">
        <v>2.0</v>
      </c>
      <c r="AE63" s="73">
        <v>0.0</v>
      </c>
      <c r="AF63" s="73">
        <v>0.0</v>
      </c>
      <c r="AG63" s="73">
        <v>0.0</v>
      </c>
      <c r="AH63" s="13">
        <f t="shared" si="16"/>
        <v>12</v>
      </c>
    </row>
    <row r="64" ht="12.75" customHeight="1">
      <c r="A64" s="79"/>
      <c r="B64" s="49"/>
      <c r="C64" s="50" t="s">
        <v>56</v>
      </c>
      <c r="D64" s="51"/>
      <c r="E64" s="80">
        <v>1.0</v>
      </c>
      <c r="F64" s="80">
        <v>0.0</v>
      </c>
      <c r="G64" s="80">
        <v>0.0</v>
      </c>
      <c r="H64" s="80">
        <v>0.0</v>
      </c>
      <c r="I64" s="80">
        <v>1.0</v>
      </c>
      <c r="J64" s="80">
        <v>0.0</v>
      </c>
      <c r="K64" s="80">
        <v>0.0</v>
      </c>
      <c r="L64" s="80">
        <v>0.0</v>
      </c>
      <c r="M64" s="80">
        <v>1.0</v>
      </c>
      <c r="N64" s="80">
        <v>0.0</v>
      </c>
      <c r="O64" s="80">
        <v>0.0</v>
      </c>
      <c r="P64" s="80">
        <v>0.0</v>
      </c>
      <c r="Q64" s="80">
        <v>0.0</v>
      </c>
      <c r="R64" s="80">
        <v>0.0</v>
      </c>
      <c r="S64" s="80">
        <v>0.0</v>
      </c>
      <c r="T64" s="80">
        <v>1.0</v>
      </c>
      <c r="U64" s="80">
        <v>0.0</v>
      </c>
      <c r="V64" s="80">
        <v>0.0</v>
      </c>
      <c r="W64" s="80">
        <v>0.0</v>
      </c>
      <c r="X64" s="80">
        <v>0.0</v>
      </c>
      <c r="Y64" s="80">
        <v>1.0</v>
      </c>
      <c r="Z64" s="80">
        <v>2.0</v>
      </c>
      <c r="AA64" s="80">
        <v>0.0</v>
      </c>
      <c r="AB64" s="80">
        <v>1.0</v>
      </c>
      <c r="AC64" s="80">
        <v>1.0</v>
      </c>
      <c r="AD64" s="80">
        <v>1.0</v>
      </c>
      <c r="AE64" s="80">
        <v>0.0</v>
      </c>
      <c r="AF64" s="80">
        <v>0.0</v>
      </c>
      <c r="AG64" s="80">
        <v>0.0</v>
      </c>
      <c r="AH64" s="13">
        <f t="shared" si="16"/>
        <v>10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0.0</v>
      </c>
      <c r="H65" s="80">
        <v>1.0</v>
      </c>
      <c r="I65" s="80">
        <v>0.0</v>
      </c>
      <c r="J65" s="80">
        <v>0.0</v>
      </c>
      <c r="K65" s="80">
        <v>0.0</v>
      </c>
      <c r="L65" s="80">
        <v>0.0</v>
      </c>
      <c r="M65" s="80">
        <v>0.0</v>
      </c>
      <c r="N65" s="80">
        <v>0.0</v>
      </c>
      <c r="O65" s="80">
        <v>0.0</v>
      </c>
      <c r="P65" s="80">
        <v>0.0</v>
      </c>
      <c r="Q65" s="80">
        <v>0.0</v>
      </c>
      <c r="R65" s="80">
        <v>1.0</v>
      </c>
      <c r="S65" s="80">
        <v>0.0</v>
      </c>
      <c r="T65" s="80">
        <v>0.0</v>
      </c>
      <c r="U65" s="80">
        <v>0.0</v>
      </c>
      <c r="V65" s="80">
        <v>1.0</v>
      </c>
      <c r="W65" s="80">
        <v>0.0</v>
      </c>
      <c r="X65" s="80">
        <v>0.0</v>
      </c>
      <c r="Y65" s="80">
        <v>1.0</v>
      </c>
      <c r="Z65" s="80">
        <v>0.0</v>
      </c>
      <c r="AA65" s="80">
        <v>0.0</v>
      </c>
      <c r="AB65" s="80">
        <v>0.0</v>
      </c>
      <c r="AC65" s="80">
        <v>1.0</v>
      </c>
      <c r="AD65" s="80">
        <v>0.0</v>
      </c>
      <c r="AE65" s="80">
        <v>0.0</v>
      </c>
      <c r="AF65" s="80">
        <v>0.0</v>
      </c>
      <c r="AG65" s="80">
        <v>0.0</v>
      </c>
      <c r="AH65" s="13">
        <f t="shared" si="16"/>
        <v>5</v>
      </c>
    </row>
    <row r="66" ht="12.75" customHeight="1">
      <c r="A66" s="79"/>
      <c r="B66" s="49"/>
      <c r="C66" s="50" t="s">
        <v>58</v>
      </c>
      <c r="D66" s="51"/>
      <c r="E66" s="80">
        <v>1.0</v>
      </c>
      <c r="F66" s="80">
        <v>2.0</v>
      </c>
      <c r="G66" s="80">
        <v>0.0</v>
      </c>
      <c r="H66" s="80">
        <v>0.0</v>
      </c>
      <c r="I66" s="80">
        <v>1.0</v>
      </c>
      <c r="J66" s="80">
        <v>0.0</v>
      </c>
      <c r="K66" s="80">
        <v>0.0</v>
      </c>
      <c r="L66" s="80">
        <v>1.0</v>
      </c>
      <c r="M66" s="80">
        <v>1.0</v>
      </c>
      <c r="N66" s="80">
        <v>0.0</v>
      </c>
      <c r="O66" s="80">
        <v>0.0</v>
      </c>
      <c r="P66" s="80">
        <v>1.0</v>
      </c>
      <c r="Q66" s="80">
        <v>1.0</v>
      </c>
      <c r="R66" s="80">
        <v>0.0</v>
      </c>
      <c r="S66" s="80">
        <v>0.0</v>
      </c>
      <c r="T66" s="80">
        <v>0.0</v>
      </c>
      <c r="U66" s="80">
        <v>1.0</v>
      </c>
      <c r="V66" s="80">
        <v>1.0</v>
      </c>
      <c r="W66" s="80">
        <v>0.0</v>
      </c>
      <c r="X66" s="80">
        <v>1.0</v>
      </c>
      <c r="Y66" s="80">
        <v>0.0</v>
      </c>
      <c r="Z66" s="80">
        <v>0.0</v>
      </c>
      <c r="AA66" s="80">
        <v>0.0</v>
      </c>
      <c r="AB66" s="80">
        <v>2.0</v>
      </c>
      <c r="AC66" s="80">
        <v>0.0</v>
      </c>
      <c r="AD66" s="80">
        <v>0.0</v>
      </c>
      <c r="AE66" s="80">
        <v>3.0</v>
      </c>
      <c r="AF66" s="80">
        <v>0.0</v>
      </c>
      <c r="AG66" s="80">
        <v>0.0</v>
      </c>
      <c r="AH66" s="13">
        <f t="shared" si="16"/>
        <v>16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AH67" si="17">SUM(E57:E66)</f>
        <v>30</v>
      </c>
      <c r="F67" s="13">
        <f t="shared" si="17"/>
        <v>44</v>
      </c>
      <c r="G67" s="13">
        <f t="shared" si="17"/>
        <v>26</v>
      </c>
      <c r="H67" s="13">
        <f t="shared" si="17"/>
        <v>17</v>
      </c>
      <c r="I67" s="13">
        <f t="shared" si="17"/>
        <v>27</v>
      </c>
      <c r="J67" s="13">
        <f t="shared" si="17"/>
        <v>19</v>
      </c>
      <c r="K67" s="13">
        <f t="shared" si="17"/>
        <v>30</v>
      </c>
      <c r="L67" s="13">
        <f t="shared" si="17"/>
        <v>29</v>
      </c>
      <c r="M67" s="13">
        <f t="shared" si="17"/>
        <v>32</v>
      </c>
      <c r="N67" s="13">
        <f t="shared" si="17"/>
        <v>31</v>
      </c>
      <c r="O67" s="13">
        <f t="shared" si="17"/>
        <v>42</v>
      </c>
      <c r="P67" s="13">
        <f t="shared" si="17"/>
        <v>38</v>
      </c>
      <c r="Q67" s="13">
        <f t="shared" si="17"/>
        <v>35</v>
      </c>
      <c r="R67" s="13">
        <f t="shared" si="17"/>
        <v>26</v>
      </c>
      <c r="S67" s="13">
        <f t="shared" si="17"/>
        <v>39</v>
      </c>
      <c r="T67" s="13">
        <f t="shared" si="17"/>
        <v>18</v>
      </c>
      <c r="U67" s="13">
        <f t="shared" si="17"/>
        <v>23</v>
      </c>
      <c r="V67" s="13">
        <f t="shared" si="17"/>
        <v>37</v>
      </c>
      <c r="W67" s="13">
        <f t="shared" si="17"/>
        <v>21</v>
      </c>
      <c r="X67" s="13">
        <f t="shared" si="17"/>
        <v>39</v>
      </c>
      <c r="Y67" s="13">
        <f t="shared" si="17"/>
        <v>31</v>
      </c>
      <c r="Z67" s="13">
        <f t="shared" si="17"/>
        <v>41</v>
      </c>
      <c r="AA67" s="13">
        <f t="shared" si="17"/>
        <v>31</v>
      </c>
      <c r="AB67" s="13">
        <f t="shared" si="17"/>
        <v>35</v>
      </c>
      <c r="AC67" s="13">
        <f t="shared" si="17"/>
        <v>34</v>
      </c>
      <c r="AD67" s="13">
        <f t="shared" si="17"/>
        <v>20</v>
      </c>
      <c r="AE67" s="13">
        <f t="shared" si="17"/>
        <v>29</v>
      </c>
      <c r="AF67" s="13">
        <f t="shared" si="17"/>
        <v>13</v>
      </c>
      <c r="AG67" s="13">
        <f t="shared" si="17"/>
        <v>23</v>
      </c>
      <c r="AH67" s="13">
        <f t="shared" si="17"/>
        <v>860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9.0</v>
      </c>
      <c r="F69" s="73">
        <v>10.0</v>
      </c>
      <c r="G69" s="73">
        <v>11.0</v>
      </c>
      <c r="H69" s="73">
        <v>11.0</v>
      </c>
      <c r="I69" s="73">
        <v>15.0</v>
      </c>
      <c r="J69" s="73">
        <v>11.0</v>
      </c>
      <c r="K69" s="73">
        <v>8.0</v>
      </c>
      <c r="L69" s="73">
        <v>8.0</v>
      </c>
      <c r="M69" s="73">
        <v>10.0</v>
      </c>
      <c r="N69" s="73">
        <v>2.0</v>
      </c>
      <c r="O69" s="73">
        <v>8.0</v>
      </c>
      <c r="P69" s="73">
        <v>7.0</v>
      </c>
      <c r="Q69" s="73">
        <v>10.0</v>
      </c>
      <c r="R69" s="73">
        <v>9.0</v>
      </c>
      <c r="S69" s="73">
        <v>4.0</v>
      </c>
      <c r="T69" s="73">
        <v>9.0</v>
      </c>
      <c r="U69" s="73">
        <v>12.0</v>
      </c>
      <c r="V69" s="73">
        <v>6.0</v>
      </c>
      <c r="W69" s="73">
        <v>3.0</v>
      </c>
      <c r="X69" s="73">
        <v>12.0</v>
      </c>
      <c r="Y69" s="73">
        <v>10.0</v>
      </c>
      <c r="Z69" s="73">
        <v>7.0</v>
      </c>
      <c r="AA69" s="73">
        <v>9.0</v>
      </c>
      <c r="AB69" s="73">
        <v>0.0</v>
      </c>
      <c r="AC69" s="73">
        <v>13.0</v>
      </c>
      <c r="AD69" s="73">
        <v>5.0</v>
      </c>
      <c r="AE69" s="73">
        <v>4.0</v>
      </c>
      <c r="AF69" s="73">
        <v>5.0</v>
      </c>
      <c r="AG69" s="73">
        <v>7.0</v>
      </c>
      <c r="AH69" s="13">
        <f t="shared" ref="AH69:AH78" si="18">SUM(E69:AG69)</f>
        <v>235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8.0</v>
      </c>
      <c r="F70" s="73">
        <v>6.0</v>
      </c>
      <c r="G70" s="73">
        <v>9.0</v>
      </c>
      <c r="H70" s="73">
        <v>5.0</v>
      </c>
      <c r="I70" s="73">
        <v>9.0</v>
      </c>
      <c r="J70" s="73">
        <v>5.0</v>
      </c>
      <c r="K70" s="73">
        <v>5.0</v>
      </c>
      <c r="L70" s="73">
        <v>13.0</v>
      </c>
      <c r="M70" s="73">
        <v>6.0</v>
      </c>
      <c r="N70" s="73">
        <v>3.0</v>
      </c>
      <c r="O70" s="73">
        <v>3.0</v>
      </c>
      <c r="P70" s="73">
        <v>2.0</v>
      </c>
      <c r="Q70" s="73">
        <v>6.0</v>
      </c>
      <c r="R70" s="73">
        <v>16.0</v>
      </c>
      <c r="S70" s="73">
        <v>6.0</v>
      </c>
      <c r="T70" s="73">
        <v>0.0</v>
      </c>
      <c r="U70" s="73">
        <v>3.0</v>
      </c>
      <c r="V70" s="73">
        <v>12.0</v>
      </c>
      <c r="W70" s="73">
        <v>2.0</v>
      </c>
      <c r="X70" s="73">
        <v>7.0</v>
      </c>
      <c r="Y70" s="73">
        <v>12.0</v>
      </c>
      <c r="Z70" s="73">
        <v>9.0</v>
      </c>
      <c r="AA70" s="73">
        <v>3.0</v>
      </c>
      <c r="AB70" s="73">
        <v>3.0</v>
      </c>
      <c r="AC70" s="73">
        <v>6.0</v>
      </c>
      <c r="AD70" s="73">
        <v>6.0</v>
      </c>
      <c r="AE70" s="73">
        <v>3.0</v>
      </c>
      <c r="AF70" s="73">
        <v>5.0</v>
      </c>
      <c r="AG70" s="73">
        <v>1.0</v>
      </c>
      <c r="AH70" s="13">
        <f t="shared" si="18"/>
        <v>174</v>
      </c>
    </row>
    <row r="71" ht="12.75" customHeight="1">
      <c r="A71" s="18"/>
      <c r="B71" s="49"/>
      <c r="C71" s="50" t="s">
        <v>61</v>
      </c>
      <c r="D71" s="51"/>
      <c r="E71" s="73">
        <v>10.0</v>
      </c>
      <c r="F71" s="73">
        <v>8.0</v>
      </c>
      <c r="G71" s="73">
        <v>30.0</v>
      </c>
      <c r="H71" s="73">
        <v>41.0</v>
      </c>
      <c r="I71" s="73">
        <v>6.0</v>
      </c>
      <c r="J71" s="73">
        <v>11.0</v>
      </c>
      <c r="K71" s="73">
        <v>11.0</v>
      </c>
      <c r="L71" s="73">
        <v>7.0</v>
      </c>
      <c r="M71" s="73">
        <v>12.0</v>
      </c>
      <c r="N71" s="73">
        <v>12.0</v>
      </c>
      <c r="O71" s="73">
        <v>3.0</v>
      </c>
      <c r="P71" s="73">
        <v>9.0</v>
      </c>
      <c r="Q71" s="73">
        <v>7.0</v>
      </c>
      <c r="R71" s="73">
        <v>6.0</v>
      </c>
      <c r="S71" s="73">
        <v>4.0</v>
      </c>
      <c r="T71" s="73">
        <v>4.0</v>
      </c>
      <c r="U71" s="73">
        <v>12.0</v>
      </c>
      <c r="V71" s="73">
        <v>8.0</v>
      </c>
      <c r="W71" s="73">
        <v>11.0</v>
      </c>
      <c r="X71" s="73">
        <v>14.0</v>
      </c>
      <c r="Y71" s="73">
        <v>18.0</v>
      </c>
      <c r="Z71" s="73">
        <v>13.0</v>
      </c>
      <c r="AA71" s="73">
        <v>30.0</v>
      </c>
      <c r="AB71" s="73">
        <v>4.0</v>
      </c>
      <c r="AC71" s="73">
        <v>17.0</v>
      </c>
      <c r="AD71" s="73">
        <v>8.0</v>
      </c>
      <c r="AE71" s="73">
        <v>4.0</v>
      </c>
      <c r="AF71" s="73">
        <v>5.0</v>
      </c>
      <c r="AG71" s="73">
        <v>4.0</v>
      </c>
      <c r="AH71" s="13">
        <f t="shared" si="18"/>
        <v>329</v>
      </c>
    </row>
    <row r="72" ht="12.75" customHeight="1">
      <c r="A72" s="18"/>
      <c r="B72" s="49"/>
      <c r="C72" s="50" t="s">
        <v>62</v>
      </c>
      <c r="D72" s="51"/>
      <c r="E72" s="73">
        <v>1.0</v>
      </c>
      <c r="F72" s="73">
        <v>4.0</v>
      </c>
      <c r="G72" s="73">
        <v>6.0</v>
      </c>
      <c r="H72" s="73">
        <v>6.0</v>
      </c>
      <c r="I72" s="73">
        <v>2.0</v>
      </c>
      <c r="J72" s="73">
        <v>3.0</v>
      </c>
      <c r="K72" s="73">
        <v>1.0</v>
      </c>
      <c r="L72" s="73">
        <v>2.0</v>
      </c>
      <c r="M72" s="73">
        <v>5.0</v>
      </c>
      <c r="N72" s="73">
        <v>0.0</v>
      </c>
      <c r="O72" s="73">
        <v>3.0</v>
      </c>
      <c r="P72" s="73">
        <v>2.0</v>
      </c>
      <c r="Q72" s="73">
        <v>1.0</v>
      </c>
      <c r="R72" s="73">
        <v>1.0</v>
      </c>
      <c r="S72" s="73">
        <v>3.0</v>
      </c>
      <c r="T72" s="73">
        <v>1.0</v>
      </c>
      <c r="U72" s="73">
        <v>1.0</v>
      </c>
      <c r="V72" s="73">
        <v>3.0</v>
      </c>
      <c r="W72" s="73">
        <v>2.0</v>
      </c>
      <c r="X72" s="73">
        <v>2.0</v>
      </c>
      <c r="Y72" s="73">
        <v>2.0</v>
      </c>
      <c r="Z72" s="73">
        <v>2.0</v>
      </c>
      <c r="AA72" s="73">
        <v>7.0</v>
      </c>
      <c r="AB72" s="73">
        <v>1.0</v>
      </c>
      <c r="AC72" s="73">
        <v>0.0</v>
      </c>
      <c r="AD72" s="73">
        <v>2.0</v>
      </c>
      <c r="AE72" s="73">
        <v>1.0</v>
      </c>
      <c r="AF72" s="73">
        <v>3.0</v>
      </c>
      <c r="AG72" s="73">
        <v>3.0</v>
      </c>
      <c r="AH72" s="13">
        <f t="shared" si="18"/>
        <v>70</v>
      </c>
    </row>
    <row r="73" ht="12.75" customHeight="1">
      <c r="A73" s="18"/>
      <c r="B73" s="49"/>
      <c r="C73" s="50" t="s">
        <v>63</v>
      </c>
      <c r="D73" s="51"/>
      <c r="E73" s="73">
        <v>1.0</v>
      </c>
      <c r="F73" s="73">
        <v>1.0</v>
      </c>
      <c r="G73" s="73">
        <v>3.0</v>
      </c>
      <c r="H73" s="73">
        <v>1.0</v>
      </c>
      <c r="I73" s="73">
        <v>1.0</v>
      </c>
      <c r="J73" s="73">
        <v>0.0</v>
      </c>
      <c r="K73" s="73">
        <v>2.0</v>
      </c>
      <c r="L73" s="73">
        <v>2.0</v>
      </c>
      <c r="M73" s="73">
        <v>3.0</v>
      </c>
      <c r="N73" s="73">
        <v>2.0</v>
      </c>
      <c r="O73" s="73">
        <v>1.0</v>
      </c>
      <c r="P73" s="73">
        <v>0.0</v>
      </c>
      <c r="Q73" s="73">
        <v>1.0</v>
      </c>
      <c r="R73" s="73">
        <v>2.0</v>
      </c>
      <c r="S73" s="73">
        <v>5.0</v>
      </c>
      <c r="T73" s="73">
        <v>1.0</v>
      </c>
      <c r="U73" s="73">
        <v>1.0</v>
      </c>
      <c r="V73" s="73">
        <v>0.0</v>
      </c>
      <c r="W73" s="73">
        <v>1.0</v>
      </c>
      <c r="X73" s="73">
        <v>2.0</v>
      </c>
      <c r="Y73" s="73">
        <v>2.0</v>
      </c>
      <c r="Z73" s="73">
        <v>1.0</v>
      </c>
      <c r="AA73" s="73">
        <v>2.0</v>
      </c>
      <c r="AB73" s="73">
        <v>0.0</v>
      </c>
      <c r="AC73" s="73">
        <v>2.0</v>
      </c>
      <c r="AD73" s="73">
        <v>4.0</v>
      </c>
      <c r="AE73" s="73">
        <v>0.0</v>
      </c>
      <c r="AF73" s="73">
        <v>0.0</v>
      </c>
      <c r="AG73" s="73">
        <v>1.0</v>
      </c>
      <c r="AH73" s="13">
        <f t="shared" si="18"/>
        <v>42</v>
      </c>
    </row>
    <row r="74" ht="12.75" customHeight="1">
      <c r="A74" s="18"/>
      <c r="B74" s="49"/>
      <c r="C74" s="50" t="s">
        <v>64</v>
      </c>
      <c r="D74" s="51"/>
      <c r="E74" s="73">
        <v>0.0</v>
      </c>
      <c r="F74" s="73">
        <v>1.0</v>
      </c>
      <c r="G74" s="73">
        <v>2.0</v>
      </c>
      <c r="H74" s="73">
        <v>1.0</v>
      </c>
      <c r="I74" s="73">
        <v>0.0</v>
      </c>
      <c r="J74" s="73">
        <v>1.0</v>
      </c>
      <c r="K74" s="73">
        <v>1.0</v>
      </c>
      <c r="L74" s="73">
        <v>1.0</v>
      </c>
      <c r="M74" s="73">
        <v>0.0</v>
      </c>
      <c r="N74" s="73">
        <v>0.0</v>
      </c>
      <c r="O74" s="73">
        <v>2.0</v>
      </c>
      <c r="P74" s="73">
        <v>0.0</v>
      </c>
      <c r="Q74" s="73">
        <v>1.0</v>
      </c>
      <c r="R74" s="73">
        <v>1.0</v>
      </c>
      <c r="S74" s="73">
        <v>1.0</v>
      </c>
      <c r="T74" s="73">
        <v>0.0</v>
      </c>
      <c r="U74" s="73">
        <v>2.0</v>
      </c>
      <c r="V74" s="73">
        <v>2.0</v>
      </c>
      <c r="W74" s="73">
        <v>2.0</v>
      </c>
      <c r="X74" s="73">
        <v>3.0</v>
      </c>
      <c r="Y74" s="73">
        <v>0.0</v>
      </c>
      <c r="Z74" s="73">
        <v>1.0</v>
      </c>
      <c r="AA74" s="73">
        <v>0.0</v>
      </c>
      <c r="AB74" s="73">
        <v>0.0</v>
      </c>
      <c r="AC74" s="73">
        <v>1.0</v>
      </c>
      <c r="AD74" s="73">
        <v>0.0</v>
      </c>
      <c r="AE74" s="73">
        <v>0.0</v>
      </c>
      <c r="AF74" s="73">
        <v>2.0</v>
      </c>
      <c r="AG74" s="73">
        <v>0.0</v>
      </c>
      <c r="AH74" s="13">
        <f t="shared" si="18"/>
        <v>25</v>
      </c>
    </row>
    <row r="75" ht="12.75" customHeight="1">
      <c r="A75" s="18"/>
      <c r="B75" s="49"/>
      <c r="C75" s="50" t="s">
        <v>65</v>
      </c>
      <c r="D75" s="51"/>
      <c r="E75" s="73">
        <v>1.0</v>
      </c>
      <c r="F75" s="73">
        <v>0.0</v>
      </c>
      <c r="G75" s="73">
        <v>1.0</v>
      </c>
      <c r="H75" s="73">
        <v>1.0</v>
      </c>
      <c r="I75" s="73">
        <v>0.0</v>
      </c>
      <c r="J75" s="73">
        <v>1.0</v>
      </c>
      <c r="K75" s="73">
        <v>2.0</v>
      </c>
      <c r="L75" s="73">
        <v>0.0</v>
      </c>
      <c r="M75" s="73">
        <v>2.0</v>
      </c>
      <c r="N75" s="73">
        <v>1.0</v>
      </c>
      <c r="O75" s="73">
        <v>2.0</v>
      </c>
      <c r="P75" s="73">
        <v>0.0</v>
      </c>
      <c r="Q75" s="73">
        <v>0.0</v>
      </c>
      <c r="R75" s="73">
        <v>0.0</v>
      </c>
      <c r="S75" s="73">
        <v>1.0</v>
      </c>
      <c r="T75" s="73">
        <v>1.0</v>
      </c>
      <c r="U75" s="73">
        <v>1.0</v>
      </c>
      <c r="V75" s="73">
        <v>3.0</v>
      </c>
      <c r="W75" s="73">
        <v>0.0</v>
      </c>
      <c r="X75" s="73">
        <v>0.0</v>
      </c>
      <c r="Y75" s="73">
        <v>2.0</v>
      </c>
      <c r="Z75" s="73">
        <v>0.0</v>
      </c>
      <c r="AA75" s="73">
        <v>0.0</v>
      </c>
      <c r="AB75" s="73">
        <v>2.0</v>
      </c>
      <c r="AC75" s="73">
        <v>0.0</v>
      </c>
      <c r="AD75" s="73">
        <v>3.0</v>
      </c>
      <c r="AE75" s="73">
        <v>0.0</v>
      </c>
      <c r="AF75" s="73">
        <v>0.0</v>
      </c>
      <c r="AG75" s="73">
        <v>0.0</v>
      </c>
      <c r="AH75" s="13">
        <f t="shared" si="18"/>
        <v>24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0.0</v>
      </c>
      <c r="G76" s="80">
        <v>0.0</v>
      </c>
      <c r="H76" s="80">
        <v>0.0</v>
      </c>
      <c r="I76" s="80">
        <v>1.0</v>
      </c>
      <c r="J76" s="80">
        <v>0.0</v>
      </c>
      <c r="K76" s="80">
        <v>1.0</v>
      </c>
      <c r="L76" s="80">
        <v>0.0</v>
      </c>
      <c r="M76" s="80">
        <v>0.0</v>
      </c>
      <c r="N76" s="80">
        <v>0.0</v>
      </c>
      <c r="O76" s="80">
        <v>0.0</v>
      </c>
      <c r="P76" s="80">
        <v>0.0</v>
      </c>
      <c r="Q76" s="80">
        <v>0.0</v>
      </c>
      <c r="R76" s="80">
        <v>0.0</v>
      </c>
      <c r="S76" s="80">
        <v>0.0</v>
      </c>
      <c r="T76" s="80">
        <v>0.0</v>
      </c>
      <c r="U76" s="80">
        <v>0.0</v>
      </c>
      <c r="V76" s="80">
        <v>0.0</v>
      </c>
      <c r="W76" s="80">
        <v>0.0</v>
      </c>
      <c r="X76" s="80">
        <v>1.0</v>
      </c>
      <c r="Y76" s="80">
        <v>0.0</v>
      </c>
      <c r="Z76" s="80">
        <v>0.0</v>
      </c>
      <c r="AA76" s="80">
        <v>0.0</v>
      </c>
      <c r="AB76" s="80">
        <v>1.0</v>
      </c>
      <c r="AC76" s="80">
        <v>1.0</v>
      </c>
      <c r="AD76" s="80">
        <v>0.0</v>
      </c>
      <c r="AE76" s="80">
        <v>0.0</v>
      </c>
      <c r="AF76" s="80">
        <v>1.0</v>
      </c>
      <c r="AG76" s="80">
        <v>0.0</v>
      </c>
      <c r="AH76" s="13">
        <f t="shared" si="18"/>
        <v>6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1.0</v>
      </c>
      <c r="G77" s="80">
        <v>0.0</v>
      </c>
      <c r="H77" s="80">
        <v>2.0</v>
      </c>
      <c r="I77" s="80">
        <v>1.0</v>
      </c>
      <c r="J77" s="80">
        <v>0.0</v>
      </c>
      <c r="K77" s="80">
        <v>0.0</v>
      </c>
      <c r="L77" s="80">
        <v>0.0</v>
      </c>
      <c r="M77" s="80">
        <v>1.0</v>
      </c>
      <c r="N77" s="80">
        <v>0.0</v>
      </c>
      <c r="O77" s="80">
        <v>0.0</v>
      </c>
      <c r="P77" s="80">
        <v>0.0</v>
      </c>
      <c r="Q77" s="80">
        <v>0.0</v>
      </c>
      <c r="R77" s="80">
        <v>1.0</v>
      </c>
      <c r="S77" s="80">
        <v>0.0</v>
      </c>
      <c r="T77" s="80">
        <v>0.0</v>
      </c>
      <c r="U77" s="80">
        <v>0.0</v>
      </c>
      <c r="V77" s="80">
        <v>0.0</v>
      </c>
      <c r="W77" s="80">
        <v>0.0</v>
      </c>
      <c r="X77" s="80">
        <v>0.0</v>
      </c>
      <c r="Y77" s="80">
        <v>1.0</v>
      </c>
      <c r="Z77" s="80">
        <v>0.0</v>
      </c>
      <c r="AA77" s="80">
        <v>0.0</v>
      </c>
      <c r="AB77" s="80">
        <v>0.0</v>
      </c>
      <c r="AC77" s="80">
        <v>0.0</v>
      </c>
      <c r="AD77" s="80">
        <v>0.0</v>
      </c>
      <c r="AE77" s="80">
        <v>0.0</v>
      </c>
      <c r="AF77" s="80">
        <v>0.0</v>
      </c>
      <c r="AG77" s="80">
        <v>1.0</v>
      </c>
      <c r="AH77" s="13">
        <f t="shared" si="18"/>
        <v>8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1.0</v>
      </c>
      <c r="G78" s="80">
        <v>0.0</v>
      </c>
      <c r="H78" s="80">
        <v>0.0</v>
      </c>
      <c r="I78" s="80">
        <v>1.0</v>
      </c>
      <c r="J78" s="80">
        <v>0.0</v>
      </c>
      <c r="K78" s="80">
        <v>1.0</v>
      </c>
      <c r="L78" s="80">
        <v>2.0</v>
      </c>
      <c r="M78" s="80">
        <v>0.0</v>
      </c>
      <c r="N78" s="80">
        <v>0.0</v>
      </c>
      <c r="O78" s="80">
        <v>1.0</v>
      </c>
      <c r="P78" s="80">
        <v>1.0</v>
      </c>
      <c r="Q78" s="80">
        <v>1.0</v>
      </c>
      <c r="R78" s="80">
        <v>1.0</v>
      </c>
      <c r="S78" s="80">
        <v>0.0</v>
      </c>
      <c r="T78" s="80">
        <v>0.0</v>
      </c>
      <c r="U78" s="80">
        <v>0.0</v>
      </c>
      <c r="V78" s="80">
        <v>2.0</v>
      </c>
      <c r="W78" s="80">
        <v>1.0</v>
      </c>
      <c r="X78" s="80">
        <v>0.0</v>
      </c>
      <c r="Y78" s="80">
        <v>0.0</v>
      </c>
      <c r="Z78" s="80">
        <v>0.0</v>
      </c>
      <c r="AA78" s="80">
        <v>0.0</v>
      </c>
      <c r="AB78" s="80">
        <v>1.0</v>
      </c>
      <c r="AC78" s="80">
        <v>1.0</v>
      </c>
      <c r="AD78" s="80">
        <v>1.0</v>
      </c>
      <c r="AE78" s="80">
        <v>1.0</v>
      </c>
      <c r="AF78" s="80">
        <v>1.0</v>
      </c>
      <c r="AG78" s="80">
        <v>0.0</v>
      </c>
      <c r="AH78" s="13">
        <f t="shared" si="18"/>
        <v>17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AH79" si="19">SUM(E69:E78)</f>
        <v>30</v>
      </c>
      <c r="F79" s="13">
        <f t="shared" si="19"/>
        <v>32</v>
      </c>
      <c r="G79" s="13">
        <f t="shared" si="19"/>
        <v>62</v>
      </c>
      <c r="H79" s="13">
        <f t="shared" si="19"/>
        <v>68</v>
      </c>
      <c r="I79" s="13">
        <f t="shared" si="19"/>
        <v>36</v>
      </c>
      <c r="J79" s="13">
        <f t="shared" si="19"/>
        <v>32</v>
      </c>
      <c r="K79" s="13">
        <f t="shared" si="19"/>
        <v>32</v>
      </c>
      <c r="L79" s="13">
        <f t="shared" si="19"/>
        <v>35</v>
      </c>
      <c r="M79" s="13">
        <f t="shared" si="19"/>
        <v>39</v>
      </c>
      <c r="N79" s="13">
        <f t="shared" si="19"/>
        <v>20</v>
      </c>
      <c r="O79" s="13">
        <f t="shared" si="19"/>
        <v>23</v>
      </c>
      <c r="P79" s="13">
        <f t="shared" si="19"/>
        <v>21</v>
      </c>
      <c r="Q79" s="13">
        <f t="shared" si="19"/>
        <v>27</v>
      </c>
      <c r="R79" s="13">
        <f t="shared" si="19"/>
        <v>37</v>
      </c>
      <c r="S79" s="13">
        <f t="shared" si="19"/>
        <v>24</v>
      </c>
      <c r="T79" s="13">
        <f t="shared" si="19"/>
        <v>16</v>
      </c>
      <c r="U79" s="13">
        <f t="shared" si="19"/>
        <v>32</v>
      </c>
      <c r="V79" s="13">
        <f t="shared" si="19"/>
        <v>36</v>
      </c>
      <c r="W79" s="13">
        <f t="shared" si="19"/>
        <v>22</v>
      </c>
      <c r="X79" s="13">
        <f t="shared" si="19"/>
        <v>41</v>
      </c>
      <c r="Y79" s="13">
        <f t="shared" si="19"/>
        <v>47</v>
      </c>
      <c r="Z79" s="13">
        <f t="shared" si="19"/>
        <v>33</v>
      </c>
      <c r="AA79" s="13">
        <f t="shared" si="19"/>
        <v>51</v>
      </c>
      <c r="AB79" s="13">
        <f t="shared" si="19"/>
        <v>12</v>
      </c>
      <c r="AC79" s="13">
        <f t="shared" si="19"/>
        <v>41</v>
      </c>
      <c r="AD79" s="13">
        <f t="shared" si="19"/>
        <v>29</v>
      </c>
      <c r="AE79" s="13">
        <f t="shared" si="19"/>
        <v>13</v>
      </c>
      <c r="AF79" s="13">
        <f t="shared" si="19"/>
        <v>22</v>
      </c>
      <c r="AG79" s="13">
        <f t="shared" si="19"/>
        <v>17</v>
      </c>
      <c r="AH79" s="13">
        <f t="shared" si="19"/>
        <v>930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2.0</v>
      </c>
      <c r="F81" s="73">
        <v>3.0</v>
      </c>
      <c r="G81" s="73">
        <v>1.0</v>
      </c>
      <c r="H81" s="73">
        <v>3.0</v>
      </c>
      <c r="I81" s="73">
        <v>3.0</v>
      </c>
      <c r="J81" s="73">
        <v>1.0</v>
      </c>
      <c r="K81" s="73">
        <v>0.0</v>
      </c>
      <c r="L81" s="73">
        <v>4.0</v>
      </c>
      <c r="M81" s="73">
        <v>4.0</v>
      </c>
      <c r="N81" s="73">
        <v>6.0</v>
      </c>
      <c r="O81" s="73">
        <v>9.0</v>
      </c>
      <c r="P81" s="73">
        <v>6.0</v>
      </c>
      <c r="Q81" s="73">
        <v>4.0</v>
      </c>
      <c r="R81" s="73">
        <v>4.0</v>
      </c>
      <c r="S81" s="73">
        <v>8.0</v>
      </c>
      <c r="T81" s="73">
        <v>4.0</v>
      </c>
      <c r="U81" s="73">
        <v>5.0</v>
      </c>
      <c r="V81" s="73">
        <v>5.0</v>
      </c>
      <c r="W81" s="73">
        <v>1.0</v>
      </c>
      <c r="X81" s="73">
        <v>6.0</v>
      </c>
      <c r="Y81" s="73">
        <v>4.0</v>
      </c>
      <c r="Z81" s="73">
        <v>5.0</v>
      </c>
      <c r="AA81" s="73">
        <v>3.0</v>
      </c>
      <c r="AB81" s="73">
        <v>8.0</v>
      </c>
      <c r="AC81" s="73">
        <v>3.0</v>
      </c>
      <c r="AD81" s="73">
        <v>7.0</v>
      </c>
      <c r="AE81" s="73">
        <v>4.0</v>
      </c>
      <c r="AF81" s="73">
        <v>0.0</v>
      </c>
      <c r="AG81" s="73">
        <v>1.0</v>
      </c>
      <c r="AH81" s="13">
        <f t="shared" ref="AH81:AH90" si="20">SUM(E81:AG81)</f>
        <v>114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5.0</v>
      </c>
      <c r="F82" s="73">
        <v>8.0</v>
      </c>
      <c r="G82" s="73">
        <v>2.0</v>
      </c>
      <c r="H82" s="73">
        <v>4.0</v>
      </c>
      <c r="I82" s="73">
        <v>3.0</v>
      </c>
      <c r="J82" s="73">
        <v>4.0</v>
      </c>
      <c r="K82" s="73">
        <v>1.0</v>
      </c>
      <c r="L82" s="73">
        <v>0.0</v>
      </c>
      <c r="M82" s="73">
        <v>2.0</v>
      </c>
      <c r="N82" s="73">
        <v>3.0</v>
      </c>
      <c r="O82" s="73">
        <v>5.0</v>
      </c>
      <c r="P82" s="73">
        <v>5.0</v>
      </c>
      <c r="Q82" s="73">
        <v>3.0</v>
      </c>
      <c r="R82" s="73">
        <v>3.0</v>
      </c>
      <c r="S82" s="73">
        <v>3.0</v>
      </c>
      <c r="T82" s="73">
        <v>3.0</v>
      </c>
      <c r="U82" s="73">
        <v>1.0</v>
      </c>
      <c r="V82" s="73">
        <v>8.0</v>
      </c>
      <c r="W82" s="73">
        <v>2.0</v>
      </c>
      <c r="X82" s="73">
        <v>6.0</v>
      </c>
      <c r="Y82" s="73">
        <v>4.0</v>
      </c>
      <c r="Z82" s="73">
        <v>5.0</v>
      </c>
      <c r="AA82" s="73">
        <v>3.0</v>
      </c>
      <c r="AB82" s="73">
        <v>1.0</v>
      </c>
      <c r="AC82" s="73">
        <v>1.0</v>
      </c>
      <c r="AD82" s="73">
        <v>2.0</v>
      </c>
      <c r="AE82" s="73">
        <v>8.0</v>
      </c>
      <c r="AF82" s="73">
        <v>3.0</v>
      </c>
      <c r="AG82" s="73">
        <v>1.0</v>
      </c>
      <c r="AH82" s="13">
        <f t="shared" si="20"/>
        <v>99</v>
      </c>
    </row>
    <row r="83" ht="12.75" customHeight="1">
      <c r="A83" s="18"/>
      <c r="B83" s="49"/>
      <c r="C83" s="50" t="s">
        <v>71</v>
      </c>
      <c r="D83" s="51"/>
      <c r="E83" s="73">
        <v>1.0</v>
      </c>
      <c r="F83" s="73">
        <v>0.0</v>
      </c>
      <c r="G83" s="73">
        <v>0.0</v>
      </c>
      <c r="H83" s="73">
        <v>1.0</v>
      </c>
      <c r="I83" s="73">
        <v>0.0</v>
      </c>
      <c r="J83" s="73">
        <v>1.0</v>
      </c>
      <c r="K83" s="73">
        <v>0.0</v>
      </c>
      <c r="L83" s="73">
        <v>2.0</v>
      </c>
      <c r="M83" s="73">
        <v>1.0</v>
      </c>
      <c r="N83" s="73">
        <v>1.0</v>
      </c>
      <c r="O83" s="73">
        <v>4.0</v>
      </c>
      <c r="P83" s="73">
        <v>2.0</v>
      </c>
      <c r="Q83" s="73">
        <v>0.0</v>
      </c>
      <c r="R83" s="73">
        <v>1.0</v>
      </c>
      <c r="S83" s="73">
        <v>2.0</v>
      </c>
      <c r="T83" s="73">
        <v>1.0</v>
      </c>
      <c r="U83" s="73">
        <v>0.0</v>
      </c>
      <c r="V83" s="73">
        <v>0.0</v>
      </c>
      <c r="W83" s="73">
        <v>1.0</v>
      </c>
      <c r="X83" s="73">
        <v>5.0</v>
      </c>
      <c r="Y83" s="73">
        <v>2.0</v>
      </c>
      <c r="Z83" s="73">
        <v>2.0</v>
      </c>
      <c r="AA83" s="73">
        <v>1.0</v>
      </c>
      <c r="AB83" s="73">
        <v>1.0</v>
      </c>
      <c r="AC83" s="73">
        <v>0.0</v>
      </c>
      <c r="AD83" s="73">
        <v>2.0</v>
      </c>
      <c r="AE83" s="73">
        <v>1.0</v>
      </c>
      <c r="AF83" s="73">
        <v>1.0</v>
      </c>
      <c r="AG83" s="73">
        <v>0.0</v>
      </c>
      <c r="AH83" s="13">
        <f t="shared" si="20"/>
        <v>33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1.0</v>
      </c>
      <c r="G84" s="73">
        <v>1.0</v>
      </c>
      <c r="H84" s="73">
        <v>3.0</v>
      </c>
      <c r="I84" s="73">
        <v>2.0</v>
      </c>
      <c r="J84" s="73">
        <v>1.0</v>
      </c>
      <c r="K84" s="73">
        <v>0.0</v>
      </c>
      <c r="L84" s="73">
        <v>0.0</v>
      </c>
      <c r="M84" s="73">
        <v>0.0</v>
      </c>
      <c r="N84" s="73">
        <v>0.0</v>
      </c>
      <c r="O84" s="73">
        <v>2.0</v>
      </c>
      <c r="P84" s="73">
        <v>2.0</v>
      </c>
      <c r="Q84" s="73">
        <v>0.0</v>
      </c>
      <c r="R84" s="73">
        <v>0.0</v>
      </c>
      <c r="S84" s="73">
        <v>1.0</v>
      </c>
      <c r="T84" s="73">
        <v>0.0</v>
      </c>
      <c r="U84" s="73">
        <v>0.0</v>
      </c>
      <c r="V84" s="73">
        <v>1.0</v>
      </c>
      <c r="W84" s="73">
        <v>1.0</v>
      </c>
      <c r="X84" s="73">
        <v>2.0</v>
      </c>
      <c r="Y84" s="73">
        <v>1.0</v>
      </c>
      <c r="Z84" s="73">
        <v>0.0</v>
      </c>
      <c r="AA84" s="73">
        <v>0.0</v>
      </c>
      <c r="AB84" s="73">
        <v>1.0</v>
      </c>
      <c r="AC84" s="73">
        <v>0.0</v>
      </c>
      <c r="AD84" s="73">
        <v>0.0</v>
      </c>
      <c r="AE84" s="73">
        <v>0.0</v>
      </c>
      <c r="AF84" s="73">
        <v>0.0</v>
      </c>
      <c r="AG84" s="73">
        <v>0.0</v>
      </c>
      <c r="AH84" s="13">
        <f t="shared" si="20"/>
        <v>19</v>
      </c>
    </row>
    <row r="85" ht="12.75" customHeight="1">
      <c r="A85" s="18"/>
      <c r="B85" s="49"/>
      <c r="C85" s="50" t="s">
        <v>73</v>
      </c>
      <c r="D85" s="51"/>
      <c r="E85" s="73">
        <v>3.0</v>
      </c>
      <c r="F85" s="73">
        <v>2.0</v>
      </c>
      <c r="G85" s="73">
        <v>3.0</v>
      </c>
      <c r="H85" s="73">
        <v>2.0</v>
      </c>
      <c r="I85" s="73">
        <v>3.0</v>
      </c>
      <c r="J85" s="73">
        <v>0.0</v>
      </c>
      <c r="K85" s="73">
        <v>1.0</v>
      </c>
      <c r="L85" s="73">
        <v>1.0</v>
      </c>
      <c r="M85" s="73">
        <v>4.0</v>
      </c>
      <c r="N85" s="73">
        <v>1.0</v>
      </c>
      <c r="O85" s="73">
        <v>2.0</v>
      </c>
      <c r="P85" s="73">
        <v>3.0</v>
      </c>
      <c r="Q85" s="73">
        <v>2.0</v>
      </c>
      <c r="R85" s="73">
        <v>5.0</v>
      </c>
      <c r="S85" s="73">
        <v>2.0</v>
      </c>
      <c r="T85" s="73">
        <v>0.0</v>
      </c>
      <c r="U85" s="73">
        <v>0.0</v>
      </c>
      <c r="V85" s="73">
        <v>1.0</v>
      </c>
      <c r="W85" s="73">
        <v>0.0</v>
      </c>
      <c r="X85" s="73">
        <v>1.0</v>
      </c>
      <c r="Y85" s="73">
        <v>0.0</v>
      </c>
      <c r="Z85" s="73">
        <v>5.0</v>
      </c>
      <c r="AA85" s="73">
        <v>1.0</v>
      </c>
      <c r="AB85" s="73">
        <v>1.0</v>
      </c>
      <c r="AC85" s="73">
        <v>3.0</v>
      </c>
      <c r="AD85" s="73">
        <v>3.0</v>
      </c>
      <c r="AE85" s="73">
        <v>2.0</v>
      </c>
      <c r="AF85" s="73">
        <v>0.0</v>
      </c>
      <c r="AG85" s="73">
        <v>1.0</v>
      </c>
      <c r="AH85" s="13">
        <f t="shared" si="20"/>
        <v>52</v>
      </c>
    </row>
    <row r="86" ht="12.75" customHeight="1">
      <c r="A86" s="18"/>
      <c r="B86" s="49"/>
      <c r="C86" s="50" t="s">
        <v>74</v>
      </c>
      <c r="D86" s="51"/>
      <c r="E86" s="73">
        <v>2.0</v>
      </c>
      <c r="F86" s="73">
        <v>2.0</v>
      </c>
      <c r="G86" s="73">
        <v>1.0</v>
      </c>
      <c r="H86" s="73">
        <v>0.0</v>
      </c>
      <c r="I86" s="73">
        <v>0.0</v>
      </c>
      <c r="J86" s="73">
        <v>0.0</v>
      </c>
      <c r="K86" s="73">
        <v>3.0</v>
      </c>
      <c r="L86" s="73">
        <v>1.0</v>
      </c>
      <c r="M86" s="73">
        <v>1.0</v>
      </c>
      <c r="N86" s="73">
        <v>3.0</v>
      </c>
      <c r="O86" s="73">
        <v>0.0</v>
      </c>
      <c r="P86" s="73">
        <v>5.0</v>
      </c>
      <c r="Q86" s="73">
        <v>0.0</v>
      </c>
      <c r="R86" s="73">
        <v>0.0</v>
      </c>
      <c r="S86" s="73">
        <v>2.0</v>
      </c>
      <c r="T86" s="73">
        <v>7.0</v>
      </c>
      <c r="U86" s="73">
        <v>1.0</v>
      </c>
      <c r="V86" s="73">
        <v>1.0</v>
      </c>
      <c r="W86" s="73">
        <v>4.0</v>
      </c>
      <c r="X86" s="73">
        <v>2.0</v>
      </c>
      <c r="Y86" s="73">
        <v>3.0</v>
      </c>
      <c r="Z86" s="73">
        <v>10.0</v>
      </c>
      <c r="AA86" s="73">
        <v>1.0</v>
      </c>
      <c r="AB86" s="73">
        <v>2.0</v>
      </c>
      <c r="AC86" s="73">
        <v>0.0</v>
      </c>
      <c r="AD86" s="73">
        <v>3.0</v>
      </c>
      <c r="AE86" s="73">
        <v>1.0</v>
      </c>
      <c r="AF86" s="73">
        <v>1.0</v>
      </c>
      <c r="AG86" s="73">
        <v>17.0</v>
      </c>
      <c r="AH86" s="13">
        <f t="shared" si="20"/>
        <v>73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1.0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1.0</v>
      </c>
      <c r="P87" s="73">
        <v>3.0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0.0</v>
      </c>
      <c r="X87" s="73">
        <v>1.0</v>
      </c>
      <c r="Y87" s="73">
        <v>1.0</v>
      </c>
      <c r="Z87" s="73">
        <v>0.0</v>
      </c>
      <c r="AA87" s="73">
        <v>0.0</v>
      </c>
      <c r="AB87" s="73">
        <v>0.0</v>
      </c>
      <c r="AC87" s="73">
        <v>1.0</v>
      </c>
      <c r="AD87" s="73">
        <v>0.0</v>
      </c>
      <c r="AE87" s="73">
        <v>0.0</v>
      </c>
      <c r="AF87" s="73">
        <v>0.0</v>
      </c>
      <c r="AG87" s="73">
        <v>0.0</v>
      </c>
      <c r="AH87" s="13">
        <f t="shared" si="20"/>
        <v>8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2.0</v>
      </c>
      <c r="G88" s="80">
        <v>1.0</v>
      </c>
      <c r="H88" s="80">
        <v>0.0</v>
      </c>
      <c r="I88" s="80">
        <v>0.0</v>
      </c>
      <c r="J88" s="80">
        <v>1.0</v>
      </c>
      <c r="K88" s="80">
        <v>1.0</v>
      </c>
      <c r="L88" s="80">
        <v>0.0</v>
      </c>
      <c r="M88" s="80">
        <v>0.0</v>
      </c>
      <c r="N88" s="80">
        <v>1.0</v>
      </c>
      <c r="O88" s="80">
        <v>2.0</v>
      </c>
      <c r="P88" s="80">
        <v>1.0</v>
      </c>
      <c r="Q88" s="80">
        <v>0.0</v>
      </c>
      <c r="R88" s="80">
        <v>0.0</v>
      </c>
      <c r="S88" s="80">
        <v>0.0</v>
      </c>
      <c r="T88" s="80">
        <v>0.0</v>
      </c>
      <c r="U88" s="80">
        <v>0.0</v>
      </c>
      <c r="V88" s="80">
        <v>0.0</v>
      </c>
      <c r="W88" s="80">
        <v>0.0</v>
      </c>
      <c r="X88" s="80">
        <v>1.0</v>
      </c>
      <c r="Y88" s="80">
        <v>0.0</v>
      </c>
      <c r="Z88" s="80">
        <v>0.0</v>
      </c>
      <c r="AA88" s="80">
        <v>0.0</v>
      </c>
      <c r="AB88" s="80">
        <v>0.0</v>
      </c>
      <c r="AC88" s="80">
        <v>0.0</v>
      </c>
      <c r="AD88" s="80">
        <v>0.0</v>
      </c>
      <c r="AE88" s="80">
        <v>0.0</v>
      </c>
      <c r="AF88" s="80">
        <v>0.0</v>
      </c>
      <c r="AG88" s="80">
        <v>0.0</v>
      </c>
      <c r="AH88" s="13">
        <f t="shared" si="20"/>
        <v>10</v>
      </c>
    </row>
    <row r="89" ht="12.75" customHeight="1">
      <c r="A89" s="79"/>
      <c r="B89" s="49"/>
      <c r="C89" s="50" t="s">
        <v>77</v>
      </c>
      <c r="D89" s="51"/>
      <c r="E89" s="80">
        <v>1.0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0.0</v>
      </c>
      <c r="N89" s="80">
        <v>0.0</v>
      </c>
      <c r="O89" s="80">
        <v>1.0</v>
      </c>
      <c r="P89" s="80">
        <v>0.0</v>
      </c>
      <c r="Q89" s="80">
        <v>0.0</v>
      </c>
      <c r="R89" s="80">
        <v>0.0</v>
      </c>
      <c r="S89" s="80">
        <v>0.0</v>
      </c>
      <c r="T89" s="80">
        <v>0.0</v>
      </c>
      <c r="U89" s="80">
        <v>0.0</v>
      </c>
      <c r="V89" s="80">
        <v>0.0</v>
      </c>
      <c r="W89" s="80">
        <v>0.0</v>
      </c>
      <c r="X89" s="80">
        <v>1.0</v>
      </c>
      <c r="Y89" s="80">
        <v>1.0</v>
      </c>
      <c r="Z89" s="80">
        <v>0.0</v>
      </c>
      <c r="AA89" s="80">
        <v>0.0</v>
      </c>
      <c r="AB89" s="80">
        <v>0.0</v>
      </c>
      <c r="AC89" s="80">
        <v>1.0</v>
      </c>
      <c r="AD89" s="80">
        <v>0.0</v>
      </c>
      <c r="AE89" s="80">
        <v>1.0</v>
      </c>
      <c r="AF89" s="80">
        <v>0.0</v>
      </c>
      <c r="AG89" s="80">
        <v>0.0</v>
      </c>
      <c r="AH89" s="13">
        <f t="shared" si="20"/>
        <v>6</v>
      </c>
    </row>
    <row r="90" ht="12.75" customHeight="1">
      <c r="A90" s="79"/>
      <c r="B90" s="49"/>
      <c r="C90" s="50" t="s">
        <v>78</v>
      </c>
      <c r="D90" s="51"/>
      <c r="E90" s="80">
        <v>2.0</v>
      </c>
      <c r="F90" s="80">
        <v>0.0</v>
      </c>
      <c r="G90" s="80">
        <v>2.0</v>
      </c>
      <c r="H90" s="80">
        <v>0.0</v>
      </c>
      <c r="I90" s="80">
        <v>0.0</v>
      </c>
      <c r="J90" s="80">
        <v>0.0</v>
      </c>
      <c r="K90" s="80">
        <v>0.0</v>
      </c>
      <c r="L90" s="80">
        <v>0.0</v>
      </c>
      <c r="M90" s="80">
        <v>0.0</v>
      </c>
      <c r="N90" s="80">
        <v>0.0</v>
      </c>
      <c r="O90" s="80">
        <v>1.0</v>
      </c>
      <c r="P90" s="80">
        <v>0.0</v>
      </c>
      <c r="Q90" s="80">
        <v>1.0</v>
      </c>
      <c r="R90" s="80">
        <v>0.0</v>
      </c>
      <c r="S90" s="80">
        <v>0.0</v>
      </c>
      <c r="T90" s="82"/>
      <c r="U90" s="82"/>
      <c r="V90" s="82"/>
      <c r="W90" s="82"/>
      <c r="X90" s="82"/>
      <c r="Y90" s="82"/>
      <c r="Z90" s="82"/>
      <c r="AA90" s="80">
        <v>1.0</v>
      </c>
      <c r="AB90" s="82"/>
      <c r="AC90" s="82"/>
      <c r="AD90" s="82"/>
      <c r="AE90" s="82"/>
      <c r="AF90" s="82"/>
      <c r="AG90" s="82"/>
      <c r="AH90" s="13">
        <f t="shared" si="20"/>
        <v>7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AH91" si="21">SUM(E81:E90)</f>
        <v>16</v>
      </c>
      <c r="F91" s="13">
        <f t="shared" si="21"/>
        <v>18</v>
      </c>
      <c r="G91" s="13">
        <f t="shared" si="21"/>
        <v>11</v>
      </c>
      <c r="H91" s="13">
        <f t="shared" si="21"/>
        <v>13</v>
      </c>
      <c r="I91" s="13">
        <f t="shared" si="21"/>
        <v>12</v>
      </c>
      <c r="J91" s="13">
        <f t="shared" si="21"/>
        <v>8</v>
      </c>
      <c r="K91" s="13">
        <f t="shared" si="21"/>
        <v>6</v>
      </c>
      <c r="L91" s="13">
        <f t="shared" si="21"/>
        <v>8</v>
      </c>
      <c r="M91" s="13">
        <f t="shared" si="21"/>
        <v>12</v>
      </c>
      <c r="N91" s="13">
        <f t="shared" si="21"/>
        <v>15</v>
      </c>
      <c r="O91" s="13">
        <f t="shared" si="21"/>
        <v>27</v>
      </c>
      <c r="P91" s="13">
        <f t="shared" si="21"/>
        <v>27</v>
      </c>
      <c r="Q91" s="13">
        <f t="shared" si="21"/>
        <v>10</v>
      </c>
      <c r="R91" s="13">
        <f t="shared" si="21"/>
        <v>13</v>
      </c>
      <c r="S91" s="13">
        <f t="shared" si="21"/>
        <v>18</v>
      </c>
      <c r="T91" s="13">
        <f t="shared" si="21"/>
        <v>15</v>
      </c>
      <c r="U91" s="13">
        <f t="shared" si="21"/>
        <v>7</v>
      </c>
      <c r="V91" s="13">
        <f t="shared" si="21"/>
        <v>16</v>
      </c>
      <c r="W91" s="13">
        <f t="shared" si="21"/>
        <v>9</v>
      </c>
      <c r="X91" s="13">
        <f t="shared" si="21"/>
        <v>25</v>
      </c>
      <c r="Y91" s="13">
        <f t="shared" si="21"/>
        <v>16</v>
      </c>
      <c r="Z91" s="13">
        <f t="shared" si="21"/>
        <v>27</v>
      </c>
      <c r="AA91" s="13">
        <f t="shared" si="21"/>
        <v>10</v>
      </c>
      <c r="AB91" s="13">
        <f t="shared" si="21"/>
        <v>14</v>
      </c>
      <c r="AC91" s="13">
        <f t="shared" si="21"/>
        <v>9</v>
      </c>
      <c r="AD91" s="13">
        <f t="shared" si="21"/>
        <v>17</v>
      </c>
      <c r="AE91" s="13">
        <f t="shared" si="21"/>
        <v>17</v>
      </c>
      <c r="AF91" s="13">
        <f t="shared" si="21"/>
        <v>5</v>
      </c>
      <c r="AG91" s="13">
        <f t="shared" si="21"/>
        <v>20</v>
      </c>
      <c r="AH91" s="13">
        <f t="shared" si="21"/>
        <v>421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2.0</v>
      </c>
      <c r="F93" s="73">
        <v>2.0</v>
      </c>
      <c r="G93" s="73">
        <v>3.0</v>
      </c>
      <c r="H93" s="73">
        <v>4.0</v>
      </c>
      <c r="I93" s="73">
        <v>7.0</v>
      </c>
      <c r="J93" s="73">
        <v>1.0</v>
      </c>
      <c r="K93" s="73">
        <v>7.0</v>
      </c>
      <c r="L93" s="73">
        <v>0.0</v>
      </c>
      <c r="M93" s="73">
        <v>5.0</v>
      </c>
      <c r="N93" s="73">
        <v>0.0</v>
      </c>
      <c r="O93" s="73">
        <v>1.0</v>
      </c>
      <c r="P93" s="73">
        <v>2.0</v>
      </c>
      <c r="Q93" s="73">
        <v>2.0</v>
      </c>
      <c r="R93" s="73">
        <v>3.0</v>
      </c>
      <c r="S93" s="73">
        <v>0.0</v>
      </c>
      <c r="T93" s="73">
        <v>0.0</v>
      </c>
      <c r="U93" s="73">
        <v>3.0</v>
      </c>
      <c r="V93" s="73">
        <v>2.0</v>
      </c>
      <c r="W93" s="73">
        <v>3.0</v>
      </c>
      <c r="X93" s="73">
        <v>3.0</v>
      </c>
      <c r="Y93" s="73">
        <v>0.0</v>
      </c>
      <c r="Z93" s="73">
        <v>3.0</v>
      </c>
      <c r="AA93" s="73">
        <v>2.0</v>
      </c>
      <c r="AB93" s="73">
        <v>1.0</v>
      </c>
      <c r="AC93" s="73">
        <v>0.0</v>
      </c>
      <c r="AD93" s="73">
        <v>1.0</v>
      </c>
      <c r="AE93" s="73">
        <v>0.0</v>
      </c>
      <c r="AF93" s="73">
        <v>0.0</v>
      </c>
      <c r="AG93" s="73">
        <v>6.0</v>
      </c>
      <c r="AH93" s="13">
        <f t="shared" ref="AH93:AH102" si="22">SUM(E93:AG93)</f>
        <v>63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4.0</v>
      </c>
      <c r="F94" s="73">
        <v>4.0</v>
      </c>
      <c r="G94" s="73">
        <v>2.0</v>
      </c>
      <c r="H94" s="73">
        <v>4.0</v>
      </c>
      <c r="I94" s="73">
        <v>11.0</v>
      </c>
      <c r="J94" s="73">
        <v>3.0</v>
      </c>
      <c r="K94" s="73">
        <v>2.0</v>
      </c>
      <c r="L94" s="73">
        <v>3.0</v>
      </c>
      <c r="M94" s="73">
        <v>3.0</v>
      </c>
      <c r="N94" s="73">
        <v>0.0</v>
      </c>
      <c r="O94" s="73">
        <v>4.0</v>
      </c>
      <c r="P94" s="73">
        <v>1.0</v>
      </c>
      <c r="Q94" s="73">
        <v>1.0</v>
      </c>
      <c r="R94" s="73">
        <v>1.0</v>
      </c>
      <c r="S94" s="73">
        <v>0.0</v>
      </c>
      <c r="T94" s="73">
        <v>2.0</v>
      </c>
      <c r="U94" s="73">
        <v>0.0</v>
      </c>
      <c r="V94" s="73">
        <v>0.0</v>
      </c>
      <c r="W94" s="73">
        <v>1.0</v>
      </c>
      <c r="X94" s="73">
        <v>1.0</v>
      </c>
      <c r="Y94" s="73">
        <v>3.0</v>
      </c>
      <c r="Z94" s="73">
        <v>5.0</v>
      </c>
      <c r="AA94" s="73">
        <v>2.0</v>
      </c>
      <c r="AB94" s="73">
        <v>1.0</v>
      </c>
      <c r="AC94" s="73">
        <v>5.0</v>
      </c>
      <c r="AD94" s="73">
        <v>0.0</v>
      </c>
      <c r="AE94" s="73">
        <v>1.0</v>
      </c>
      <c r="AF94" s="73">
        <v>2.0</v>
      </c>
      <c r="AG94" s="73">
        <v>8.0</v>
      </c>
      <c r="AH94" s="13">
        <f t="shared" si="22"/>
        <v>74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1.0</v>
      </c>
      <c r="J95" s="73">
        <v>1.0</v>
      </c>
      <c r="K95" s="73">
        <v>1.0</v>
      </c>
      <c r="L95" s="73">
        <v>0.0</v>
      </c>
      <c r="M95" s="73">
        <v>1.0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1.0</v>
      </c>
      <c r="U95" s="73">
        <v>0.0</v>
      </c>
      <c r="V95" s="73">
        <v>0.0</v>
      </c>
      <c r="W95" s="73">
        <v>0.0</v>
      </c>
      <c r="X95" s="73">
        <v>0.0</v>
      </c>
      <c r="Y95" s="73">
        <v>3.0</v>
      </c>
      <c r="Z95" s="73">
        <v>0.0</v>
      </c>
      <c r="AA95" s="73">
        <v>1.0</v>
      </c>
      <c r="AB95" s="73">
        <v>1.0</v>
      </c>
      <c r="AC95" s="73">
        <v>1.0</v>
      </c>
      <c r="AD95" s="73">
        <v>1.0</v>
      </c>
      <c r="AE95" s="73">
        <v>1.0</v>
      </c>
      <c r="AF95" s="73">
        <v>1.0</v>
      </c>
      <c r="AG95" s="73">
        <v>2.0</v>
      </c>
      <c r="AH95" s="13">
        <f t="shared" si="22"/>
        <v>16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1.0</v>
      </c>
      <c r="J96" s="73">
        <v>0.0</v>
      </c>
      <c r="K96" s="73">
        <v>0.0</v>
      </c>
      <c r="L96" s="73">
        <v>1.0</v>
      </c>
      <c r="M96" s="73">
        <v>0.0</v>
      </c>
      <c r="N96" s="73">
        <v>0.0</v>
      </c>
      <c r="O96" s="73">
        <v>0.0</v>
      </c>
      <c r="P96" s="73">
        <v>0.0</v>
      </c>
      <c r="Q96" s="73">
        <v>1.0</v>
      </c>
      <c r="R96" s="73">
        <v>0.0</v>
      </c>
      <c r="S96" s="73">
        <v>1.0</v>
      </c>
      <c r="T96" s="73">
        <v>0.0</v>
      </c>
      <c r="U96" s="73">
        <v>0.0</v>
      </c>
      <c r="V96" s="73">
        <v>0.0</v>
      </c>
      <c r="W96" s="73">
        <v>0.0</v>
      </c>
      <c r="X96" s="73">
        <v>1.0</v>
      </c>
      <c r="Y96" s="73">
        <v>0.0</v>
      </c>
      <c r="Z96" s="73">
        <v>1.0</v>
      </c>
      <c r="AA96" s="73">
        <v>0.0</v>
      </c>
      <c r="AB96" s="73">
        <v>0.0</v>
      </c>
      <c r="AC96" s="73">
        <v>0.0</v>
      </c>
      <c r="AD96" s="73">
        <v>0.0</v>
      </c>
      <c r="AE96" s="73">
        <v>0.0</v>
      </c>
      <c r="AF96" s="73">
        <v>0.0</v>
      </c>
      <c r="AG96" s="73">
        <v>0.0</v>
      </c>
      <c r="AH96" s="13">
        <f t="shared" si="22"/>
        <v>6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1.0</v>
      </c>
      <c r="H97" s="73">
        <v>0.0</v>
      </c>
      <c r="I97" s="73">
        <v>1.0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1.0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0.0</v>
      </c>
      <c r="AC97" s="73">
        <v>0.0</v>
      </c>
      <c r="AD97" s="73">
        <v>0.0</v>
      </c>
      <c r="AE97" s="73">
        <v>0.0</v>
      </c>
      <c r="AF97" s="73">
        <v>0.0</v>
      </c>
      <c r="AG97" s="73">
        <v>0.0</v>
      </c>
      <c r="AH97" s="13">
        <f t="shared" si="22"/>
        <v>3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1.0</v>
      </c>
      <c r="J98" s="73">
        <v>1.0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1.0</v>
      </c>
      <c r="Y98" s="73">
        <v>1.0</v>
      </c>
      <c r="Z98" s="73">
        <v>1.0</v>
      </c>
      <c r="AA98" s="73">
        <v>1.0</v>
      </c>
      <c r="AB98" s="73">
        <v>0.0</v>
      </c>
      <c r="AC98" s="73">
        <v>0.0</v>
      </c>
      <c r="AD98" s="73">
        <v>0.0</v>
      </c>
      <c r="AE98" s="73">
        <v>0.0</v>
      </c>
      <c r="AF98" s="73">
        <v>0.0</v>
      </c>
      <c r="AG98" s="73">
        <v>4.0</v>
      </c>
      <c r="AH98" s="13">
        <f t="shared" si="22"/>
        <v>10</v>
      </c>
    </row>
    <row r="99" ht="12.75" customHeight="1">
      <c r="A99" s="18"/>
      <c r="B99" s="49"/>
      <c r="C99" s="50" t="s">
        <v>86</v>
      </c>
      <c r="D99" s="51"/>
      <c r="E99" s="73">
        <v>1.0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1.0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1.0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13">
        <f t="shared" si="22"/>
        <v>3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1.0</v>
      </c>
      <c r="R100" s="80">
        <v>0.0</v>
      </c>
      <c r="S100" s="80">
        <v>0.0</v>
      </c>
      <c r="T100" s="80">
        <v>0.0</v>
      </c>
      <c r="U100" s="80">
        <v>0.0</v>
      </c>
      <c r="V100" s="80">
        <v>0.0</v>
      </c>
      <c r="W100" s="80">
        <v>0.0</v>
      </c>
      <c r="X100" s="80">
        <v>0.0</v>
      </c>
      <c r="Y100" s="80">
        <v>0.0</v>
      </c>
      <c r="Z100" s="80">
        <v>0.0</v>
      </c>
      <c r="AA100" s="80">
        <v>0.0</v>
      </c>
      <c r="AB100" s="80">
        <v>0.0</v>
      </c>
      <c r="AC100" s="80">
        <v>0.0</v>
      </c>
      <c r="AD100" s="80">
        <v>0.0</v>
      </c>
      <c r="AE100" s="80">
        <v>0.0</v>
      </c>
      <c r="AF100" s="80">
        <v>0.0</v>
      </c>
      <c r="AG100" s="80">
        <v>0.0</v>
      </c>
      <c r="AH100" s="13">
        <f t="shared" si="22"/>
        <v>1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80">
        <v>0.0</v>
      </c>
      <c r="M101" s="80">
        <v>0.0</v>
      </c>
      <c r="N101" s="80">
        <v>0.0</v>
      </c>
      <c r="O101" s="80">
        <v>0.0</v>
      </c>
      <c r="P101" s="80">
        <v>0.0</v>
      </c>
      <c r="Q101" s="80">
        <v>0.0</v>
      </c>
      <c r="R101" s="80">
        <v>0.0</v>
      </c>
      <c r="S101" s="80">
        <v>0.0</v>
      </c>
      <c r="T101" s="80">
        <v>0.0</v>
      </c>
      <c r="U101" s="80">
        <v>0.0</v>
      </c>
      <c r="V101" s="80">
        <v>0.0</v>
      </c>
      <c r="W101" s="80">
        <v>1.0</v>
      </c>
      <c r="X101" s="80">
        <v>1.0</v>
      </c>
      <c r="Y101" s="80">
        <v>0.0</v>
      </c>
      <c r="Z101" s="80">
        <v>0.0</v>
      </c>
      <c r="AA101" s="80">
        <v>0.0</v>
      </c>
      <c r="AB101" s="80">
        <v>1.0</v>
      </c>
      <c r="AC101" s="80">
        <v>2.0</v>
      </c>
      <c r="AD101" s="80">
        <v>0.0</v>
      </c>
      <c r="AE101" s="80">
        <v>0.0</v>
      </c>
      <c r="AF101" s="80">
        <v>0.0</v>
      </c>
      <c r="AG101" s="80">
        <v>1.0</v>
      </c>
      <c r="AH101" s="13">
        <f t="shared" si="22"/>
        <v>6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1.0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80">
        <v>0.0</v>
      </c>
      <c r="V102" s="80">
        <v>0.0</v>
      </c>
      <c r="W102" s="80">
        <v>1.0</v>
      </c>
      <c r="X102" s="80">
        <v>0.0</v>
      </c>
      <c r="Y102" s="80">
        <v>0.0</v>
      </c>
      <c r="Z102" s="80">
        <v>0.0</v>
      </c>
      <c r="AA102" s="80">
        <v>0.0</v>
      </c>
      <c r="AB102" s="80">
        <v>0.0</v>
      </c>
      <c r="AC102" s="80">
        <v>0.0</v>
      </c>
      <c r="AD102" s="80">
        <v>0.0</v>
      </c>
      <c r="AE102" s="80">
        <v>0.0</v>
      </c>
      <c r="AF102" s="80">
        <v>0.0</v>
      </c>
      <c r="AG102" s="80">
        <v>0.0</v>
      </c>
      <c r="AH102" s="13">
        <f t="shared" si="22"/>
        <v>2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AH103" si="23">SUM(E93:E102)</f>
        <v>7</v>
      </c>
      <c r="F103" s="13">
        <f t="shared" si="23"/>
        <v>6</v>
      </c>
      <c r="G103" s="13">
        <f t="shared" si="23"/>
        <v>6</v>
      </c>
      <c r="H103" s="13">
        <f t="shared" si="23"/>
        <v>8</v>
      </c>
      <c r="I103" s="13">
        <f t="shared" si="23"/>
        <v>22</v>
      </c>
      <c r="J103" s="13">
        <f t="shared" si="23"/>
        <v>6</v>
      </c>
      <c r="K103" s="13">
        <f t="shared" si="23"/>
        <v>10</v>
      </c>
      <c r="L103" s="13">
        <f t="shared" si="23"/>
        <v>5</v>
      </c>
      <c r="M103" s="13">
        <f t="shared" si="23"/>
        <v>9</v>
      </c>
      <c r="N103" s="13">
        <f t="shared" si="23"/>
        <v>1</v>
      </c>
      <c r="O103" s="13">
        <f t="shared" si="23"/>
        <v>5</v>
      </c>
      <c r="P103" s="13">
        <f t="shared" si="23"/>
        <v>3</v>
      </c>
      <c r="Q103" s="13">
        <f t="shared" si="23"/>
        <v>5</v>
      </c>
      <c r="R103" s="13">
        <f t="shared" si="23"/>
        <v>5</v>
      </c>
      <c r="S103" s="13">
        <f t="shared" si="23"/>
        <v>1</v>
      </c>
      <c r="T103" s="13">
        <f t="shared" si="23"/>
        <v>3</v>
      </c>
      <c r="U103" s="13">
        <f t="shared" si="23"/>
        <v>3</v>
      </c>
      <c r="V103" s="13">
        <f t="shared" si="23"/>
        <v>2</v>
      </c>
      <c r="W103" s="13">
        <f t="shared" si="23"/>
        <v>6</v>
      </c>
      <c r="X103" s="13">
        <f t="shared" si="23"/>
        <v>7</v>
      </c>
      <c r="Y103" s="13">
        <f t="shared" si="23"/>
        <v>8</v>
      </c>
      <c r="Z103" s="13">
        <f t="shared" si="23"/>
        <v>10</v>
      </c>
      <c r="AA103" s="13">
        <f t="shared" si="23"/>
        <v>6</v>
      </c>
      <c r="AB103" s="13">
        <f t="shared" si="23"/>
        <v>4</v>
      </c>
      <c r="AC103" s="13">
        <f t="shared" si="23"/>
        <v>8</v>
      </c>
      <c r="AD103" s="13">
        <f t="shared" si="23"/>
        <v>2</v>
      </c>
      <c r="AE103" s="13">
        <f t="shared" si="23"/>
        <v>2</v>
      </c>
      <c r="AF103" s="13">
        <f t="shared" si="23"/>
        <v>3</v>
      </c>
      <c r="AG103" s="13">
        <f t="shared" si="23"/>
        <v>21</v>
      </c>
      <c r="AH103" s="13">
        <f t="shared" si="23"/>
        <v>184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1.0</v>
      </c>
      <c r="G105" s="73">
        <v>1.0</v>
      </c>
      <c r="H105" s="73">
        <v>2.0</v>
      </c>
      <c r="I105" s="73">
        <v>0.0</v>
      </c>
      <c r="J105" s="73">
        <v>0.0</v>
      </c>
      <c r="K105" s="73">
        <v>1.0</v>
      </c>
      <c r="L105" s="73">
        <v>0.0</v>
      </c>
      <c r="M105" s="73">
        <v>0.0</v>
      </c>
      <c r="N105" s="73">
        <v>0.0</v>
      </c>
      <c r="O105" s="73">
        <v>0.0</v>
      </c>
      <c r="P105" s="73">
        <v>2.0</v>
      </c>
      <c r="Q105" s="73">
        <v>2.0</v>
      </c>
      <c r="R105" s="73">
        <v>1.0</v>
      </c>
      <c r="S105" s="19"/>
      <c r="T105" s="73">
        <v>1.0</v>
      </c>
      <c r="U105" s="73">
        <v>0.0</v>
      </c>
      <c r="V105" s="73">
        <v>0.0</v>
      </c>
      <c r="W105" s="73">
        <v>0.0</v>
      </c>
      <c r="X105" s="73">
        <v>0.0</v>
      </c>
      <c r="Y105" s="73">
        <v>1.0</v>
      </c>
      <c r="Z105" s="73">
        <v>1.0</v>
      </c>
      <c r="AA105" s="73">
        <v>1.0</v>
      </c>
      <c r="AB105" s="73">
        <v>0.0</v>
      </c>
      <c r="AC105" s="73">
        <v>2.0</v>
      </c>
      <c r="AD105" s="73">
        <v>0.0</v>
      </c>
      <c r="AE105" s="73">
        <v>0.0</v>
      </c>
      <c r="AF105" s="73">
        <v>0.0</v>
      </c>
      <c r="AG105" s="73">
        <v>0.0</v>
      </c>
      <c r="AH105" s="13">
        <f t="shared" ref="AH105:AH114" si="24">SUM(E105:AG105)</f>
        <v>16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2.0</v>
      </c>
      <c r="F106" s="73">
        <v>1.0</v>
      </c>
      <c r="G106" s="73">
        <v>2.0</v>
      </c>
      <c r="H106" s="73">
        <v>3.0</v>
      </c>
      <c r="I106" s="73">
        <v>2.0</v>
      </c>
      <c r="J106" s="73">
        <v>1.0</v>
      </c>
      <c r="K106" s="73">
        <v>0.0</v>
      </c>
      <c r="L106" s="73">
        <v>1.0</v>
      </c>
      <c r="M106" s="73">
        <v>0.0</v>
      </c>
      <c r="N106" s="73">
        <v>1.0</v>
      </c>
      <c r="O106" s="73">
        <v>1.0</v>
      </c>
      <c r="P106" s="73">
        <v>0.0</v>
      </c>
      <c r="Q106" s="73">
        <v>0.0</v>
      </c>
      <c r="R106" s="73">
        <v>0.0</v>
      </c>
      <c r="S106" s="19"/>
      <c r="T106" s="73">
        <v>2.0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1.0</v>
      </c>
      <c r="AA106" s="73">
        <v>0.0</v>
      </c>
      <c r="AB106" s="73">
        <v>4.0</v>
      </c>
      <c r="AC106" s="73">
        <v>1.0</v>
      </c>
      <c r="AD106" s="73">
        <v>0.0</v>
      </c>
      <c r="AE106" s="73">
        <v>0.0</v>
      </c>
      <c r="AF106" s="73">
        <v>0.0</v>
      </c>
      <c r="AG106" s="73">
        <v>0.0</v>
      </c>
      <c r="AH106" s="13">
        <f t="shared" si="24"/>
        <v>22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0.0</v>
      </c>
      <c r="I107" s="80">
        <v>0.0</v>
      </c>
      <c r="J107" s="80">
        <v>0.0</v>
      </c>
      <c r="K107" s="80">
        <v>0.0</v>
      </c>
      <c r="L107" s="80">
        <v>0.0</v>
      </c>
      <c r="M107" s="80">
        <v>0.0</v>
      </c>
      <c r="N107" s="80">
        <v>2.0</v>
      </c>
      <c r="O107" s="80">
        <v>0.0</v>
      </c>
      <c r="P107" s="80">
        <v>2.0</v>
      </c>
      <c r="Q107" s="80">
        <v>0.0</v>
      </c>
      <c r="R107" s="80">
        <v>0.0</v>
      </c>
      <c r="S107" s="82"/>
      <c r="T107" s="80">
        <v>0.0</v>
      </c>
      <c r="U107" s="80">
        <v>0.0</v>
      </c>
      <c r="V107" s="80">
        <v>1.0</v>
      </c>
      <c r="W107" s="80">
        <v>0.0</v>
      </c>
      <c r="X107" s="80">
        <v>0.0</v>
      </c>
      <c r="Y107" s="80">
        <v>1.0</v>
      </c>
      <c r="Z107" s="80">
        <v>0.0</v>
      </c>
      <c r="AA107" s="80">
        <v>1.0</v>
      </c>
      <c r="AB107" s="80">
        <v>0.0</v>
      </c>
      <c r="AC107" s="80">
        <v>1.0</v>
      </c>
      <c r="AD107" s="80">
        <v>0.0</v>
      </c>
      <c r="AE107" s="80">
        <v>0.0</v>
      </c>
      <c r="AF107" s="80">
        <v>0.0</v>
      </c>
      <c r="AG107" s="80">
        <v>1.0</v>
      </c>
      <c r="AH107" s="13">
        <f t="shared" si="24"/>
        <v>9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AH115" si="25">SUM(E105:E114)</f>
        <v>2</v>
      </c>
      <c r="F115" s="13">
        <f t="shared" si="25"/>
        <v>2</v>
      </c>
      <c r="G115" s="13">
        <f t="shared" si="25"/>
        <v>3</v>
      </c>
      <c r="H115" s="13">
        <f t="shared" si="25"/>
        <v>5</v>
      </c>
      <c r="I115" s="13">
        <f t="shared" si="25"/>
        <v>2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3</v>
      </c>
      <c r="O115" s="13">
        <f t="shared" si="25"/>
        <v>1</v>
      </c>
      <c r="P115" s="13">
        <f t="shared" si="25"/>
        <v>4</v>
      </c>
      <c r="Q115" s="13">
        <f t="shared" si="25"/>
        <v>2</v>
      </c>
      <c r="R115" s="13">
        <f t="shared" si="25"/>
        <v>1</v>
      </c>
      <c r="S115" s="13">
        <f t="shared" si="25"/>
        <v>0</v>
      </c>
      <c r="T115" s="13">
        <f t="shared" si="25"/>
        <v>3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2</v>
      </c>
      <c r="Z115" s="13">
        <f t="shared" si="25"/>
        <v>2</v>
      </c>
      <c r="AA115" s="13">
        <f t="shared" si="25"/>
        <v>2</v>
      </c>
      <c r="AB115" s="13">
        <f t="shared" si="25"/>
        <v>4</v>
      </c>
      <c r="AC115" s="13">
        <f t="shared" si="25"/>
        <v>4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1</v>
      </c>
      <c r="AH115" s="13">
        <f t="shared" si="25"/>
        <v>47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AH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1.0</v>
      </c>
      <c r="G117" s="73">
        <v>1.0</v>
      </c>
      <c r="H117" s="73">
        <v>0.0</v>
      </c>
      <c r="I117" s="73">
        <v>0.0</v>
      </c>
      <c r="J117" s="73">
        <v>1.0</v>
      </c>
      <c r="K117" s="73">
        <v>1.0</v>
      </c>
      <c r="L117" s="73">
        <v>1.0</v>
      </c>
      <c r="M117" s="73">
        <v>0.0</v>
      </c>
      <c r="N117" s="73">
        <v>1.0</v>
      </c>
      <c r="O117" s="73">
        <v>1.0</v>
      </c>
      <c r="P117" s="73">
        <v>0.0</v>
      </c>
      <c r="Q117" s="73">
        <v>0.0</v>
      </c>
      <c r="R117" s="73">
        <v>1.0</v>
      </c>
      <c r="S117" s="73">
        <v>0.0</v>
      </c>
      <c r="T117" s="73">
        <v>2.0</v>
      </c>
      <c r="U117" s="73">
        <v>1.0</v>
      </c>
      <c r="V117" s="73">
        <v>1.0</v>
      </c>
      <c r="W117" s="73">
        <v>0.0</v>
      </c>
      <c r="X117" s="73">
        <v>3.0</v>
      </c>
      <c r="Y117" s="73">
        <v>1.0</v>
      </c>
      <c r="Z117" s="73">
        <v>0.0</v>
      </c>
      <c r="AA117" s="73">
        <v>1.0</v>
      </c>
      <c r="AB117" s="73">
        <v>2.0</v>
      </c>
      <c r="AC117" s="73">
        <v>0.0</v>
      </c>
      <c r="AD117" s="73">
        <v>0.0</v>
      </c>
      <c r="AE117" s="73">
        <v>0.0</v>
      </c>
      <c r="AF117" s="73">
        <v>0.0</v>
      </c>
      <c r="AG117" s="73">
        <v>1.0</v>
      </c>
      <c r="AH117" s="13">
        <f t="shared" ref="AH117:AH126" si="26">SUM(E117:AG117)</f>
        <v>20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5.0</v>
      </c>
      <c r="G118" s="73">
        <v>0.0</v>
      </c>
      <c r="H118" s="73">
        <v>1.0</v>
      </c>
      <c r="I118" s="73">
        <v>1.0</v>
      </c>
      <c r="J118" s="73">
        <v>2.0</v>
      </c>
      <c r="K118" s="73">
        <v>1.0</v>
      </c>
      <c r="L118" s="73">
        <v>4.0</v>
      </c>
      <c r="M118" s="73">
        <v>0.0</v>
      </c>
      <c r="N118" s="73">
        <v>0.0</v>
      </c>
      <c r="O118" s="73">
        <v>1.0</v>
      </c>
      <c r="P118" s="73">
        <v>0.0</v>
      </c>
      <c r="Q118" s="73">
        <v>0.0</v>
      </c>
      <c r="R118" s="73">
        <v>0.0</v>
      </c>
      <c r="S118" s="73">
        <v>0.0</v>
      </c>
      <c r="T118" s="73">
        <v>2.0</v>
      </c>
      <c r="U118" s="73">
        <v>0.0</v>
      </c>
      <c r="V118" s="73">
        <v>0.0</v>
      </c>
      <c r="W118" s="73">
        <v>0.0</v>
      </c>
      <c r="X118" s="73">
        <v>0.0</v>
      </c>
      <c r="Y118" s="73">
        <v>1.0</v>
      </c>
      <c r="Z118" s="73">
        <v>4.0</v>
      </c>
      <c r="AA118" s="73">
        <v>0.0</v>
      </c>
      <c r="AB118" s="73">
        <v>1.0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0.0</v>
      </c>
      <c r="AH118" s="13">
        <f t="shared" si="26"/>
        <v>23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1.0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1.0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1.0</v>
      </c>
      <c r="V119" s="73">
        <v>0.0</v>
      </c>
      <c r="W119" s="73">
        <v>0.0</v>
      </c>
      <c r="X119" s="73">
        <v>0.0</v>
      </c>
      <c r="Y119" s="73">
        <v>1.0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1.0</v>
      </c>
      <c r="AE119" s="73">
        <v>1.0</v>
      </c>
      <c r="AF119" s="73">
        <v>0.0</v>
      </c>
      <c r="AG119" s="73">
        <v>0.0</v>
      </c>
      <c r="AH119" s="13">
        <f t="shared" si="26"/>
        <v>6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1.0</v>
      </c>
      <c r="H120" s="73">
        <v>1.0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1.0</v>
      </c>
      <c r="R120" s="73">
        <v>0.0</v>
      </c>
      <c r="S120" s="73">
        <v>0.0</v>
      </c>
      <c r="T120" s="73">
        <v>1.0</v>
      </c>
      <c r="U120" s="73">
        <v>0.0</v>
      </c>
      <c r="V120" s="73">
        <v>1.0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1.0</v>
      </c>
      <c r="AG120" s="73">
        <v>0.0</v>
      </c>
      <c r="AH120" s="13">
        <f t="shared" si="26"/>
        <v>6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1.0</v>
      </c>
      <c r="H121" s="80">
        <v>0.0</v>
      </c>
      <c r="I121" s="80">
        <v>0.0</v>
      </c>
      <c r="J121" s="80">
        <v>0.0</v>
      </c>
      <c r="K121" s="80">
        <v>0.0</v>
      </c>
      <c r="L121" s="80">
        <v>1.0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80">
        <v>0.0</v>
      </c>
      <c r="U121" s="80">
        <v>0.0</v>
      </c>
      <c r="V121" s="80">
        <v>0.0</v>
      </c>
      <c r="W121" s="80">
        <v>0.0</v>
      </c>
      <c r="X121" s="80">
        <v>0.0</v>
      </c>
      <c r="Y121" s="80">
        <v>0.0</v>
      </c>
      <c r="Z121" s="80">
        <v>0.0</v>
      </c>
      <c r="AA121" s="80">
        <v>0.0</v>
      </c>
      <c r="AB121" s="80">
        <v>0.0</v>
      </c>
      <c r="AC121" s="80">
        <v>0.0</v>
      </c>
      <c r="AD121" s="80">
        <v>0.0</v>
      </c>
      <c r="AE121" s="80">
        <v>0.0</v>
      </c>
      <c r="AF121" s="80">
        <v>0.0</v>
      </c>
      <c r="AG121" s="80">
        <v>1.0</v>
      </c>
      <c r="AH121" s="13">
        <f t="shared" si="26"/>
        <v>3</v>
      </c>
    </row>
    <row r="122" ht="12.75" customHeight="1">
      <c r="A122" s="79"/>
      <c r="B122" s="49"/>
      <c r="C122" s="50" t="s">
        <v>100</v>
      </c>
      <c r="D122" s="51"/>
      <c r="E122" s="80">
        <v>1.0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1.0</v>
      </c>
      <c r="Q122" s="80">
        <v>0.0</v>
      </c>
      <c r="R122" s="80">
        <v>0.0</v>
      </c>
      <c r="S122" s="80">
        <v>0.0</v>
      </c>
      <c r="T122" s="80">
        <v>0.0</v>
      </c>
      <c r="U122" s="80">
        <v>0.0</v>
      </c>
      <c r="V122" s="80">
        <v>0.0</v>
      </c>
      <c r="W122" s="80">
        <v>0.0</v>
      </c>
      <c r="X122" s="80">
        <v>0.0</v>
      </c>
      <c r="Y122" s="80">
        <v>0.0</v>
      </c>
      <c r="Z122" s="80">
        <v>0.0</v>
      </c>
      <c r="AA122" s="80">
        <v>0.0</v>
      </c>
      <c r="AB122" s="80">
        <v>0.0</v>
      </c>
      <c r="AC122" s="80">
        <v>1.0</v>
      </c>
      <c r="AD122" s="80">
        <v>0.0</v>
      </c>
      <c r="AE122" s="80">
        <v>0.0</v>
      </c>
      <c r="AF122" s="80">
        <v>1.0</v>
      </c>
      <c r="AG122" s="80">
        <v>0.0</v>
      </c>
      <c r="AH122" s="13">
        <f t="shared" si="26"/>
        <v>4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AH127" si="27">SUM(E117:E126)</f>
        <v>1</v>
      </c>
      <c r="F127" s="13">
        <f t="shared" si="27"/>
        <v>7</v>
      </c>
      <c r="G127" s="13">
        <f t="shared" si="27"/>
        <v>3</v>
      </c>
      <c r="H127" s="13">
        <f t="shared" si="27"/>
        <v>2</v>
      </c>
      <c r="I127" s="13">
        <f t="shared" si="27"/>
        <v>1</v>
      </c>
      <c r="J127" s="13">
        <f t="shared" si="27"/>
        <v>3</v>
      </c>
      <c r="K127" s="13">
        <f t="shared" si="27"/>
        <v>2</v>
      </c>
      <c r="L127" s="13">
        <f t="shared" si="27"/>
        <v>6</v>
      </c>
      <c r="M127" s="13">
        <f t="shared" si="27"/>
        <v>1</v>
      </c>
      <c r="N127" s="13">
        <f t="shared" si="27"/>
        <v>1</v>
      </c>
      <c r="O127" s="13">
        <f t="shared" si="27"/>
        <v>2</v>
      </c>
      <c r="P127" s="13">
        <f t="shared" si="27"/>
        <v>1</v>
      </c>
      <c r="Q127" s="13">
        <f t="shared" si="27"/>
        <v>1</v>
      </c>
      <c r="R127" s="13">
        <f t="shared" si="27"/>
        <v>1</v>
      </c>
      <c r="S127" s="13">
        <f t="shared" si="27"/>
        <v>0</v>
      </c>
      <c r="T127" s="13">
        <f t="shared" si="27"/>
        <v>5</v>
      </c>
      <c r="U127" s="13">
        <f t="shared" si="27"/>
        <v>2</v>
      </c>
      <c r="V127" s="13">
        <f t="shared" si="27"/>
        <v>2</v>
      </c>
      <c r="W127" s="13">
        <f t="shared" si="27"/>
        <v>0</v>
      </c>
      <c r="X127" s="13">
        <f t="shared" si="27"/>
        <v>3</v>
      </c>
      <c r="Y127" s="13">
        <f t="shared" si="27"/>
        <v>3</v>
      </c>
      <c r="Z127" s="13">
        <f t="shared" si="27"/>
        <v>4</v>
      </c>
      <c r="AA127" s="13">
        <f t="shared" si="27"/>
        <v>1</v>
      </c>
      <c r="AB127" s="13">
        <f t="shared" si="27"/>
        <v>3</v>
      </c>
      <c r="AC127" s="13">
        <f t="shared" si="27"/>
        <v>1</v>
      </c>
      <c r="AD127" s="13">
        <f t="shared" si="27"/>
        <v>1</v>
      </c>
      <c r="AE127" s="13">
        <f t="shared" si="27"/>
        <v>1</v>
      </c>
      <c r="AF127" s="13">
        <f t="shared" si="27"/>
        <v>2</v>
      </c>
      <c r="AG127" s="13">
        <f t="shared" si="27"/>
        <v>2</v>
      </c>
      <c r="AH127" s="13">
        <f t="shared" si="27"/>
        <v>62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7.0</v>
      </c>
      <c r="F129" s="73">
        <v>4.0</v>
      </c>
      <c r="G129" s="73">
        <v>9.0</v>
      </c>
      <c r="H129" s="73">
        <v>4.0</v>
      </c>
      <c r="I129" s="73">
        <v>9.0</v>
      </c>
      <c r="J129" s="73">
        <v>6.0</v>
      </c>
      <c r="K129" s="73">
        <v>7.0</v>
      </c>
      <c r="L129" s="73">
        <v>8.0</v>
      </c>
      <c r="M129" s="73">
        <v>6.0</v>
      </c>
      <c r="N129" s="73">
        <v>9.0</v>
      </c>
      <c r="O129" s="73">
        <v>7.0</v>
      </c>
      <c r="P129" s="73">
        <v>4.0</v>
      </c>
      <c r="Q129" s="73">
        <v>8.0</v>
      </c>
      <c r="R129" s="73">
        <v>7.0</v>
      </c>
      <c r="S129" s="73">
        <v>15.0</v>
      </c>
      <c r="T129" s="73">
        <v>12.0</v>
      </c>
      <c r="U129" s="73">
        <v>7.0</v>
      </c>
      <c r="V129" s="73">
        <v>3.0</v>
      </c>
      <c r="W129" s="73">
        <v>7.0</v>
      </c>
      <c r="X129" s="73">
        <v>4.0</v>
      </c>
      <c r="Y129" s="73">
        <v>11.0</v>
      </c>
      <c r="Z129" s="73">
        <v>3.0</v>
      </c>
      <c r="AA129" s="73">
        <v>5.0</v>
      </c>
      <c r="AB129" s="73">
        <v>21.0</v>
      </c>
      <c r="AC129" s="73">
        <v>15.0</v>
      </c>
      <c r="AD129" s="73">
        <v>15.0</v>
      </c>
      <c r="AE129" s="73">
        <v>3.0</v>
      </c>
      <c r="AF129" s="73">
        <v>12.0</v>
      </c>
      <c r="AG129" s="73">
        <v>14.0</v>
      </c>
      <c r="AH129" s="13">
        <f t="shared" ref="AH129:AH138" si="28">SUM(E129:AG129)</f>
        <v>242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5.0</v>
      </c>
      <c r="F130" s="73">
        <v>4.0</v>
      </c>
      <c r="G130" s="73">
        <v>6.0</v>
      </c>
      <c r="H130" s="73">
        <v>8.0</v>
      </c>
      <c r="I130" s="73">
        <v>13.0</v>
      </c>
      <c r="J130" s="73">
        <v>20.0</v>
      </c>
      <c r="K130" s="73">
        <v>13.0</v>
      </c>
      <c r="L130" s="73">
        <v>7.0</v>
      </c>
      <c r="M130" s="73">
        <v>5.0</v>
      </c>
      <c r="N130" s="73">
        <v>6.0</v>
      </c>
      <c r="O130" s="73">
        <v>13.0</v>
      </c>
      <c r="P130" s="73">
        <v>15.0</v>
      </c>
      <c r="Q130" s="73">
        <v>12.0</v>
      </c>
      <c r="R130" s="73">
        <v>19.0</v>
      </c>
      <c r="S130" s="73">
        <v>33.0</v>
      </c>
      <c r="T130" s="73">
        <v>48.0</v>
      </c>
      <c r="U130" s="73">
        <v>8.0</v>
      </c>
      <c r="V130" s="73">
        <v>10.0</v>
      </c>
      <c r="W130" s="73">
        <v>24.0</v>
      </c>
      <c r="X130" s="73">
        <v>8.0</v>
      </c>
      <c r="Y130" s="73">
        <v>12.0</v>
      </c>
      <c r="Z130" s="73">
        <v>3.0</v>
      </c>
      <c r="AA130" s="73">
        <v>3.0</v>
      </c>
      <c r="AB130" s="73">
        <v>13.0</v>
      </c>
      <c r="AC130" s="73">
        <v>10.0</v>
      </c>
      <c r="AD130" s="73">
        <v>49.0</v>
      </c>
      <c r="AE130" s="73">
        <v>5.0</v>
      </c>
      <c r="AF130" s="73">
        <v>23.0</v>
      </c>
      <c r="AG130" s="73">
        <v>96.0</v>
      </c>
      <c r="AH130" s="13">
        <f t="shared" si="28"/>
        <v>491</v>
      </c>
    </row>
    <row r="131" ht="12.75" customHeight="1">
      <c r="A131" s="18"/>
      <c r="B131" s="49"/>
      <c r="C131" s="50" t="s">
        <v>104</v>
      </c>
      <c r="D131" s="51"/>
      <c r="E131" s="73">
        <v>0.0</v>
      </c>
      <c r="F131" s="73">
        <v>1.0</v>
      </c>
      <c r="G131" s="73">
        <v>1.0</v>
      </c>
      <c r="H131" s="73">
        <v>1.0</v>
      </c>
      <c r="I131" s="73">
        <v>2.0</v>
      </c>
      <c r="J131" s="73">
        <v>1.0</v>
      </c>
      <c r="K131" s="73">
        <v>0.0</v>
      </c>
      <c r="L131" s="73">
        <v>3.0</v>
      </c>
      <c r="M131" s="73">
        <v>0.0</v>
      </c>
      <c r="N131" s="73">
        <v>1.0</v>
      </c>
      <c r="O131" s="73">
        <v>1.0</v>
      </c>
      <c r="P131" s="73">
        <v>1.0</v>
      </c>
      <c r="Q131" s="73">
        <v>3.0</v>
      </c>
      <c r="R131" s="73">
        <v>3.0</v>
      </c>
      <c r="S131" s="73">
        <v>2.0</v>
      </c>
      <c r="T131" s="73">
        <v>3.0</v>
      </c>
      <c r="U131" s="73">
        <v>3.0</v>
      </c>
      <c r="V131" s="73">
        <v>1.0</v>
      </c>
      <c r="W131" s="73">
        <v>1.0</v>
      </c>
      <c r="X131" s="73">
        <v>1.0</v>
      </c>
      <c r="Y131" s="73">
        <v>1.0</v>
      </c>
      <c r="Z131" s="73">
        <v>1.0</v>
      </c>
      <c r="AA131" s="73">
        <v>2.0</v>
      </c>
      <c r="AB131" s="73">
        <v>3.0</v>
      </c>
      <c r="AC131" s="73">
        <v>1.0</v>
      </c>
      <c r="AD131" s="73">
        <v>1.0</v>
      </c>
      <c r="AE131" s="73">
        <v>1.0</v>
      </c>
      <c r="AF131" s="73">
        <v>2.0</v>
      </c>
      <c r="AG131" s="73">
        <v>4.0</v>
      </c>
      <c r="AH131" s="13">
        <f t="shared" si="28"/>
        <v>45</v>
      </c>
    </row>
    <row r="132" ht="12.75" customHeight="1">
      <c r="A132" s="18"/>
      <c r="B132" s="49"/>
      <c r="C132" s="50" t="s">
        <v>105</v>
      </c>
      <c r="D132" s="51"/>
      <c r="E132" s="73">
        <v>3.0</v>
      </c>
      <c r="F132" s="73">
        <v>0.0</v>
      </c>
      <c r="G132" s="73">
        <v>1.0</v>
      </c>
      <c r="H132" s="73">
        <v>0.0</v>
      </c>
      <c r="I132" s="73">
        <v>0.0</v>
      </c>
      <c r="J132" s="73">
        <v>3.0</v>
      </c>
      <c r="K132" s="73">
        <v>2.0</v>
      </c>
      <c r="L132" s="73">
        <v>3.0</v>
      </c>
      <c r="M132" s="73">
        <v>4.0</v>
      </c>
      <c r="N132" s="73">
        <v>4.0</v>
      </c>
      <c r="O132" s="73">
        <v>1.0</v>
      </c>
      <c r="P132" s="73">
        <v>3.0</v>
      </c>
      <c r="Q132" s="73">
        <v>0.0</v>
      </c>
      <c r="R132" s="73">
        <v>1.0</v>
      </c>
      <c r="S132" s="73">
        <v>1.0</v>
      </c>
      <c r="T132" s="73">
        <v>1.0</v>
      </c>
      <c r="U132" s="73">
        <v>2.0</v>
      </c>
      <c r="V132" s="73">
        <v>9.0</v>
      </c>
      <c r="W132" s="73">
        <v>2.0</v>
      </c>
      <c r="X132" s="73">
        <v>0.0</v>
      </c>
      <c r="Y132" s="73">
        <v>1.0</v>
      </c>
      <c r="Z132" s="73">
        <v>3.0</v>
      </c>
      <c r="AA132" s="73">
        <v>2.0</v>
      </c>
      <c r="AB132" s="73">
        <v>3.0</v>
      </c>
      <c r="AC132" s="73">
        <v>4.0</v>
      </c>
      <c r="AD132" s="73">
        <v>2.0</v>
      </c>
      <c r="AE132" s="73">
        <v>0.0</v>
      </c>
      <c r="AF132" s="73">
        <v>0.0</v>
      </c>
      <c r="AG132" s="73">
        <v>2.0</v>
      </c>
      <c r="AH132" s="13">
        <f t="shared" si="28"/>
        <v>57</v>
      </c>
    </row>
    <row r="133" ht="12.75" customHeight="1">
      <c r="A133" s="18"/>
      <c r="B133" s="49"/>
      <c r="C133" s="50" t="s">
        <v>106</v>
      </c>
      <c r="D133" s="51"/>
      <c r="E133" s="73">
        <v>1.0</v>
      </c>
      <c r="F133" s="73">
        <v>0.0</v>
      </c>
      <c r="G133" s="73">
        <v>0.0</v>
      </c>
      <c r="H133" s="73">
        <v>1.0</v>
      </c>
      <c r="I133" s="73">
        <v>0.0</v>
      </c>
      <c r="J133" s="73">
        <v>1.0</v>
      </c>
      <c r="K133" s="73">
        <v>0.0</v>
      </c>
      <c r="L133" s="73">
        <v>0.0</v>
      </c>
      <c r="M133" s="73">
        <v>0.0</v>
      </c>
      <c r="N133" s="73">
        <v>1.0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3.0</v>
      </c>
      <c r="W133" s="73">
        <v>0.0</v>
      </c>
      <c r="X133" s="73">
        <v>0.0</v>
      </c>
      <c r="Y133" s="73">
        <v>2.0</v>
      </c>
      <c r="Z133" s="73">
        <v>1.0</v>
      </c>
      <c r="AA133" s="73">
        <v>0.0</v>
      </c>
      <c r="AB133" s="73">
        <v>1.0</v>
      </c>
      <c r="AC133" s="73">
        <v>1.0</v>
      </c>
      <c r="AD133" s="73">
        <v>0.0</v>
      </c>
      <c r="AE133" s="73">
        <v>1.0</v>
      </c>
      <c r="AF133" s="73">
        <v>0.0</v>
      </c>
      <c r="AG133" s="73">
        <v>1.0</v>
      </c>
      <c r="AH133" s="13">
        <f t="shared" si="28"/>
        <v>14</v>
      </c>
    </row>
    <row r="134" ht="12.75" customHeight="1">
      <c r="A134" s="18"/>
      <c r="B134" s="49"/>
      <c r="C134" s="50" t="s">
        <v>107</v>
      </c>
      <c r="D134" s="51"/>
      <c r="E134" s="73">
        <v>1.0</v>
      </c>
      <c r="F134" s="73">
        <v>1.0</v>
      </c>
      <c r="G134" s="73">
        <v>2.0</v>
      </c>
      <c r="H134" s="73">
        <v>2.0</v>
      </c>
      <c r="I134" s="73">
        <v>0.0</v>
      </c>
      <c r="J134" s="73">
        <v>3.0</v>
      </c>
      <c r="K134" s="73">
        <v>3.0</v>
      </c>
      <c r="L134" s="73">
        <v>3.0</v>
      </c>
      <c r="M134" s="73">
        <v>1.0</v>
      </c>
      <c r="N134" s="73">
        <v>2.0</v>
      </c>
      <c r="O134" s="73">
        <v>1.0</v>
      </c>
      <c r="P134" s="73">
        <v>6.0</v>
      </c>
      <c r="Q134" s="73">
        <v>2.0</v>
      </c>
      <c r="R134" s="73">
        <v>0.0</v>
      </c>
      <c r="S134" s="73">
        <v>0.0</v>
      </c>
      <c r="T134" s="73">
        <v>1.0</v>
      </c>
      <c r="U134" s="73">
        <v>2.0</v>
      </c>
      <c r="V134" s="73">
        <v>2.0</v>
      </c>
      <c r="W134" s="73">
        <v>5.0</v>
      </c>
      <c r="X134" s="73">
        <v>3.0</v>
      </c>
      <c r="Y134" s="73">
        <v>1.0</v>
      </c>
      <c r="Z134" s="73">
        <v>1.0</v>
      </c>
      <c r="AA134" s="73">
        <v>0.0</v>
      </c>
      <c r="AB134" s="73">
        <v>3.0</v>
      </c>
      <c r="AC134" s="73">
        <v>2.0</v>
      </c>
      <c r="AD134" s="73">
        <v>6.0</v>
      </c>
      <c r="AE134" s="73">
        <v>0.0</v>
      </c>
      <c r="AF134" s="73">
        <v>1.0</v>
      </c>
      <c r="AG134" s="73">
        <v>0.0</v>
      </c>
      <c r="AH134" s="13">
        <f t="shared" si="28"/>
        <v>54</v>
      </c>
    </row>
    <row r="135" ht="12.75" customHeight="1">
      <c r="A135" s="18"/>
      <c r="B135" s="49"/>
      <c r="C135" s="50" t="s">
        <v>108</v>
      </c>
      <c r="D135" s="51"/>
      <c r="E135" s="73">
        <v>4.0</v>
      </c>
      <c r="F135" s="73">
        <v>1.0</v>
      </c>
      <c r="G135" s="73">
        <v>0.0</v>
      </c>
      <c r="H135" s="73">
        <v>1.0</v>
      </c>
      <c r="I135" s="73">
        <v>0.0</v>
      </c>
      <c r="J135" s="73">
        <v>0.0</v>
      </c>
      <c r="K135" s="73">
        <v>2.0</v>
      </c>
      <c r="L135" s="73">
        <v>2.0</v>
      </c>
      <c r="M135" s="73">
        <v>2.0</v>
      </c>
      <c r="N135" s="73">
        <v>1.0</v>
      </c>
      <c r="O135" s="73">
        <v>0.0</v>
      </c>
      <c r="P135" s="73">
        <v>5.0</v>
      </c>
      <c r="Q135" s="73">
        <v>1.0</v>
      </c>
      <c r="R135" s="73">
        <v>2.0</v>
      </c>
      <c r="S135" s="73">
        <v>1.0</v>
      </c>
      <c r="T135" s="73">
        <v>3.0</v>
      </c>
      <c r="U135" s="73">
        <v>2.0</v>
      </c>
      <c r="V135" s="73">
        <v>3.0</v>
      </c>
      <c r="W135" s="73">
        <v>3.0</v>
      </c>
      <c r="X135" s="73">
        <v>3.0</v>
      </c>
      <c r="Y135" s="73">
        <v>1.0</v>
      </c>
      <c r="Z135" s="73">
        <v>0.0</v>
      </c>
      <c r="AA135" s="73">
        <v>1.0</v>
      </c>
      <c r="AB135" s="73">
        <v>5.0</v>
      </c>
      <c r="AC135" s="73">
        <v>2.0</v>
      </c>
      <c r="AD135" s="73">
        <v>4.0</v>
      </c>
      <c r="AE135" s="73">
        <v>0.0</v>
      </c>
      <c r="AF135" s="73">
        <v>0.0</v>
      </c>
      <c r="AG135" s="73">
        <v>0.0</v>
      </c>
      <c r="AH135" s="13">
        <f t="shared" si="28"/>
        <v>49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1.0</v>
      </c>
      <c r="G136" s="80">
        <v>0.0</v>
      </c>
      <c r="H136" s="80">
        <v>3.0</v>
      </c>
      <c r="I136" s="80">
        <v>1.0</v>
      </c>
      <c r="J136" s="80">
        <v>4.0</v>
      </c>
      <c r="K136" s="80">
        <v>1.0</v>
      </c>
      <c r="L136" s="80">
        <v>3.0</v>
      </c>
      <c r="M136" s="80">
        <v>0.0</v>
      </c>
      <c r="N136" s="80">
        <v>0.0</v>
      </c>
      <c r="O136" s="80">
        <v>0.0</v>
      </c>
      <c r="P136" s="80">
        <v>0.0</v>
      </c>
      <c r="Q136" s="80">
        <v>0.0</v>
      </c>
      <c r="R136" s="80">
        <v>0.0</v>
      </c>
      <c r="S136" s="80">
        <v>1.0</v>
      </c>
      <c r="T136" s="80">
        <v>1.0</v>
      </c>
      <c r="U136" s="80">
        <v>0.0</v>
      </c>
      <c r="V136" s="80">
        <v>0.0</v>
      </c>
      <c r="W136" s="80">
        <v>3.0</v>
      </c>
      <c r="X136" s="80">
        <v>0.0</v>
      </c>
      <c r="Y136" s="80">
        <v>2.0</v>
      </c>
      <c r="Z136" s="80">
        <v>0.0</v>
      </c>
      <c r="AA136" s="80">
        <v>0.0</v>
      </c>
      <c r="AB136" s="80">
        <v>1.0</v>
      </c>
      <c r="AC136" s="80">
        <v>2.0</v>
      </c>
      <c r="AD136" s="80">
        <v>2.0</v>
      </c>
      <c r="AE136" s="80">
        <v>0.0</v>
      </c>
      <c r="AF136" s="80">
        <v>1.0</v>
      </c>
      <c r="AG136" s="80">
        <v>0.0</v>
      </c>
      <c r="AH136" s="13">
        <f t="shared" si="28"/>
        <v>26</v>
      </c>
    </row>
    <row r="137" ht="12.75" customHeight="1">
      <c r="A137" s="79"/>
      <c r="B137" s="49"/>
      <c r="C137" s="50" t="s">
        <v>110</v>
      </c>
      <c r="D137" s="51"/>
      <c r="E137" s="80">
        <v>1.0</v>
      </c>
      <c r="F137" s="80">
        <v>0.0</v>
      </c>
      <c r="G137" s="80">
        <v>0.0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80">
        <v>0.0</v>
      </c>
      <c r="N137" s="80">
        <v>0.0</v>
      </c>
      <c r="O137" s="80">
        <v>0.0</v>
      </c>
      <c r="P137" s="80">
        <v>1.0</v>
      </c>
      <c r="Q137" s="80">
        <v>0.0</v>
      </c>
      <c r="R137" s="80">
        <v>0.0</v>
      </c>
      <c r="S137" s="80">
        <v>0.0</v>
      </c>
      <c r="T137" s="80">
        <v>1.0</v>
      </c>
      <c r="U137" s="80">
        <v>0.0</v>
      </c>
      <c r="V137" s="80">
        <v>0.0</v>
      </c>
      <c r="W137" s="80">
        <v>1.0</v>
      </c>
      <c r="X137" s="80">
        <v>0.0</v>
      </c>
      <c r="Y137" s="80">
        <v>0.0</v>
      </c>
      <c r="Z137" s="80">
        <v>0.0</v>
      </c>
      <c r="AA137" s="80">
        <v>1.0</v>
      </c>
      <c r="AB137" s="80">
        <v>0.0</v>
      </c>
      <c r="AC137" s="80">
        <v>0.0</v>
      </c>
      <c r="AD137" s="80">
        <v>0.0</v>
      </c>
      <c r="AE137" s="80">
        <v>0.0</v>
      </c>
      <c r="AF137" s="80">
        <v>0.0</v>
      </c>
      <c r="AG137" s="80">
        <v>1.0</v>
      </c>
      <c r="AH137" s="13">
        <f t="shared" si="28"/>
        <v>6</v>
      </c>
    </row>
    <row r="138" ht="12.75" customHeight="1">
      <c r="A138" s="79"/>
      <c r="B138" s="49"/>
      <c r="C138" s="50" t="s">
        <v>111</v>
      </c>
      <c r="D138" s="51"/>
      <c r="E138" s="80">
        <v>1.0</v>
      </c>
      <c r="F138" s="80">
        <v>0.0</v>
      </c>
      <c r="G138" s="80">
        <v>1.0</v>
      </c>
      <c r="H138" s="80">
        <v>0.0</v>
      </c>
      <c r="I138" s="80">
        <v>0.0</v>
      </c>
      <c r="J138" s="80">
        <v>0.0</v>
      </c>
      <c r="K138" s="80">
        <v>1.0</v>
      </c>
      <c r="L138" s="80">
        <v>0.0</v>
      </c>
      <c r="M138" s="80">
        <v>1.0</v>
      </c>
      <c r="N138" s="80">
        <v>0.0</v>
      </c>
      <c r="O138" s="80">
        <v>1.0</v>
      </c>
      <c r="P138" s="80">
        <v>0.0</v>
      </c>
      <c r="Q138" s="80">
        <v>0.0</v>
      </c>
      <c r="R138" s="80">
        <v>1.0</v>
      </c>
      <c r="S138" s="80">
        <v>1.0</v>
      </c>
      <c r="T138" s="80">
        <v>2.0</v>
      </c>
      <c r="U138" s="80">
        <v>1.0</v>
      </c>
      <c r="V138" s="80">
        <v>1.0</v>
      </c>
      <c r="W138" s="80">
        <v>0.0</v>
      </c>
      <c r="X138" s="80">
        <v>1.0</v>
      </c>
      <c r="Y138" s="80">
        <v>0.0</v>
      </c>
      <c r="Z138" s="80">
        <v>1.0</v>
      </c>
      <c r="AA138" s="80">
        <v>0.0</v>
      </c>
      <c r="AB138" s="80">
        <v>0.0</v>
      </c>
      <c r="AC138" s="80">
        <v>1.0</v>
      </c>
      <c r="AD138" s="80">
        <v>1.0</v>
      </c>
      <c r="AE138" s="80">
        <v>1.0</v>
      </c>
      <c r="AF138" s="80">
        <v>0.0</v>
      </c>
      <c r="AG138" s="80">
        <v>1.0</v>
      </c>
      <c r="AH138" s="13">
        <f t="shared" si="28"/>
        <v>17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AH139" si="29">SUM(E129:E138)</f>
        <v>23</v>
      </c>
      <c r="F139" s="13">
        <f t="shared" si="29"/>
        <v>12</v>
      </c>
      <c r="G139" s="13">
        <f t="shared" si="29"/>
        <v>20</v>
      </c>
      <c r="H139" s="13">
        <f t="shared" si="29"/>
        <v>20</v>
      </c>
      <c r="I139" s="13">
        <f t="shared" si="29"/>
        <v>25</v>
      </c>
      <c r="J139" s="13">
        <f t="shared" si="29"/>
        <v>38</v>
      </c>
      <c r="K139" s="13">
        <f t="shared" si="29"/>
        <v>29</v>
      </c>
      <c r="L139" s="13">
        <f t="shared" si="29"/>
        <v>29</v>
      </c>
      <c r="M139" s="13">
        <f t="shared" si="29"/>
        <v>19</v>
      </c>
      <c r="N139" s="13">
        <f t="shared" si="29"/>
        <v>24</v>
      </c>
      <c r="O139" s="13">
        <f t="shared" si="29"/>
        <v>24</v>
      </c>
      <c r="P139" s="13">
        <f t="shared" si="29"/>
        <v>35</v>
      </c>
      <c r="Q139" s="13">
        <f t="shared" si="29"/>
        <v>26</v>
      </c>
      <c r="R139" s="13">
        <f t="shared" si="29"/>
        <v>33</v>
      </c>
      <c r="S139" s="13">
        <f t="shared" si="29"/>
        <v>54</v>
      </c>
      <c r="T139" s="13">
        <f t="shared" si="29"/>
        <v>72</v>
      </c>
      <c r="U139" s="13">
        <f t="shared" si="29"/>
        <v>25</v>
      </c>
      <c r="V139" s="13">
        <f t="shared" si="29"/>
        <v>32</v>
      </c>
      <c r="W139" s="13">
        <f t="shared" si="29"/>
        <v>46</v>
      </c>
      <c r="X139" s="13">
        <f t="shared" si="29"/>
        <v>20</v>
      </c>
      <c r="Y139" s="13">
        <f t="shared" si="29"/>
        <v>31</v>
      </c>
      <c r="Z139" s="13">
        <f t="shared" si="29"/>
        <v>13</v>
      </c>
      <c r="AA139" s="13">
        <f t="shared" si="29"/>
        <v>14</v>
      </c>
      <c r="AB139" s="13">
        <f t="shared" si="29"/>
        <v>50</v>
      </c>
      <c r="AC139" s="13">
        <f t="shared" si="29"/>
        <v>38</v>
      </c>
      <c r="AD139" s="13">
        <f t="shared" si="29"/>
        <v>80</v>
      </c>
      <c r="AE139" s="13">
        <f t="shared" si="29"/>
        <v>11</v>
      </c>
      <c r="AF139" s="13">
        <f t="shared" si="29"/>
        <v>39</v>
      </c>
      <c r="AG139" s="13">
        <f t="shared" si="29"/>
        <v>119</v>
      </c>
      <c r="AH139" s="13">
        <f t="shared" si="29"/>
        <v>1001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1.0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1.0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13">
        <f t="shared" ref="AH141:AH150" si="30">SUM(E141:AG141)</f>
        <v>2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13">
        <f t="shared" si="30"/>
        <v>0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80">
        <v>0.0</v>
      </c>
      <c r="U143" s="80">
        <v>0.0</v>
      </c>
      <c r="V143" s="80">
        <v>0.0</v>
      </c>
      <c r="W143" s="80">
        <v>0.0</v>
      </c>
      <c r="X143" s="80">
        <v>0.0</v>
      </c>
      <c r="Y143" s="80">
        <v>0.0</v>
      </c>
      <c r="Z143" s="80">
        <v>0.0</v>
      </c>
      <c r="AA143" s="80">
        <v>1.0</v>
      </c>
      <c r="AB143" s="80">
        <v>0.0</v>
      </c>
      <c r="AC143" s="80">
        <v>0.0</v>
      </c>
      <c r="AD143" s="80">
        <v>0.0</v>
      </c>
      <c r="AE143" s="80">
        <v>0.0</v>
      </c>
      <c r="AF143" s="80">
        <v>0.0</v>
      </c>
      <c r="AG143" s="80">
        <v>0.0</v>
      </c>
      <c r="AH143" s="13">
        <f t="shared" si="30"/>
        <v>1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1.0</v>
      </c>
      <c r="T144" s="80">
        <v>1.0</v>
      </c>
      <c r="U144" s="80">
        <v>0.0</v>
      </c>
      <c r="V144" s="80">
        <v>0.0</v>
      </c>
      <c r="W144" s="80">
        <v>0.0</v>
      </c>
      <c r="X144" s="80">
        <v>0.0</v>
      </c>
      <c r="Y144" s="80">
        <v>0.0</v>
      </c>
      <c r="Z144" s="80">
        <v>0.0</v>
      </c>
      <c r="AA144" s="80">
        <v>0.0</v>
      </c>
      <c r="AB144" s="80">
        <v>0.0</v>
      </c>
      <c r="AC144" s="80">
        <v>0.0</v>
      </c>
      <c r="AD144" s="80">
        <v>0.0</v>
      </c>
      <c r="AE144" s="80">
        <v>0.0</v>
      </c>
      <c r="AF144" s="80">
        <v>0.0</v>
      </c>
      <c r="AG144" s="80">
        <v>0.0</v>
      </c>
      <c r="AH144" s="13">
        <f t="shared" si="30"/>
        <v>2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AH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2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5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1.0</v>
      </c>
      <c r="R153" s="73">
        <v>0.0</v>
      </c>
      <c r="S153" s="73">
        <v>0.0</v>
      </c>
      <c r="T153" s="73">
        <v>0.0</v>
      </c>
      <c r="U153" s="73">
        <v>0.0</v>
      </c>
      <c r="V153" s="73">
        <v>1.0</v>
      </c>
      <c r="W153" s="73">
        <v>0.0</v>
      </c>
      <c r="X153" s="73">
        <v>0.0</v>
      </c>
      <c r="Y153" s="73">
        <v>2.0</v>
      </c>
      <c r="Z153" s="73">
        <v>0.0</v>
      </c>
      <c r="AA153" s="73">
        <v>0.0</v>
      </c>
      <c r="AB153" s="73">
        <v>0.0</v>
      </c>
      <c r="AC153" s="73">
        <v>0.0</v>
      </c>
      <c r="AD153" s="73">
        <v>0.0</v>
      </c>
      <c r="AE153" s="73">
        <v>0.0</v>
      </c>
      <c r="AF153" s="73">
        <v>0.0</v>
      </c>
      <c r="AG153" s="73">
        <v>0.0</v>
      </c>
      <c r="AH153" s="13">
        <f t="shared" ref="AH153:AH162" si="32">SUM(E153:AG153)</f>
        <v>4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1.0</v>
      </c>
      <c r="H154" s="73">
        <v>0.0</v>
      </c>
      <c r="I154" s="73">
        <v>1.0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1.0</v>
      </c>
      <c r="S154" s="73">
        <v>0.0</v>
      </c>
      <c r="T154" s="73">
        <v>0.0</v>
      </c>
      <c r="U154" s="73">
        <v>0.0</v>
      </c>
      <c r="V154" s="73">
        <v>1.0</v>
      </c>
      <c r="W154" s="73">
        <v>1.0</v>
      </c>
      <c r="X154" s="73">
        <v>0.0</v>
      </c>
      <c r="Y154" s="73">
        <v>0.0</v>
      </c>
      <c r="Z154" s="73">
        <v>1.0</v>
      </c>
      <c r="AA154" s="73">
        <v>0.0</v>
      </c>
      <c r="AB154" s="73">
        <v>0.0</v>
      </c>
      <c r="AC154" s="73">
        <v>0.0</v>
      </c>
      <c r="AD154" s="73">
        <v>0.0</v>
      </c>
      <c r="AE154" s="73">
        <v>1.0</v>
      </c>
      <c r="AF154" s="73">
        <v>0.0</v>
      </c>
      <c r="AG154" s="73">
        <v>0.0</v>
      </c>
      <c r="AH154" s="13">
        <f t="shared" si="32"/>
        <v>7</v>
      </c>
    </row>
    <row r="155" ht="12.75" customHeight="1">
      <c r="A155" s="18"/>
      <c r="B155" s="49"/>
      <c r="C155" s="50" t="s">
        <v>120</v>
      </c>
      <c r="D155" s="51"/>
      <c r="E155" s="83">
        <v>1.0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1.0</v>
      </c>
      <c r="M155" s="73">
        <v>0.0</v>
      </c>
      <c r="N155" s="73">
        <v>0.0</v>
      </c>
      <c r="O155" s="73">
        <v>1.0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13">
        <f t="shared" si="32"/>
        <v>3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1.0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1.0</v>
      </c>
      <c r="AC156" s="73">
        <v>0.0</v>
      </c>
      <c r="AD156" s="73">
        <v>0.0</v>
      </c>
      <c r="AE156" s="73">
        <v>0.0</v>
      </c>
      <c r="AF156" s="73">
        <v>0.0</v>
      </c>
      <c r="AG156" s="73">
        <v>0.0</v>
      </c>
      <c r="AH156" s="13">
        <f t="shared" si="32"/>
        <v>2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1.0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1.0</v>
      </c>
      <c r="V157" s="73">
        <v>1.0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1.0</v>
      </c>
      <c r="AF157" s="73">
        <v>0.0</v>
      </c>
      <c r="AG157" s="73">
        <v>0.0</v>
      </c>
      <c r="AH157" s="13">
        <f t="shared" si="32"/>
        <v>4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1.0</v>
      </c>
      <c r="N158" s="80">
        <v>0.0</v>
      </c>
      <c r="O158" s="80">
        <v>0.0</v>
      </c>
      <c r="P158" s="73">
        <v>0.0</v>
      </c>
      <c r="Q158" s="80">
        <v>0.0</v>
      </c>
      <c r="R158" s="80">
        <v>0.0</v>
      </c>
      <c r="S158" s="80">
        <v>0.0</v>
      </c>
      <c r="T158" s="80">
        <v>0.0</v>
      </c>
      <c r="U158" s="80">
        <v>0.0</v>
      </c>
      <c r="V158" s="80">
        <v>0.0</v>
      </c>
      <c r="W158" s="80">
        <v>0.0</v>
      </c>
      <c r="X158" s="80">
        <v>0.0</v>
      </c>
      <c r="Y158" s="80">
        <v>0.0</v>
      </c>
      <c r="Z158" s="80">
        <v>0.0</v>
      </c>
      <c r="AA158" s="80">
        <v>0.0</v>
      </c>
      <c r="AB158" s="80">
        <v>0.0</v>
      </c>
      <c r="AC158" s="80">
        <v>0.0</v>
      </c>
      <c r="AD158" s="80">
        <v>0.0</v>
      </c>
      <c r="AE158" s="80">
        <v>0.0</v>
      </c>
      <c r="AF158" s="80">
        <v>0.0</v>
      </c>
      <c r="AG158" s="80">
        <v>0.0</v>
      </c>
      <c r="AH158" s="13">
        <f t="shared" si="32"/>
        <v>1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80">
        <v>0.0</v>
      </c>
      <c r="S159" s="80">
        <v>0.0</v>
      </c>
      <c r="T159" s="80">
        <v>0.0</v>
      </c>
      <c r="U159" s="80">
        <v>0.0</v>
      </c>
      <c r="V159" s="80">
        <v>0.0</v>
      </c>
      <c r="W159" s="80">
        <v>0.0</v>
      </c>
      <c r="X159" s="80">
        <v>0.0</v>
      </c>
      <c r="Y159" s="80">
        <v>0.0</v>
      </c>
      <c r="Z159" s="80">
        <v>0.0</v>
      </c>
      <c r="AA159" s="80">
        <v>0.0</v>
      </c>
      <c r="AB159" s="80">
        <v>0.0</v>
      </c>
      <c r="AC159" s="80">
        <v>0.0</v>
      </c>
      <c r="AD159" s="80">
        <v>0.0</v>
      </c>
      <c r="AE159" s="80">
        <v>0.0</v>
      </c>
      <c r="AF159" s="80">
        <v>0.0</v>
      </c>
      <c r="AG159" s="80">
        <v>0.0</v>
      </c>
      <c r="AH159" s="13">
        <f t="shared" si="32"/>
        <v>0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80">
        <v>0.0</v>
      </c>
      <c r="U160" s="80">
        <v>0.0</v>
      </c>
      <c r="V160" s="80">
        <v>0.0</v>
      </c>
      <c r="W160" s="80">
        <v>0.0</v>
      </c>
      <c r="X160" s="80">
        <v>0.0</v>
      </c>
      <c r="Y160" s="80">
        <v>0.0</v>
      </c>
      <c r="Z160" s="80">
        <v>0.0</v>
      </c>
      <c r="AA160" s="80">
        <v>0.0</v>
      </c>
      <c r="AB160" s="80">
        <v>0.0</v>
      </c>
      <c r="AC160" s="80">
        <v>0.0</v>
      </c>
      <c r="AD160" s="80">
        <v>0.0</v>
      </c>
      <c r="AE160" s="80">
        <v>0.0</v>
      </c>
      <c r="AF160" s="80">
        <v>0.0</v>
      </c>
      <c r="AG160" s="80">
        <v>0.0</v>
      </c>
      <c r="AH160" s="13">
        <f t="shared" si="32"/>
        <v>0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AH163" si="33">SUM(E153:E162)</f>
        <v>1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1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1</v>
      </c>
      <c r="R163" s="13">
        <f t="shared" si="33"/>
        <v>1</v>
      </c>
      <c r="S163" s="13">
        <f t="shared" si="33"/>
        <v>0</v>
      </c>
      <c r="T163" s="13">
        <f t="shared" si="33"/>
        <v>0</v>
      </c>
      <c r="U163" s="13">
        <f t="shared" si="33"/>
        <v>1</v>
      </c>
      <c r="V163" s="13">
        <f t="shared" si="33"/>
        <v>4</v>
      </c>
      <c r="W163" s="13">
        <f t="shared" si="33"/>
        <v>1</v>
      </c>
      <c r="X163" s="13">
        <f t="shared" si="33"/>
        <v>0</v>
      </c>
      <c r="Y163" s="13">
        <f t="shared" si="33"/>
        <v>2</v>
      </c>
      <c r="Z163" s="13">
        <f t="shared" si="33"/>
        <v>1</v>
      </c>
      <c r="AA163" s="13">
        <f t="shared" si="33"/>
        <v>0</v>
      </c>
      <c r="AB163" s="13">
        <f t="shared" si="33"/>
        <v>1</v>
      </c>
      <c r="AC163" s="13">
        <f t="shared" si="33"/>
        <v>0</v>
      </c>
      <c r="AD163" s="13">
        <f t="shared" si="33"/>
        <v>0</v>
      </c>
      <c r="AE163" s="13">
        <f t="shared" si="33"/>
        <v>2</v>
      </c>
      <c r="AF163" s="13">
        <f t="shared" si="33"/>
        <v>0</v>
      </c>
      <c r="AG163" s="13">
        <f t="shared" si="33"/>
        <v>0</v>
      </c>
      <c r="AH163" s="13">
        <f t="shared" si="33"/>
        <v>21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2.0</v>
      </c>
      <c r="O165" s="73">
        <v>0.0</v>
      </c>
      <c r="P165" s="73">
        <v>0.0</v>
      </c>
      <c r="Q165" s="73">
        <v>3.0</v>
      </c>
      <c r="R165" s="73">
        <v>0.0</v>
      </c>
      <c r="S165" s="73">
        <v>0.0</v>
      </c>
      <c r="T165" s="73">
        <v>1.0</v>
      </c>
      <c r="U165" s="73">
        <v>0.0</v>
      </c>
      <c r="V165" s="73">
        <v>1.0</v>
      </c>
      <c r="W165" s="73">
        <v>1.0</v>
      </c>
      <c r="X165" s="73">
        <v>0.0</v>
      </c>
      <c r="Y165" s="73">
        <v>0.0</v>
      </c>
      <c r="Z165" s="73">
        <v>0.0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0.0</v>
      </c>
      <c r="AF165" s="73">
        <v>0.0</v>
      </c>
      <c r="AG165" s="73">
        <v>0.0</v>
      </c>
      <c r="AH165" s="13">
        <f t="shared" ref="AH165:AH174" si="34">SUM(E165:AG165)</f>
        <v>8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1.0</v>
      </c>
      <c r="F166" s="80">
        <v>1.0</v>
      </c>
      <c r="G166" s="80">
        <v>0.0</v>
      </c>
      <c r="H166" s="80">
        <v>0.0</v>
      </c>
      <c r="I166" s="80">
        <v>2.0</v>
      </c>
      <c r="J166" s="80">
        <v>0.0</v>
      </c>
      <c r="K166" s="80">
        <v>0.0</v>
      </c>
      <c r="L166" s="80">
        <v>0.0</v>
      </c>
      <c r="M166" s="80">
        <v>0.0</v>
      </c>
      <c r="N166" s="80">
        <v>0.0</v>
      </c>
      <c r="O166" s="80">
        <v>0.0</v>
      </c>
      <c r="P166" s="80">
        <v>2.0</v>
      </c>
      <c r="Q166" s="80">
        <v>2.0</v>
      </c>
      <c r="R166" s="80">
        <v>0.0</v>
      </c>
      <c r="S166" s="80">
        <v>2.0</v>
      </c>
      <c r="T166" s="80">
        <v>1.0</v>
      </c>
      <c r="U166" s="80">
        <v>0.0</v>
      </c>
      <c r="V166" s="80">
        <v>0.0</v>
      </c>
      <c r="W166" s="80">
        <v>2.0</v>
      </c>
      <c r="X166" s="80">
        <v>0.0</v>
      </c>
      <c r="Y166" s="80">
        <v>0.0</v>
      </c>
      <c r="Z166" s="80">
        <v>2.0</v>
      </c>
      <c r="AA166" s="80">
        <v>1.0</v>
      </c>
      <c r="AB166" s="80">
        <v>3.0</v>
      </c>
      <c r="AC166" s="80">
        <v>1.0</v>
      </c>
      <c r="AD166" s="80">
        <v>0.0</v>
      </c>
      <c r="AE166" s="80">
        <v>2.0</v>
      </c>
      <c r="AF166" s="80">
        <v>0.0</v>
      </c>
      <c r="AG166" s="80">
        <v>0.0</v>
      </c>
      <c r="AH166" s="13">
        <f t="shared" si="34"/>
        <v>22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AH175" si="35">SUM(E165:E174)</f>
        <v>1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2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2</v>
      </c>
      <c r="O175" s="13">
        <f t="shared" si="35"/>
        <v>0</v>
      </c>
      <c r="P175" s="13">
        <f t="shared" si="35"/>
        <v>2</v>
      </c>
      <c r="Q175" s="13">
        <f t="shared" si="35"/>
        <v>5</v>
      </c>
      <c r="R175" s="13">
        <f t="shared" si="35"/>
        <v>0</v>
      </c>
      <c r="S175" s="13">
        <f t="shared" si="35"/>
        <v>2</v>
      </c>
      <c r="T175" s="13">
        <f t="shared" si="35"/>
        <v>2</v>
      </c>
      <c r="U175" s="13">
        <f t="shared" si="35"/>
        <v>0</v>
      </c>
      <c r="V175" s="13">
        <f t="shared" si="35"/>
        <v>1</v>
      </c>
      <c r="W175" s="13">
        <f t="shared" si="35"/>
        <v>3</v>
      </c>
      <c r="X175" s="13">
        <f t="shared" si="35"/>
        <v>0</v>
      </c>
      <c r="Y175" s="13">
        <f t="shared" si="35"/>
        <v>0</v>
      </c>
      <c r="Z175" s="13">
        <f t="shared" si="35"/>
        <v>2</v>
      </c>
      <c r="AA175" s="13">
        <f t="shared" si="35"/>
        <v>1</v>
      </c>
      <c r="AB175" s="13">
        <f t="shared" si="35"/>
        <v>3</v>
      </c>
      <c r="AC175" s="13">
        <f t="shared" si="35"/>
        <v>1</v>
      </c>
      <c r="AD175" s="13">
        <f t="shared" si="35"/>
        <v>0</v>
      </c>
      <c r="AE175" s="13">
        <f t="shared" si="35"/>
        <v>2</v>
      </c>
      <c r="AF175" s="13">
        <f t="shared" si="35"/>
        <v>0</v>
      </c>
      <c r="AG175" s="13">
        <f t="shared" si="35"/>
        <v>0</v>
      </c>
      <c r="AH175" s="13">
        <f t="shared" si="35"/>
        <v>30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2.0</v>
      </c>
      <c r="F177" s="73">
        <v>2.0</v>
      </c>
      <c r="G177" s="73">
        <v>0.0</v>
      </c>
      <c r="H177" s="73">
        <v>3.0</v>
      </c>
      <c r="I177" s="73">
        <v>0.0</v>
      </c>
      <c r="J177" s="73">
        <v>0.0</v>
      </c>
      <c r="K177" s="73">
        <v>0.0</v>
      </c>
      <c r="L177" s="73">
        <v>0.0</v>
      </c>
      <c r="M177" s="73">
        <v>2.0</v>
      </c>
      <c r="N177" s="73">
        <v>3.0</v>
      </c>
      <c r="O177" s="73">
        <v>1.0</v>
      </c>
      <c r="P177" s="73">
        <v>0.0</v>
      </c>
      <c r="Q177" s="73">
        <v>0.0</v>
      </c>
      <c r="R177" s="73">
        <v>1.0</v>
      </c>
      <c r="S177" s="73">
        <v>3.0</v>
      </c>
      <c r="T177" s="73">
        <v>5.0</v>
      </c>
      <c r="U177" s="73">
        <v>0.0</v>
      </c>
      <c r="V177" s="73">
        <v>3.0</v>
      </c>
      <c r="W177" s="73">
        <v>5.0</v>
      </c>
      <c r="X177" s="73">
        <v>3.0</v>
      </c>
      <c r="Y177" s="73">
        <v>0.0</v>
      </c>
      <c r="Z177" s="73">
        <v>2.0</v>
      </c>
      <c r="AA177" s="73">
        <v>2.0</v>
      </c>
      <c r="AB177" s="73">
        <v>2.0</v>
      </c>
      <c r="AC177" s="73">
        <v>1.0</v>
      </c>
      <c r="AD177" s="73">
        <v>1.0</v>
      </c>
      <c r="AE177" s="73">
        <v>1.0</v>
      </c>
      <c r="AF177" s="73">
        <v>0.0</v>
      </c>
      <c r="AG177" s="73">
        <v>1.0</v>
      </c>
      <c r="AH177" s="13">
        <f t="shared" ref="AH177:AH186" si="36">SUM(E177:AG177)</f>
        <v>43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7.0</v>
      </c>
      <c r="F178" s="73">
        <v>1.0</v>
      </c>
      <c r="G178" s="73">
        <v>1.0</v>
      </c>
      <c r="H178" s="73">
        <v>1.0</v>
      </c>
      <c r="I178" s="73">
        <v>1.0</v>
      </c>
      <c r="J178" s="73">
        <v>0.0</v>
      </c>
      <c r="K178" s="73">
        <v>1.0</v>
      </c>
      <c r="L178" s="73">
        <v>1.0</v>
      </c>
      <c r="M178" s="73">
        <v>4.0</v>
      </c>
      <c r="N178" s="73">
        <v>6.0</v>
      </c>
      <c r="O178" s="73">
        <v>4.0</v>
      </c>
      <c r="P178" s="73">
        <v>2.0</v>
      </c>
      <c r="Q178" s="73">
        <v>2.0</v>
      </c>
      <c r="R178" s="73">
        <v>4.0</v>
      </c>
      <c r="S178" s="73">
        <v>4.0</v>
      </c>
      <c r="T178" s="73">
        <v>1.0</v>
      </c>
      <c r="U178" s="73">
        <v>1.0</v>
      </c>
      <c r="V178" s="73">
        <v>0.0</v>
      </c>
      <c r="W178" s="73">
        <v>5.0</v>
      </c>
      <c r="X178" s="73">
        <v>6.0</v>
      </c>
      <c r="Y178" s="73">
        <v>4.0</v>
      </c>
      <c r="Z178" s="73">
        <v>2.0</v>
      </c>
      <c r="AA178" s="73">
        <v>4.0</v>
      </c>
      <c r="AB178" s="73">
        <v>2.0</v>
      </c>
      <c r="AC178" s="73">
        <v>3.0</v>
      </c>
      <c r="AD178" s="73">
        <v>2.0</v>
      </c>
      <c r="AE178" s="73">
        <v>1.0</v>
      </c>
      <c r="AF178" s="73">
        <v>0.0</v>
      </c>
      <c r="AG178" s="73">
        <v>2.0</v>
      </c>
      <c r="AH178" s="13">
        <f t="shared" si="36"/>
        <v>72</v>
      </c>
    </row>
    <row r="179" ht="12.75" customHeight="1">
      <c r="A179" s="18"/>
      <c r="B179" s="49"/>
      <c r="C179" s="50" t="s">
        <v>132</v>
      </c>
      <c r="D179" s="51"/>
      <c r="E179" s="73">
        <v>1.0</v>
      </c>
      <c r="F179" s="73">
        <v>0.0</v>
      </c>
      <c r="G179" s="73">
        <v>0.0</v>
      </c>
      <c r="H179" s="73">
        <v>0.0</v>
      </c>
      <c r="I179" s="73">
        <v>0.0</v>
      </c>
      <c r="J179" s="73">
        <v>1.0</v>
      </c>
      <c r="K179" s="73">
        <v>0.0</v>
      </c>
      <c r="L179" s="73">
        <v>0.0</v>
      </c>
      <c r="M179" s="73">
        <v>0.0</v>
      </c>
      <c r="N179" s="73">
        <v>0.0</v>
      </c>
      <c r="O179" s="73">
        <v>1.0</v>
      </c>
      <c r="P179" s="73">
        <v>0.0</v>
      </c>
      <c r="Q179" s="73">
        <v>0.0</v>
      </c>
      <c r="R179" s="73">
        <v>1.0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1.0</v>
      </c>
      <c r="AD179" s="73">
        <v>1.0</v>
      </c>
      <c r="AE179" s="73">
        <v>0.0</v>
      </c>
      <c r="AF179" s="73">
        <v>0.0</v>
      </c>
      <c r="AG179" s="73">
        <v>0.0</v>
      </c>
      <c r="AH179" s="13">
        <f t="shared" si="36"/>
        <v>6</v>
      </c>
    </row>
    <row r="180" ht="12.75" customHeight="1">
      <c r="A180" s="18"/>
      <c r="B180" s="49"/>
      <c r="C180" s="50" t="s">
        <v>133</v>
      </c>
      <c r="D180" s="51"/>
      <c r="E180" s="73">
        <v>2.0</v>
      </c>
      <c r="F180" s="73">
        <v>0.0</v>
      </c>
      <c r="G180" s="73">
        <v>1.0</v>
      </c>
      <c r="H180" s="73">
        <v>1.0</v>
      </c>
      <c r="I180" s="73">
        <v>1.0</v>
      </c>
      <c r="J180" s="73">
        <v>0.0</v>
      </c>
      <c r="K180" s="73">
        <v>1.0</v>
      </c>
      <c r="L180" s="73">
        <v>1.0</v>
      </c>
      <c r="M180" s="73">
        <v>2.0</v>
      </c>
      <c r="N180" s="73">
        <v>0.0</v>
      </c>
      <c r="O180" s="73">
        <v>2.0</v>
      </c>
      <c r="P180" s="73">
        <v>1.0</v>
      </c>
      <c r="Q180" s="73">
        <v>0.0</v>
      </c>
      <c r="R180" s="73">
        <v>1.0</v>
      </c>
      <c r="S180" s="73">
        <v>1.0</v>
      </c>
      <c r="T180" s="73">
        <v>0.0</v>
      </c>
      <c r="U180" s="73">
        <v>4.0</v>
      </c>
      <c r="V180" s="73">
        <v>1.0</v>
      </c>
      <c r="W180" s="73">
        <v>3.0</v>
      </c>
      <c r="X180" s="73">
        <v>0.0</v>
      </c>
      <c r="Y180" s="73">
        <v>1.0</v>
      </c>
      <c r="Z180" s="73">
        <v>0.0</v>
      </c>
      <c r="AA180" s="73">
        <v>1.0</v>
      </c>
      <c r="AB180" s="73">
        <v>1.0</v>
      </c>
      <c r="AC180" s="73">
        <v>2.0</v>
      </c>
      <c r="AD180" s="73">
        <v>0.0</v>
      </c>
      <c r="AE180" s="73">
        <v>0.0</v>
      </c>
      <c r="AF180" s="73">
        <v>0.0</v>
      </c>
      <c r="AG180" s="73">
        <v>0.0</v>
      </c>
      <c r="AH180" s="13">
        <f t="shared" si="36"/>
        <v>27</v>
      </c>
    </row>
    <row r="181" ht="12.75" customHeight="1">
      <c r="A181" s="18"/>
      <c r="B181" s="49"/>
      <c r="C181" s="50" t="s">
        <v>134</v>
      </c>
      <c r="D181" s="51"/>
      <c r="E181" s="73">
        <v>3.0</v>
      </c>
      <c r="F181" s="73">
        <v>0.0</v>
      </c>
      <c r="G181" s="73">
        <v>0.0</v>
      </c>
      <c r="H181" s="73">
        <v>0.0</v>
      </c>
      <c r="I181" s="73">
        <v>0.0</v>
      </c>
      <c r="J181" s="73">
        <v>2.0</v>
      </c>
      <c r="K181" s="73">
        <v>1.0</v>
      </c>
      <c r="L181" s="73">
        <v>1.0</v>
      </c>
      <c r="M181" s="73">
        <v>0.0</v>
      </c>
      <c r="N181" s="73">
        <v>0.0</v>
      </c>
      <c r="O181" s="73">
        <v>1.0</v>
      </c>
      <c r="P181" s="73">
        <v>2.0</v>
      </c>
      <c r="Q181" s="73">
        <v>1.0</v>
      </c>
      <c r="R181" s="73">
        <v>1.0</v>
      </c>
      <c r="S181" s="73">
        <v>0.0</v>
      </c>
      <c r="T181" s="73">
        <v>0.0</v>
      </c>
      <c r="U181" s="73">
        <v>2.0</v>
      </c>
      <c r="V181" s="73">
        <v>0.0</v>
      </c>
      <c r="W181" s="73">
        <v>1.0</v>
      </c>
      <c r="X181" s="73">
        <v>0.0</v>
      </c>
      <c r="Y181" s="73">
        <v>1.0</v>
      </c>
      <c r="Z181" s="73">
        <v>1.0</v>
      </c>
      <c r="AA181" s="73">
        <v>0.0</v>
      </c>
      <c r="AB181" s="73">
        <v>1.0</v>
      </c>
      <c r="AC181" s="73">
        <v>0.0</v>
      </c>
      <c r="AD181" s="73">
        <v>0.0</v>
      </c>
      <c r="AE181" s="73">
        <v>0.0</v>
      </c>
      <c r="AF181" s="73">
        <v>1.0</v>
      </c>
      <c r="AG181" s="73">
        <v>0.0</v>
      </c>
      <c r="AH181" s="13">
        <f t="shared" si="36"/>
        <v>19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1.0</v>
      </c>
      <c r="H182" s="73">
        <v>0.0</v>
      </c>
      <c r="I182" s="73">
        <v>0.0</v>
      </c>
      <c r="J182" s="73">
        <v>0.0</v>
      </c>
      <c r="K182" s="73">
        <v>0.0</v>
      </c>
      <c r="L182" s="73">
        <v>1.0</v>
      </c>
      <c r="M182" s="73">
        <v>1.0</v>
      </c>
      <c r="N182" s="73">
        <v>0.0</v>
      </c>
      <c r="O182" s="73">
        <v>0.0</v>
      </c>
      <c r="P182" s="73">
        <v>1.0</v>
      </c>
      <c r="Q182" s="73">
        <v>0.0</v>
      </c>
      <c r="R182" s="73">
        <v>0.0</v>
      </c>
      <c r="S182" s="73">
        <v>0.0</v>
      </c>
      <c r="T182" s="73">
        <v>0.0</v>
      </c>
      <c r="U182" s="73">
        <v>2.0</v>
      </c>
      <c r="V182" s="73">
        <v>0.0</v>
      </c>
      <c r="W182" s="73">
        <v>0.0</v>
      </c>
      <c r="X182" s="73">
        <v>0.0</v>
      </c>
      <c r="Y182" s="73">
        <v>2.0</v>
      </c>
      <c r="Z182" s="73">
        <v>0.0</v>
      </c>
      <c r="AA182" s="73">
        <v>0.0</v>
      </c>
      <c r="AB182" s="73">
        <v>0.0</v>
      </c>
      <c r="AC182" s="73">
        <v>2.0</v>
      </c>
      <c r="AD182" s="73">
        <v>0.0</v>
      </c>
      <c r="AE182" s="73">
        <v>0.0</v>
      </c>
      <c r="AF182" s="73">
        <v>0.0</v>
      </c>
      <c r="AG182" s="73">
        <v>0.0</v>
      </c>
      <c r="AH182" s="13">
        <f t="shared" si="36"/>
        <v>10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1.0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13">
        <f t="shared" si="36"/>
        <v>1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0.0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80">
        <v>0.0</v>
      </c>
      <c r="T184" s="80">
        <v>0.0</v>
      </c>
      <c r="U184" s="80">
        <v>0.0</v>
      </c>
      <c r="V184" s="80">
        <v>0.0</v>
      </c>
      <c r="W184" s="80">
        <v>1.0</v>
      </c>
      <c r="X184" s="80">
        <v>0.0</v>
      </c>
      <c r="Y184" s="80">
        <v>0.0</v>
      </c>
      <c r="Z184" s="80">
        <v>0.0</v>
      </c>
      <c r="AA184" s="80">
        <v>0.0</v>
      </c>
      <c r="AB184" s="80">
        <v>0.0</v>
      </c>
      <c r="AC184" s="80">
        <v>1.0</v>
      </c>
      <c r="AD184" s="80">
        <v>0.0</v>
      </c>
      <c r="AE184" s="80">
        <v>0.0</v>
      </c>
      <c r="AF184" s="80">
        <v>0.0</v>
      </c>
      <c r="AG184" s="80">
        <v>0.0</v>
      </c>
      <c r="AH184" s="13">
        <f t="shared" si="36"/>
        <v>2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1.0</v>
      </c>
      <c r="G185" s="80">
        <v>1.0</v>
      </c>
      <c r="H185" s="80">
        <v>0.0</v>
      </c>
      <c r="I185" s="80">
        <v>0.0</v>
      </c>
      <c r="J185" s="80">
        <v>0.0</v>
      </c>
      <c r="K185" s="80">
        <v>0.0</v>
      </c>
      <c r="L185" s="80">
        <v>0.0</v>
      </c>
      <c r="M185" s="80">
        <v>0.0</v>
      </c>
      <c r="N185" s="80">
        <v>0.0</v>
      </c>
      <c r="O185" s="80">
        <v>0.0</v>
      </c>
      <c r="P185" s="80">
        <v>0.0</v>
      </c>
      <c r="Q185" s="80">
        <v>0.0</v>
      </c>
      <c r="R185" s="80">
        <v>0.0</v>
      </c>
      <c r="S185" s="80">
        <v>0.0</v>
      </c>
      <c r="T185" s="80">
        <v>1.0</v>
      </c>
      <c r="U185" s="80">
        <v>0.0</v>
      </c>
      <c r="V185" s="80">
        <v>0.0</v>
      </c>
      <c r="W185" s="80">
        <v>0.0</v>
      </c>
      <c r="X185" s="80">
        <v>0.0</v>
      </c>
      <c r="Y185" s="80">
        <v>0.0</v>
      </c>
      <c r="Z185" s="80">
        <v>1.0</v>
      </c>
      <c r="AA185" s="80">
        <v>0.0</v>
      </c>
      <c r="AB185" s="80">
        <v>1.0</v>
      </c>
      <c r="AC185" s="80">
        <v>0.0</v>
      </c>
      <c r="AD185" s="80">
        <v>0.0</v>
      </c>
      <c r="AE185" s="80">
        <v>0.0</v>
      </c>
      <c r="AF185" s="80">
        <v>0.0</v>
      </c>
      <c r="AG185" s="80">
        <v>0.0</v>
      </c>
      <c r="AH185" s="13">
        <f t="shared" si="36"/>
        <v>5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1.0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0.0</v>
      </c>
      <c r="Q186" s="80">
        <v>0.0</v>
      </c>
      <c r="R186" s="80">
        <v>0.0</v>
      </c>
      <c r="S186" s="80">
        <v>0.0</v>
      </c>
      <c r="T186" s="80">
        <v>0.0</v>
      </c>
      <c r="U186" s="80">
        <v>0.0</v>
      </c>
      <c r="V186" s="80">
        <v>0.0</v>
      </c>
      <c r="W186" s="80">
        <v>0.0</v>
      </c>
      <c r="X186" s="80">
        <v>0.0</v>
      </c>
      <c r="Y186" s="80">
        <v>0.0</v>
      </c>
      <c r="Z186" s="80">
        <v>0.0</v>
      </c>
      <c r="AA186" s="80">
        <v>0.0</v>
      </c>
      <c r="AB186" s="80">
        <v>1.0</v>
      </c>
      <c r="AC186" s="80">
        <v>0.0</v>
      </c>
      <c r="AD186" s="80">
        <v>0.0</v>
      </c>
      <c r="AE186" s="80">
        <v>0.0</v>
      </c>
      <c r="AF186" s="80">
        <v>0.0</v>
      </c>
      <c r="AG186" s="80">
        <v>0.0</v>
      </c>
      <c r="AH186" s="13">
        <f t="shared" si="36"/>
        <v>2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AH187" si="37">SUM(E177:E186)</f>
        <v>15</v>
      </c>
      <c r="F187" s="13">
        <f t="shared" si="37"/>
        <v>4</v>
      </c>
      <c r="G187" s="13">
        <f t="shared" si="37"/>
        <v>5</v>
      </c>
      <c r="H187" s="13">
        <f t="shared" si="37"/>
        <v>6</v>
      </c>
      <c r="I187" s="13">
        <f t="shared" si="37"/>
        <v>2</v>
      </c>
      <c r="J187" s="13">
        <f t="shared" si="37"/>
        <v>3</v>
      </c>
      <c r="K187" s="13">
        <f t="shared" si="37"/>
        <v>3</v>
      </c>
      <c r="L187" s="13">
        <f t="shared" si="37"/>
        <v>4</v>
      </c>
      <c r="M187" s="13">
        <f t="shared" si="37"/>
        <v>9</v>
      </c>
      <c r="N187" s="13">
        <f t="shared" si="37"/>
        <v>9</v>
      </c>
      <c r="O187" s="13">
        <f t="shared" si="37"/>
        <v>9</v>
      </c>
      <c r="P187" s="13">
        <f t="shared" si="37"/>
        <v>6</v>
      </c>
      <c r="Q187" s="13">
        <f t="shared" si="37"/>
        <v>3</v>
      </c>
      <c r="R187" s="13">
        <f t="shared" si="37"/>
        <v>8</v>
      </c>
      <c r="S187" s="13">
        <f t="shared" si="37"/>
        <v>8</v>
      </c>
      <c r="T187" s="13">
        <f t="shared" si="37"/>
        <v>7</v>
      </c>
      <c r="U187" s="13">
        <f t="shared" si="37"/>
        <v>9</v>
      </c>
      <c r="V187" s="13">
        <f t="shared" si="37"/>
        <v>4</v>
      </c>
      <c r="W187" s="13">
        <f t="shared" si="37"/>
        <v>15</v>
      </c>
      <c r="X187" s="13">
        <f t="shared" si="37"/>
        <v>9</v>
      </c>
      <c r="Y187" s="13">
        <f t="shared" si="37"/>
        <v>8</v>
      </c>
      <c r="Z187" s="13">
        <f t="shared" si="37"/>
        <v>6</v>
      </c>
      <c r="AA187" s="13">
        <f t="shared" si="37"/>
        <v>7</v>
      </c>
      <c r="AB187" s="13">
        <f t="shared" si="37"/>
        <v>8</v>
      </c>
      <c r="AC187" s="13">
        <f t="shared" si="37"/>
        <v>10</v>
      </c>
      <c r="AD187" s="13">
        <f t="shared" si="37"/>
        <v>4</v>
      </c>
      <c r="AE187" s="13">
        <f t="shared" si="37"/>
        <v>2</v>
      </c>
      <c r="AF187" s="13">
        <f t="shared" si="37"/>
        <v>1</v>
      </c>
      <c r="AG187" s="13">
        <f t="shared" si="37"/>
        <v>3</v>
      </c>
      <c r="AH187" s="13">
        <f t="shared" si="37"/>
        <v>187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AH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1.0</v>
      </c>
      <c r="F189" s="73">
        <v>0.0</v>
      </c>
      <c r="G189" s="73">
        <v>1.0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1.0</v>
      </c>
      <c r="Q189" s="73">
        <v>0.0</v>
      </c>
      <c r="R189" s="73">
        <v>1.0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1.0</v>
      </c>
      <c r="AH189" s="13">
        <f t="shared" ref="AH189:AH198" si="38">SUM(E189:AG189)</f>
        <v>5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1.0</v>
      </c>
      <c r="L190" s="73">
        <v>0.0</v>
      </c>
      <c r="M190" s="73">
        <v>2.0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0.0</v>
      </c>
      <c r="AH190" s="13">
        <f t="shared" si="38"/>
        <v>3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1.0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1.0</v>
      </c>
      <c r="S191" s="73">
        <v>0.0</v>
      </c>
      <c r="T191" s="73">
        <v>1.0</v>
      </c>
      <c r="U191" s="73">
        <v>0.0</v>
      </c>
      <c r="V191" s="73">
        <v>0.0</v>
      </c>
      <c r="W191" s="73">
        <v>0.0</v>
      </c>
      <c r="X191" s="73">
        <v>1.0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1.0</v>
      </c>
      <c r="AH191" s="13">
        <f t="shared" si="38"/>
        <v>5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13">
        <f t="shared" si="38"/>
        <v>0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0.0</v>
      </c>
      <c r="AH193" s="13">
        <f t="shared" si="38"/>
        <v>0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1.0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2.0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1.0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73">
        <v>0.0</v>
      </c>
      <c r="AF194" s="73">
        <v>0.0</v>
      </c>
      <c r="AG194" s="73">
        <v>0.0</v>
      </c>
      <c r="AH194" s="13">
        <f t="shared" si="38"/>
        <v>4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13">
        <f t="shared" si="38"/>
        <v>0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1.0</v>
      </c>
      <c r="R196" s="80">
        <v>0.0</v>
      </c>
      <c r="S196" s="80">
        <v>0.0</v>
      </c>
      <c r="T196" s="80">
        <v>0.0</v>
      </c>
      <c r="U196" s="80">
        <v>0.0</v>
      </c>
      <c r="V196" s="80">
        <v>0.0</v>
      </c>
      <c r="W196" s="80">
        <v>0.0</v>
      </c>
      <c r="X196" s="80">
        <v>0.0</v>
      </c>
      <c r="Y196" s="80">
        <v>0.0</v>
      </c>
      <c r="Z196" s="80">
        <v>0.0</v>
      </c>
      <c r="AA196" s="80">
        <v>0.0</v>
      </c>
      <c r="AB196" s="80">
        <v>0.0</v>
      </c>
      <c r="AC196" s="80">
        <v>0.0</v>
      </c>
      <c r="AD196" s="80">
        <v>0.0</v>
      </c>
      <c r="AE196" s="80">
        <v>0.0</v>
      </c>
      <c r="AF196" s="80">
        <v>0.0</v>
      </c>
      <c r="AG196" s="80">
        <v>0.0</v>
      </c>
      <c r="AH196" s="13">
        <f t="shared" si="38"/>
        <v>1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0">
        <v>0.0</v>
      </c>
      <c r="U197" s="80">
        <v>0.0</v>
      </c>
      <c r="V197" s="80">
        <v>0.0</v>
      </c>
      <c r="W197" s="80">
        <v>0.0</v>
      </c>
      <c r="X197" s="80">
        <v>0.0</v>
      </c>
      <c r="Y197" s="80">
        <v>0.0</v>
      </c>
      <c r="Z197" s="80">
        <v>0.0</v>
      </c>
      <c r="AA197" s="80">
        <v>0.0</v>
      </c>
      <c r="AB197" s="80">
        <v>0.0</v>
      </c>
      <c r="AC197" s="80">
        <v>0.0</v>
      </c>
      <c r="AD197" s="80">
        <v>0.0</v>
      </c>
      <c r="AE197" s="80">
        <v>0.0</v>
      </c>
      <c r="AF197" s="80">
        <v>0.0</v>
      </c>
      <c r="AG197" s="80">
        <v>0.0</v>
      </c>
      <c r="AH197" s="13">
        <f t="shared" si="38"/>
        <v>0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1.0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80">
        <v>0.0</v>
      </c>
      <c r="V198" s="80">
        <v>0.0</v>
      </c>
      <c r="W198" s="80">
        <v>0.0</v>
      </c>
      <c r="X198" s="80">
        <v>0.0</v>
      </c>
      <c r="Y198" s="80">
        <v>0.0</v>
      </c>
      <c r="Z198" s="80">
        <v>0.0</v>
      </c>
      <c r="AA198" s="80">
        <v>0.0</v>
      </c>
      <c r="AB198" s="80">
        <v>0.0</v>
      </c>
      <c r="AC198" s="80">
        <v>0.0</v>
      </c>
      <c r="AD198" s="80">
        <v>0.0</v>
      </c>
      <c r="AE198" s="80">
        <v>0.0</v>
      </c>
      <c r="AF198" s="80">
        <v>0.0</v>
      </c>
      <c r="AG198" s="80">
        <v>0.0</v>
      </c>
      <c r="AH198" s="13">
        <f t="shared" si="38"/>
        <v>1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AH199" si="39">SUM(E189:E198)</f>
        <v>1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2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3</v>
      </c>
      <c r="N199" s="13">
        <f t="shared" si="39"/>
        <v>0</v>
      </c>
      <c r="O199" s="13">
        <f t="shared" si="39"/>
        <v>2</v>
      </c>
      <c r="P199" s="13">
        <f t="shared" si="39"/>
        <v>1</v>
      </c>
      <c r="Q199" s="13">
        <f t="shared" si="39"/>
        <v>1</v>
      </c>
      <c r="R199" s="13">
        <f t="shared" si="39"/>
        <v>2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0</v>
      </c>
      <c r="AG199" s="13">
        <f t="shared" si="39"/>
        <v>2</v>
      </c>
      <c r="AH199" s="13">
        <f t="shared" si="39"/>
        <v>19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5.0</v>
      </c>
      <c r="F201" s="73">
        <v>4.0</v>
      </c>
      <c r="G201" s="73">
        <v>0.0</v>
      </c>
      <c r="H201" s="73">
        <v>2.0</v>
      </c>
      <c r="I201" s="73">
        <v>5.0</v>
      </c>
      <c r="J201" s="73">
        <v>6.0</v>
      </c>
      <c r="K201" s="73">
        <v>7.0</v>
      </c>
      <c r="L201" s="73">
        <v>10.0</v>
      </c>
      <c r="M201" s="73">
        <v>3.0</v>
      </c>
      <c r="N201" s="73">
        <v>3.0</v>
      </c>
      <c r="O201" s="73">
        <v>4.0</v>
      </c>
      <c r="P201" s="73">
        <v>4.0</v>
      </c>
      <c r="Q201" s="73">
        <v>8.0</v>
      </c>
      <c r="R201" s="73">
        <v>4.0</v>
      </c>
      <c r="S201" s="73">
        <v>2.0</v>
      </c>
      <c r="T201" s="73">
        <v>6.0</v>
      </c>
      <c r="U201" s="73">
        <v>0.0</v>
      </c>
      <c r="V201" s="73">
        <v>4.0</v>
      </c>
      <c r="W201" s="73">
        <v>5.0</v>
      </c>
      <c r="X201" s="73">
        <v>3.0</v>
      </c>
      <c r="Y201" s="73">
        <v>5.0</v>
      </c>
      <c r="Z201" s="73">
        <v>2.0</v>
      </c>
      <c r="AA201" s="73">
        <v>5.0</v>
      </c>
      <c r="AB201" s="73">
        <v>6.0</v>
      </c>
      <c r="AC201" s="73">
        <v>6.0</v>
      </c>
      <c r="AD201" s="73">
        <v>7.0</v>
      </c>
      <c r="AE201" s="73">
        <v>12.0</v>
      </c>
      <c r="AF201" s="73">
        <v>0.0</v>
      </c>
      <c r="AG201" s="73">
        <v>1.0</v>
      </c>
      <c r="AH201" s="13">
        <f t="shared" ref="AH201:AH210" si="40">SUM(E201:AG201)</f>
        <v>129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11.0</v>
      </c>
      <c r="F202" s="73">
        <v>5.0</v>
      </c>
      <c r="G202" s="73">
        <v>2.0</v>
      </c>
      <c r="H202" s="73">
        <v>7.0</v>
      </c>
      <c r="I202" s="73">
        <v>7.0</v>
      </c>
      <c r="J202" s="73">
        <v>5.0</v>
      </c>
      <c r="K202" s="73">
        <v>13.0</v>
      </c>
      <c r="L202" s="73">
        <v>10.0</v>
      </c>
      <c r="M202" s="73">
        <v>8.0</v>
      </c>
      <c r="N202" s="73">
        <v>6.0</v>
      </c>
      <c r="O202" s="73">
        <v>4.0</v>
      </c>
      <c r="P202" s="73">
        <v>13.0</v>
      </c>
      <c r="Q202" s="73">
        <v>7.0</v>
      </c>
      <c r="R202" s="73">
        <v>5.0</v>
      </c>
      <c r="S202" s="73">
        <v>12.0</v>
      </c>
      <c r="T202" s="73">
        <v>7.0</v>
      </c>
      <c r="U202" s="73">
        <v>5.0</v>
      </c>
      <c r="V202" s="73">
        <v>12.0</v>
      </c>
      <c r="W202" s="73">
        <v>2.0</v>
      </c>
      <c r="X202" s="73">
        <v>6.0</v>
      </c>
      <c r="Y202" s="73">
        <v>6.0</v>
      </c>
      <c r="Z202" s="73">
        <v>9.0</v>
      </c>
      <c r="AA202" s="73">
        <v>7.0</v>
      </c>
      <c r="AB202" s="73">
        <v>6.0</v>
      </c>
      <c r="AC202" s="73">
        <v>15.0</v>
      </c>
      <c r="AD202" s="73">
        <v>5.0</v>
      </c>
      <c r="AE202" s="73">
        <v>7.0</v>
      </c>
      <c r="AF202" s="73">
        <v>1.0</v>
      </c>
      <c r="AG202" s="73">
        <v>3.0</v>
      </c>
      <c r="AH202" s="13">
        <f t="shared" si="40"/>
        <v>206</v>
      </c>
    </row>
    <row r="203" ht="12.75" customHeight="1">
      <c r="A203" s="18"/>
      <c r="B203" s="49"/>
      <c r="C203" s="50" t="s">
        <v>154</v>
      </c>
      <c r="D203" s="51"/>
      <c r="E203" s="73">
        <v>0.0</v>
      </c>
      <c r="F203" s="73">
        <v>1.0</v>
      </c>
      <c r="G203" s="73">
        <v>3.0</v>
      </c>
      <c r="H203" s="73">
        <v>3.0</v>
      </c>
      <c r="I203" s="73">
        <v>6.0</v>
      </c>
      <c r="J203" s="73">
        <v>1.0</v>
      </c>
      <c r="K203" s="73">
        <v>0.0</v>
      </c>
      <c r="L203" s="73">
        <v>2.0</v>
      </c>
      <c r="M203" s="73">
        <v>1.0</v>
      </c>
      <c r="N203" s="73">
        <v>3.0</v>
      </c>
      <c r="O203" s="73">
        <v>2.0</v>
      </c>
      <c r="P203" s="73">
        <v>2.0</v>
      </c>
      <c r="Q203" s="73">
        <v>4.0</v>
      </c>
      <c r="R203" s="73">
        <v>8.0</v>
      </c>
      <c r="S203" s="73">
        <v>4.0</v>
      </c>
      <c r="T203" s="73">
        <v>1.0</v>
      </c>
      <c r="U203" s="73">
        <v>0.0</v>
      </c>
      <c r="V203" s="73">
        <v>5.0</v>
      </c>
      <c r="W203" s="73">
        <v>3.0</v>
      </c>
      <c r="X203" s="73">
        <v>2.0</v>
      </c>
      <c r="Y203" s="73">
        <v>8.0</v>
      </c>
      <c r="Z203" s="73">
        <v>2.0</v>
      </c>
      <c r="AA203" s="73">
        <v>7.0</v>
      </c>
      <c r="AB203" s="73">
        <v>1.0</v>
      </c>
      <c r="AC203" s="73">
        <v>2.0</v>
      </c>
      <c r="AD203" s="73">
        <v>3.0</v>
      </c>
      <c r="AE203" s="73">
        <v>1.0</v>
      </c>
      <c r="AF203" s="73">
        <v>0.0</v>
      </c>
      <c r="AG203" s="73">
        <v>3.0</v>
      </c>
      <c r="AH203" s="13">
        <f t="shared" si="40"/>
        <v>78</v>
      </c>
    </row>
    <row r="204" ht="12.75" customHeight="1">
      <c r="A204" s="18"/>
      <c r="B204" s="49"/>
      <c r="C204" s="50" t="s">
        <v>155</v>
      </c>
      <c r="D204" s="51"/>
      <c r="E204" s="73">
        <v>1.0</v>
      </c>
      <c r="F204" s="73">
        <v>0.0</v>
      </c>
      <c r="G204" s="73">
        <v>0.0</v>
      </c>
      <c r="H204" s="73">
        <v>0.0</v>
      </c>
      <c r="I204" s="73">
        <v>0.0</v>
      </c>
      <c r="J204" s="73">
        <v>0.0</v>
      </c>
      <c r="K204" s="73">
        <v>1.0</v>
      </c>
      <c r="L204" s="73">
        <v>1.0</v>
      </c>
      <c r="M204" s="73">
        <v>1.0</v>
      </c>
      <c r="N204" s="73">
        <v>0.0</v>
      </c>
      <c r="O204" s="73">
        <v>0.0</v>
      </c>
      <c r="P204" s="73">
        <v>2.0</v>
      </c>
      <c r="Q204" s="73">
        <v>0.0</v>
      </c>
      <c r="R204" s="73">
        <v>0.0</v>
      </c>
      <c r="S204" s="73">
        <v>1.0</v>
      </c>
      <c r="T204" s="73">
        <v>1.0</v>
      </c>
      <c r="U204" s="73">
        <v>0.0</v>
      </c>
      <c r="V204" s="73">
        <v>2.0</v>
      </c>
      <c r="W204" s="73">
        <v>1.0</v>
      </c>
      <c r="X204" s="73">
        <v>0.0</v>
      </c>
      <c r="Y204" s="73">
        <v>0.0</v>
      </c>
      <c r="Z204" s="73">
        <v>0.0</v>
      </c>
      <c r="AA204" s="73">
        <v>1.0</v>
      </c>
      <c r="AB204" s="73">
        <v>0.0</v>
      </c>
      <c r="AC204" s="73">
        <v>0.0</v>
      </c>
      <c r="AD204" s="73">
        <v>1.0</v>
      </c>
      <c r="AE204" s="73">
        <v>1.0</v>
      </c>
      <c r="AF204" s="73">
        <v>0.0</v>
      </c>
      <c r="AG204" s="73">
        <v>1.0</v>
      </c>
      <c r="AH204" s="13">
        <f t="shared" si="40"/>
        <v>15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1.0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1.0</v>
      </c>
      <c r="Q205" s="73">
        <v>0.0</v>
      </c>
      <c r="R205" s="73">
        <v>0.0</v>
      </c>
      <c r="S205" s="73">
        <v>1.0</v>
      </c>
      <c r="T205" s="73">
        <v>0.0</v>
      </c>
      <c r="U205" s="73">
        <v>0.0</v>
      </c>
      <c r="V205" s="73">
        <v>0.0</v>
      </c>
      <c r="W205" s="73">
        <v>0.0</v>
      </c>
      <c r="X205" s="73">
        <v>1.0</v>
      </c>
      <c r="Y205" s="73">
        <v>1.0</v>
      </c>
      <c r="Z205" s="73">
        <v>0.0</v>
      </c>
      <c r="AA205" s="73">
        <v>0.0</v>
      </c>
      <c r="AB205" s="73">
        <v>1.0</v>
      </c>
      <c r="AC205" s="73">
        <v>0.0</v>
      </c>
      <c r="AD205" s="73">
        <v>0.0</v>
      </c>
      <c r="AE205" s="73">
        <v>0.0</v>
      </c>
      <c r="AF205" s="73">
        <v>0.0</v>
      </c>
      <c r="AG205" s="73">
        <v>0.0</v>
      </c>
      <c r="AH205" s="13">
        <f t="shared" si="40"/>
        <v>6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1.0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1.0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73">
        <v>0.0</v>
      </c>
      <c r="AH206" s="13">
        <f t="shared" si="40"/>
        <v>2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0.0</v>
      </c>
      <c r="G207" s="73">
        <v>1.0</v>
      </c>
      <c r="H207" s="73">
        <v>1.0</v>
      </c>
      <c r="I207" s="73">
        <v>0.0</v>
      </c>
      <c r="J207" s="73">
        <v>1.0</v>
      </c>
      <c r="K207" s="73">
        <v>0.0</v>
      </c>
      <c r="L207" s="73">
        <v>1.0</v>
      </c>
      <c r="M207" s="73">
        <v>1.0</v>
      </c>
      <c r="N207" s="73">
        <v>1.0</v>
      </c>
      <c r="O207" s="73">
        <v>1.0</v>
      </c>
      <c r="P207" s="73">
        <v>1.0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73">
        <v>0.0</v>
      </c>
      <c r="Z207" s="73">
        <v>3.0</v>
      </c>
      <c r="AA207" s="73">
        <v>0.0</v>
      </c>
      <c r="AB207" s="73">
        <v>1.0</v>
      </c>
      <c r="AC207" s="73">
        <v>1.0</v>
      </c>
      <c r="AD207" s="73">
        <v>2.0</v>
      </c>
      <c r="AE207" s="73">
        <v>0.0</v>
      </c>
      <c r="AF207" s="73">
        <v>0.0</v>
      </c>
      <c r="AG207" s="73">
        <v>1.0</v>
      </c>
      <c r="AH207" s="13">
        <f t="shared" si="40"/>
        <v>16</v>
      </c>
    </row>
    <row r="208" ht="12.75" customHeight="1">
      <c r="A208" s="79"/>
      <c r="B208" s="49"/>
      <c r="C208" s="50" t="s">
        <v>159</v>
      </c>
      <c r="D208" s="51"/>
      <c r="E208" s="80">
        <v>1.0</v>
      </c>
      <c r="F208" s="80">
        <v>0.0</v>
      </c>
      <c r="G208" s="80">
        <v>1.0</v>
      </c>
      <c r="H208" s="80">
        <v>0.0</v>
      </c>
      <c r="I208" s="80">
        <v>3.0</v>
      </c>
      <c r="J208" s="80">
        <v>0.0</v>
      </c>
      <c r="K208" s="80">
        <v>2.0</v>
      </c>
      <c r="L208" s="80">
        <v>1.0</v>
      </c>
      <c r="M208" s="80">
        <v>2.0</v>
      </c>
      <c r="N208" s="80">
        <v>1.0</v>
      </c>
      <c r="O208" s="80">
        <v>0.0</v>
      </c>
      <c r="P208" s="80">
        <v>2.0</v>
      </c>
      <c r="Q208" s="80">
        <v>0.0</v>
      </c>
      <c r="R208" s="80">
        <v>0.0</v>
      </c>
      <c r="S208" s="80">
        <v>0.0</v>
      </c>
      <c r="T208" s="80">
        <v>1.0</v>
      </c>
      <c r="U208" s="80">
        <v>0.0</v>
      </c>
      <c r="V208" s="80">
        <v>1.0</v>
      </c>
      <c r="W208" s="80">
        <v>1.0</v>
      </c>
      <c r="X208" s="80">
        <v>1.0</v>
      </c>
      <c r="Y208" s="80">
        <v>1.0</v>
      </c>
      <c r="Z208" s="80">
        <v>0.0</v>
      </c>
      <c r="AA208" s="80">
        <v>1.0</v>
      </c>
      <c r="AB208" s="80">
        <v>0.0</v>
      </c>
      <c r="AC208" s="80">
        <v>0.0</v>
      </c>
      <c r="AD208" s="80">
        <v>1.0</v>
      </c>
      <c r="AE208" s="80">
        <v>0.0</v>
      </c>
      <c r="AF208" s="80">
        <v>0.0</v>
      </c>
      <c r="AG208" s="80">
        <v>1.0</v>
      </c>
      <c r="AH208" s="13">
        <f t="shared" si="40"/>
        <v>21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1.0</v>
      </c>
      <c r="T209" s="80">
        <v>0.0</v>
      </c>
      <c r="U209" s="80">
        <v>1.0</v>
      </c>
      <c r="V209" s="80">
        <v>2.0</v>
      </c>
      <c r="W209" s="80">
        <v>0.0</v>
      </c>
      <c r="X209" s="80">
        <v>0.0</v>
      </c>
      <c r="Y209" s="80">
        <v>0.0</v>
      </c>
      <c r="Z209" s="80">
        <v>0.0</v>
      </c>
      <c r="AA209" s="80">
        <v>0.0</v>
      </c>
      <c r="AB209" s="80">
        <v>0.0</v>
      </c>
      <c r="AC209" s="80">
        <v>0.0</v>
      </c>
      <c r="AD209" s="80">
        <v>0.0</v>
      </c>
      <c r="AE209" s="80">
        <v>0.0</v>
      </c>
      <c r="AF209" s="80">
        <v>0.0</v>
      </c>
      <c r="AG209" s="80">
        <v>0.0</v>
      </c>
      <c r="AH209" s="13">
        <f t="shared" si="40"/>
        <v>4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0.0</v>
      </c>
      <c r="H210" s="80">
        <v>0.0</v>
      </c>
      <c r="I210" s="80">
        <v>0.0</v>
      </c>
      <c r="J210" s="80">
        <v>0.0</v>
      </c>
      <c r="K210" s="80">
        <v>1.0</v>
      </c>
      <c r="L210" s="80">
        <v>0.0</v>
      </c>
      <c r="M210" s="80">
        <v>0.0</v>
      </c>
      <c r="N210" s="80">
        <v>1.0</v>
      </c>
      <c r="O210" s="80">
        <v>0.0</v>
      </c>
      <c r="P210" s="80">
        <v>2.0</v>
      </c>
      <c r="Q210" s="80">
        <v>0.0</v>
      </c>
      <c r="R210" s="80">
        <v>0.0</v>
      </c>
      <c r="S210" s="80">
        <v>0.0</v>
      </c>
      <c r="T210" s="80">
        <v>0.0</v>
      </c>
      <c r="U210" s="80">
        <v>0.0</v>
      </c>
      <c r="V210" s="80">
        <v>0.0</v>
      </c>
      <c r="W210" s="80">
        <v>0.0</v>
      </c>
      <c r="X210" s="80">
        <v>0.0</v>
      </c>
      <c r="Y210" s="80">
        <v>1.0</v>
      </c>
      <c r="Z210" s="80">
        <v>0.0</v>
      </c>
      <c r="AA210" s="80">
        <v>0.0</v>
      </c>
      <c r="AB210" s="80">
        <v>0.0</v>
      </c>
      <c r="AC210" s="80">
        <v>0.0</v>
      </c>
      <c r="AD210" s="80">
        <v>0.0</v>
      </c>
      <c r="AE210" s="80">
        <v>0.0</v>
      </c>
      <c r="AF210" s="80">
        <v>0.0</v>
      </c>
      <c r="AG210" s="80">
        <v>0.0</v>
      </c>
      <c r="AH210" s="13">
        <f t="shared" si="40"/>
        <v>5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AH211" si="41">SUM(E201:E210)</f>
        <v>18</v>
      </c>
      <c r="F211" s="13">
        <f t="shared" si="41"/>
        <v>10</v>
      </c>
      <c r="G211" s="13">
        <f t="shared" si="41"/>
        <v>7</v>
      </c>
      <c r="H211" s="13">
        <f t="shared" si="41"/>
        <v>13</v>
      </c>
      <c r="I211" s="13">
        <f t="shared" si="41"/>
        <v>21</v>
      </c>
      <c r="J211" s="13">
        <f t="shared" si="41"/>
        <v>14</v>
      </c>
      <c r="K211" s="13">
        <f t="shared" si="41"/>
        <v>24</v>
      </c>
      <c r="L211" s="13">
        <f t="shared" si="41"/>
        <v>25</v>
      </c>
      <c r="M211" s="13">
        <f t="shared" si="41"/>
        <v>17</v>
      </c>
      <c r="N211" s="13">
        <f t="shared" si="41"/>
        <v>15</v>
      </c>
      <c r="O211" s="13">
        <f t="shared" si="41"/>
        <v>11</v>
      </c>
      <c r="P211" s="13">
        <f t="shared" si="41"/>
        <v>27</v>
      </c>
      <c r="Q211" s="13">
        <f t="shared" si="41"/>
        <v>19</v>
      </c>
      <c r="R211" s="13">
        <f t="shared" si="41"/>
        <v>17</v>
      </c>
      <c r="S211" s="13">
        <f t="shared" si="41"/>
        <v>21</v>
      </c>
      <c r="T211" s="13">
        <f t="shared" si="41"/>
        <v>16</v>
      </c>
      <c r="U211" s="13">
        <f t="shared" si="41"/>
        <v>7</v>
      </c>
      <c r="V211" s="13">
        <f t="shared" si="41"/>
        <v>26</v>
      </c>
      <c r="W211" s="13">
        <f t="shared" si="41"/>
        <v>12</v>
      </c>
      <c r="X211" s="13">
        <f t="shared" si="41"/>
        <v>13</v>
      </c>
      <c r="Y211" s="13">
        <f t="shared" si="41"/>
        <v>22</v>
      </c>
      <c r="Z211" s="13">
        <f t="shared" si="41"/>
        <v>16</v>
      </c>
      <c r="AA211" s="13">
        <f t="shared" si="41"/>
        <v>21</v>
      </c>
      <c r="AB211" s="13">
        <f t="shared" si="41"/>
        <v>15</v>
      </c>
      <c r="AC211" s="13">
        <f t="shared" si="41"/>
        <v>24</v>
      </c>
      <c r="AD211" s="13">
        <f t="shared" si="41"/>
        <v>19</v>
      </c>
      <c r="AE211" s="13">
        <f t="shared" si="41"/>
        <v>21</v>
      </c>
      <c r="AF211" s="13">
        <f t="shared" si="41"/>
        <v>1</v>
      </c>
      <c r="AG211" s="13">
        <f t="shared" si="41"/>
        <v>10</v>
      </c>
      <c r="AH211" s="13">
        <f t="shared" si="41"/>
        <v>482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1.0</v>
      </c>
      <c r="F213" s="73">
        <v>2.0</v>
      </c>
      <c r="G213" s="73">
        <v>7.0</v>
      </c>
      <c r="H213" s="73">
        <v>1.0</v>
      </c>
      <c r="I213" s="73">
        <v>2.0</v>
      </c>
      <c r="J213" s="73">
        <v>1.0</v>
      </c>
      <c r="K213" s="73">
        <v>6.0</v>
      </c>
      <c r="L213" s="73">
        <v>3.0</v>
      </c>
      <c r="M213" s="73">
        <v>3.0</v>
      </c>
      <c r="N213" s="73">
        <v>7.0</v>
      </c>
      <c r="O213" s="73">
        <v>1.0</v>
      </c>
      <c r="P213" s="73">
        <v>2.0</v>
      </c>
      <c r="Q213" s="73">
        <v>2.0</v>
      </c>
      <c r="R213" s="73">
        <v>6.0</v>
      </c>
      <c r="S213" s="73">
        <v>3.0</v>
      </c>
      <c r="T213" s="73">
        <v>6.0</v>
      </c>
      <c r="U213" s="73">
        <v>1.0</v>
      </c>
      <c r="V213" s="73">
        <v>5.0</v>
      </c>
      <c r="W213" s="73">
        <v>1.0</v>
      </c>
      <c r="X213" s="73">
        <v>4.0</v>
      </c>
      <c r="Y213" s="73">
        <v>4.0</v>
      </c>
      <c r="Z213" s="73">
        <v>5.0</v>
      </c>
      <c r="AA213" s="73">
        <v>2.0</v>
      </c>
      <c r="AB213" s="73">
        <v>7.0</v>
      </c>
      <c r="AC213" s="73">
        <v>6.0</v>
      </c>
      <c r="AD213" s="73">
        <v>7.0</v>
      </c>
      <c r="AE213" s="73">
        <v>1.0</v>
      </c>
      <c r="AF213" s="73">
        <v>2.0</v>
      </c>
      <c r="AG213" s="73">
        <v>2.0</v>
      </c>
      <c r="AH213" s="13">
        <f t="shared" ref="AH213:AH222" si="42">SUM(E213:AG213)</f>
        <v>100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1.0</v>
      </c>
      <c r="F214" s="73">
        <v>0.0</v>
      </c>
      <c r="G214" s="73">
        <v>1.0</v>
      </c>
      <c r="H214" s="73">
        <v>2.0</v>
      </c>
      <c r="I214" s="73">
        <v>2.0</v>
      </c>
      <c r="J214" s="73">
        <v>0.0</v>
      </c>
      <c r="K214" s="73">
        <v>1.0</v>
      </c>
      <c r="L214" s="73">
        <v>2.0</v>
      </c>
      <c r="M214" s="73">
        <v>3.0</v>
      </c>
      <c r="N214" s="73">
        <v>3.0</v>
      </c>
      <c r="O214" s="73">
        <v>1.0</v>
      </c>
      <c r="P214" s="73">
        <v>1.0</v>
      </c>
      <c r="Q214" s="73">
        <v>4.0</v>
      </c>
      <c r="R214" s="73">
        <v>3.0</v>
      </c>
      <c r="S214" s="73">
        <v>4.0</v>
      </c>
      <c r="T214" s="73">
        <v>0.0</v>
      </c>
      <c r="U214" s="73">
        <v>1.0</v>
      </c>
      <c r="V214" s="73">
        <v>1.0</v>
      </c>
      <c r="W214" s="73">
        <v>3.0</v>
      </c>
      <c r="X214" s="73">
        <v>0.0</v>
      </c>
      <c r="Y214" s="73">
        <v>3.0</v>
      </c>
      <c r="Z214" s="73">
        <v>2.0</v>
      </c>
      <c r="AA214" s="73">
        <v>1.0</v>
      </c>
      <c r="AB214" s="73">
        <v>1.0</v>
      </c>
      <c r="AC214" s="73">
        <v>5.0</v>
      </c>
      <c r="AD214" s="73">
        <v>0.0</v>
      </c>
      <c r="AE214" s="73">
        <v>2.0</v>
      </c>
      <c r="AF214" s="73">
        <v>1.0</v>
      </c>
      <c r="AG214" s="73">
        <v>1.0</v>
      </c>
      <c r="AH214" s="13">
        <f t="shared" si="42"/>
        <v>49</v>
      </c>
    </row>
    <row r="215" ht="12.75" customHeight="1">
      <c r="A215" s="18"/>
      <c r="B215" s="49"/>
      <c r="C215" s="50" t="s">
        <v>165</v>
      </c>
      <c r="D215" s="51"/>
      <c r="E215" s="73">
        <v>2.0</v>
      </c>
      <c r="F215" s="73">
        <v>1.0</v>
      </c>
      <c r="G215" s="73">
        <v>1.0</v>
      </c>
      <c r="H215" s="73">
        <v>1.0</v>
      </c>
      <c r="I215" s="73">
        <v>2.0</v>
      </c>
      <c r="J215" s="73">
        <v>1.0</v>
      </c>
      <c r="K215" s="73">
        <v>2.0</v>
      </c>
      <c r="L215" s="73">
        <v>5.0</v>
      </c>
      <c r="M215" s="73">
        <v>6.0</v>
      </c>
      <c r="N215" s="73">
        <v>6.0</v>
      </c>
      <c r="O215" s="73">
        <v>2.0</v>
      </c>
      <c r="P215" s="73">
        <v>1.0</v>
      </c>
      <c r="Q215" s="73">
        <v>3.0</v>
      </c>
      <c r="R215" s="73">
        <v>1.0</v>
      </c>
      <c r="S215" s="73">
        <v>3.0</v>
      </c>
      <c r="T215" s="73">
        <v>1.0</v>
      </c>
      <c r="U215" s="73">
        <v>2.0</v>
      </c>
      <c r="V215" s="73">
        <v>3.0</v>
      </c>
      <c r="W215" s="73">
        <v>2.0</v>
      </c>
      <c r="X215" s="73">
        <v>4.0</v>
      </c>
      <c r="Y215" s="73">
        <v>1.0</v>
      </c>
      <c r="Z215" s="73">
        <v>2.0</v>
      </c>
      <c r="AA215" s="73">
        <v>0.0</v>
      </c>
      <c r="AB215" s="73">
        <v>1.0</v>
      </c>
      <c r="AC215" s="73">
        <v>3.0</v>
      </c>
      <c r="AD215" s="73">
        <v>2.0</v>
      </c>
      <c r="AE215" s="73">
        <v>3.0</v>
      </c>
      <c r="AF215" s="73">
        <v>0.0</v>
      </c>
      <c r="AG215" s="73">
        <v>0.0</v>
      </c>
      <c r="AH215" s="13">
        <f t="shared" si="42"/>
        <v>61</v>
      </c>
    </row>
    <row r="216" ht="12.75" customHeight="1">
      <c r="A216" s="18"/>
      <c r="B216" s="49"/>
      <c r="C216" s="50" t="s">
        <v>166</v>
      </c>
      <c r="D216" s="51"/>
      <c r="E216" s="73">
        <v>1.0</v>
      </c>
      <c r="F216" s="73">
        <v>0.0</v>
      </c>
      <c r="G216" s="73">
        <v>0.0</v>
      </c>
      <c r="H216" s="73">
        <v>0.0</v>
      </c>
      <c r="I216" s="73">
        <v>0.0</v>
      </c>
      <c r="J216" s="73">
        <v>1.0</v>
      </c>
      <c r="K216" s="73">
        <v>1.0</v>
      </c>
      <c r="L216" s="73">
        <v>1.0</v>
      </c>
      <c r="M216" s="73">
        <v>0.0</v>
      </c>
      <c r="N216" s="73">
        <v>5.0</v>
      </c>
      <c r="O216" s="73">
        <v>0.0</v>
      </c>
      <c r="P216" s="73">
        <v>0.0</v>
      </c>
      <c r="Q216" s="73">
        <v>1.0</v>
      </c>
      <c r="R216" s="73">
        <v>1.0</v>
      </c>
      <c r="S216" s="73">
        <v>1.0</v>
      </c>
      <c r="T216" s="73">
        <v>2.0</v>
      </c>
      <c r="U216" s="73">
        <v>1.0</v>
      </c>
      <c r="V216" s="73">
        <v>2.0</v>
      </c>
      <c r="W216" s="73">
        <v>1.0</v>
      </c>
      <c r="X216" s="73">
        <v>0.0</v>
      </c>
      <c r="Y216" s="73">
        <v>0.0</v>
      </c>
      <c r="Z216" s="73">
        <v>0.0</v>
      </c>
      <c r="AA216" s="73">
        <v>0.0</v>
      </c>
      <c r="AB216" s="73">
        <v>0.0</v>
      </c>
      <c r="AC216" s="73">
        <v>0.0</v>
      </c>
      <c r="AD216" s="73">
        <v>1.0</v>
      </c>
      <c r="AE216" s="73">
        <v>1.0</v>
      </c>
      <c r="AF216" s="73">
        <v>0.0</v>
      </c>
      <c r="AG216" s="73">
        <v>0.0</v>
      </c>
      <c r="AH216" s="13">
        <f t="shared" si="42"/>
        <v>20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AH223" si="43">SUM(E213:E222)</f>
        <v>5</v>
      </c>
      <c r="F223" s="13">
        <f t="shared" si="43"/>
        <v>3</v>
      </c>
      <c r="G223" s="13">
        <f t="shared" si="43"/>
        <v>9</v>
      </c>
      <c r="H223" s="13">
        <f t="shared" si="43"/>
        <v>4</v>
      </c>
      <c r="I223" s="13">
        <f t="shared" si="43"/>
        <v>6</v>
      </c>
      <c r="J223" s="13">
        <f t="shared" si="43"/>
        <v>3</v>
      </c>
      <c r="K223" s="13">
        <f t="shared" si="43"/>
        <v>10</v>
      </c>
      <c r="L223" s="13">
        <f t="shared" si="43"/>
        <v>11</v>
      </c>
      <c r="M223" s="13">
        <f t="shared" si="43"/>
        <v>12</v>
      </c>
      <c r="N223" s="13">
        <f t="shared" si="43"/>
        <v>21</v>
      </c>
      <c r="O223" s="13">
        <f t="shared" si="43"/>
        <v>4</v>
      </c>
      <c r="P223" s="13">
        <f t="shared" si="43"/>
        <v>4</v>
      </c>
      <c r="Q223" s="13">
        <f t="shared" si="43"/>
        <v>10</v>
      </c>
      <c r="R223" s="13">
        <f t="shared" si="43"/>
        <v>11</v>
      </c>
      <c r="S223" s="13">
        <f t="shared" si="43"/>
        <v>11</v>
      </c>
      <c r="T223" s="13">
        <f t="shared" si="43"/>
        <v>9</v>
      </c>
      <c r="U223" s="13">
        <f t="shared" si="43"/>
        <v>5</v>
      </c>
      <c r="V223" s="13">
        <f t="shared" si="43"/>
        <v>11</v>
      </c>
      <c r="W223" s="13">
        <f t="shared" si="43"/>
        <v>7</v>
      </c>
      <c r="X223" s="13">
        <f t="shared" si="43"/>
        <v>8</v>
      </c>
      <c r="Y223" s="13">
        <f t="shared" si="43"/>
        <v>8</v>
      </c>
      <c r="Z223" s="13">
        <f t="shared" si="43"/>
        <v>9</v>
      </c>
      <c r="AA223" s="13">
        <f t="shared" si="43"/>
        <v>3</v>
      </c>
      <c r="AB223" s="13">
        <f t="shared" si="43"/>
        <v>9</v>
      </c>
      <c r="AC223" s="13">
        <f t="shared" si="43"/>
        <v>14</v>
      </c>
      <c r="AD223" s="13">
        <f t="shared" si="43"/>
        <v>10</v>
      </c>
      <c r="AE223" s="13">
        <f t="shared" si="43"/>
        <v>7</v>
      </c>
      <c r="AF223" s="13">
        <f t="shared" si="43"/>
        <v>3</v>
      </c>
      <c r="AG223" s="13">
        <f t="shared" si="43"/>
        <v>3</v>
      </c>
      <c r="AH223" s="13">
        <f t="shared" si="43"/>
        <v>230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1.0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1.0</v>
      </c>
      <c r="N225" s="73">
        <v>0.0</v>
      </c>
      <c r="O225" s="73">
        <v>0.0</v>
      </c>
      <c r="P225" s="73">
        <v>0.0</v>
      </c>
      <c r="Q225" s="73">
        <v>1.0</v>
      </c>
      <c r="R225" s="73">
        <v>2.0</v>
      </c>
      <c r="S225" s="73">
        <v>2.0</v>
      </c>
      <c r="T225" s="73">
        <v>0.0</v>
      </c>
      <c r="U225" s="73">
        <v>0.0</v>
      </c>
      <c r="V225" s="73">
        <v>1.0</v>
      </c>
      <c r="W225" s="73">
        <v>1.0</v>
      </c>
      <c r="X225" s="73">
        <v>1.0</v>
      </c>
      <c r="Y225" s="73">
        <v>1.0</v>
      </c>
      <c r="Z225" s="73">
        <v>1.0</v>
      </c>
      <c r="AA225" s="73">
        <v>1.0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13">
        <f t="shared" ref="AH225:AH234" si="44">SUM(E225:AG225)</f>
        <v>13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1.0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1.0</v>
      </c>
      <c r="T226" s="73">
        <v>0.0</v>
      </c>
      <c r="U226" s="73">
        <v>0.0</v>
      </c>
      <c r="V226" s="73">
        <v>1.0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0.0</v>
      </c>
      <c r="AF226" s="73">
        <v>1.0</v>
      </c>
      <c r="AG226" s="73">
        <v>0.0</v>
      </c>
      <c r="AH226" s="13">
        <f t="shared" si="44"/>
        <v>4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1.0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0.0</v>
      </c>
      <c r="AF227" s="73">
        <v>0.0</v>
      </c>
      <c r="AG227" s="73">
        <v>0.0</v>
      </c>
      <c r="AH227" s="13">
        <f t="shared" si="44"/>
        <v>1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1.0</v>
      </c>
      <c r="N228" s="73">
        <v>0.0</v>
      </c>
      <c r="O228" s="73">
        <v>1.0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1.0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1.0</v>
      </c>
      <c r="AE228" s="73">
        <v>1.0</v>
      </c>
      <c r="AF228" s="73">
        <v>0.0</v>
      </c>
      <c r="AG228" s="73">
        <v>1.0</v>
      </c>
      <c r="AH228" s="13">
        <f t="shared" si="44"/>
        <v>6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1.0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1.0</v>
      </c>
      <c r="AE229" s="73">
        <v>0.0</v>
      </c>
      <c r="AF229" s="73">
        <v>0.0</v>
      </c>
      <c r="AG229" s="73">
        <v>0.0</v>
      </c>
      <c r="AH229" s="13">
        <f t="shared" si="44"/>
        <v>2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AH235" si="45">SUM(E225:E234)</f>
        <v>0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3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1</v>
      </c>
      <c r="R235" s="13">
        <f t="shared" si="45"/>
        <v>2</v>
      </c>
      <c r="S235" s="13">
        <f t="shared" si="45"/>
        <v>3</v>
      </c>
      <c r="T235" s="13">
        <f t="shared" si="45"/>
        <v>0</v>
      </c>
      <c r="U235" s="13">
        <f t="shared" si="45"/>
        <v>0</v>
      </c>
      <c r="V235" s="13">
        <f t="shared" si="45"/>
        <v>2</v>
      </c>
      <c r="W235" s="13">
        <f t="shared" si="45"/>
        <v>1</v>
      </c>
      <c r="X235" s="13">
        <f t="shared" si="45"/>
        <v>1</v>
      </c>
      <c r="Y235" s="13">
        <f t="shared" si="45"/>
        <v>2</v>
      </c>
      <c r="Z235" s="13">
        <f t="shared" si="45"/>
        <v>1</v>
      </c>
      <c r="AA235" s="13">
        <f t="shared" si="45"/>
        <v>1</v>
      </c>
      <c r="AB235" s="13">
        <f t="shared" si="45"/>
        <v>0</v>
      </c>
      <c r="AC235" s="13">
        <f t="shared" si="45"/>
        <v>0</v>
      </c>
      <c r="AD235" s="13">
        <f t="shared" si="45"/>
        <v>2</v>
      </c>
      <c r="AE235" s="13">
        <f t="shared" si="45"/>
        <v>1</v>
      </c>
      <c r="AF235" s="13">
        <f t="shared" si="45"/>
        <v>1</v>
      </c>
      <c r="AG235" s="13">
        <f t="shared" si="45"/>
        <v>1</v>
      </c>
      <c r="AH235" s="13">
        <f t="shared" si="45"/>
        <v>26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0.0</v>
      </c>
      <c r="F237" s="73">
        <v>0.0</v>
      </c>
      <c r="G237" s="73">
        <v>1.0</v>
      </c>
      <c r="H237" s="73">
        <v>0.0</v>
      </c>
      <c r="I237" s="73">
        <v>0.0</v>
      </c>
      <c r="J237" s="73">
        <v>0.0</v>
      </c>
      <c r="K237" s="73">
        <v>0.0</v>
      </c>
      <c r="L237" s="73">
        <v>1.0</v>
      </c>
      <c r="M237" s="73">
        <v>1.0</v>
      </c>
      <c r="N237" s="73">
        <v>1.0</v>
      </c>
      <c r="O237" s="73">
        <v>0.0</v>
      </c>
      <c r="P237" s="73">
        <v>2.0</v>
      </c>
      <c r="Q237" s="73">
        <v>0.0</v>
      </c>
      <c r="R237" s="73">
        <v>2.0</v>
      </c>
      <c r="S237" s="73">
        <v>0.0</v>
      </c>
      <c r="T237" s="73">
        <v>0.0</v>
      </c>
      <c r="U237" s="73">
        <v>2.0</v>
      </c>
      <c r="V237" s="73">
        <v>0.0</v>
      </c>
      <c r="W237" s="73">
        <v>1.0</v>
      </c>
      <c r="X237" s="73">
        <v>0.0</v>
      </c>
      <c r="Y237" s="73">
        <v>0.0</v>
      </c>
      <c r="Z237" s="73">
        <v>0.0</v>
      </c>
      <c r="AA237" s="73">
        <v>1.0</v>
      </c>
      <c r="AB237" s="73">
        <v>0.0</v>
      </c>
      <c r="AC237" s="73">
        <v>1.0</v>
      </c>
      <c r="AD237" s="73">
        <v>0.0</v>
      </c>
      <c r="AE237" s="73">
        <v>0.0</v>
      </c>
      <c r="AF237" s="73">
        <v>0.0</v>
      </c>
      <c r="AG237" s="73">
        <v>0.0</v>
      </c>
      <c r="AH237" s="13">
        <f t="shared" ref="AH237:AH246" si="46">SUM(E237:AG237)</f>
        <v>13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2.0</v>
      </c>
      <c r="F238" s="73">
        <v>0.0</v>
      </c>
      <c r="G238" s="73">
        <v>0.0</v>
      </c>
      <c r="H238" s="73">
        <v>0.0</v>
      </c>
      <c r="I238" s="73">
        <v>3.0</v>
      </c>
      <c r="J238" s="73">
        <v>2.0</v>
      </c>
      <c r="K238" s="73">
        <v>2.0</v>
      </c>
      <c r="L238" s="73">
        <v>0.0</v>
      </c>
      <c r="M238" s="73">
        <v>1.0</v>
      </c>
      <c r="N238" s="73">
        <v>0.0</v>
      </c>
      <c r="O238" s="73">
        <v>1.0</v>
      </c>
      <c r="P238" s="73">
        <v>0.0</v>
      </c>
      <c r="Q238" s="73">
        <v>0.0</v>
      </c>
      <c r="R238" s="73">
        <v>2.0</v>
      </c>
      <c r="S238" s="73">
        <v>0.0</v>
      </c>
      <c r="T238" s="73">
        <v>1.0</v>
      </c>
      <c r="U238" s="73">
        <v>1.0</v>
      </c>
      <c r="V238" s="73">
        <v>1.0</v>
      </c>
      <c r="W238" s="73">
        <v>0.0</v>
      </c>
      <c r="X238" s="73">
        <v>0.0</v>
      </c>
      <c r="Y238" s="73">
        <v>1.0</v>
      </c>
      <c r="Z238" s="73">
        <v>0.0</v>
      </c>
      <c r="AA238" s="73">
        <v>0.0</v>
      </c>
      <c r="AB238" s="73">
        <v>0.0</v>
      </c>
      <c r="AC238" s="73">
        <v>0.0</v>
      </c>
      <c r="AD238" s="73">
        <v>0.0</v>
      </c>
      <c r="AE238" s="73">
        <v>1.0</v>
      </c>
      <c r="AF238" s="73">
        <v>0.0</v>
      </c>
      <c r="AG238" s="73">
        <v>0.0</v>
      </c>
      <c r="AH238" s="13">
        <f t="shared" si="46"/>
        <v>18</v>
      </c>
    </row>
    <row r="239" ht="12.75" customHeight="1">
      <c r="A239" s="18"/>
      <c r="B239" s="49"/>
      <c r="C239" s="50" t="s">
        <v>176</v>
      </c>
      <c r="D239" s="51"/>
      <c r="E239" s="73">
        <v>5.0</v>
      </c>
      <c r="F239" s="73">
        <v>4.0</v>
      </c>
      <c r="G239" s="73">
        <v>12.0</v>
      </c>
      <c r="H239" s="73">
        <v>2.0</v>
      </c>
      <c r="I239" s="73">
        <v>0.0</v>
      </c>
      <c r="J239" s="73">
        <v>5.0</v>
      </c>
      <c r="K239" s="73">
        <v>7.0</v>
      </c>
      <c r="L239" s="73">
        <v>19.0</v>
      </c>
      <c r="M239" s="73">
        <v>1.0</v>
      </c>
      <c r="N239" s="73">
        <v>3.0</v>
      </c>
      <c r="O239" s="73">
        <v>2.0</v>
      </c>
      <c r="P239" s="73">
        <v>9.0</v>
      </c>
      <c r="Q239" s="73">
        <v>3.0</v>
      </c>
      <c r="R239" s="73">
        <v>2.0</v>
      </c>
      <c r="S239" s="73">
        <v>3.0</v>
      </c>
      <c r="T239" s="73">
        <v>1.0</v>
      </c>
      <c r="U239" s="73">
        <v>1.0</v>
      </c>
      <c r="V239" s="73">
        <v>8.0</v>
      </c>
      <c r="W239" s="73">
        <v>4.0</v>
      </c>
      <c r="X239" s="73">
        <v>2.0</v>
      </c>
      <c r="Y239" s="73">
        <v>1.0</v>
      </c>
      <c r="Z239" s="73">
        <v>2.0</v>
      </c>
      <c r="AA239" s="73">
        <v>1.0</v>
      </c>
      <c r="AB239" s="73">
        <v>3.0</v>
      </c>
      <c r="AC239" s="73">
        <v>2.0</v>
      </c>
      <c r="AD239" s="73">
        <v>0.0</v>
      </c>
      <c r="AE239" s="73">
        <v>1.0</v>
      </c>
      <c r="AF239" s="73">
        <v>1.0</v>
      </c>
      <c r="AG239" s="73">
        <v>3.0</v>
      </c>
      <c r="AH239" s="13">
        <f t="shared" si="46"/>
        <v>107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0.0</v>
      </c>
      <c r="H240" s="73">
        <v>1.0</v>
      </c>
      <c r="I240" s="73">
        <v>0.0</v>
      </c>
      <c r="J240" s="73">
        <v>0.0</v>
      </c>
      <c r="K240" s="73">
        <v>1.0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0.0</v>
      </c>
      <c r="T240" s="73">
        <v>0.0</v>
      </c>
      <c r="U240" s="73">
        <v>1.0</v>
      </c>
      <c r="V240" s="73">
        <v>0.0</v>
      </c>
      <c r="W240" s="73">
        <v>0.0</v>
      </c>
      <c r="X240" s="73">
        <v>1.0</v>
      </c>
      <c r="Y240" s="73">
        <v>1.0</v>
      </c>
      <c r="Z240" s="73">
        <v>0.0</v>
      </c>
      <c r="AA240" s="73">
        <v>2.0</v>
      </c>
      <c r="AB240" s="73">
        <v>0.0</v>
      </c>
      <c r="AC240" s="73">
        <v>0.0</v>
      </c>
      <c r="AD240" s="73">
        <v>0.0</v>
      </c>
      <c r="AE240" s="73">
        <v>0.0</v>
      </c>
      <c r="AF240" s="73">
        <v>0.0</v>
      </c>
      <c r="AG240" s="73">
        <v>0.0</v>
      </c>
      <c r="AH240" s="13">
        <f t="shared" si="46"/>
        <v>7</v>
      </c>
    </row>
    <row r="241" ht="12.75" customHeight="1">
      <c r="A241" s="18"/>
      <c r="B241" s="49"/>
      <c r="C241" s="50" t="s">
        <v>178</v>
      </c>
      <c r="D241" s="51"/>
      <c r="E241" s="73">
        <v>1.0</v>
      </c>
      <c r="F241" s="73">
        <v>0.0</v>
      </c>
      <c r="G241" s="73">
        <v>0.0</v>
      </c>
      <c r="H241" s="73">
        <v>0.0</v>
      </c>
      <c r="I241" s="73">
        <v>0.0</v>
      </c>
      <c r="J241" s="73">
        <v>1.0</v>
      </c>
      <c r="K241" s="73">
        <v>0.0</v>
      </c>
      <c r="L241" s="73">
        <v>0.0</v>
      </c>
      <c r="M241" s="73">
        <v>0.0</v>
      </c>
      <c r="N241" s="73">
        <v>0.0</v>
      </c>
      <c r="O241" s="73">
        <v>1.0</v>
      </c>
      <c r="P241" s="73">
        <v>0.0</v>
      </c>
      <c r="Q241" s="73">
        <v>1.0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1.0</v>
      </c>
      <c r="AG241" s="73">
        <v>0.0</v>
      </c>
      <c r="AH241" s="13">
        <f t="shared" si="46"/>
        <v>5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1.0</v>
      </c>
      <c r="G242" s="73">
        <v>0.0</v>
      </c>
      <c r="H242" s="73">
        <v>1.0</v>
      </c>
      <c r="I242" s="73">
        <v>1.0</v>
      </c>
      <c r="J242" s="73">
        <v>1.0</v>
      </c>
      <c r="K242" s="73">
        <v>2.0</v>
      </c>
      <c r="L242" s="73">
        <v>0.0</v>
      </c>
      <c r="M242" s="73">
        <v>2.0</v>
      </c>
      <c r="N242" s="73">
        <v>2.0</v>
      </c>
      <c r="O242" s="73">
        <v>0.0</v>
      </c>
      <c r="P242" s="73">
        <v>0.0</v>
      </c>
      <c r="Q242" s="73">
        <v>1.0</v>
      </c>
      <c r="R242" s="73">
        <v>0.0</v>
      </c>
      <c r="S242" s="73">
        <v>1.0</v>
      </c>
      <c r="T242" s="73">
        <v>0.0</v>
      </c>
      <c r="U242" s="73">
        <v>2.0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2.0</v>
      </c>
      <c r="AC242" s="73">
        <v>0.0</v>
      </c>
      <c r="AD242" s="73">
        <v>0.0</v>
      </c>
      <c r="AE242" s="73">
        <v>1.0</v>
      </c>
      <c r="AF242" s="73">
        <v>2.0</v>
      </c>
      <c r="AG242" s="73">
        <v>0.0</v>
      </c>
      <c r="AH242" s="13">
        <f t="shared" si="46"/>
        <v>19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1.0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1.0</v>
      </c>
      <c r="AB243" s="73">
        <v>0.0</v>
      </c>
      <c r="AC243" s="73">
        <v>0.0</v>
      </c>
      <c r="AD243" s="73">
        <v>0.0</v>
      </c>
      <c r="AE243" s="73">
        <v>0.0</v>
      </c>
      <c r="AF243" s="73">
        <v>0.0</v>
      </c>
      <c r="AG243" s="73">
        <v>0.0</v>
      </c>
      <c r="AH243" s="13">
        <f t="shared" si="46"/>
        <v>2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1.0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80">
        <v>0.0</v>
      </c>
      <c r="T244" s="80">
        <v>0.0</v>
      </c>
      <c r="U244" s="80">
        <v>1.0</v>
      </c>
      <c r="V244" s="80">
        <v>0.0</v>
      </c>
      <c r="W244" s="80">
        <v>0.0</v>
      </c>
      <c r="X244" s="80">
        <v>0.0</v>
      </c>
      <c r="Y244" s="80">
        <v>0.0</v>
      </c>
      <c r="Z244" s="80">
        <v>0.0</v>
      </c>
      <c r="AA244" s="80">
        <v>0.0</v>
      </c>
      <c r="AB244" s="80">
        <v>0.0</v>
      </c>
      <c r="AC244" s="80">
        <v>0.0</v>
      </c>
      <c r="AD244" s="80">
        <v>0.0</v>
      </c>
      <c r="AE244" s="80">
        <v>0.0</v>
      </c>
      <c r="AF244" s="80">
        <v>0.0</v>
      </c>
      <c r="AG244" s="80">
        <v>0.0</v>
      </c>
      <c r="AH244" s="13">
        <f t="shared" si="46"/>
        <v>2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80">
        <v>0.0</v>
      </c>
      <c r="S245" s="80">
        <v>0.0</v>
      </c>
      <c r="T245" s="80">
        <v>0.0</v>
      </c>
      <c r="U245" s="80">
        <v>0.0</v>
      </c>
      <c r="V245" s="80">
        <v>1.0</v>
      </c>
      <c r="W245" s="80">
        <v>0.0</v>
      </c>
      <c r="X245" s="80">
        <v>0.0</v>
      </c>
      <c r="Y245" s="80">
        <v>0.0</v>
      </c>
      <c r="Z245" s="80">
        <v>0.0</v>
      </c>
      <c r="AA245" s="80">
        <v>0.0</v>
      </c>
      <c r="AB245" s="80">
        <v>0.0</v>
      </c>
      <c r="AC245" s="80">
        <v>0.0</v>
      </c>
      <c r="AD245" s="80">
        <v>0.0</v>
      </c>
      <c r="AE245" s="80">
        <v>0.0</v>
      </c>
      <c r="AF245" s="80">
        <v>0.0</v>
      </c>
      <c r="AG245" s="80">
        <v>0.0</v>
      </c>
      <c r="AH245" s="13">
        <f t="shared" si="46"/>
        <v>1</v>
      </c>
    </row>
    <row r="246" ht="12.75" customHeight="1">
      <c r="A246" s="79"/>
      <c r="B246" s="49"/>
      <c r="C246" s="50" t="s">
        <v>183</v>
      </c>
      <c r="D246" s="51"/>
      <c r="E246" s="80">
        <v>1.0</v>
      </c>
      <c r="F246" s="80">
        <v>0.0</v>
      </c>
      <c r="G246" s="80">
        <v>0.0</v>
      </c>
      <c r="H246" s="80">
        <v>0.0</v>
      </c>
      <c r="I246" s="80">
        <v>1.0</v>
      </c>
      <c r="J246" s="80">
        <v>0.0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0.0</v>
      </c>
      <c r="T246" s="80">
        <v>0.0</v>
      </c>
      <c r="U246" s="80">
        <v>0.0</v>
      </c>
      <c r="V246" s="80">
        <v>0.0</v>
      </c>
      <c r="W246" s="80">
        <v>1.0</v>
      </c>
      <c r="X246" s="80">
        <v>0.0</v>
      </c>
      <c r="Y246" s="80">
        <v>0.0</v>
      </c>
      <c r="Z246" s="80">
        <v>0.0</v>
      </c>
      <c r="AA246" s="80">
        <v>0.0</v>
      </c>
      <c r="AB246" s="80">
        <v>0.0</v>
      </c>
      <c r="AC246" s="80">
        <v>0.0</v>
      </c>
      <c r="AD246" s="80">
        <v>0.0</v>
      </c>
      <c r="AE246" s="80">
        <v>0.0</v>
      </c>
      <c r="AF246" s="80">
        <v>0.0</v>
      </c>
      <c r="AG246" s="80">
        <v>0.0</v>
      </c>
      <c r="AH246" s="13">
        <f t="shared" si="46"/>
        <v>3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AH247" si="47">SUM(E237:E246)</f>
        <v>9</v>
      </c>
      <c r="F247" s="13">
        <f t="shared" si="47"/>
        <v>6</v>
      </c>
      <c r="G247" s="13">
        <f t="shared" si="47"/>
        <v>13</v>
      </c>
      <c r="H247" s="13">
        <f t="shared" si="47"/>
        <v>4</v>
      </c>
      <c r="I247" s="13">
        <f t="shared" si="47"/>
        <v>5</v>
      </c>
      <c r="J247" s="13">
        <f t="shared" si="47"/>
        <v>9</v>
      </c>
      <c r="K247" s="13">
        <f t="shared" si="47"/>
        <v>12</v>
      </c>
      <c r="L247" s="13">
        <f t="shared" si="47"/>
        <v>20</v>
      </c>
      <c r="M247" s="13">
        <f t="shared" si="47"/>
        <v>5</v>
      </c>
      <c r="N247" s="13">
        <f t="shared" si="47"/>
        <v>6</v>
      </c>
      <c r="O247" s="13">
        <f t="shared" si="47"/>
        <v>5</v>
      </c>
      <c r="P247" s="13">
        <f t="shared" si="47"/>
        <v>11</v>
      </c>
      <c r="Q247" s="13">
        <f t="shared" si="47"/>
        <v>5</v>
      </c>
      <c r="R247" s="13">
        <f t="shared" si="47"/>
        <v>6</v>
      </c>
      <c r="S247" s="13">
        <f t="shared" si="47"/>
        <v>4</v>
      </c>
      <c r="T247" s="13">
        <f t="shared" si="47"/>
        <v>2</v>
      </c>
      <c r="U247" s="13">
        <f t="shared" si="47"/>
        <v>8</v>
      </c>
      <c r="V247" s="13">
        <f t="shared" si="47"/>
        <v>10</v>
      </c>
      <c r="W247" s="13">
        <f t="shared" si="47"/>
        <v>6</v>
      </c>
      <c r="X247" s="13">
        <f t="shared" si="47"/>
        <v>3</v>
      </c>
      <c r="Y247" s="13">
        <f t="shared" si="47"/>
        <v>3</v>
      </c>
      <c r="Z247" s="13">
        <f t="shared" si="47"/>
        <v>2</v>
      </c>
      <c r="AA247" s="13">
        <f t="shared" si="47"/>
        <v>5</v>
      </c>
      <c r="AB247" s="13">
        <f t="shared" si="47"/>
        <v>5</v>
      </c>
      <c r="AC247" s="13">
        <f t="shared" si="47"/>
        <v>3</v>
      </c>
      <c r="AD247" s="13">
        <f t="shared" si="47"/>
        <v>0</v>
      </c>
      <c r="AE247" s="13">
        <f t="shared" si="47"/>
        <v>3</v>
      </c>
      <c r="AF247" s="13">
        <f t="shared" si="47"/>
        <v>4</v>
      </c>
      <c r="AG247" s="13">
        <f t="shared" si="47"/>
        <v>3</v>
      </c>
      <c r="AH247" s="13">
        <f t="shared" si="47"/>
        <v>177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2.0</v>
      </c>
      <c r="F249" s="73">
        <v>0.0</v>
      </c>
      <c r="G249" s="73">
        <v>1.0</v>
      </c>
      <c r="H249" s="73">
        <v>1.0</v>
      </c>
      <c r="I249" s="73">
        <v>1.0</v>
      </c>
      <c r="J249" s="73">
        <v>2.0</v>
      </c>
      <c r="K249" s="73">
        <v>0.0</v>
      </c>
      <c r="L249" s="73">
        <v>1.0</v>
      </c>
      <c r="M249" s="73">
        <v>0.0</v>
      </c>
      <c r="N249" s="73">
        <v>1.0</v>
      </c>
      <c r="O249" s="73">
        <v>0.0</v>
      </c>
      <c r="P249" s="73">
        <v>0.0</v>
      </c>
      <c r="Q249" s="73">
        <v>0.0</v>
      </c>
      <c r="R249" s="73">
        <v>0.0</v>
      </c>
      <c r="S249" s="73">
        <v>1.0</v>
      </c>
      <c r="T249" s="73">
        <v>1.0</v>
      </c>
      <c r="U249" s="73">
        <v>13.0</v>
      </c>
      <c r="V249" s="73">
        <v>0.0</v>
      </c>
      <c r="W249" s="73">
        <v>8.0</v>
      </c>
      <c r="X249" s="73">
        <v>0.0</v>
      </c>
      <c r="Y249" s="73">
        <v>1.0</v>
      </c>
      <c r="Z249" s="73">
        <v>0.0</v>
      </c>
      <c r="AA249" s="73">
        <v>5.0</v>
      </c>
      <c r="AB249" s="73">
        <v>1.0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1.0</v>
      </c>
      <c r="AH249" s="13">
        <f t="shared" ref="AH249:AH258" si="48">SUM(E249:AG249)</f>
        <v>40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4.0</v>
      </c>
      <c r="G250" s="73">
        <v>2.0</v>
      </c>
      <c r="H250" s="73">
        <v>4.0</v>
      </c>
      <c r="I250" s="73">
        <v>0.0</v>
      </c>
      <c r="J250" s="73">
        <v>10.0</v>
      </c>
      <c r="K250" s="73">
        <v>10.0</v>
      </c>
      <c r="L250" s="73">
        <v>7.0</v>
      </c>
      <c r="M250" s="73">
        <v>2.0</v>
      </c>
      <c r="N250" s="73">
        <v>0.0</v>
      </c>
      <c r="O250" s="73">
        <v>0.0</v>
      </c>
      <c r="P250" s="73">
        <v>0.0</v>
      </c>
      <c r="Q250" s="73">
        <v>1.0</v>
      </c>
      <c r="R250" s="73">
        <v>0.0</v>
      </c>
      <c r="S250" s="73">
        <v>0.0</v>
      </c>
      <c r="T250" s="73">
        <v>2.0</v>
      </c>
      <c r="U250" s="73">
        <v>25.0</v>
      </c>
      <c r="V250" s="73">
        <v>1.0</v>
      </c>
      <c r="W250" s="73">
        <v>16.0</v>
      </c>
      <c r="X250" s="73">
        <v>0.0</v>
      </c>
      <c r="Y250" s="73">
        <v>0.0</v>
      </c>
      <c r="Z250" s="73">
        <v>3.0</v>
      </c>
      <c r="AA250" s="73">
        <v>9.0</v>
      </c>
      <c r="AB250" s="73">
        <v>2.0</v>
      </c>
      <c r="AC250" s="73">
        <v>1.0</v>
      </c>
      <c r="AD250" s="73">
        <v>5.0</v>
      </c>
      <c r="AE250" s="73">
        <v>0.0</v>
      </c>
      <c r="AF250" s="73">
        <v>0.0</v>
      </c>
      <c r="AG250" s="73">
        <v>0.0</v>
      </c>
      <c r="AH250" s="13">
        <f t="shared" si="48"/>
        <v>104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1.0</v>
      </c>
      <c r="K251" s="73">
        <v>0.0</v>
      </c>
      <c r="L251" s="73">
        <v>1.0</v>
      </c>
      <c r="M251" s="73">
        <v>1.0</v>
      </c>
      <c r="N251" s="73">
        <v>0.0</v>
      </c>
      <c r="O251" s="73">
        <v>0.0</v>
      </c>
      <c r="P251" s="73">
        <v>0.0</v>
      </c>
      <c r="Q251" s="73">
        <v>1.0</v>
      </c>
      <c r="R251" s="73">
        <v>1.0</v>
      </c>
      <c r="S251" s="73">
        <v>1.0</v>
      </c>
      <c r="T251" s="73">
        <v>1.0</v>
      </c>
      <c r="U251" s="73">
        <v>3.0</v>
      </c>
      <c r="V251" s="73">
        <v>0.0</v>
      </c>
      <c r="W251" s="73">
        <v>4.0</v>
      </c>
      <c r="X251" s="73">
        <v>0.0</v>
      </c>
      <c r="Y251" s="73">
        <v>0.0</v>
      </c>
      <c r="Z251" s="73">
        <v>0.0</v>
      </c>
      <c r="AA251" s="73">
        <v>1.0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13">
        <f t="shared" si="48"/>
        <v>15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1.0</v>
      </c>
      <c r="K252" s="73">
        <v>1.0</v>
      </c>
      <c r="L252" s="73">
        <v>0.0</v>
      </c>
      <c r="M252" s="73">
        <v>1.0</v>
      </c>
      <c r="N252" s="73">
        <v>0.0</v>
      </c>
      <c r="O252" s="73">
        <v>0.0</v>
      </c>
      <c r="P252" s="73">
        <v>1.0</v>
      </c>
      <c r="Q252" s="73">
        <v>0.0</v>
      </c>
      <c r="R252" s="73">
        <v>0.0</v>
      </c>
      <c r="S252" s="73">
        <v>0.0</v>
      </c>
      <c r="T252" s="73">
        <v>0.0</v>
      </c>
      <c r="U252" s="73">
        <v>1.0</v>
      </c>
      <c r="V252" s="73">
        <v>0.0</v>
      </c>
      <c r="W252" s="73">
        <v>1.0</v>
      </c>
      <c r="X252" s="73">
        <v>0.0</v>
      </c>
      <c r="Y252" s="73">
        <v>0.0</v>
      </c>
      <c r="Z252" s="73">
        <v>0.0</v>
      </c>
      <c r="AA252" s="73">
        <v>1.0</v>
      </c>
      <c r="AB252" s="73">
        <v>1.0</v>
      </c>
      <c r="AC252" s="73">
        <v>0.0</v>
      </c>
      <c r="AD252" s="73">
        <v>0.0</v>
      </c>
      <c r="AE252" s="73">
        <v>0.0</v>
      </c>
      <c r="AF252" s="73">
        <v>0.0</v>
      </c>
      <c r="AG252" s="73">
        <v>0.0</v>
      </c>
      <c r="AH252" s="13">
        <f t="shared" si="48"/>
        <v>8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AH259" si="49">SUM(E249:E258)</f>
        <v>2</v>
      </c>
      <c r="F259" s="13">
        <f t="shared" si="49"/>
        <v>4</v>
      </c>
      <c r="G259" s="13">
        <f t="shared" si="49"/>
        <v>3</v>
      </c>
      <c r="H259" s="13">
        <f t="shared" si="49"/>
        <v>5</v>
      </c>
      <c r="I259" s="13">
        <f t="shared" si="49"/>
        <v>1</v>
      </c>
      <c r="J259" s="13">
        <f t="shared" si="49"/>
        <v>14</v>
      </c>
      <c r="K259" s="13">
        <f t="shared" si="49"/>
        <v>11</v>
      </c>
      <c r="L259" s="13">
        <f t="shared" si="49"/>
        <v>9</v>
      </c>
      <c r="M259" s="13">
        <f t="shared" si="49"/>
        <v>4</v>
      </c>
      <c r="N259" s="13">
        <f t="shared" si="49"/>
        <v>1</v>
      </c>
      <c r="O259" s="13">
        <f t="shared" si="49"/>
        <v>0</v>
      </c>
      <c r="P259" s="13">
        <f t="shared" si="49"/>
        <v>1</v>
      </c>
      <c r="Q259" s="13">
        <f t="shared" si="49"/>
        <v>2</v>
      </c>
      <c r="R259" s="13">
        <f t="shared" si="49"/>
        <v>1</v>
      </c>
      <c r="S259" s="13">
        <f t="shared" si="49"/>
        <v>2</v>
      </c>
      <c r="T259" s="13">
        <f t="shared" si="49"/>
        <v>4</v>
      </c>
      <c r="U259" s="13">
        <f t="shared" si="49"/>
        <v>42</v>
      </c>
      <c r="V259" s="13">
        <f t="shared" si="49"/>
        <v>1</v>
      </c>
      <c r="W259" s="13">
        <f t="shared" si="49"/>
        <v>29</v>
      </c>
      <c r="X259" s="13">
        <f t="shared" si="49"/>
        <v>0</v>
      </c>
      <c r="Y259" s="13">
        <f t="shared" si="49"/>
        <v>1</v>
      </c>
      <c r="Z259" s="13">
        <f t="shared" si="49"/>
        <v>3</v>
      </c>
      <c r="AA259" s="13">
        <f t="shared" si="49"/>
        <v>16</v>
      </c>
      <c r="AB259" s="13">
        <f t="shared" si="49"/>
        <v>4</v>
      </c>
      <c r="AC259" s="13">
        <f t="shared" si="49"/>
        <v>1</v>
      </c>
      <c r="AD259" s="13">
        <f t="shared" si="49"/>
        <v>5</v>
      </c>
      <c r="AE259" s="13">
        <f t="shared" si="49"/>
        <v>0</v>
      </c>
      <c r="AF259" s="13">
        <f t="shared" si="49"/>
        <v>0</v>
      </c>
      <c r="AG259" s="13">
        <f t="shared" si="49"/>
        <v>1</v>
      </c>
      <c r="AH259" s="13">
        <f t="shared" si="49"/>
        <v>167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AG262" si="50">E55+E67+E79+E91+E103+E115+E127+E139+E151+E163+E175+E187+E199+E211+E223+E235+E247+E259</f>
        <v>193</v>
      </c>
      <c r="F262" s="19">
        <f t="shared" si="50"/>
        <v>182</v>
      </c>
      <c r="G262" s="19">
        <f t="shared" si="50"/>
        <v>189</v>
      </c>
      <c r="H262" s="19">
        <f t="shared" si="50"/>
        <v>206</v>
      </c>
      <c r="I262" s="19">
        <f t="shared" si="50"/>
        <v>204</v>
      </c>
      <c r="J262" s="19">
        <f t="shared" si="50"/>
        <v>177</v>
      </c>
      <c r="K262" s="19">
        <f t="shared" si="50"/>
        <v>201</v>
      </c>
      <c r="L262" s="19">
        <f t="shared" si="50"/>
        <v>209</v>
      </c>
      <c r="M262" s="19">
        <f t="shared" si="50"/>
        <v>201</v>
      </c>
      <c r="N262" s="19">
        <f t="shared" si="50"/>
        <v>175</v>
      </c>
      <c r="O262" s="19">
        <f t="shared" si="50"/>
        <v>185</v>
      </c>
      <c r="P262" s="19">
        <f t="shared" si="50"/>
        <v>193</v>
      </c>
      <c r="Q262" s="19">
        <f t="shared" si="50"/>
        <v>177</v>
      </c>
      <c r="R262" s="19">
        <f t="shared" si="50"/>
        <v>185</v>
      </c>
      <c r="S262" s="19">
        <f t="shared" si="50"/>
        <v>195</v>
      </c>
      <c r="T262" s="19">
        <f t="shared" si="50"/>
        <v>189</v>
      </c>
      <c r="U262" s="19">
        <f t="shared" si="50"/>
        <v>194</v>
      </c>
      <c r="V262" s="19">
        <f t="shared" si="50"/>
        <v>218</v>
      </c>
      <c r="W262" s="19">
        <f t="shared" si="50"/>
        <v>199</v>
      </c>
      <c r="X262" s="19">
        <f t="shared" si="50"/>
        <v>188</v>
      </c>
      <c r="Y262" s="19">
        <f t="shared" si="50"/>
        <v>201</v>
      </c>
      <c r="Z262" s="19">
        <f t="shared" si="50"/>
        <v>185</v>
      </c>
      <c r="AA262" s="19">
        <f t="shared" si="50"/>
        <v>192</v>
      </c>
      <c r="AB262" s="19">
        <f t="shared" si="50"/>
        <v>177</v>
      </c>
      <c r="AC262" s="19">
        <f t="shared" si="50"/>
        <v>211</v>
      </c>
      <c r="AD262" s="19">
        <f t="shared" si="50"/>
        <v>210</v>
      </c>
      <c r="AE262" s="19">
        <f t="shared" si="50"/>
        <v>121</v>
      </c>
      <c r="AF262" s="19">
        <f t="shared" si="50"/>
        <v>107</v>
      </c>
      <c r="AG262" s="19">
        <f t="shared" si="50"/>
        <v>237</v>
      </c>
      <c r="AH262" s="13">
        <f t="shared" ref="AH262:AH264" si="51">SUM(E262:AG262)</f>
        <v>5501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25.0</v>
      </c>
      <c r="F263" s="73">
        <v>44.0</v>
      </c>
      <c r="G263" s="73">
        <v>22.0</v>
      </c>
      <c r="H263" s="73">
        <v>19.0</v>
      </c>
      <c r="I263" s="73">
        <v>34.0</v>
      </c>
      <c r="J263" s="73">
        <v>37.0</v>
      </c>
      <c r="K263" s="73">
        <v>26.0</v>
      </c>
      <c r="L263" s="73">
        <v>19.0</v>
      </c>
      <c r="M263" s="73">
        <v>40.0</v>
      </c>
      <c r="N263" s="73">
        <v>30.0</v>
      </c>
      <c r="O263" s="73">
        <v>39.0</v>
      </c>
      <c r="P263" s="73">
        <v>16.0</v>
      </c>
      <c r="Q263" s="73">
        <v>38.0</v>
      </c>
      <c r="R263" s="73">
        <v>26.0</v>
      </c>
      <c r="S263" s="73">
        <v>21.0</v>
      </c>
      <c r="T263" s="73">
        <v>20.0</v>
      </c>
      <c r="U263" s="73">
        <v>31.0</v>
      </c>
      <c r="V263" s="73">
        <v>30.0</v>
      </c>
      <c r="W263" s="73">
        <v>23.0</v>
      </c>
      <c r="X263" s="73">
        <v>28.0</v>
      </c>
      <c r="Y263" s="73">
        <v>24.0</v>
      </c>
      <c r="Z263" s="73">
        <v>29.0</v>
      </c>
      <c r="AA263" s="73">
        <v>31.0</v>
      </c>
      <c r="AB263" s="73">
        <v>24.0</v>
      </c>
      <c r="AC263" s="73">
        <v>22.0</v>
      </c>
      <c r="AD263" s="73">
        <v>26.0</v>
      </c>
      <c r="AE263" s="73">
        <v>19.0</v>
      </c>
      <c r="AF263" s="73">
        <v>19.0</v>
      </c>
      <c r="AG263" s="73">
        <v>14.0</v>
      </c>
      <c r="AH263" s="13">
        <f t="shared" si="51"/>
        <v>776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AG264" si="52">SUM(E262:E263)</f>
        <v>218</v>
      </c>
      <c r="F264" s="13">
        <f t="shared" si="52"/>
        <v>226</v>
      </c>
      <c r="G264" s="13">
        <f t="shared" si="52"/>
        <v>211</v>
      </c>
      <c r="H264" s="13">
        <f t="shared" si="52"/>
        <v>225</v>
      </c>
      <c r="I264" s="13">
        <f t="shared" si="52"/>
        <v>238</v>
      </c>
      <c r="J264" s="13">
        <f t="shared" si="52"/>
        <v>214</v>
      </c>
      <c r="K264" s="13">
        <f t="shared" si="52"/>
        <v>227</v>
      </c>
      <c r="L264" s="13">
        <f t="shared" si="52"/>
        <v>228</v>
      </c>
      <c r="M264" s="13">
        <f t="shared" si="52"/>
        <v>241</v>
      </c>
      <c r="N264" s="13">
        <f t="shared" si="52"/>
        <v>205</v>
      </c>
      <c r="O264" s="13">
        <f t="shared" si="52"/>
        <v>224</v>
      </c>
      <c r="P264" s="13">
        <f t="shared" si="52"/>
        <v>209</v>
      </c>
      <c r="Q264" s="13">
        <f t="shared" si="52"/>
        <v>215</v>
      </c>
      <c r="R264" s="13">
        <f t="shared" si="52"/>
        <v>211</v>
      </c>
      <c r="S264" s="13">
        <f t="shared" si="52"/>
        <v>216</v>
      </c>
      <c r="T264" s="13">
        <f t="shared" si="52"/>
        <v>209</v>
      </c>
      <c r="U264" s="13">
        <f t="shared" si="52"/>
        <v>225</v>
      </c>
      <c r="V264" s="13">
        <f t="shared" si="52"/>
        <v>248</v>
      </c>
      <c r="W264" s="13">
        <f t="shared" si="52"/>
        <v>222</v>
      </c>
      <c r="X264" s="13">
        <f t="shared" si="52"/>
        <v>216</v>
      </c>
      <c r="Y264" s="13">
        <f t="shared" si="52"/>
        <v>225</v>
      </c>
      <c r="Z264" s="13">
        <f t="shared" si="52"/>
        <v>214</v>
      </c>
      <c r="AA264" s="13">
        <f t="shared" si="52"/>
        <v>223</v>
      </c>
      <c r="AB264" s="13">
        <f t="shared" si="52"/>
        <v>201</v>
      </c>
      <c r="AC264" s="13">
        <f t="shared" si="52"/>
        <v>233</v>
      </c>
      <c r="AD264" s="13">
        <f t="shared" si="52"/>
        <v>236</v>
      </c>
      <c r="AE264" s="13">
        <f t="shared" si="52"/>
        <v>140</v>
      </c>
      <c r="AF264" s="13">
        <f t="shared" si="52"/>
        <v>126</v>
      </c>
      <c r="AG264" s="13">
        <f t="shared" si="52"/>
        <v>251</v>
      </c>
      <c r="AH264" s="13">
        <f t="shared" si="51"/>
        <v>6277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G15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E30&lt;&gt;E47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45:AG54">
    <cfRule type="containsBlanks" dxfId="1" priority="10">
      <formula>LEN(TRIM(E45))=0</formula>
    </cfRule>
  </conditionalFormatting>
  <conditionalFormatting sqref="E57:AG66">
    <cfRule type="containsBlanks" dxfId="1" priority="11">
      <formula>LEN(TRIM(E57))=0</formula>
    </cfRule>
  </conditionalFormatting>
  <conditionalFormatting sqref="E69:AG78">
    <cfRule type="containsBlanks" dxfId="1" priority="12">
      <formula>LEN(TRIM(E69))=0</formula>
    </cfRule>
  </conditionalFormatting>
  <conditionalFormatting sqref="E81:AG90">
    <cfRule type="containsBlanks" dxfId="1" priority="13">
      <formula>LEN(TRIM(E81))=0</formula>
    </cfRule>
  </conditionalFormatting>
  <conditionalFormatting sqref="E93:AG102">
    <cfRule type="containsBlanks" dxfId="1" priority="14">
      <formula>LEN(TRIM(E93))=0</formula>
    </cfRule>
  </conditionalFormatting>
  <conditionalFormatting sqref="E105:AG114">
    <cfRule type="containsBlanks" dxfId="1" priority="15">
      <formula>LEN(TRIM(E105))=0</formula>
    </cfRule>
  </conditionalFormatting>
  <conditionalFormatting sqref="E117:AG126">
    <cfRule type="containsBlanks" dxfId="1" priority="16">
      <formula>LEN(TRIM(E117))=0</formula>
    </cfRule>
  </conditionalFormatting>
  <conditionalFormatting sqref="E129:AG138">
    <cfRule type="containsBlanks" dxfId="1" priority="17">
      <formula>LEN(TRIM(E129))=0</formula>
    </cfRule>
  </conditionalFormatting>
  <conditionalFormatting sqref="E141:AG150">
    <cfRule type="containsBlanks" dxfId="1" priority="18">
      <formula>LEN(TRIM(E141))=0</formula>
    </cfRule>
  </conditionalFormatting>
  <conditionalFormatting sqref="E153:AG162">
    <cfRule type="containsBlanks" dxfId="1" priority="19">
      <formula>LEN(TRIM(E153))=0</formula>
    </cfRule>
  </conditionalFormatting>
  <conditionalFormatting sqref="E165:AG174">
    <cfRule type="containsBlanks" dxfId="1" priority="20">
      <formula>LEN(TRIM(E165))=0</formula>
    </cfRule>
  </conditionalFormatting>
  <conditionalFormatting sqref="E177:AG186">
    <cfRule type="containsBlanks" dxfId="1" priority="21">
      <formula>LEN(TRIM(E177))=0</formula>
    </cfRule>
  </conditionalFormatting>
  <conditionalFormatting sqref="E189:AG198">
    <cfRule type="containsBlanks" dxfId="1" priority="22">
      <formula>LEN(TRIM(E189))=0</formula>
    </cfRule>
  </conditionalFormatting>
  <conditionalFormatting sqref="E201:AG210">
    <cfRule type="containsBlanks" dxfId="1" priority="23">
      <formula>LEN(TRIM(E201))=0</formula>
    </cfRule>
  </conditionalFormatting>
  <conditionalFormatting sqref="E213:AG222">
    <cfRule type="containsBlanks" dxfId="1" priority="24">
      <formula>LEN(TRIM(E213))=0</formula>
    </cfRule>
  </conditionalFormatting>
  <conditionalFormatting sqref="E225:AG234">
    <cfRule type="containsBlanks" dxfId="1" priority="25">
      <formula>LEN(TRIM(E225))=0</formula>
    </cfRule>
  </conditionalFormatting>
  <conditionalFormatting sqref="E237:AG246">
    <cfRule type="containsBlanks" dxfId="1" priority="26">
      <formula>LEN(TRIM(E237))=0</formula>
    </cfRule>
  </conditionalFormatting>
  <conditionalFormatting sqref="E249:AG258">
    <cfRule type="containsBlanks" dxfId="1" priority="27">
      <formula>LEN(TRIM(E249))=0</formula>
    </cfRule>
  </conditionalFormatting>
  <conditionalFormatting sqref="E262:AG263">
    <cfRule type="containsBlanks" dxfId="1" priority="28">
      <formula>LEN(TRIM(E262))=0</formula>
    </cfRule>
  </conditionalFormatting>
  <conditionalFormatting sqref="U34:AG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36"/>
    </row>
    <row r="14" ht="12.75" customHeight="1">
      <c r="A14" s="18"/>
      <c r="B14" s="22" t="s">
        <v>10</v>
      </c>
      <c r="C14" s="23"/>
      <c r="D14" s="19" t="s">
        <v>11</v>
      </c>
      <c r="E14" s="73">
        <v>136.0</v>
      </c>
      <c r="F14" s="73">
        <v>149.0</v>
      </c>
      <c r="G14" s="73">
        <v>144.0</v>
      </c>
      <c r="H14" s="73">
        <v>143.0</v>
      </c>
      <c r="I14" s="73">
        <v>141.0</v>
      </c>
      <c r="J14" s="73">
        <v>130.0</v>
      </c>
      <c r="K14" s="73">
        <v>140.0</v>
      </c>
      <c r="L14" s="73">
        <v>131.0</v>
      </c>
      <c r="M14" s="73">
        <v>129.0</v>
      </c>
      <c r="N14" s="73">
        <v>143.0</v>
      </c>
      <c r="O14" s="73">
        <v>148.0</v>
      </c>
      <c r="P14" s="73">
        <v>122.0</v>
      </c>
      <c r="Q14" s="73">
        <v>140.0</v>
      </c>
      <c r="R14" s="73">
        <v>140.0</v>
      </c>
      <c r="S14" s="73">
        <v>129.0</v>
      </c>
      <c r="T14" s="13">
        <f t="shared" ref="T14:T16" si="1">SUM(E14:S14)</f>
        <v>2065</v>
      </c>
    </row>
    <row r="15" ht="12.75" customHeight="1">
      <c r="A15" s="18"/>
      <c r="B15" s="26"/>
      <c r="C15" s="27"/>
      <c r="D15" s="19" t="s">
        <v>12</v>
      </c>
      <c r="E15" s="73">
        <v>157.0</v>
      </c>
      <c r="F15" s="73">
        <v>146.0</v>
      </c>
      <c r="G15" s="73">
        <v>131.0</v>
      </c>
      <c r="H15" s="73">
        <v>153.0</v>
      </c>
      <c r="I15" s="73">
        <v>147.0</v>
      </c>
      <c r="J15" s="73">
        <v>159.0</v>
      </c>
      <c r="K15" s="73">
        <v>147.0</v>
      </c>
      <c r="L15" s="73">
        <v>150.0</v>
      </c>
      <c r="M15" s="73">
        <v>159.0</v>
      </c>
      <c r="N15" s="73">
        <v>156.0</v>
      </c>
      <c r="O15" s="73">
        <v>140.0</v>
      </c>
      <c r="P15" s="73">
        <v>145.0</v>
      </c>
      <c r="Q15" s="73">
        <v>154.0</v>
      </c>
      <c r="R15" s="73">
        <v>140.0</v>
      </c>
      <c r="S15" s="73">
        <v>161.0</v>
      </c>
      <c r="T15" s="13">
        <f t="shared" si="1"/>
        <v>2245</v>
      </c>
    </row>
    <row r="16" ht="12.75" customHeight="1">
      <c r="A16" s="25"/>
      <c r="B16" s="21"/>
      <c r="C16" s="28"/>
      <c r="D16" s="13" t="s">
        <v>13</v>
      </c>
      <c r="E16" s="13">
        <f t="shared" ref="E16:S16" si="2">SUM(E14:E15)</f>
        <v>293</v>
      </c>
      <c r="F16" s="13">
        <f t="shared" si="2"/>
        <v>295</v>
      </c>
      <c r="G16" s="13">
        <f t="shared" si="2"/>
        <v>275</v>
      </c>
      <c r="H16" s="13">
        <f t="shared" si="2"/>
        <v>296</v>
      </c>
      <c r="I16" s="13">
        <f t="shared" si="2"/>
        <v>288</v>
      </c>
      <c r="J16" s="13">
        <f t="shared" si="2"/>
        <v>289</v>
      </c>
      <c r="K16" s="13">
        <f t="shared" si="2"/>
        <v>287</v>
      </c>
      <c r="L16" s="13">
        <f t="shared" si="2"/>
        <v>281</v>
      </c>
      <c r="M16" s="13">
        <f t="shared" si="2"/>
        <v>288</v>
      </c>
      <c r="N16" s="13">
        <f t="shared" si="2"/>
        <v>299</v>
      </c>
      <c r="O16" s="13">
        <f t="shared" si="2"/>
        <v>288</v>
      </c>
      <c r="P16" s="13">
        <f t="shared" si="2"/>
        <v>267</v>
      </c>
      <c r="Q16" s="13">
        <f t="shared" si="2"/>
        <v>294</v>
      </c>
      <c r="R16" s="13">
        <f t="shared" si="2"/>
        <v>280</v>
      </c>
      <c r="S16" s="13">
        <f t="shared" si="2"/>
        <v>290</v>
      </c>
      <c r="T16" s="13">
        <f t="shared" si="1"/>
        <v>4310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96.0</v>
      </c>
      <c r="F19" s="73">
        <v>105.0</v>
      </c>
      <c r="G19" s="73">
        <v>100.0</v>
      </c>
      <c r="H19" s="73">
        <v>106.0</v>
      </c>
      <c r="I19" s="73">
        <v>95.0</v>
      </c>
      <c r="J19" s="73">
        <v>93.0</v>
      </c>
      <c r="K19" s="73">
        <v>106.0</v>
      </c>
      <c r="L19" s="73">
        <v>83.0</v>
      </c>
      <c r="M19" s="73">
        <v>98.0</v>
      </c>
      <c r="N19" s="73">
        <v>90.0</v>
      </c>
      <c r="O19" s="73">
        <v>110.0</v>
      </c>
      <c r="P19" s="73">
        <v>89.0</v>
      </c>
      <c r="Q19" s="73">
        <v>105.0</v>
      </c>
      <c r="R19" s="73">
        <v>92.0</v>
      </c>
      <c r="S19" s="73">
        <v>90.0</v>
      </c>
      <c r="T19" s="13">
        <f t="shared" ref="T19:T30" si="3">SUM(E19:S19)</f>
        <v>1458</v>
      </c>
    </row>
    <row r="20" ht="12.75" customHeight="1">
      <c r="A20" s="33"/>
      <c r="B20" s="27"/>
      <c r="C20" s="34"/>
      <c r="D20" s="19" t="s">
        <v>12</v>
      </c>
      <c r="E20" s="73">
        <v>118.0</v>
      </c>
      <c r="F20" s="73">
        <v>114.0</v>
      </c>
      <c r="G20" s="73">
        <v>101.0</v>
      </c>
      <c r="H20" s="73">
        <v>131.0</v>
      </c>
      <c r="I20" s="73">
        <v>109.0</v>
      </c>
      <c r="J20" s="73">
        <v>126.0</v>
      </c>
      <c r="K20" s="73">
        <v>115.0</v>
      </c>
      <c r="L20" s="73">
        <v>114.0</v>
      </c>
      <c r="M20" s="73">
        <v>121.0</v>
      </c>
      <c r="N20" s="73">
        <v>115.0</v>
      </c>
      <c r="O20" s="73">
        <v>112.0</v>
      </c>
      <c r="P20" s="73">
        <v>116.0</v>
      </c>
      <c r="Q20" s="73">
        <v>126.0</v>
      </c>
      <c r="R20" s="73">
        <v>113.0</v>
      </c>
      <c r="S20" s="73">
        <v>123.0</v>
      </c>
      <c r="T20" s="13">
        <f t="shared" si="3"/>
        <v>1754</v>
      </c>
    </row>
    <row r="21" ht="12.75" customHeight="1">
      <c r="A21" s="35"/>
      <c r="B21" s="28"/>
      <c r="C21" s="36"/>
      <c r="D21" s="13" t="s">
        <v>13</v>
      </c>
      <c r="E21" s="13">
        <f t="shared" ref="E21:S21" si="4">SUM(E19:E20)</f>
        <v>214</v>
      </c>
      <c r="F21" s="13">
        <f t="shared" si="4"/>
        <v>219</v>
      </c>
      <c r="G21" s="13">
        <f t="shared" si="4"/>
        <v>201</v>
      </c>
      <c r="H21" s="13">
        <f t="shared" si="4"/>
        <v>237</v>
      </c>
      <c r="I21" s="13">
        <f t="shared" si="4"/>
        <v>204</v>
      </c>
      <c r="J21" s="13">
        <f t="shared" si="4"/>
        <v>219</v>
      </c>
      <c r="K21" s="13">
        <f t="shared" si="4"/>
        <v>221</v>
      </c>
      <c r="L21" s="13">
        <f t="shared" si="4"/>
        <v>197</v>
      </c>
      <c r="M21" s="13">
        <f t="shared" si="4"/>
        <v>219</v>
      </c>
      <c r="N21" s="13">
        <f t="shared" si="4"/>
        <v>205</v>
      </c>
      <c r="O21" s="13">
        <f t="shared" si="4"/>
        <v>222</v>
      </c>
      <c r="P21" s="13">
        <f t="shared" si="4"/>
        <v>205</v>
      </c>
      <c r="Q21" s="13">
        <f t="shared" si="4"/>
        <v>231</v>
      </c>
      <c r="R21" s="13">
        <f t="shared" si="4"/>
        <v>205</v>
      </c>
      <c r="S21" s="13">
        <f t="shared" si="4"/>
        <v>213</v>
      </c>
      <c r="T21" s="13">
        <f t="shared" si="3"/>
        <v>3212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1.0</v>
      </c>
      <c r="J22" s="73">
        <v>0.0</v>
      </c>
      <c r="K22" s="73">
        <v>0.0</v>
      </c>
      <c r="L22" s="73">
        <v>0.0</v>
      </c>
      <c r="M22" s="73">
        <v>0.0</v>
      </c>
      <c r="N22" s="73">
        <v>1.0</v>
      </c>
      <c r="O22" s="73">
        <v>0.0</v>
      </c>
      <c r="P22" s="73">
        <v>0.0</v>
      </c>
      <c r="Q22" s="73">
        <v>0.0</v>
      </c>
      <c r="R22" s="73">
        <v>0.0</v>
      </c>
      <c r="S22" s="73">
        <v>1.0</v>
      </c>
      <c r="T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1.0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3"/>
        <v>4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3.0</v>
      </c>
      <c r="F25" s="73">
        <v>0.0</v>
      </c>
      <c r="G25" s="73">
        <v>1.0</v>
      </c>
      <c r="H25" s="73">
        <v>0.0</v>
      </c>
      <c r="I25" s="73">
        <v>1.0</v>
      </c>
      <c r="J25" s="73">
        <v>0.0</v>
      </c>
      <c r="K25" s="73">
        <v>0.0</v>
      </c>
      <c r="L25" s="73">
        <v>1.0</v>
      </c>
      <c r="M25" s="73">
        <v>1.0</v>
      </c>
      <c r="N25" s="73">
        <v>1.0</v>
      </c>
      <c r="O25" s="73">
        <v>4.0</v>
      </c>
      <c r="P25" s="73">
        <v>0.0</v>
      </c>
      <c r="Q25" s="73">
        <v>1.0</v>
      </c>
      <c r="R25" s="73">
        <v>3.0</v>
      </c>
      <c r="S25" s="73">
        <v>2.0</v>
      </c>
      <c r="T25" s="13">
        <f t="shared" si="3"/>
        <v>18</v>
      </c>
    </row>
    <row r="26" ht="12.75" customHeight="1">
      <c r="A26" s="33"/>
      <c r="B26" s="27"/>
      <c r="C26" s="34"/>
      <c r="D26" s="19" t="s">
        <v>12</v>
      </c>
      <c r="E26" s="73">
        <v>2.0</v>
      </c>
      <c r="F26" s="73">
        <v>1.0</v>
      </c>
      <c r="G26" s="73">
        <v>1.0</v>
      </c>
      <c r="H26" s="73">
        <v>0.0</v>
      </c>
      <c r="I26" s="73">
        <v>3.0</v>
      </c>
      <c r="J26" s="73">
        <v>2.0</v>
      </c>
      <c r="K26" s="73">
        <v>1.0</v>
      </c>
      <c r="L26" s="73">
        <v>1.0</v>
      </c>
      <c r="M26" s="73">
        <v>1.0</v>
      </c>
      <c r="N26" s="73">
        <v>0.0</v>
      </c>
      <c r="O26" s="73">
        <v>6.0</v>
      </c>
      <c r="P26" s="73">
        <v>4.0</v>
      </c>
      <c r="Q26" s="73">
        <v>1.0</v>
      </c>
      <c r="R26" s="73">
        <v>2.0</v>
      </c>
      <c r="S26" s="73">
        <v>2.0</v>
      </c>
      <c r="T26" s="13">
        <f t="shared" si="3"/>
        <v>27</v>
      </c>
    </row>
    <row r="27" ht="12.75" customHeight="1">
      <c r="A27" s="35"/>
      <c r="B27" s="28"/>
      <c r="C27" s="36"/>
      <c r="D27" s="13" t="s">
        <v>13</v>
      </c>
      <c r="E27" s="13">
        <f t="shared" ref="E27:S27" si="6">SUM(E25:E26)</f>
        <v>5</v>
      </c>
      <c r="F27" s="13">
        <f t="shared" si="6"/>
        <v>1</v>
      </c>
      <c r="G27" s="13">
        <f t="shared" si="6"/>
        <v>2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1</v>
      </c>
      <c r="L27" s="13">
        <f t="shared" si="6"/>
        <v>2</v>
      </c>
      <c r="M27" s="13">
        <f t="shared" si="6"/>
        <v>2</v>
      </c>
      <c r="N27" s="13">
        <f t="shared" si="6"/>
        <v>1</v>
      </c>
      <c r="O27" s="13">
        <f t="shared" si="6"/>
        <v>10</v>
      </c>
      <c r="P27" s="13">
        <f t="shared" si="6"/>
        <v>4</v>
      </c>
      <c r="Q27" s="13">
        <f t="shared" si="6"/>
        <v>2</v>
      </c>
      <c r="R27" s="13">
        <f t="shared" si="6"/>
        <v>5</v>
      </c>
      <c r="S27" s="13">
        <f t="shared" si="6"/>
        <v>4</v>
      </c>
      <c r="T27" s="13">
        <f t="shared" si="3"/>
        <v>45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S28" si="7">SUM(E19,E22,E25)</f>
        <v>99</v>
      </c>
      <c r="F28" s="13">
        <f t="shared" si="7"/>
        <v>105</v>
      </c>
      <c r="G28" s="13">
        <f t="shared" si="7"/>
        <v>101</v>
      </c>
      <c r="H28" s="13">
        <f t="shared" si="7"/>
        <v>106</v>
      </c>
      <c r="I28" s="13">
        <f t="shared" si="7"/>
        <v>97</v>
      </c>
      <c r="J28" s="13">
        <f t="shared" si="7"/>
        <v>93</v>
      </c>
      <c r="K28" s="13">
        <f t="shared" si="7"/>
        <v>106</v>
      </c>
      <c r="L28" s="13">
        <f t="shared" si="7"/>
        <v>84</v>
      </c>
      <c r="M28" s="13">
        <f t="shared" si="7"/>
        <v>99</v>
      </c>
      <c r="N28" s="13">
        <f t="shared" si="7"/>
        <v>92</v>
      </c>
      <c r="O28" s="13">
        <f t="shared" si="7"/>
        <v>114</v>
      </c>
      <c r="P28" s="13">
        <f t="shared" si="7"/>
        <v>89</v>
      </c>
      <c r="Q28" s="13">
        <f t="shared" si="7"/>
        <v>106</v>
      </c>
      <c r="R28" s="13">
        <f t="shared" si="7"/>
        <v>95</v>
      </c>
      <c r="S28" s="13">
        <f t="shared" si="7"/>
        <v>93</v>
      </c>
      <c r="T28" s="13">
        <f t="shared" si="3"/>
        <v>1479</v>
      </c>
    </row>
    <row r="29" ht="12.75" customHeight="1">
      <c r="A29" s="35"/>
      <c r="B29" s="27"/>
      <c r="C29" s="34"/>
      <c r="D29" s="13" t="s">
        <v>12</v>
      </c>
      <c r="E29" s="13">
        <f t="shared" ref="E29:S29" si="8">SUM(E20,E23,E26)</f>
        <v>120</v>
      </c>
      <c r="F29" s="13">
        <f t="shared" si="8"/>
        <v>115</v>
      </c>
      <c r="G29" s="13">
        <f t="shared" si="8"/>
        <v>102</v>
      </c>
      <c r="H29" s="13">
        <f t="shared" si="8"/>
        <v>131</v>
      </c>
      <c r="I29" s="13">
        <f t="shared" si="8"/>
        <v>113</v>
      </c>
      <c r="J29" s="13">
        <f t="shared" si="8"/>
        <v>128</v>
      </c>
      <c r="K29" s="13">
        <f t="shared" si="8"/>
        <v>116</v>
      </c>
      <c r="L29" s="13">
        <f t="shared" si="8"/>
        <v>115</v>
      </c>
      <c r="M29" s="13">
        <f t="shared" si="8"/>
        <v>122</v>
      </c>
      <c r="N29" s="13">
        <f t="shared" si="8"/>
        <v>115</v>
      </c>
      <c r="O29" s="13">
        <f t="shared" si="8"/>
        <v>118</v>
      </c>
      <c r="P29" s="13">
        <f t="shared" si="8"/>
        <v>120</v>
      </c>
      <c r="Q29" s="13">
        <f t="shared" si="8"/>
        <v>127</v>
      </c>
      <c r="R29" s="13">
        <f t="shared" si="8"/>
        <v>115</v>
      </c>
      <c r="S29" s="13">
        <f t="shared" si="8"/>
        <v>125</v>
      </c>
      <c r="T29" s="13">
        <f t="shared" si="3"/>
        <v>1782</v>
      </c>
    </row>
    <row r="30" ht="12.75" customHeight="1">
      <c r="A30" s="35"/>
      <c r="B30" s="28"/>
      <c r="C30" s="36"/>
      <c r="D30" s="13" t="s">
        <v>13</v>
      </c>
      <c r="E30" s="13">
        <f t="shared" ref="E30:S30" si="9">SUM(E28:E29)</f>
        <v>219</v>
      </c>
      <c r="F30" s="13">
        <f t="shared" si="9"/>
        <v>220</v>
      </c>
      <c r="G30" s="13">
        <f t="shared" si="9"/>
        <v>203</v>
      </c>
      <c r="H30" s="13">
        <f t="shared" si="9"/>
        <v>237</v>
      </c>
      <c r="I30" s="13">
        <f t="shared" si="9"/>
        <v>210</v>
      </c>
      <c r="J30" s="13">
        <f t="shared" si="9"/>
        <v>221</v>
      </c>
      <c r="K30" s="13">
        <f t="shared" si="9"/>
        <v>222</v>
      </c>
      <c r="L30" s="13">
        <f t="shared" si="9"/>
        <v>199</v>
      </c>
      <c r="M30" s="13">
        <f t="shared" si="9"/>
        <v>221</v>
      </c>
      <c r="N30" s="13">
        <f t="shared" si="9"/>
        <v>207</v>
      </c>
      <c r="O30" s="13">
        <f t="shared" si="9"/>
        <v>232</v>
      </c>
      <c r="P30" s="13">
        <f t="shared" si="9"/>
        <v>209</v>
      </c>
      <c r="Q30" s="13">
        <f t="shared" si="9"/>
        <v>233</v>
      </c>
      <c r="R30" s="13">
        <f t="shared" si="9"/>
        <v>210</v>
      </c>
      <c r="S30" s="13">
        <f t="shared" si="9"/>
        <v>218</v>
      </c>
      <c r="T30" s="13">
        <f t="shared" si="3"/>
        <v>3261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5"/>
    </row>
    <row r="33" ht="12.75" customHeight="1">
      <c r="A33" s="19">
        <v>1.0</v>
      </c>
      <c r="B33" s="20" t="s">
        <v>26</v>
      </c>
      <c r="C33" s="15"/>
      <c r="D33" s="16"/>
      <c r="E33" s="73">
        <v>299.0</v>
      </c>
      <c r="F33" s="73">
        <v>301.0</v>
      </c>
      <c r="G33" s="73">
        <v>281.0</v>
      </c>
      <c r="H33" s="73">
        <v>302.0</v>
      </c>
      <c r="I33" s="73">
        <v>294.0</v>
      </c>
      <c r="J33" s="73">
        <v>290.0</v>
      </c>
      <c r="K33" s="73">
        <v>293.0</v>
      </c>
      <c r="L33" s="73">
        <v>288.0</v>
      </c>
      <c r="M33" s="73">
        <v>294.0</v>
      </c>
      <c r="N33" s="73">
        <v>305.0</v>
      </c>
      <c r="O33" s="73">
        <v>294.0</v>
      </c>
      <c r="P33" s="73">
        <v>270.0</v>
      </c>
      <c r="Q33" s="73">
        <v>290.0</v>
      </c>
      <c r="R33" s="73">
        <v>286.0</v>
      </c>
      <c r="S33" s="73">
        <v>296.0</v>
      </c>
      <c r="T33" s="13">
        <f t="shared" ref="T33:T36" si="10">SUM(E33:S33)</f>
        <v>4383</v>
      </c>
    </row>
    <row r="34" ht="12.75" customHeight="1">
      <c r="A34" s="19">
        <v>2.0</v>
      </c>
      <c r="B34" s="20" t="s">
        <v>27</v>
      </c>
      <c r="C34" s="15"/>
      <c r="D34" s="16"/>
      <c r="E34" s="77">
        <v>219.0</v>
      </c>
      <c r="F34" s="77">
        <v>220.0</v>
      </c>
      <c r="G34" s="77">
        <v>203.0</v>
      </c>
      <c r="H34" s="77">
        <v>237.0</v>
      </c>
      <c r="I34" s="77">
        <v>210.0</v>
      </c>
      <c r="J34" s="77">
        <v>221.0</v>
      </c>
      <c r="K34" s="77">
        <v>222.0</v>
      </c>
      <c r="L34" s="77">
        <v>199.0</v>
      </c>
      <c r="M34" s="77">
        <v>221.0</v>
      </c>
      <c r="N34" s="77">
        <v>207.0</v>
      </c>
      <c r="O34" s="77">
        <v>232.0</v>
      </c>
      <c r="P34" s="77">
        <v>209.0</v>
      </c>
      <c r="Q34" s="77">
        <v>233.0</v>
      </c>
      <c r="R34" s="77">
        <v>210.0</v>
      </c>
      <c r="S34" s="77">
        <v>218.0</v>
      </c>
      <c r="T34" s="13">
        <f t="shared" si="10"/>
        <v>3261</v>
      </c>
    </row>
    <row r="35" ht="12.75" customHeight="1">
      <c r="A35" s="19">
        <v>3.0</v>
      </c>
      <c r="B35" s="20" t="s">
        <v>28</v>
      </c>
      <c r="C35" s="15"/>
      <c r="D35" s="16"/>
      <c r="E35" s="73">
        <v>1.0</v>
      </c>
      <c r="F35" s="73">
        <v>0.0</v>
      </c>
      <c r="G35" s="73">
        <v>0.0</v>
      </c>
      <c r="H35" s="73">
        <v>0.0</v>
      </c>
      <c r="I35" s="73">
        <v>2.0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S36" si="11">E33-(E34+E35)</f>
        <v>79</v>
      </c>
      <c r="F36" s="13">
        <f t="shared" si="11"/>
        <v>81</v>
      </c>
      <c r="G36" s="13">
        <f t="shared" si="11"/>
        <v>78</v>
      </c>
      <c r="H36" s="13">
        <f t="shared" si="11"/>
        <v>65</v>
      </c>
      <c r="I36" s="13">
        <f t="shared" si="11"/>
        <v>82</v>
      </c>
      <c r="J36" s="13">
        <f t="shared" si="11"/>
        <v>69</v>
      </c>
      <c r="K36" s="13">
        <f t="shared" si="11"/>
        <v>71</v>
      </c>
      <c r="L36" s="13">
        <f t="shared" si="11"/>
        <v>89</v>
      </c>
      <c r="M36" s="13">
        <f t="shared" si="11"/>
        <v>73</v>
      </c>
      <c r="N36" s="13">
        <f t="shared" si="11"/>
        <v>98</v>
      </c>
      <c r="O36" s="13">
        <f t="shared" si="11"/>
        <v>62</v>
      </c>
      <c r="P36" s="13">
        <f t="shared" si="11"/>
        <v>61</v>
      </c>
      <c r="Q36" s="13">
        <f t="shared" si="11"/>
        <v>57</v>
      </c>
      <c r="R36" s="13">
        <f t="shared" si="11"/>
        <v>76</v>
      </c>
      <c r="S36" s="13">
        <f t="shared" si="11"/>
        <v>78</v>
      </c>
      <c r="T36" s="13">
        <f t="shared" si="10"/>
        <v>1119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5"/>
    </row>
    <row r="39" ht="12.75" customHeight="1">
      <c r="A39" s="30"/>
      <c r="B39" s="43" t="s">
        <v>32</v>
      </c>
      <c r="C39" s="23"/>
      <c r="D39" s="19" t="s">
        <v>11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1.0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13">
        <f t="shared" ref="T39:T41" si="12">SUM(E39:S39)</f>
        <v>1</v>
      </c>
    </row>
    <row r="40" ht="12.75" customHeight="1">
      <c r="A40" s="33"/>
      <c r="C40" s="27"/>
      <c r="D40" s="19" t="s">
        <v>12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9.0</v>
      </c>
      <c r="F45" s="73">
        <v>8.0</v>
      </c>
      <c r="G45" s="73">
        <v>5.0</v>
      </c>
      <c r="H45" s="73">
        <v>6.0</v>
      </c>
      <c r="I45" s="73">
        <v>3.0</v>
      </c>
      <c r="J45" s="73">
        <v>9.0</v>
      </c>
      <c r="K45" s="73">
        <v>5.0</v>
      </c>
      <c r="L45" s="73">
        <v>4.0</v>
      </c>
      <c r="M45" s="73">
        <v>6.0</v>
      </c>
      <c r="N45" s="73">
        <v>4.0</v>
      </c>
      <c r="O45" s="73">
        <v>5.0</v>
      </c>
      <c r="P45" s="73">
        <v>1.0</v>
      </c>
      <c r="Q45" s="73">
        <v>5.0</v>
      </c>
      <c r="R45" s="73">
        <v>9.0</v>
      </c>
      <c r="S45" s="73">
        <v>2.0</v>
      </c>
      <c r="T45" s="13">
        <f t="shared" ref="T45:T54" si="14">SUM(E45:S45)</f>
        <v>81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10.0</v>
      </c>
      <c r="F46" s="73">
        <v>14.0</v>
      </c>
      <c r="G46" s="73">
        <v>12.0</v>
      </c>
      <c r="H46" s="73">
        <v>9.0</v>
      </c>
      <c r="I46" s="73">
        <v>6.0</v>
      </c>
      <c r="J46" s="73">
        <v>22.0</v>
      </c>
      <c r="K46" s="73">
        <v>7.0</v>
      </c>
      <c r="L46" s="73">
        <v>14.0</v>
      </c>
      <c r="M46" s="73">
        <v>8.0</v>
      </c>
      <c r="N46" s="73">
        <v>3.0</v>
      </c>
      <c r="O46" s="73">
        <v>21.0</v>
      </c>
      <c r="P46" s="73">
        <v>9.0</v>
      </c>
      <c r="Q46" s="73">
        <v>11.0</v>
      </c>
      <c r="R46" s="73">
        <v>32.0</v>
      </c>
      <c r="S46" s="73">
        <v>10.0</v>
      </c>
      <c r="T46" s="13">
        <f t="shared" si="14"/>
        <v>188</v>
      </c>
    </row>
    <row r="47" ht="12.75" customHeight="1">
      <c r="A47" s="18"/>
      <c r="B47" s="49"/>
      <c r="C47" s="50" t="s">
        <v>40</v>
      </c>
      <c r="D47" s="51"/>
      <c r="E47" s="73">
        <v>2.0</v>
      </c>
      <c r="F47" s="73">
        <v>1.0</v>
      </c>
      <c r="G47" s="73">
        <v>1.0</v>
      </c>
      <c r="H47" s="73">
        <v>0.0</v>
      </c>
      <c r="I47" s="73">
        <v>0.0</v>
      </c>
      <c r="J47" s="73">
        <v>0.0</v>
      </c>
      <c r="K47" s="73">
        <v>0.0</v>
      </c>
      <c r="L47" s="73">
        <v>2.0</v>
      </c>
      <c r="M47" s="73">
        <v>1.0</v>
      </c>
      <c r="N47" s="73">
        <v>0.0</v>
      </c>
      <c r="O47" s="73">
        <v>2.0</v>
      </c>
      <c r="P47" s="73">
        <v>0.0</v>
      </c>
      <c r="Q47" s="73">
        <v>2.0</v>
      </c>
      <c r="R47" s="73">
        <v>1.0</v>
      </c>
      <c r="S47" s="73">
        <v>1.0</v>
      </c>
      <c r="T47" s="13">
        <f t="shared" si="14"/>
        <v>13</v>
      </c>
    </row>
    <row r="48" ht="12.75" customHeight="1">
      <c r="A48" s="18"/>
      <c r="B48" s="49"/>
      <c r="C48" s="50" t="s">
        <v>41</v>
      </c>
      <c r="D48" s="51"/>
      <c r="E48" s="73">
        <v>1.0</v>
      </c>
      <c r="F48" s="73">
        <v>1.0</v>
      </c>
      <c r="G48" s="73">
        <v>0.0</v>
      </c>
      <c r="H48" s="73">
        <v>1.0</v>
      </c>
      <c r="I48" s="73">
        <v>0.0</v>
      </c>
      <c r="J48" s="73">
        <v>0.0</v>
      </c>
      <c r="K48" s="73">
        <v>2.0</v>
      </c>
      <c r="L48" s="73">
        <v>0.0</v>
      </c>
      <c r="M48" s="73">
        <v>0.0</v>
      </c>
      <c r="N48" s="73">
        <v>0.0</v>
      </c>
      <c r="O48" s="73">
        <v>1.0</v>
      </c>
      <c r="P48" s="73">
        <v>0.0</v>
      </c>
      <c r="Q48" s="73">
        <v>1.0</v>
      </c>
      <c r="R48" s="73">
        <v>1.0</v>
      </c>
      <c r="S48" s="73">
        <v>0.0</v>
      </c>
      <c r="T48" s="13">
        <f t="shared" si="14"/>
        <v>8</v>
      </c>
    </row>
    <row r="49" ht="12.75" customHeight="1">
      <c r="A49" s="18"/>
      <c r="B49" s="49"/>
      <c r="C49" s="50" t="s">
        <v>42</v>
      </c>
      <c r="D49" s="51"/>
      <c r="E49" s="73">
        <v>1.0</v>
      </c>
      <c r="F49" s="73">
        <v>1.0</v>
      </c>
      <c r="G49" s="73">
        <v>0.0</v>
      </c>
      <c r="H49" s="73">
        <v>2.0</v>
      </c>
      <c r="I49" s="73">
        <v>0.0</v>
      </c>
      <c r="J49" s="73">
        <v>0.0</v>
      </c>
      <c r="K49" s="73">
        <v>0.0</v>
      </c>
      <c r="L49" s="73">
        <v>0.0</v>
      </c>
      <c r="M49" s="73">
        <v>3.0</v>
      </c>
      <c r="N49" s="73">
        <v>0.0</v>
      </c>
      <c r="O49" s="73">
        <v>0.0</v>
      </c>
      <c r="P49" s="73">
        <v>0.0</v>
      </c>
      <c r="Q49" s="73">
        <v>1.0</v>
      </c>
      <c r="R49" s="73">
        <v>0.0</v>
      </c>
      <c r="S49" s="73">
        <v>1.0</v>
      </c>
      <c r="T49" s="13">
        <f t="shared" si="14"/>
        <v>9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1.0</v>
      </c>
      <c r="H50" s="73">
        <v>0.0</v>
      </c>
      <c r="I50" s="73">
        <v>1.0</v>
      </c>
      <c r="J50" s="73">
        <v>1.0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1.0</v>
      </c>
      <c r="S50" s="73">
        <v>1.0</v>
      </c>
      <c r="T50" s="13">
        <f t="shared" si="14"/>
        <v>5</v>
      </c>
    </row>
    <row r="51" ht="12.75" customHeight="1">
      <c r="A51" s="18"/>
      <c r="B51" s="49"/>
      <c r="C51" s="50" t="s">
        <v>44</v>
      </c>
      <c r="D51" s="51"/>
      <c r="E51" s="73">
        <v>1.0</v>
      </c>
      <c r="F51" s="73">
        <v>0.0</v>
      </c>
      <c r="G51" s="73">
        <v>0.0</v>
      </c>
      <c r="H51" s="73">
        <v>0.0</v>
      </c>
      <c r="I51" s="73">
        <v>1.0</v>
      </c>
      <c r="J51" s="73">
        <v>1.0</v>
      </c>
      <c r="K51" s="73">
        <v>0.0</v>
      </c>
      <c r="L51" s="73">
        <v>0.0</v>
      </c>
      <c r="M51" s="73">
        <v>0.0</v>
      </c>
      <c r="N51" s="73">
        <v>0.0</v>
      </c>
      <c r="O51" s="73">
        <v>0.0</v>
      </c>
      <c r="P51" s="73">
        <v>0.0</v>
      </c>
      <c r="Q51" s="73">
        <v>0.0</v>
      </c>
      <c r="R51" s="73">
        <v>0.0</v>
      </c>
      <c r="S51" s="73">
        <v>1.0</v>
      </c>
      <c r="T51" s="13">
        <f t="shared" si="14"/>
        <v>4</v>
      </c>
    </row>
    <row r="52" ht="12.75" customHeight="1">
      <c r="A52" s="79"/>
      <c r="B52" s="49"/>
      <c r="C52" s="50" t="s">
        <v>45</v>
      </c>
      <c r="D52" s="51"/>
      <c r="E52" s="80">
        <v>1.0</v>
      </c>
      <c r="F52" s="80">
        <v>0.0</v>
      </c>
      <c r="G52" s="80">
        <v>1.0</v>
      </c>
      <c r="H52" s="80">
        <v>0.0</v>
      </c>
      <c r="I52" s="80">
        <v>0.0</v>
      </c>
      <c r="J52" s="80">
        <v>0.0</v>
      </c>
      <c r="K52" s="80">
        <v>0.0</v>
      </c>
      <c r="L52" s="80">
        <v>0.0</v>
      </c>
      <c r="M52" s="80">
        <v>0.0</v>
      </c>
      <c r="N52" s="80">
        <v>0.0</v>
      </c>
      <c r="O52" s="80">
        <v>0.0</v>
      </c>
      <c r="P52" s="80">
        <v>1.0</v>
      </c>
      <c r="Q52" s="80">
        <v>1.0</v>
      </c>
      <c r="R52" s="80">
        <v>2.0</v>
      </c>
      <c r="S52" s="80">
        <v>1.0</v>
      </c>
      <c r="T52" s="13">
        <f t="shared" si="14"/>
        <v>7</v>
      </c>
    </row>
    <row r="53" ht="12.75" customHeight="1">
      <c r="A53" s="79"/>
      <c r="B53" s="49"/>
      <c r="C53" s="50" t="s">
        <v>46</v>
      </c>
      <c r="D53" s="56"/>
      <c r="E53" s="80">
        <v>1.0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1.0</v>
      </c>
      <c r="N53" s="80">
        <v>0.0</v>
      </c>
      <c r="O53" s="80">
        <v>0.0</v>
      </c>
      <c r="P53" s="80">
        <v>0.0</v>
      </c>
      <c r="Q53" s="80">
        <v>0.0</v>
      </c>
      <c r="R53" s="80">
        <v>0.0</v>
      </c>
      <c r="S53" s="80">
        <v>0.0</v>
      </c>
      <c r="T53" s="13">
        <f t="shared" si="14"/>
        <v>2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0.0</v>
      </c>
      <c r="H54" s="80">
        <v>0.0</v>
      </c>
      <c r="I54" s="80">
        <v>0.0</v>
      </c>
      <c r="J54" s="80">
        <v>0.0</v>
      </c>
      <c r="K54" s="80">
        <v>0.0</v>
      </c>
      <c r="L54" s="80">
        <v>0.0</v>
      </c>
      <c r="M54" s="80">
        <v>0.0</v>
      </c>
      <c r="N54" s="80">
        <v>1.0</v>
      </c>
      <c r="O54" s="80">
        <v>0.0</v>
      </c>
      <c r="P54" s="80">
        <v>0.0</v>
      </c>
      <c r="Q54" s="80">
        <v>0.0</v>
      </c>
      <c r="R54" s="80">
        <v>0.0</v>
      </c>
      <c r="S54" s="80">
        <v>0.0</v>
      </c>
      <c r="T54" s="13">
        <f t="shared" si="14"/>
        <v>1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T55" si="15">SUM(E45:E54)</f>
        <v>26</v>
      </c>
      <c r="F55" s="13">
        <f t="shared" si="15"/>
        <v>25</v>
      </c>
      <c r="G55" s="13">
        <f t="shared" si="15"/>
        <v>20</v>
      </c>
      <c r="H55" s="13">
        <f t="shared" si="15"/>
        <v>18</v>
      </c>
      <c r="I55" s="13">
        <f t="shared" si="15"/>
        <v>11</v>
      </c>
      <c r="J55" s="13">
        <f t="shared" si="15"/>
        <v>33</v>
      </c>
      <c r="K55" s="13">
        <f t="shared" si="15"/>
        <v>14</v>
      </c>
      <c r="L55" s="13">
        <f t="shared" si="15"/>
        <v>20</v>
      </c>
      <c r="M55" s="13">
        <f t="shared" si="15"/>
        <v>19</v>
      </c>
      <c r="N55" s="13">
        <f t="shared" si="15"/>
        <v>8</v>
      </c>
      <c r="O55" s="13">
        <f t="shared" si="15"/>
        <v>29</v>
      </c>
      <c r="P55" s="13">
        <f t="shared" si="15"/>
        <v>11</v>
      </c>
      <c r="Q55" s="13">
        <f t="shared" si="15"/>
        <v>21</v>
      </c>
      <c r="R55" s="13">
        <f t="shared" si="15"/>
        <v>46</v>
      </c>
      <c r="S55" s="13">
        <f t="shared" si="15"/>
        <v>17</v>
      </c>
      <c r="T55" s="13">
        <f t="shared" si="15"/>
        <v>318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10.0</v>
      </c>
      <c r="F57" s="73">
        <v>9.0</v>
      </c>
      <c r="G57" s="73">
        <v>12.0</v>
      </c>
      <c r="H57" s="73">
        <v>17.0</v>
      </c>
      <c r="I57" s="73">
        <v>17.0</v>
      </c>
      <c r="J57" s="73">
        <v>9.0</v>
      </c>
      <c r="K57" s="73">
        <v>14.0</v>
      </c>
      <c r="L57" s="73">
        <v>15.0</v>
      </c>
      <c r="M57" s="73">
        <v>8.0</v>
      </c>
      <c r="N57" s="73">
        <v>12.0</v>
      </c>
      <c r="O57" s="73">
        <v>7.0</v>
      </c>
      <c r="P57" s="73">
        <v>7.0</v>
      </c>
      <c r="Q57" s="73">
        <v>5.0</v>
      </c>
      <c r="R57" s="73">
        <v>10.0</v>
      </c>
      <c r="S57" s="73">
        <v>4.0</v>
      </c>
      <c r="T57" s="13">
        <f t="shared" ref="T57:T66" si="16">SUM(E57:S57)</f>
        <v>156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5.0</v>
      </c>
      <c r="F58" s="73">
        <v>5.0</v>
      </c>
      <c r="G58" s="73">
        <v>7.0</v>
      </c>
      <c r="H58" s="73">
        <v>12.0</v>
      </c>
      <c r="I58" s="73">
        <v>3.0</v>
      </c>
      <c r="J58" s="73">
        <v>0.0</v>
      </c>
      <c r="K58" s="73">
        <v>4.0</v>
      </c>
      <c r="L58" s="73">
        <v>3.0</v>
      </c>
      <c r="M58" s="73">
        <v>3.0</v>
      </c>
      <c r="N58" s="73">
        <v>1.0</v>
      </c>
      <c r="O58" s="73">
        <v>4.0</v>
      </c>
      <c r="P58" s="73">
        <v>1.0</v>
      </c>
      <c r="Q58" s="73">
        <v>1.0</v>
      </c>
      <c r="R58" s="73">
        <v>10.0</v>
      </c>
      <c r="S58" s="73">
        <v>6.0</v>
      </c>
      <c r="T58" s="13">
        <f t="shared" si="16"/>
        <v>65</v>
      </c>
    </row>
    <row r="59" ht="12.75" customHeight="1">
      <c r="A59" s="18"/>
      <c r="B59" s="49"/>
      <c r="C59" s="50" t="s">
        <v>51</v>
      </c>
      <c r="D59" s="51"/>
      <c r="E59" s="73">
        <v>7.0</v>
      </c>
      <c r="F59" s="73">
        <v>3.0</v>
      </c>
      <c r="G59" s="73">
        <v>6.0</v>
      </c>
      <c r="H59" s="73">
        <v>21.0</v>
      </c>
      <c r="I59" s="73">
        <v>8.0</v>
      </c>
      <c r="J59" s="73">
        <v>5.0</v>
      </c>
      <c r="K59" s="73">
        <v>9.0</v>
      </c>
      <c r="L59" s="73">
        <v>2.0</v>
      </c>
      <c r="M59" s="73">
        <v>9.0</v>
      </c>
      <c r="N59" s="73">
        <v>2.0</v>
      </c>
      <c r="O59" s="73">
        <v>6.0</v>
      </c>
      <c r="P59" s="73">
        <v>12.0</v>
      </c>
      <c r="Q59" s="73">
        <v>4.0</v>
      </c>
      <c r="R59" s="73">
        <v>12.0</v>
      </c>
      <c r="S59" s="73">
        <v>5.0</v>
      </c>
      <c r="T59" s="13">
        <f t="shared" si="16"/>
        <v>111</v>
      </c>
    </row>
    <row r="60" ht="12.75" customHeight="1">
      <c r="A60" s="18"/>
      <c r="B60" s="49"/>
      <c r="C60" s="50" t="s">
        <v>52</v>
      </c>
      <c r="D60" s="51"/>
      <c r="E60" s="73">
        <v>4.0</v>
      </c>
      <c r="F60" s="73">
        <v>3.0</v>
      </c>
      <c r="G60" s="73">
        <v>2.0</v>
      </c>
      <c r="H60" s="73">
        <v>5.0</v>
      </c>
      <c r="I60" s="73">
        <v>5.0</v>
      </c>
      <c r="J60" s="73">
        <v>3.0</v>
      </c>
      <c r="K60" s="73">
        <v>2.0</v>
      </c>
      <c r="L60" s="73">
        <v>5.0</v>
      </c>
      <c r="M60" s="73">
        <v>0.0</v>
      </c>
      <c r="N60" s="73">
        <v>1.0</v>
      </c>
      <c r="O60" s="73">
        <v>1.0</v>
      </c>
      <c r="P60" s="73">
        <v>1.0</v>
      </c>
      <c r="Q60" s="73">
        <v>1.0</v>
      </c>
      <c r="R60" s="73">
        <v>3.0</v>
      </c>
      <c r="S60" s="73">
        <v>2.0</v>
      </c>
      <c r="T60" s="13">
        <f t="shared" si="16"/>
        <v>38</v>
      </c>
    </row>
    <row r="61" ht="12.75" customHeight="1">
      <c r="A61" s="18"/>
      <c r="B61" s="49"/>
      <c r="C61" s="50" t="s">
        <v>53</v>
      </c>
      <c r="D61" s="51"/>
      <c r="E61" s="73">
        <v>2.0</v>
      </c>
      <c r="F61" s="73">
        <v>7.0</v>
      </c>
      <c r="G61" s="73">
        <v>2.0</v>
      </c>
      <c r="H61" s="73">
        <v>3.0</v>
      </c>
      <c r="I61" s="73">
        <v>4.0</v>
      </c>
      <c r="J61" s="73">
        <v>11.0</v>
      </c>
      <c r="K61" s="73">
        <v>2.0</v>
      </c>
      <c r="L61" s="73">
        <v>2.0</v>
      </c>
      <c r="M61" s="73">
        <v>1.0</v>
      </c>
      <c r="N61" s="73">
        <v>1.0</v>
      </c>
      <c r="O61" s="73">
        <v>1.0</v>
      </c>
      <c r="P61" s="73">
        <v>0.0</v>
      </c>
      <c r="Q61" s="73">
        <v>0.0</v>
      </c>
      <c r="R61" s="73">
        <v>2.0</v>
      </c>
      <c r="S61" s="73">
        <v>3.0</v>
      </c>
      <c r="T61" s="13">
        <f t="shared" si="16"/>
        <v>41</v>
      </c>
    </row>
    <row r="62" ht="12.75" customHeight="1">
      <c r="A62" s="18"/>
      <c r="B62" s="49"/>
      <c r="C62" s="50" t="s">
        <v>54</v>
      </c>
      <c r="D62" s="51"/>
      <c r="E62" s="73">
        <v>1.0</v>
      </c>
      <c r="F62" s="73">
        <v>2.0</v>
      </c>
      <c r="G62" s="73">
        <v>0.0</v>
      </c>
      <c r="H62" s="73">
        <v>1.0</v>
      </c>
      <c r="I62" s="73">
        <v>2.0</v>
      </c>
      <c r="J62" s="73">
        <v>0.0</v>
      </c>
      <c r="K62" s="73">
        <v>1.0</v>
      </c>
      <c r="L62" s="73">
        <v>0.0</v>
      </c>
      <c r="M62" s="73">
        <v>1.0</v>
      </c>
      <c r="N62" s="73">
        <v>1.0</v>
      </c>
      <c r="O62" s="73">
        <v>1.0</v>
      </c>
      <c r="P62" s="73">
        <v>0.0</v>
      </c>
      <c r="Q62" s="73">
        <v>3.0</v>
      </c>
      <c r="R62" s="73">
        <v>1.0</v>
      </c>
      <c r="S62" s="73">
        <v>1.0</v>
      </c>
      <c r="T62" s="13">
        <f t="shared" si="16"/>
        <v>15</v>
      </c>
    </row>
    <row r="63" ht="12.75" customHeight="1">
      <c r="A63" s="18"/>
      <c r="B63" s="49"/>
      <c r="C63" s="50" t="s">
        <v>55</v>
      </c>
      <c r="D63" s="51"/>
      <c r="E63" s="73">
        <v>0.0</v>
      </c>
      <c r="F63" s="73">
        <v>0.0</v>
      </c>
      <c r="G63" s="73">
        <v>1.0</v>
      </c>
      <c r="H63" s="73">
        <v>0.0</v>
      </c>
      <c r="I63" s="73">
        <v>0.0</v>
      </c>
      <c r="J63" s="73">
        <v>0.0</v>
      </c>
      <c r="K63" s="73">
        <v>2.0</v>
      </c>
      <c r="L63" s="73">
        <v>0.0</v>
      </c>
      <c r="M63" s="73">
        <v>0.0</v>
      </c>
      <c r="N63" s="73">
        <v>0.0</v>
      </c>
      <c r="O63" s="73">
        <v>0.0</v>
      </c>
      <c r="P63" s="73">
        <v>0.0</v>
      </c>
      <c r="Q63" s="73">
        <v>1.0</v>
      </c>
      <c r="R63" s="73">
        <v>0.0</v>
      </c>
      <c r="S63" s="73">
        <v>0.0</v>
      </c>
      <c r="T63" s="13">
        <f t="shared" si="16"/>
        <v>4</v>
      </c>
    </row>
    <row r="64" ht="12.75" customHeight="1">
      <c r="A64" s="79"/>
      <c r="B64" s="49"/>
      <c r="C64" s="50" t="s">
        <v>56</v>
      </c>
      <c r="D64" s="51"/>
      <c r="E64" s="80">
        <v>1.0</v>
      </c>
      <c r="F64" s="80">
        <v>0.0</v>
      </c>
      <c r="G64" s="80">
        <v>0.0</v>
      </c>
      <c r="H64" s="80">
        <v>0.0</v>
      </c>
      <c r="I64" s="80">
        <v>0.0</v>
      </c>
      <c r="J64" s="80">
        <v>0.0</v>
      </c>
      <c r="K64" s="80">
        <v>0.0</v>
      </c>
      <c r="L64" s="80">
        <v>1.0</v>
      </c>
      <c r="M64" s="80">
        <v>0.0</v>
      </c>
      <c r="N64" s="80">
        <v>0.0</v>
      </c>
      <c r="O64" s="80">
        <v>0.0</v>
      </c>
      <c r="P64" s="80">
        <v>0.0</v>
      </c>
      <c r="Q64" s="80">
        <v>0.0</v>
      </c>
      <c r="R64" s="80">
        <v>0.0</v>
      </c>
      <c r="S64" s="80">
        <v>0.0</v>
      </c>
      <c r="T64" s="13">
        <f t="shared" si="16"/>
        <v>2</v>
      </c>
    </row>
    <row r="65" ht="12.75" customHeight="1">
      <c r="A65" s="79"/>
      <c r="B65" s="49"/>
      <c r="C65" s="50" t="s">
        <v>57</v>
      </c>
      <c r="D65" s="51"/>
      <c r="E65" s="80">
        <v>1.0</v>
      </c>
      <c r="F65" s="80">
        <v>0.0</v>
      </c>
      <c r="G65" s="80">
        <v>0.0</v>
      </c>
      <c r="H65" s="80">
        <v>1.0</v>
      </c>
      <c r="I65" s="80">
        <v>0.0</v>
      </c>
      <c r="J65" s="80">
        <v>0.0</v>
      </c>
      <c r="K65" s="80">
        <v>0.0</v>
      </c>
      <c r="L65" s="80">
        <v>0.0</v>
      </c>
      <c r="M65" s="80">
        <v>1.0</v>
      </c>
      <c r="N65" s="80">
        <v>0.0</v>
      </c>
      <c r="O65" s="80">
        <v>0.0</v>
      </c>
      <c r="P65" s="80">
        <v>0.0</v>
      </c>
      <c r="Q65" s="80">
        <v>1.0</v>
      </c>
      <c r="R65" s="80">
        <v>0.0</v>
      </c>
      <c r="S65" s="80">
        <v>0.0</v>
      </c>
      <c r="T65" s="13">
        <f t="shared" si="16"/>
        <v>4</v>
      </c>
    </row>
    <row r="66" ht="12.75" customHeight="1">
      <c r="A66" s="79"/>
      <c r="B66" s="49"/>
      <c r="C66" s="50" t="s">
        <v>58</v>
      </c>
      <c r="D66" s="51"/>
      <c r="E66" s="80">
        <v>0.0</v>
      </c>
      <c r="F66" s="80">
        <v>1.0</v>
      </c>
      <c r="G66" s="80">
        <v>0.0</v>
      </c>
      <c r="H66" s="80">
        <v>2.0</v>
      </c>
      <c r="I66" s="80">
        <v>0.0</v>
      </c>
      <c r="J66" s="80">
        <v>1.0</v>
      </c>
      <c r="K66" s="80">
        <v>1.0</v>
      </c>
      <c r="L66" s="80">
        <v>0.0</v>
      </c>
      <c r="M66" s="80">
        <v>0.0</v>
      </c>
      <c r="N66" s="80">
        <v>0.0</v>
      </c>
      <c r="O66" s="80">
        <v>1.0</v>
      </c>
      <c r="P66" s="80">
        <v>1.0</v>
      </c>
      <c r="Q66" s="80">
        <v>0.0</v>
      </c>
      <c r="R66" s="80">
        <v>1.0</v>
      </c>
      <c r="S66" s="80">
        <v>0.0</v>
      </c>
      <c r="T66" s="13">
        <f t="shared" si="16"/>
        <v>8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T67" si="17">SUM(E57:E66)</f>
        <v>31</v>
      </c>
      <c r="F67" s="13">
        <f t="shared" si="17"/>
        <v>30</v>
      </c>
      <c r="G67" s="13">
        <f t="shared" si="17"/>
        <v>30</v>
      </c>
      <c r="H67" s="13">
        <f t="shared" si="17"/>
        <v>62</v>
      </c>
      <c r="I67" s="13">
        <f t="shared" si="17"/>
        <v>39</v>
      </c>
      <c r="J67" s="13">
        <f t="shared" si="17"/>
        <v>29</v>
      </c>
      <c r="K67" s="13">
        <f t="shared" si="17"/>
        <v>35</v>
      </c>
      <c r="L67" s="13">
        <f t="shared" si="17"/>
        <v>28</v>
      </c>
      <c r="M67" s="13">
        <f t="shared" si="17"/>
        <v>23</v>
      </c>
      <c r="N67" s="13">
        <f t="shared" si="17"/>
        <v>18</v>
      </c>
      <c r="O67" s="13">
        <f t="shared" si="17"/>
        <v>21</v>
      </c>
      <c r="P67" s="13">
        <f t="shared" si="17"/>
        <v>22</v>
      </c>
      <c r="Q67" s="13">
        <f t="shared" si="17"/>
        <v>16</v>
      </c>
      <c r="R67" s="13">
        <f t="shared" si="17"/>
        <v>39</v>
      </c>
      <c r="S67" s="13">
        <f t="shared" si="17"/>
        <v>21</v>
      </c>
      <c r="T67" s="13">
        <f t="shared" si="17"/>
        <v>444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10.0</v>
      </c>
      <c r="F69" s="73">
        <v>8.0</v>
      </c>
      <c r="G69" s="73">
        <v>8.0</v>
      </c>
      <c r="H69" s="73">
        <v>10.0</v>
      </c>
      <c r="I69" s="73">
        <v>5.0</v>
      </c>
      <c r="J69" s="73">
        <v>10.0</v>
      </c>
      <c r="K69" s="73">
        <v>13.0</v>
      </c>
      <c r="L69" s="73">
        <v>21.0</v>
      </c>
      <c r="M69" s="73">
        <v>13.0</v>
      </c>
      <c r="N69" s="73">
        <v>14.0</v>
      </c>
      <c r="O69" s="73">
        <v>6.0</v>
      </c>
      <c r="P69" s="73">
        <v>12.0</v>
      </c>
      <c r="Q69" s="73">
        <v>7.0</v>
      </c>
      <c r="R69" s="73">
        <v>13.0</v>
      </c>
      <c r="S69" s="73">
        <v>19.0</v>
      </c>
      <c r="T69" s="13">
        <f t="shared" ref="T69:T78" si="18">SUM(E69:S69)</f>
        <v>169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7.0</v>
      </c>
      <c r="F70" s="73">
        <v>2.0</v>
      </c>
      <c r="G70" s="73">
        <v>6.0</v>
      </c>
      <c r="H70" s="73">
        <v>18.0</v>
      </c>
      <c r="I70" s="73">
        <v>5.0</v>
      </c>
      <c r="J70" s="73">
        <v>4.0</v>
      </c>
      <c r="K70" s="73">
        <v>9.0</v>
      </c>
      <c r="L70" s="73">
        <v>5.0</v>
      </c>
      <c r="M70" s="73">
        <v>8.0</v>
      </c>
      <c r="N70" s="73">
        <v>6.0</v>
      </c>
      <c r="O70" s="73">
        <v>1.0</v>
      </c>
      <c r="P70" s="73">
        <v>2.0</v>
      </c>
      <c r="Q70" s="73">
        <v>2.0</v>
      </c>
      <c r="R70" s="73">
        <v>15.0</v>
      </c>
      <c r="S70" s="73">
        <v>13.0</v>
      </c>
      <c r="T70" s="13">
        <f t="shared" si="18"/>
        <v>103</v>
      </c>
    </row>
    <row r="71" ht="12.75" customHeight="1">
      <c r="A71" s="18"/>
      <c r="B71" s="49"/>
      <c r="C71" s="50" t="s">
        <v>61</v>
      </c>
      <c r="D71" s="51"/>
      <c r="E71" s="73">
        <v>13.0</v>
      </c>
      <c r="F71" s="73">
        <v>13.0</v>
      </c>
      <c r="G71" s="73">
        <v>14.0</v>
      </c>
      <c r="H71" s="73">
        <v>16.0</v>
      </c>
      <c r="I71" s="73">
        <v>38.0</v>
      </c>
      <c r="J71" s="73">
        <v>19.0</v>
      </c>
      <c r="K71" s="73">
        <v>13.0</v>
      </c>
      <c r="L71" s="73">
        <v>11.0</v>
      </c>
      <c r="M71" s="73">
        <v>13.0</v>
      </c>
      <c r="N71" s="73">
        <v>13.0</v>
      </c>
      <c r="O71" s="73">
        <v>21.0</v>
      </c>
      <c r="P71" s="73">
        <v>9.0</v>
      </c>
      <c r="Q71" s="73">
        <v>10.0</v>
      </c>
      <c r="R71" s="73">
        <v>15.0</v>
      </c>
      <c r="S71" s="73">
        <v>22.0</v>
      </c>
      <c r="T71" s="13">
        <f t="shared" si="18"/>
        <v>240</v>
      </c>
    </row>
    <row r="72" ht="12.75" customHeight="1">
      <c r="A72" s="18"/>
      <c r="B72" s="49"/>
      <c r="C72" s="50" t="s">
        <v>62</v>
      </c>
      <c r="D72" s="51"/>
      <c r="E72" s="73">
        <v>10.0</v>
      </c>
      <c r="F72" s="73">
        <v>5.0</v>
      </c>
      <c r="G72" s="73">
        <v>1.0</v>
      </c>
      <c r="H72" s="73">
        <v>0.0</v>
      </c>
      <c r="I72" s="73">
        <v>4.0</v>
      </c>
      <c r="J72" s="73">
        <v>3.0</v>
      </c>
      <c r="K72" s="73">
        <v>4.0</v>
      </c>
      <c r="L72" s="73">
        <v>1.0</v>
      </c>
      <c r="M72" s="73">
        <v>1.0</v>
      </c>
      <c r="N72" s="73">
        <v>2.0</v>
      </c>
      <c r="O72" s="73">
        <v>4.0</v>
      </c>
      <c r="P72" s="73">
        <v>4.0</v>
      </c>
      <c r="Q72" s="73">
        <v>2.0</v>
      </c>
      <c r="R72" s="73">
        <v>2.0</v>
      </c>
      <c r="S72" s="73">
        <v>7.0</v>
      </c>
      <c r="T72" s="13">
        <f t="shared" si="18"/>
        <v>50</v>
      </c>
    </row>
    <row r="73" ht="12.75" customHeight="1">
      <c r="A73" s="18"/>
      <c r="B73" s="49"/>
      <c r="C73" s="50" t="s">
        <v>63</v>
      </c>
      <c r="D73" s="51"/>
      <c r="E73" s="73">
        <v>1.0</v>
      </c>
      <c r="F73" s="73">
        <v>0.0</v>
      </c>
      <c r="G73" s="73">
        <v>0.0</v>
      </c>
      <c r="H73" s="73">
        <v>0.0</v>
      </c>
      <c r="I73" s="73">
        <v>2.0</v>
      </c>
      <c r="J73" s="73">
        <v>1.0</v>
      </c>
      <c r="K73" s="73">
        <v>1.0</v>
      </c>
      <c r="L73" s="73">
        <v>2.0</v>
      </c>
      <c r="M73" s="73">
        <v>1.0</v>
      </c>
      <c r="N73" s="73">
        <v>0.0</v>
      </c>
      <c r="O73" s="73">
        <v>0.0</v>
      </c>
      <c r="P73" s="73">
        <v>1.0</v>
      </c>
      <c r="Q73" s="73">
        <v>2.0</v>
      </c>
      <c r="R73" s="73">
        <v>1.0</v>
      </c>
      <c r="S73" s="73">
        <v>0.0</v>
      </c>
      <c r="T73" s="13">
        <f t="shared" si="18"/>
        <v>12</v>
      </c>
    </row>
    <row r="74" ht="12.75" customHeight="1">
      <c r="A74" s="18"/>
      <c r="B74" s="49"/>
      <c r="C74" s="50" t="s">
        <v>64</v>
      </c>
      <c r="D74" s="51"/>
      <c r="E74" s="73">
        <v>1.0</v>
      </c>
      <c r="F74" s="73">
        <v>0.0</v>
      </c>
      <c r="G74" s="73">
        <v>0.0</v>
      </c>
      <c r="H74" s="73">
        <v>1.0</v>
      </c>
      <c r="I74" s="73">
        <v>1.0</v>
      </c>
      <c r="J74" s="73">
        <v>2.0</v>
      </c>
      <c r="K74" s="73">
        <v>2.0</v>
      </c>
      <c r="L74" s="73">
        <v>0.0</v>
      </c>
      <c r="M74" s="73">
        <v>0.0</v>
      </c>
      <c r="N74" s="73">
        <v>2.0</v>
      </c>
      <c r="O74" s="73">
        <v>2.0</v>
      </c>
      <c r="P74" s="73">
        <v>2.0</v>
      </c>
      <c r="Q74" s="73">
        <v>1.0</v>
      </c>
      <c r="R74" s="73">
        <v>0.0</v>
      </c>
      <c r="S74" s="73">
        <v>0.0</v>
      </c>
      <c r="T74" s="13">
        <f t="shared" si="18"/>
        <v>14</v>
      </c>
    </row>
    <row r="75" ht="12.75" customHeight="1">
      <c r="A75" s="18"/>
      <c r="B75" s="49"/>
      <c r="C75" s="50" t="s">
        <v>65</v>
      </c>
      <c r="D75" s="51"/>
      <c r="E75" s="73">
        <v>1.0</v>
      </c>
      <c r="F75" s="73">
        <v>0.0</v>
      </c>
      <c r="G75" s="73">
        <v>0.0</v>
      </c>
      <c r="H75" s="73">
        <v>0.0</v>
      </c>
      <c r="I75" s="73">
        <v>0.0</v>
      </c>
      <c r="J75" s="73">
        <v>0.0</v>
      </c>
      <c r="K75" s="73">
        <v>1.0</v>
      </c>
      <c r="L75" s="73">
        <v>1.0</v>
      </c>
      <c r="M75" s="73">
        <v>1.0</v>
      </c>
      <c r="N75" s="73">
        <v>1.0</v>
      </c>
      <c r="O75" s="73">
        <v>3.0</v>
      </c>
      <c r="P75" s="73">
        <v>0.0</v>
      </c>
      <c r="Q75" s="73">
        <v>1.0</v>
      </c>
      <c r="R75" s="73">
        <v>0.0</v>
      </c>
      <c r="S75" s="73">
        <v>3.0</v>
      </c>
      <c r="T75" s="13">
        <f t="shared" si="18"/>
        <v>12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0.0</v>
      </c>
      <c r="G76" s="80">
        <v>0.0</v>
      </c>
      <c r="H76" s="80">
        <v>0.0</v>
      </c>
      <c r="I76" s="80">
        <v>1.0</v>
      </c>
      <c r="J76" s="80">
        <v>0.0</v>
      </c>
      <c r="K76" s="80">
        <v>0.0</v>
      </c>
      <c r="L76" s="80">
        <v>0.0</v>
      </c>
      <c r="M76" s="80">
        <v>1.0</v>
      </c>
      <c r="N76" s="80">
        <v>0.0</v>
      </c>
      <c r="O76" s="80">
        <v>0.0</v>
      </c>
      <c r="P76" s="80">
        <v>0.0</v>
      </c>
      <c r="Q76" s="80">
        <v>0.0</v>
      </c>
      <c r="R76" s="80">
        <v>0.0</v>
      </c>
      <c r="S76" s="80">
        <v>0.0</v>
      </c>
      <c r="T76" s="13">
        <f t="shared" si="18"/>
        <v>2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1.0</v>
      </c>
      <c r="G77" s="80">
        <v>0.0</v>
      </c>
      <c r="H77" s="80">
        <v>0.0</v>
      </c>
      <c r="I77" s="80">
        <v>1.0</v>
      </c>
      <c r="J77" s="80">
        <v>0.0</v>
      </c>
      <c r="K77" s="80">
        <v>1.0</v>
      </c>
      <c r="L77" s="80">
        <v>1.0</v>
      </c>
      <c r="M77" s="80">
        <v>1.0</v>
      </c>
      <c r="N77" s="80">
        <v>1.0</v>
      </c>
      <c r="O77" s="80">
        <v>1.0</v>
      </c>
      <c r="P77" s="80">
        <v>1.0</v>
      </c>
      <c r="Q77" s="80">
        <v>0.0</v>
      </c>
      <c r="R77" s="80">
        <v>0.0</v>
      </c>
      <c r="S77" s="80">
        <v>2.0</v>
      </c>
      <c r="T77" s="13">
        <f t="shared" si="18"/>
        <v>10</v>
      </c>
    </row>
    <row r="78" ht="12.75" customHeight="1">
      <c r="A78" s="79"/>
      <c r="B78" s="49"/>
      <c r="C78" s="50" t="s">
        <v>68</v>
      </c>
      <c r="D78" s="51"/>
      <c r="E78" s="80">
        <v>1.0</v>
      </c>
      <c r="F78" s="80">
        <v>1.0</v>
      </c>
      <c r="G78" s="80">
        <v>0.0</v>
      </c>
      <c r="H78" s="80">
        <v>0.0</v>
      </c>
      <c r="I78" s="80">
        <v>1.0</v>
      </c>
      <c r="J78" s="80">
        <v>1.0</v>
      </c>
      <c r="K78" s="80">
        <v>1.0</v>
      </c>
      <c r="L78" s="80">
        <v>0.0</v>
      </c>
      <c r="M78" s="80">
        <v>0.0</v>
      </c>
      <c r="N78" s="80">
        <v>0.0</v>
      </c>
      <c r="O78" s="80">
        <v>1.0</v>
      </c>
      <c r="P78" s="80">
        <v>3.0</v>
      </c>
      <c r="Q78" s="80">
        <v>0.0</v>
      </c>
      <c r="R78" s="80">
        <v>1.0</v>
      </c>
      <c r="S78" s="80">
        <v>1.0</v>
      </c>
      <c r="T78" s="13">
        <f t="shared" si="18"/>
        <v>11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T79" si="19">SUM(E69:E78)</f>
        <v>44</v>
      </c>
      <c r="F79" s="13">
        <f t="shared" si="19"/>
        <v>30</v>
      </c>
      <c r="G79" s="13">
        <f t="shared" si="19"/>
        <v>29</v>
      </c>
      <c r="H79" s="13">
        <f t="shared" si="19"/>
        <v>45</v>
      </c>
      <c r="I79" s="13">
        <f t="shared" si="19"/>
        <v>58</v>
      </c>
      <c r="J79" s="13">
        <f t="shared" si="19"/>
        <v>40</v>
      </c>
      <c r="K79" s="13">
        <f t="shared" si="19"/>
        <v>45</v>
      </c>
      <c r="L79" s="13">
        <f t="shared" si="19"/>
        <v>42</v>
      </c>
      <c r="M79" s="13">
        <f t="shared" si="19"/>
        <v>39</v>
      </c>
      <c r="N79" s="13">
        <f t="shared" si="19"/>
        <v>39</v>
      </c>
      <c r="O79" s="13">
        <f t="shared" si="19"/>
        <v>39</v>
      </c>
      <c r="P79" s="13">
        <f t="shared" si="19"/>
        <v>34</v>
      </c>
      <c r="Q79" s="13">
        <f t="shared" si="19"/>
        <v>25</v>
      </c>
      <c r="R79" s="13">
        <f t="shared" si="19"/>
        <v>47</v>
      </c>
      <c r="S79" s="13">
        <f t="shared" si="19"/>
        <v>67</v>
      </c>
      <c r="T79" s="13">
        <f t="shared" si="19"/>
        <v>623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5.0</v>
      </c>
      <c r="F81" s="73">
        <v>8.0</v>
      </c>
      <c r="G81" s="73">
        <v>14.0</v>
      </c>
      <c r="H81" s="73">
        <v>8.0</v>
      </c>
      <c r="I81" s="73">
        <v>3.0</v>
      </c>
      <c r="J81" s="73">
        <v>5.0</v>
      </c>
      <c r="K81" s="73">
        <v>12.0</v>
      </c>
      <c r="L81" s="73">
        <v>8.0</v>
      </c>
      <c r="M81" s="73">
        <v>8.0</v>
      </c>
      <c r="N81" s="73">
        <v>5.0</v>
      </c>
      <c r="O81" s="73">
        <v>5.0</v>
      </c>
      <c r="P81" s="73">
        <v>1.0</v>
      </c>
      <c r="Q81" s="73">
        <v>4.0</v>
      </c>
      <c r="R81" s="73">
        <v>3.0</v>
      </c>
      <c r="S81" s="73">
        <v>3.0</v>
      </c>
      <c r="T81" s="13">
        <f t="shared" ref="T81:T90" si="20">SUM(E81:S81)</f>
        <v>92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2.0</v>
      </c>
      <c r="F82" s="73">
        <v>12.0</v>
      </c>
      <c r="G82" s="73">
        <v>18.0</v>
      </c>
      <c r="H82" s="73">
        <v>2.0</v>
      </c>
      <c r="I82" s="73">
        <v>1.0</v>
      </c>
      <c r="J82" s="73">
        <v>2.0</v>
      </c>
      <c r="K82" s="73">
        <v>4.0</v>
      </c>
      <c r="L82" s="73">
        <v>3.0</v>
      </c>
      <c r="M82" s="73">
        <v>2.0</v>
      </c>
      <c r="N82" s="73">
        <v>7.0</v>
      </c>
      <c r="O82" s="73">
        <v>3.0</v>
      </c>
      <c r="P82" s="73">
        <v>6.0</v>
      </c>
      <c r="Q82" s="73">
        <v>0.0</v>
      </c>
      <c r="R82" s="73">
        <v>2.0</v>
      </c>
      <c r="S82" s="73">
        <v>1.0</v>
      </c>
      <c r="T82" s="13">
        <f t="shared" si="20"/>
        <v>65</v>
      </c>
    </row>
    <row r="83" ht="12.75" customHeight="1">
      <c r="A83" s="18"/>
      <c r="B83" s="49"/>
      <c r="C83" s="50" t="s">
        <v>71</v>
      </c>
      <c r="D83" s="51"/>
      <c r="E83" s="73">
        <v>1.0</v>
      </c>
      <c r="F83" s="73">
        <v>1.0</v>
      </c>
      <c r="G83" s="73">
        <v>5.0</v>
      </c>
      <c r="H83" s="73">
        <v>3.0</v>
      </c>
      <c r="I83" s="73">
        <v>0.0</v>
      </c>
      <c r="J83" s="73">
        <v>4.0</v>
      </c>
      <c r="K83" s="73">
        <v>3.0</v>
      </c>
      <c r="L83" s="73">
        <v>1.0</v>
      </c>
      <c r="M83" s="73">
        <v>1.0</v>
      </c>
      <c r="N83" s="73">
        <v>5.0</v>
      </c>
      <c r="O83" s="73">
        <v>0.0</v>
      </c>
      <c r="P83" s="73">
        <v>1.0</v>
      </c>
      <c r="Q83" s="73">
        <v>0.0</v>
      </c>
      <c r="R83" s="73">
        <v>1.0</v>
      </c>
      <c r="S83" s="73">
        <v>1.0</v>
      </c>
      <c r="T83" s="13">
        <f t="shared" si="20"/>
        <v>27</v>
      </c>
    </row>
    <row r="84" ht="12.75" customHeight="1">
      <c r="A84" s="18"/>
      <c r="B84" s="49"/>
      <c r="C84" s="50" t="s">
        <v>72</v>
      </c>
      <c r="D84" s="51"/>
      <c r="E84" s="73">
        <v>2.0</v>
      </c>
      <c r="F84" s="73">
        <v>4.0</v>
      </c>
      <c r="G84" s="73">
        <v>1.0</v>
      </c>
      <c r="H84" s="73">
        <v>1.0</v>
      </c>
      <c r="I84" s="73">
        <v>0.0</v>
      </c>
      <c r="J84" s="73">
        <v>1.0</v>
      </c>
      <c r="K84" s="73">
        <v>0.0</v>
      </c>
      <c r="L84" s="73">
        <v>0.0</v>
      </c>
      <c r="M84" s="73">
        <v>0.0</v>
      </c>
      <c r="N84" s="73">
        <v>2.0</v>
      </c>
      <c r="O84" s="73">
        <v>2.0</v>
      </c>
      <c r="P84" s="73">
        <v>1.0</v>
      </c>
      <c r="Q84" s="73">
        <v>1.0</v>
      </c>
      <c r="R84" s="73">
        <v>1.0</v>
      </c>
      <c r="S84" s="73">
        <v>1.0</v>
      </c>
      <c r="T84" s="13">
        <f t="shared" si="20"/>
        <v>17</v>
      </c>
    </row>
    <row r="85" ht="12.75" customHeight="1">
      <c r="A85" s="18"/>
      <c r="B85" s="49"/>
      <c r="C85" s="50" t="s">
        <v>73</v>
      </c>
      <c r="D85" s="51"/>
      <c r="E85" s="73">
        <v>3.0</v>
      </c>
      <c r="F85" s="73">
        <v>2.0</v>
      </c>
      <c r="G85" s="73">
        <v>1.0</v>
      </c>
      <c r="H85" s="73">
        <v>4.0</v>
      </c>
      <c r="I85" s="73">
        <v>3.0</v>
      </c>
      <c r="J85" s="73">
        <v>4.0</v>
      </c>
      <c r="K85" s="73">
        <v>6.0</v>
      </c>
      <c r="L85" s="73">
        <v>2.0</v>
      </c>
      <c r="M85" s="73">
        <v>3.0</v>
      </c>
      <c r="N85" s="73">
        <v>8.0</v>
      </c>
      <c r="O85" s="73">
        <v>2.0</v>
      </c>
      <c r="P85" s="73">
        <v>1.0</v>
      </c>
      <c r="Q85" s="73">
        <v>0.0</v>
      </c>
      <c r="R85" s="73">
        <v>0.0</v>
      </c>
      <c r="S85" s="73">
        <v>4.0</v>
      </c>
      <c r="T85" s="13">
        <f t="shared" si="20"/>
        <v>43</v>
      </c>
    </row>
    <row r="86" ht="12.75" customHeight="1">
      <c r="A86" s="18"/>
      <c r="B86" s="49"/>
      <c r="C86" s="50" t="s">
        <v>74</v>
      </c>
      <c r="D86" s="51"/>
      <c r="E86" s="73">
        <v>4.0</v>
      </c>
      <c r="F86" s="73">
        <v>2.0</v>
      </c>
      <c r="G86" s="73">
        <v>2.0</v>
      </c>
      <c r="H86" s="73">
        <v>2.0</v>
      </c>
      <c r="I86" s="73">
        <v>1.0</v>
      </c>
      <c r="J86" s="73">
        <v>1.0</v>
      </c>
      <c r="K86" s="73">
        <v>18.0</v>
      </c>
      <c r="L86" s="73">
        <v>3.0</v>
      </c>
      <c r="M86" s="73">
        <v>1.0</v>
      </c>
      <c r="N86" s="73">
        <v>2.0</v>
      </c>
      <c r="O86" s="73">
        <v>0.0</v>
      </c>
      <c r="P86" s="73">
        <v>2.0</v>
      </c>
      <c r="Q86" s="73">
        <v>0.0</v>
      </c>
      <c r="R86" s="73">
        <v>0.0</v>
      </c>
      <c r="S86" s="73">
        <v>1.0</v>
      </c>
      <c r="T86" s="13">
        <f t="shared" si="20"/>
        <v>39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0.0</v>
      </c>
      <c r="G87" s="73">
        <v>0.0</v>
      </c>
      <c r="H87" s="73">
        <v>1.0</v>
      </c>
      <c r="I87" s="73">
        <v>1.0</v>
      </c>
      <c r="J87" s="73">
        <v>0.0</v>
      </c>
      <c r="K87" s="73">
        <v>0.0</v>
      </c>
      <c r="L87" s="73">
        <v>1.0</v>
      </c>
      <c r="M87" s="73">
        <v>0.0</v>
      </c>
      <c r="N87" s="73">
        <v>0.0</v>
      </c>
      <c r="O87" s="73">
        <v>3.0</v>
      </c>
      <c r="P87" s="73">
        <v>1.0</v>
      </c>
      <c r="Q87" s="73">
        <v>0.0</v>
      </c>
      <c r="R87" s="73">
        <v>0.0</v>
      </c>
      <c r="S87" s="73">
        <v>0.0</v>
      </c>
      <c r="T87" s="13">
        <f t="shared" si="20"/>
        <v>7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1.0</v>
      </c>
      <c r="J88" s="80">
        <v>0.0</v>
      </c>
      <c r="K88" s="80">
        <v>0.0</v>
      </c>
      <c r="L88" s="80">
        <v>0.0</v>
      </c>
      <c r="M88" s="80">
        <v>0.0</v>
      </c>
      <c r="N88" s="80">
        <v>0.0</v>
      </c>
      <c r="O88" s="80">
        <v>0.0</v>
      </c>
      <c r="P88" s="80">
        <v>0.0</v>
      </c>
      <c r="Q88" s="80">
        <v>0.0</v>
      </c>
      <c r="R88" s="80">
        <v>0.0</v>
      </c>
      <c r="S88" s="80">
        <v>1.0</v>
      </c>
      <c r="T88" s="13">
        <f t="shared" si="20"/>
        <v>2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1.0</v>
      </c>
      <c r="L89" s="80">
        <v>0.0</v>
      </c>
      <c r="M89" s="80">
        <v>0.0</v>
      </c>
      <c r="N89" s="80">
        <v>0.0</v>
      </c>
      <c r="O89" s="80">
        <v>0.0</v>
      </c>
      <c r="P89" s="80">
        <v>1.0</v>
      </c>
      <c r="Q89" s="80">
        <v>0.0</v>
      </c>
      <c r="R89" s="80">
        <v>0.0</v>
      </c>
      <c r="S89" s="80">
        <v>0.0</v>
      </c>
      <c r="T89" s="13">
        <f t="shared" si="20"/>
        <v>2</v>
      </c>
    </row>
    <row r="90" ht="12.75" customHeight="1">
      <c r="A90" s="79"/>
      <c r="B90" s="49"/>
      <c r="C90" s="50" t="s">
        <v>78</v>
      </c>
      <c r="D90" s="51"/>
      <c r="E90" s="80">
        <v>0.0</v>
      </c>
      <c r="F90" s="80">
        <v>0.0</v>
      </c>
      <c r="G90" s="80">
        <v>0.0</v>
      </c>
      <c r="H90" s="80">
        <v>0.0</v>
      </c>
      <c r="I90" s="80">
        <v>0.0</v>
      </c>
      <c r="J90" s="80">
        <v>0.0</v>
      </c>
      <c r="K90" s="80">
        <v>0.0</v>
      </c>
      <c r="L90" s="80">
        <v>0.0</v>
      </c>
      <c r="M90" s="80">
        <v>0.0</v>
      </c>
      <c r="N90" s="80">
        <v>1.0</v>
      </c>
      <c r="O90" s="80">
        <v>1.0</v>
      </c>
      <c r="P90" s="80">
        <v>1.0</v>
      </c>
      <c r="Q90" s="80">
        <v>0.0</v>
      </c>
      <c r="R90" s="80">
        <v>0.0</v>
      </c>
      <c r="S90" s="80">
        <v>2.0</v>
      </c>
      <c r="T90" s="13">
        <f t="shared" si="20"/>
        <v>5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T91" si="21">SUM(E81:E90)</f>
        <v>17</v>
      </c>
      <c r="F91" s="13">
        <f t="shared" si="21"/>
        <v>29</v>
      </c>
      <c r="G91" s="13">
        <f t="shared" si="21"/>
        <v>41</v>
      </c>
      <c r="H91" s="13">
        <f t="shared" si="21"/>
        <v>21</v>
      </c>
      <c r="I91" s="13">
        <f t="shared" si="21"/>
        <v>10</v>
      </c>
      <c r="J91" s="13">
        <f t="shared" si="21"/>
        <v>17</v>
      </c>
      <c r="K91" s="13">
        <f t="shared" si="21"/>
        <v>44</v>
      </c>
      <c r="L91" s="13">
        <f t="shared" si="21"/>
        <v>18</v>
      </c>
      <c r="M91" s="13">
        <f t="shared" si="21"/>
        <v>15</v>
      </c>
      <c r="N91" s="13">
        <f t="shared" si="21"/>
        <v>30</v>
      </c>
      <c r="O91" s="13">
        <f t="shared" si="21"/>
        <v>16</v>
      </c>
      <c r="P91" s="13">
        <f t="shared" si="21"/>
        <v>15</v>
      </c>
      <c r="Q91" s="13">
        <f t="shared" si="21"/>
        <v>5</v>
      </c>
      <c r="R91" s="13">
        <f t="shared" si="21"/>
        <v>7</v>
      </c>
      <c r="S91" s="13">
        <f t="shared" si="21"/>
        <v>14</v>
      </c>
      <c r="T91" s="13">
        <f t="shared" si="21"/>
        <v>299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1.0</v>
      </c>
      <c r="F93" s="73">
        <v>2.0</v>
      </c>
      <c r="G93" s="73">
        <v>1.0</v>
      </c>
      <c r="H93" s="73">
        <v>2.0</v>
      </c>
      <c r="I93" s="73">
        <v>3.0</v>
      </c>
      <c r="J93" s="73">
        <v>1.0</v>
      </c>
      <c r="K93" s="73">
        <v>1.0</v>
      </c>
      <c r="L93" s="73">
        <v>5.0</v>
      </c>
      <c r="M93" s="73">
        <v>3.0</v>
      </c>
      <c r="N93" s="73">
        <v>0.0</v>
      </c>
      <c r="O93" s="73">
        <v>1.0</v>
      </c>
      <c r="P93" s="73">
        <v>2.0</v>
      </c>
      <c r="Q93" s="73">
        <v>1.0</v>
      </c>
      <c r="R93" s="73">
        <v>1.0</v>
      </c>
      <c r="S93" s="73">
        <v>0.0</v>
      </c>
      <c r="T93" s="13">
        <f t="shared" ref="T93:T102" si="22">SUM(E93:S93)</f>
        <v>24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0.0</v>
      </c>
      <c r="F94" s="73">
        <v>0.0</v>
      </c>
      <c r="G94" s="73">
        <v>1.0</v>
      </c>
      <c r="H94" s="73">
        <v>1.0</v>
      </c>
      <c r="I94" s="73">
        <v>1.0</v>
      </c>
      <c r="J94" s="73">
        <v>5.0</v>
      </c>
      <c r="K94" s="73">
        <v>2.0</v>
      </c>
      <c r="L94" s="73">
        <v>2.0</v>
      </c>
      <c r="M94" s="73">
        <v>0.0</v>
      </c>
      <c r="N94" s="73">
        <v>0.0</v>
      </c>
      <c r="O94" s="73">
        <v>1.0</v>
      </c>
      <c r="P94" s="73">
        <v>3.0</v>
      </c>
      <c r="Q94" s="73">
        <v>0.0</v>
      </c>
      <c r="R94" s="73">
        <v>0.0</v>
      </c>
      <c r="S94" s="73">
        <v>3.0</v>
      </c>
      <c r="T94" s="13">
        <f t="shared" si="22"/>
        <v>19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1.0</v>
      </c>
      <c r="I95" s="73">
        <v>0.0</v>
      </c>
      <c r="J95" s="73">
        <v>1.0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13">
        <f t="shared" si="22"/>
        <v>2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13">
        <f t="shared" si="22"/>
        <v>0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0.0</v>
      </c>
      <c r="H97" s="73">
        <v>1.0</v>
      </c>
      <c r="I97" s="73">
        <v>0.0</v>
      </c>
      <c r="J97" s="73">
        <v>1.0</v>
      </c>
      <c r="K97" s="73">
        <v>0.0</v>
      </c>
      <c r="L97" s="73">
        <v>1.0</v>
      </c>
      <c r="M97" s="73">
        <v>0.0</v>
      </c>
      <c r="N97" s="73">
        <v>0.0</v>
      </c>
      <c r="O97" s="73">
        <v>4.0</v>
      </c>
      <c r="P97" s="73">
        <v>0.0</v>
      </c>
      <c r="Q97" s="73">
        <v>0.0</v>
      </c>
      <c r="R97" s="73">
        <v>0.0</v>
      </c>
      <c r="S97" s="73">
        <v>0.0</v>
      </c>
      <c r="T97" s="13">
        <f t="shared" si="22"/>
        <v>7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1.0</v>
      </c>
      <c r="O98" s="73">
        <v>0.0</v>
      </c>
      <c r="P98" s="73">
        <v>0.0</v>
      </c>
      <c r="Q98" s="73">
        <v>1.0</v>
      </c>
      <c r="R98" s="73">
        <v>0.0</v>
      </c>
      <c r="S98" s="73">
        <v>0.0</v>
      </c>
      <c r="T98" s="13">
        <f t="shared" si="22"/>
        <v>2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1.0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1.0</v>
      </c>
      <c r="T99" s="13">
        <f t="shared" si="22"/>
        <v>2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0.0</v>
      </c>
      <c r="T100" s="13">
        <f t="shared" si="22"/>
        <v>0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80">
        <v>0.0</v>
      </c>
      <c r="M101" s="80">
        <v>0.0</v>
      </c>
      <c r="N101" s="80">
        <v>1.0</v>
      </c>
      <c r="O101" s="80">
        <v>2.0</v>
      </c>
      <c r="P101" s="80">
        <v>1.0</v>
      </c>
      <c r="Q101" s="80">
        <v>0.0</v>
      </c>
      <c r="R101" s="80">
        <v>0.0</v>
      </c>
      <c r="S101" s="80">
        <v>0.0</v>
      </c>
      <c r="T101" s="13">
        <f t="shared" si="22"/>
        <v>4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T103" si="23">SUM(E93:E102)</f>
        <v>1</v>
      </c>
      <c r="F103" s="13">
        <f t="shared" si="23"/>
        <v>2</v>
      </c>
      <c r="G103" s="13">
        <f t="shared" si="23"/>
        <v>2</v>
      </c>
      <c r="H103" s="13">
        <f t="shared" si="23"/>
        <v>5</v>
      </c>
      <c r="I103" s="13">
        <f t="shared" si="23"/>
        <v>4</v>
      </c>
      <c r="J103" s="13">
        <f t="shared" si="23"/>
        <v>9</v>
      </c>
      <c r="K103" s="13">
        <f t="shared" si="23"/>
        <v>3</v>
      </c>
      <c r="L103" s="13">
        <f t="shared" si="23"/>
        <v>8</v>
      </c>
      <c r="M103" s="13">
        <f t="shared" si="23"/>
        <v>3</v>
      </c>
      <c r="N103" s="13">
        <f t="shared" si="23"/>
        <v>2</v>
      </c>
      <c r="O103" s="13">
        <f t="shared" si="23"/>
        <v>8</v>
      </c>
      <c r="P103" s="13">
        <f t="shared" si="23"/>
        <v>6</v>
      </c>
      <c r="Q103" s="13">
        <f t="shared" si="23"/>
        <v>2</v>
      </c>
      <c r="R103" s="13">
        <f t="shared" si="23"/>
        <v>1</v>
      </c>
      <c r="S103" s="13">
        <f t="shared" si="23"/>
        <v>4</v>
      </c>
      <c r="T103" s="13">
        <f t="shared" si="23"/>
        <v>60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2.0</v>
      </c>
      <c r="F105" s="73">
        <v>0.0</v>
      </c>
      <c r="G105" s="73">
        <v>1.0</v>
      </c>
      <c r="H105" s="73">
        <v>0.0</v>
      </c>
      <c r="I105" s="73">
        <v>0.0</v>
      </c>
      <c r="J105" s="73">
        <v>2.0</v>
      </c>
      <c r="K105" s="73">
        <v>2.0</v>
      </c>
      <c r="L105" s="73">
        <v>0.0</v>
      </c>
      <c r="M105" s="73">
        <v>1.0</v>
      </c>
      <c r="N105" s="73">
        <v>1.0</v>
      </c>
      <c r="O105" s="73">
        <v>4.0</v>
      </c>
      <c r="P105" s="73">
        <v>1.0</v>
      </c>
      <c r="Q105" s="73">
        <v>0.0</v>
      </c>
      <c r="R105" s="73">
        <v>0.0</v>
      </c>
      <c r="S105" s="73">
        <v>1.0</v>
      </c>
      <c r="T105" s="13">
        <f t="shared" ref="T105:T114" si="24">SUM(E105:S105)</f>
        <v>15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1.0</v>
      </c>
      <c r="H106" s="73">
        <v>2.0</v>
      </c>
      <c r="I106" s="73">
        <v>0.0</v>
      </c>
      <c r="J106" s="73">
        <v>1.0</v>
      </c>
      <c r="K106" s="73">
        <v>0.0</v>
      </c>
      <c r="L106" s="73">
        <v>0.0</v>
      </c>
      <c r="M106" s="73">
        <v>0.0</v>
      </c>
      <c r="N106" s="73">
        <v>0.0</v>
      </c>
      <c r="O106" s="73">
        <v>4.0</v>
      </c>
      <c r="P106" s="73">
        <v>0.0</v>
      </c>
      <c r="Q106" s="73">
        <v>1.0</v>
      </c>
      <c r="R106" s="73">
        <v>0.0</v>
      </c>
      <c r="S106" s="73">
        <v>0.0</v>
      </c>
      <c r="T106" s="13">
        <f t="shared" si="24"/>
        <v>9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1.0</v>
      </c>
      <c r="I107" s="80">
        <v>0.0</v>
      </c>
      <c r="J107" s="80">
        <v>0.0</v>
      </c>
      <c r="K107" s="80">
        <v>0.0</v>
      </c>
      <c r="L107" s="80">
        <v>0.0</v>
      </c>
      <c r="M107" s="80">
        <v>0.0</v>
      </c>
      <c r="N107" s="80">
        <v>0.0</v>
      </c>
      <c r="O107" s="80">
        <v>1.0</v>
      </c>
      <c r="P107" s="80">
        <v>0.0</v>
      </c>
      <c r="Q107" s="80">
        <v>0.0</v>
      </c>
      <c r="R107" s="80">
        <v>0.0</v>
      </c>
      <c r="S107" s="80">
        <v>1.0</v>
      </c>
      <c r="T107" s="13">
        <f t="shared" si="24"/>
        <v>3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T115" si="25">SUM(E105:E114)</f>
        <v>2</v>
      </c>
      <c r="F115" s="13">
        <f t="shared" si="25"/>
        <v>0</v>
      </c>
      <c r="G115" s="13">
        <f t="shared" si="25"/>
        <v>2</v>
      </c>
      <c r="H115" s="13">
        <f t="shared" si="25"/>
        <v>3</v>
      </c>
      <c r="I115" s="13">
        <f t="shared" si="25"/>
        <v>0</v>
      </c>
      <c r="J115" s="13">
        <f t="shared" si="25"/>
        <v>3</v>
      </c>
      <c r="K115" s="13">
        <f t="shared" si="25"/>
        <v>2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9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2</v>
      </c>
      <c r="T115" s="13">
        <f t="shared" si="25"/>
        <v>27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1.0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1.0</v>
      </c>
      <c r="M117" s="73">
        <v>5.0</v>
      </c>
      <c r="N117" s="73">
        <v>0.0</v>
      </c>
      <c r="O117" s="73">
        <v>1.0</v>
      </c>
      <c r="P117" s="73">
        <v>1.0</v>
      </c>
      <c r="Q117" s="73">
        <v>1.0</v>
      </c>
      <c r="R117" s="73">
        <v>1.0</v>
      </c>
      <c r="S117" s="73">
        <v>1.0</v>
      </c>
      <c r="T117" s="13">
        <f t="shared" ref="T117:T126" si="26">SUM(E117:S117)</f>
        <v>12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0.0</v>
      </c>
      <c r="G118" s="73">
        <v>0.0</v>
      </c>
      <c r="H118" s="73">
        <v>1.0</v>
      </c>
      <c r="I118" s="73">
        <v>0.0</v>
      </c>
      <c r="J118" s="73">
        <v>0.0</v>
      </c>
      <c r="K118" s="73">
        <v>2.0</v>
      </c>
      <c r="L118" s="73">
        <v>0.0</v>
      </c>
      <c r="M118" s="73">
        <v>4.0</v>
      </c>
      <c r="N118" s="73">
        <v>3.0</v>
      </c>
      <c r="O118" s="73">
        <v>0.0</v>
      </c>
      <c r="P118" s="73">
        <v>0.0</v>
      </c>
      <c r="Q118" s="73">
        <v>0.0</v>
      </c>
      <c r="R118" s="73">
        <v>0.0</v>
      </c>
      <c r="S118" s="73">
        <v>0.0</v>
      </c>
      <c r="T118" s="13">
        <f t="shared" si="26"/>
        <v>10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1.0</v>
      </c>
      <c r="K119" s="73">
        <v>0.0</v>
      </c>
      <c r="L119" s="73">
        <v>0.0</v>
      </c>
      <c r="M119" s="73">
        <v>1.0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13">
        <f t="shared" si="26"/>
        <v>2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1.0</v>
      </c>
      <c r="L120" s="73">
        <v>1.0</v>
      </c>
      <c r="M120" s="73">
        <v>1.0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13">
        <f t="shared" si="26"/>
        <v>3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1.0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13">
        <f t="shared" si="26"/>
        <v>1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1.0</v>
      </c>
      <c r="L122" s="80">
        <v>0.0</v>
      </c>
      <c r="M122" s="80">
        <v>0.0</v>
      </c>
      <c r="N122" s="80">
        <v>1.0</v>
      </c>
      <c r="O122" s="80">
        <v>0.0</v>
      </c>
      <c r="P122" s="73">
        <v>0.0</v>
      </c>
      <c r="Q122" s="80">
        <v>0.0</v>
      </c>
      <c r="R122" s="80">
        <v>0.0</v>
      </c>
      <c r="S122" s="80">
        <v>0.0</v>
      </c>
      <c r="T122" s="13">
        <f t="shared" si="26"/>
        <v>2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T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0</v>
      </c>
      <c r="J127" s="13">
        <f t="shared" si="27"/>
        <v>1</v>
      </c>
      <c r="K127" s="13">
        <f t="shared" si="27"/>
        <v>5</v>
      </c>
      <c r="L127" s="13">
        <f t="shared" si="27"/>
        <v>2</v>
      </c>
      <c r="M127" s="13">
        <f t="shared" si="27"/>
        <v>11</v>
      </c>
      <c r="N127" s="13">
        <f t="shared" si="27"/>
        <v>4</v>
      </c>
      <c r="O127" s="13">
        <f t="shared" si="27"/>
        <v>1</v>
      </c>
      <c r="P127" s="13">
        <f t="shared" si="27"/>
        <v>1</v>
      </c>
      <c r="Q127" s="13">
        <f t="shared" si="27"/>
        <v>1</v>
      </c>
      <c r="R127" s="13">
        <f t="shared" si="27"/>
        <v>1</v>
      </c>
      <c r="S127" s="13">
        <f t="shared" si="27"/>
        <v>1</v>
      </c>
      <c r="T127" s="13">
        <f t="shared" si="27"/>
        <v>30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1.0</v>
      </c>
      <c r="F129" s="73">
        <v>2.0</v>
      </c>
      <c r="G129" s="73">
        <v>4.0</v>
      </c>
      <c r="H129" s="73">
        <v>3.0</v>
      </c>
      <c r="I129" s="73">
        <v>6.0</v>
      </c>
      <c r="J129" s="73">
        <v>0.0</v>
      </c>
      <c r="K129" s="73">
        <v>6.0</v>
      </c>
      <c r="L129" s="73">
        <v>5.0</v>
      </c>
      <c r="M129" s="73">
        <v>5.0</v>
      </c>
      <c r="N129" s="73">
        <v>10.0</v>
      </c>
      <c r="O129" s="73">
        <v>6.0</v>
      </c>
      <c r="P129" s="73">
        <v>6.0</v>
      </c>
      <c r="Q129" s="73">
        <v>1.0</v>
      </c>
      <c r="R129" s="73">
        <v>4.0</v>
      </c>
      <c r="S129" s="73">
        <v>1.0</v>
      </c>
      <c r="T129" s="13">
        <f t="shared" ref="T129:T138" si="28">SUM(E129:S129)</f>
        <v>60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3.0</v>
      </c>
      <c r="F130" s="73">
        <v>0.0</v>
      </c>
      <c r="G130" s="73">
        <v>0.0</v>
      </c>
      <c r="H130" s="73">
        <v>4.0</v>
      </c>
      <c r="I130" s="73">
        <v>5.0</v>
      </c>
      <c r="J130" s="73">
        <v>3.0</v>
      </c>
      <c r="K130" s="73">
        <v>1.0</v>
      </c>
      <c r="L130" s="73">
        <v>5.0</v>
      </c>
      <c r="M130" s="73">
        <v>5.0</v>
      </c>
      <c r="N130" s="73">
        <v>3.0</v>
      </c>
      <c r="O130" s="73">
        <v>2.0</v>
      </c>
      <c r="P130" s="73">
        <v>3.0</v>
      </c>
      <c r="Q130" s="73">
        <v>3.0</v>
      </c>
      <c r="R130" s="73">
        <v>5.0</v>
      </c>
      <c r="S130" s="73">
        <v>1.0</v>
      </c>
      <c r="T130" s="13">
        <f t="shared" si="28"/>
        <v>43</v>
      </c>
    </row>
    <row r="131" ht="12.75" customHeight="1">
      <c r="A131" s="18"/>
      <c r="B131" s="49"/>
      <c r="C131" s="50" t="s">
        <v>104</v>
      </c>
      <c r="D131" s="51"/>
      <c r="E131" s="73">
        <v>2.0</v>
      </c>
      <c r="F131" s="73">
        <v>3.0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1.0</v>
      </c>
      <c r="O131" s="73">
        <v>1.0</v>
      </c>
      <c r="P131" s="73">
        <v>1.0</v>
      </c>
      <c r="Q131" s="73">
        <v>0.0</v>
      </c>
      <c r="R131" s="73">
        <v>0.0</v>
      </c>
      <c r="S131" s="73">
        <v>0.0</v>
      </c>
      <c r="T131" s="13">
        <f t="shared" si="28"/>
        <v>8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0.0</v>
      </c>
      <c r="G132" s="73">
        <v>2.0</v>
      </c>
      <c r="H132" s="73">
        <v>0.0</v>
      </c>
      <c r="I132" s="73">
        <v>0.0</v>
      </c>
      <c r="J132" s="73">
        <v>1.0</v>
      </c>
      <c r="K132" s="73">
        <v>1.0</v>
      </c>
      <c r="L132" s="73">
        <v>1.0</v>
      </c>
      <c r="M132" s="73">
        <v>3.0</v>
      </c>
      <c r="N132" s="73">
        <v>2.0</v>
      </c>
      <c r="O132" s="73">
        <v>0.0</v>
      </c>
      <c r="P132" s="73">
        <v>0.0</v>
      </c>
      <c r="Q132" s="73">
        <v>0.0</v>
      </c>
      <c r="R132" s="73">
        <v>0.0</v>
      </c>
      <c r="S132" s="73">
        <v>2.0</v>
      </c>
      <c r="T132" s="13">
        <f t="shared" si="28"/>
        <v>12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1.0</v>
      </c>
      <c r="G133" s="73">
        <v>0.0</v>
      </c>
      <c r="H133" s="73">
        <v>1.0</v>
      </c>
      <c r="I133" s="73">
        <v>0.0</v>
      </c>
      <c r="J133" s="73">
        <v>1.0</v>
      </c>
      <c r="K133" s="73">
        <v>0.0</v>
      </c>
      <c r="L133" s="73">
        <v>0.0</v>
      </c>
      <c r="M133" s="73">
        <v>0.0</v>
      </c>
      <c r="N133" s="73">
        <v>1.0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13">
        <f t="shared" si="28"/>
        <v>4</v>
      </c>
    </row>
    <row r="134" ht="12.75" customHeight="1">
      <c r="A134" s="18"/>
      <c r="B134" s="49"/>
      <c r="C134" s="50" t="s">
        <v>107</v>
      </c>
      <c r="D134" s="51"/>
      <c r="E134" s="73">
        <v>6.0</v>
      </c>
      <c r="F134" s="73">
        <v>0.0</v>
      </c>
      <c r="G134" s="73">
        <v>3.0</v>
      </c>
      <c r="H134" s="73">
        <v>1.0</v>
      </c>
      <c r="I134" s="73">
        <v>2.0</v>
      </c>
      <c r="J134" s="73">
        <v>10.0</v>
      </c>
      <c r="K134" s="73">
        <v>1.0</v>
      </c>
      <c r="L134" s="73">
        <v>1.0</v>
      </c>
      <c r="M134" s="73">
        <v>2.0</v>
      </c>
      <c r="N134" s="73">
        <v>0.0</v>
      </c>
      <c r="O134" s="73">
        <v>6.0</v>
      </c>
      <c r="P134" s="73">
        <v>7.0</v>
      </c>
      <c r="Q134" s="73">
        <v>3.0</v>
      </c>
      <c r="R134" s="73">
        <v>1.0</v>
      </c>
      <c r="S134" s="73">
        <v>1.0</v>
      </c>
      <c r="T134" s="13">
        <f t="shared" si="28"/>
        <v>44</v>
      </c>
    </row>
    <row r="135" ht="12.75" customHeight="1">
      <c r="A135" s="18"/>
      <c r="B135" s="49"/>
      <c r="C135" s="50" t="s">
        <v>108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1.0</v>
      </c>
      <c r="K135" s="73">
        <v>0.0</v>
      </c>
      <c r="L135" s="73">
        <v>0.0</v>
      </c>
      <c r="M135" s="73">
        <v>1.0</v>
      </c>
      <c r="N135" s="73">
        <v>0.0</v>
      </c>
      <c r="O135" s="73">
        <v>1.0</v>
      </c>
      <c r="P135" s="73">
        <v>0.0</v>
      </c>
      <c r="Q135" s="73">
        <v>0.0</v>
      </c>
      <c r="R135" s="73">
        <v>1.0</v>
      </c>
      <c r="S135" s="73">
        <v>0.0</v>
      </c>
      <c r="T135" s="13">
        <f t="shared" si="28"/>
        <v>4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1.0</v>
      </c>
      <c r="H136" s="80">
        <v>0.0</v>
      </c>
      <c r="I136" s="80">
        <v>0.0</v>
      </c>
      <c r="J136" s="80">
        <v>0.0</v>
      </c>
      <c r="K136" s="80">
        <v>0.0</v>
      </c>
      <c r="L136" s="80">
        <v>0.0</v>
      </c>
      <c r="M136" s="80">
        <v>0.0</v>
      </c>
      <c r="N136" s="80">
        <v>4.0</v>
      </c>
      <c r="O136" s="80">
        <v>0.0</v>
      </c>
      <c r="P136" s="80">
        <v>1.0</v>
      </c>
      <c r="Q136" s="80">
        <v>0.0</v>
      </c>
      <c r="R136" s="80">
        <v>0.0</v>
      </c>
      <c r="S136" s="80">
        <v>0.0</v>
      </c>
      <c r="T136" s="13">
        <f t="shared" si="28"/>
        <v>6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0.0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80">
        <v>0.0</v>
      </c>
      <c r="N137" s="80">
        <v>0.0</v>
      </c>
      <c r="O137" s="80">
        <v>0.0</v>
      </c>
      <c r="P137" s="80">
        <v>1.0</v>
      </c>
      <c r="Q137" s="80">
        <v>0.0</v>
      </c>
      <c r="R137" s="80">
        <v>1.0</v>
      </c>
      <c r="S137" s="80">
        <v>0.0</v>
      </c>
      <c r="T137" s="13">
        <f t="shared" si="28"/>
        <v>2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0.0</v>
      </c>
      <c r="I138" s="80">
        <v>0.0</v>
      </c>
      <c r="J138" s="80">
        <v>1.0</v>
      </c>
      <c r="K138" s="80">
        <v>0.0</v>
      </c>
      <c r="L138" s="80">
        <v>0.0</v>
      </c>
      <c r="M138" s="80">
        <v>0.0</v>
      </c>
      <c r="N138" s="80">
        <v>0.0</v>
      </c>
      <c r="O138" s="80">
        <v>0.0</v>
      </c>
      <c r="P138" s="80">
        <v>0.0</v>
      </c>
      <c r="Q138" s="80">
        <v>0.0</v>
      </c>
      <c r="R138" s="80">
        <v>0.0</v>
      </c>
      <c r="S138" s="80">
        <v>1.0</v>
      </c>
      <c r="T138" s="13">
        <f t="shared" si="28"/>
        <v>2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T139" si="29">SUM(E129:E138)</f>
        <v>12</v>
      </c>
      <c r="F139" s="13">
        <f t="shared" si="29"/>
        <v>6</v>
      </c>
      <c r="G139" s="13">
        <f t="shared" si="29"/>
        <v>10</v>
      </c>
      <c r="H139" s="13">
        <f t="shared" si="29"/>
        <v>9</v>
      </c>
      <c r="I139" s="13">
        <f t="shared" si="29"/>
        <v>13</v>
      </c>
      <c r="J139" s="13">
        <f t="shared" si="29"/>
        <v>17</v>
      </c>
      <c r="K139" s="13">
        <f t="shared" si="29"/>
        <v>9</v>
      </c>
      <c r="L139" s="13">
        <f t="shared" si="29"/>
        <v>12</v>
      </c>
      <c r="M139" s="13">
        <f t="shared" si="29"/>
        <v>16</v>
      </c>
      <c r="N139" s="13">
        <f t="shared" si="29"/>
        <v>21</v>
      </c>
      <c r="O139" s="13">
        <f t="shared" si="29"/>
        <v>16</v>
      </c>
      <c r="P139" s="13">
        <f t="shared" si="29"/>
        <v>19</v>
      </c>
      <c r="Q139" s="13">
        <f t="shared" si="29"/>
        <v>7</v>
      </c>
      <c r="R139" s="13">
        <f t="shared" si="29"/>
        <v>12</v>
      </c>
      <c r="S139" s="13">
        <f t="shared" si="29"/>
        <v>6</v>
      </c>
      <c r="T139" s="13">
        <f t="shared" si="29"/>
        <v>185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13">
        <f t="shared" ref="T141:T150" si="30">SUM(E141:S141)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13">
        <f t="shared" si="30"/>
        <v>0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0.0</v>
      </c>
      <c r="T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T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3.0</v>
      </c>
      <c r="G153" s="73">
        <v>0.0</v>
      </c>
      <c r="H153" s="73">
        <v>0.0</v>
      </c>
      <c r="I153" s="73">
        <v>1.0</v>
      </c>
      <c r="J153" s="73">
        <v>0.0</v>
      </c>
      <c r="K153" s="73">
        <v>0.0</v>
      </c>
      <c r="L153" s="73">
        <v>0.0</v>
      </c>
      <c r="M153" s="73">
        <v>0.0</v>
      </c>
      <c r="N153" s="73">
        <v>2.0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13">
        <f t="shared" ref="T153:T162" si="32">SUM(E153:S153)</f>
        <v>6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1.0</v>
      </c>
      <c r="K154" s="73">
        <v>1.0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13">
        <f t="shared" si="32"/>
        <v>2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13">
        <f t="shared" si="32"/>
        <v>0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1.0</v>
      </c>
      <c r="G156" s="73">
        <v>0.0</v>
      </c>
      <c r="H156" s="73">
        <v>1.0</v>
      </c>
      <c r="I156" s="73">
        <v>0.0</v>
      </c>
      <c r="J156" s="73">
        <v>0.0</v>
      </c>
      <c r="K156" s="73">
        <v>1.0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13">
        <f t="shared" si="32"/>
        <v>3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1.0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1.0</v>
      </c>
      <c r="Q157" s="73">
        <v>0.0</v>
      </c>
      <c r="R157" s="73">
        <v>0.0</v>
      </c>
      <c r="S157" s="73">
        <v>0.0</v>
      </c>
      <c r="T157" s="13">
        <f t="shared" si="32"/>
        <v>2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0.0</v>
      </c>
      <c r="N158" s="80">
        <v>0.0</v>
      </c>
      <c r="O158" s="80">
        <v>0.0</v>
      </c>
      <c r="P158" s="73">
        <v>0.0</v>
      </c>
      <c r="Q158" s="80">
        <v>0.0</v>
      </c>
      <c r="R158" s="80">
        <v>0.0</v>
      </c>
      <c r="S158" s="80">
        <v>0.0</v>
      </c>
      <c r="T158" s="13">
        <f t="shared" si="32"/>
        <v>0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1.0</v>
      </c>
      <c r="L159" s="80">
        <v>0.0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80">
        <v>0.0</v>
      </c>
      <c r="S159" s="80">
        <v>0.0</v>
      </c>
      <c r="T159" s="13">
        <f t="shared" si="32"/>
        <v>1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13">
        <f t="shared" si="32"/>
        <v>0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T163" si="33">SUM(E153:E162)</f>
        <v>0</v>
      </c>
      <c r="F163" s="13">
        <f t="shared" si="33"/>
        <v>4</v>
      </c>
      <c r="G163" s="13">
        <f t="shared" si="33"/>
        <v>0</v>
      </c>
      <c r="H163" s="13">
        <f t="shared" si="33"/>
        <v>1</v>
      </c>
      <c r="I163" s="13">
        <f t="shared" si="33"/>
        <v>1</v>
      </c>
      <c r="J163" s="13">
        <f t="shared" si="33"/>
        <v>2</v>
      </c>
      <c r="K163" s="13">
        <f t="shared" si="33"/>
        <v>3</v>
      </c>
      <c r="L163" s="13">
        <f t="shared" si="33"/>
        <v>0</v>
      </c>
      <c r="M163" s="13">
        <f t="shared" si="33"/>
        <v>0</v>
      </c>
      <c r="N163" s="13">
        <f t="shared" si="33"/>
        <v>2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14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2.0</v>
      </c>
      <c r="M165" s="73">
        <v>0.0</v>
      </c>
      <c r="N165" s="73">
        <v>0.0</v>
      </c>
      <c r="O165" s="73">
        <v>2.0</v>
      </c>
      <c r="P165" s="73">
        <v>0.0</v>
      </c>
      <c r="Q165" s="73">
        <v>0.0</v>
      </c>
      <c r="R165" s="73">
        <v>1.0</v>
      </c>
      <c r="S165" s="73">
        <v>0.0</v>
      </c>
      <c r="T165" s="13">
        <f t="shared" ref="T165:T174" si="34">SUM(E165:S165)</f>
        <v>5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0.0</v>
      </c>
      <c r="F166" s="80">
        <v>0.0</v>
      </c>
      <c r="G166" s="80">
        <v>1.0</v>
      </c>
      <c r="H166" s="80">
        <v>1.0</v>
      </c>
      <c r="I166" s="80">
        <v>0.0</v>
      </c>
      <c r="J166" s="80">
        <v>0.0</v>
      </c>
      <c r="K166" s="80">
        <v>0.0</v>
      </c>
      <c r="L166" s="80">
        <v>0.0</v>
      </c>
      <c r="M166" s="80">
        <v>0.0</v>
      </c>
      <c r="N166" s="80">
        <v>0.0</v>
      </c>
      <c r="O166" s="80">
        <v>1.0</v>
      </c>
      <c r="P166" s="80">
        <v>0.0</v>
      </c>
      <c r="Q166" s="80">
        <v>0.0</v>
      </c>
      <c r="R166" s="80">
        <v>0.0</v>
      </c>
      <c r="S166" s="80">
        <v>0.0</v>
      </c>
      <c r="T166" s="13">
        <f t="shared" si="34"/>
        <v>3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T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0</v>
      </c>
      <c r="N175" s="13">
        <f t="shared" si="35"/>
        <v>0</v>
      </c>
      <c r="O175" s="13">
        <f t="shared" si="35"/>
        <v>3</v>
      </c>
      <c r="P175" s="13">
        <f t="shared" si="35"/>
        <v>0</v>
      </c>
      <c r="Q175" s="13">
        <f t="shared" si="35"/>
        <v>0</v>
      </c>
      <c r="R175" s="13">
        <f t="shared" si="35"/>
        <v>1</v>
      </c>
      <c r="S175" s="13">
        <f t="shared" si="35"/>
        <v>0</v>
      </c>
      <c r="T175" s="13">
        <f t="shared" si="35"/>
        <v>8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1.0</v>
      </c>
      <c r="F177" s="73">
        <v>3.0</v>
      </c>
      <c r="G177" s="73">
        <v>0.0</v>
      </c>
      <c r="H177" s="73">
        <v>3.0</v>
      </c>
      <c r="I177" s="73">
        <v>1.0</v>
      </c>
      <c r="J177" s="73">
        <v>1.0</v>
      </c>
      <c r="K177" s="73">
        <v>0.0</v>
      </c>
      <c r="L177" s="73">
        <v>1.0</v>
      </c>
      <c r="M177" s="73">
        <v>1.0</v>
      </c>
      <c r="N177" s="73">
        <v>1.0</v>
      </c>
      <c r="O177" s="73">
        <v>1.0</v>
      </c>
      <c r="P177" s="73">
        <v>2.0</v>
      </c>
      <c r="Q177" s="73">
        <v>0.0</v>
      </c>
      <c r="R177" s="73">
        <v>0.0</v>
      </c>
      <c r="S177" s="73">
        <v>2.0</v>
      </c>
      <c r="T177" s="13">
        <f t="shared" ref="T177:T186" si="36">SUM(E177:S177)</f>
        <v>17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0.0</v>
      </c>
      <c r="F178" s="73">
        <v>1.0</v>
      </c>
      <c r="G178" s="73">
        <v>2.0</v>
      </c>
      <c r="H178" s="73">
        <v>1.0</v>
      </c>
      <c r="I178" s="73">
        <v>3.0</v>
      </c>
      <c r="J178" s="73">
        <v>3.0</v>
      </c>
      <c r="K178" s="73">
        <v>2.0</v>
      </c>
      <c r="L178" s="73">
        <v>7.0</v>
      </c>
      <c r="M178" s="73">
        <v>9.0</v>
      </c>
      <c r="N178" s="73">
        <v>0.0</v>
      </c>
      <c r="O178" s="73">
        <v>8.0</v>
      </c>
      <c r="P178" s="73">
        <v>3.0</v>
      </c>
      <c r="Q178" s="73">
        <v>1.0</v>
      </c>
      <c r="R178" s="73">
        <v>0.0</v>
      </c>
      <c r="S178" s="73">
        <v>0.0</v>
      </c>
      <c r="T178" s="13">
        <f t="shared" si="36"/>
        <v>40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1.0</v>
      </c>
      <c r="G179" s="73">
        <v>0.0</v>
      </c>
      <c r="H179" s="73">
        <v>1.0</v>
      </c>
      <c r="I179" s="73">
        <v>1.0</v>
      </c>
      <c r="J179" s="73">
        <v>0.0</v>
      </c>
      <c r="K179" s="73">
        <v>0.0</v>
      </c>
      <c r="L179" s="73">
        <v>0.0</v>
      </c>
      <c r="M179" s="73">
        <v>1.0</v>
      </c>
      <c r="N179" s="73">
        <v>0.0</v>
      </c>
      <c r="O179" s="73">
        <v>0.0</v>
      </c>
      <c r="P179" s="73">
        <v>1.0</v>
      </c>
      <c r="Q179" s="73">
        <v>0.0</v>
      </c>
      <c r="R179" s="73">
        <v>0.0</v>
      </c>
      <c r="S179" s="73">
        <v>0.0</v>
      </c>
      <c r="T179" s="13">
        <f t="shared" si="36"/>
        <v>5</v>
      </c>
    </row>
    <row r="180" ht="12.75" customHeight="1">
      <c r="A180" s="18"/>
      <c r="B180" s="49"/>
      <c r="C180" s="50" t="s">
        <v>133</v>
      </c>
      <c r="D180" s="51"/>
      <c r="E180" s="73">
        <v>1.0</v>
      </c>
      <c r="F180" s="73">
        <v>1.0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1.0</v>
      </c>
      <c r="M180" s="73">
        <v>0.0</v>
      </c>
      <c r="N180" s="73">
        <v>0.0</v>
      </c>
      <c r="O180" s="73">
        <v>0.0</v>
      </c>
      <c r="P180" s="73">
        <v>0.0</v>
      </c>
      <c r="Q180" s="73">
        <v>2.0</v>
      </c>
      <c r="R180" s="73">
        <v>1.0</v>
      </c>
      <c r="S180" s="73">
        <v>1.0</v>
      </c>
      <c r="T180" s="13">
        <f t="shared" si="36"/>
        <v>7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0.0</v>
      </c>
      <c r="G181" s="73">
        <v>1.0</v>
      </c>
      <c r="H181" s="73">
        <v>0.0</v>
      </c>
      <c r="I181" s="73">
        <v>4.0</v>
      </c>
      <c r="J181" s="73">
        <v>0.0</v>
      </c>
      <c r="K181" s="73">
        <v>1.0</v>
      </c>
      <c r="L181" s="73">
        <v>0.0</v>
      </c>
      <c r="M181" s="73">
        <v>6.0</v>
      </c>
      <c r="N181" s="73">
        <v>1.0</v>
      </c>
      <c r="O181" s="73">
        <v>0.0</v>
      </c>
      <c r="P181" s="73">
        <v>0.0</v>
      </c>
      <c r="Q181" s="73">
        <v>0.0</v>
      </c>
      <c r="R181" s="73">
        <v>2.0</v>
      </c>
      <c r="S181" s="73">
        <v>0.0</v>
      </c>
      <c r="T181" s="13">
        <f t="shared" si="36"/>
        <v>15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2.0</v>
      </c>
      <c r="O182" s="73">
        <v>0.0</v>
      </c>
      <c r="P182" s="73">
        <v>1.0</v>
      </c>
      <c r="Q182" s="73">
        <v>1.0</v>
      </c>
      <c r="R182" s="73">
        <v>1.0</v>
      </c>
      <c r="S182" s="73">
        <v>0.0</v>
      </c>
      <c r="T182" s="13">
        <f t="shared" si="36"/>
        <v>5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1.0</v>
      </c>
      <c r="R183" s="73">
        <v>0.0</v>
      </c>
      <c r="S183" s="73">
        <v>0.0</v>
      </c>
      <c r="T183" s="13">
        <f t="shared" si="36"/>
        <v>1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0.0</v>
      </c>
      <c r="J184" s="80">
        <v>0.0</v>
      </c>
      <c r="K184" s="80">
        <v>0.0</v>
      </c>
      <c r="L184" s="80">
        <v>0.0</v>
      </c>
      <c r="M184" s="80">
        <v>0.0</v>
      </c>
      <c r="N184" s="80">
        <v>1.0</v>
      </c>
      <c r="O184" s="80">
        <v>0.0</v>
      </c>
      <c r="P184" s="80">
        <v>0.0</v>
      </c>
      <c r="Q184" s="80">
        <v>0.0</v>
      </c>
      <c r="R184" s="80">
        <v>1.0</v>
      </c>
      <c r="S184" s="80">
        <v>0.0</v>
      </c>
      <c r="T184" s="13">
        <f t="shared" si="36"/>
        <v>2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1.0</v>
      </c>
      <c r="G185" s="80">
        <v>0.0</v>
      </c>
      <c r="H185" s="80">
        <v>0.0</v>
      </c>
      <c r="I185" s="80">
        <v>0.0</v>
      </c>
      <c r="J185" s="80">
        <v>0.0</v>
      </c>
      <c r="K185" s="80">
        <v>1.0</v>
      </c>
      <c r="L185" s="80">
        <v>0.0</v>
      </c>
      <c r="M185" s="80">
        <v>0.0</v>
      </c>
      <c r="N185" s="80">
        <v>0.0</v>
      </c>
      <c r="O185" s="80">
        <v>0.0</v>
      </c>
      <c r="P185" s="80">
        <v>1.0</v>
      </c>
      <c r="Q185" s="80">
        <v>0.0</v>
      </c>
      <c r="R185" s="80">
        <v>0.0</v>
      </c>
      <c r="S185" s="80">
        <v>0.0</v>
      </c>
      <c r="T185" s="13">
        <f t="shared" si="36"/>
        <v>3</v>
      </c>
    </row>
    <row r="186" ht="12.75" customHeight="1">
      <c r="A186" s="79"/>
      <c r="B186" s="49"/>
      <c r="C186" s="50" t="s">
        <v>139</v>
      </c>
      <c r="D186" s="51"/>
      <c r="E186" s="80">
        <v>1.0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1.0</v>
      </c>
      <c r="Q186" s="80">
        <v>0.0</v>
      </c>
      <c r="R186" s="80">
        <v>0.0</v>
      </c>
      <c r="S186" s="80">
        <v>0.0</v>
      </c>
      <c r="T186" s="13">
        <f t="shared" si="36"/>
        <v>2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T187" si="37">SUM(E177:E186)</f>
        <v>3</v>
      </c>
      <c r="F187" s="13">
        <f t="shared" si="37"/>
        <v>7</v>
      </c>
      <c r="G187" s="13">
        <f t="shared" si="37"/>
        <v>3</v>
      </c>
      <c r="H187" s="13">
        <f t="shared" si="37"/>
        <v>5</v>
      </c>
      <c r="I187" s="13">
        <f t="shared" si="37"/>
        <v>9</v>
      </c>
      <c r="J187" s="13">
        <f t="shared" si="37"/>
        <v>4</v>
      </c>
      <c r="K187" s="13">
        <f t="shared" si="37"/>
        <v>4</v>
      </c>
      <c r="L187" s="13">
        <f t="shared" si="37"/>
        <v>9</v>
      </c>
      <c r="M187" s="13">
        <f t="shared" si="37"/>
        <v>17</v>
      </c>
      <c r="N187" s="13">
        <f t="shared" si="37"/>
        <v>5</v>
      </c>
      <c r="O187" s="13">
        <f t="shared" si="37"/>
        <v>9</v>
      </c>
      <c r="P187" s="13">
        <f t="shared" si="37"/>
        <v>9</v>
      </c>
      <c r="Q187" s="13">
        <f t="shared" si="37"/>
        <v>5</v>
      </c>
      <c r="R187" s="13">
        <f t="shared" si="37"/>
        <v>5</v>
      </c>
      <c r="S187" s="13">
        <f t="shared" si="37"/>
        <v>3</v>
      </c>
      <c r="T187" s="13">
        <f t="shared" si="37"/>
        <v>97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T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0.0</v>
      </c>
      <c r="H189" s="73">
        <v>1.0</v>
      </c>
      <c r="I189" s="73">
        <v>0.0</v>
      </c>
      <c r="J189" s="73">
        <v>2.0</v>
      </c>
      <c r="K189" s="73">
        <v>0.0</v>
      </c>
      <c r="L189" s="73">
        <v>0.0</v>
      </c>
      <c r="M189" s="73">
        <v>1.0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13">
        <f t="shared" ref="T189:T198" si="38">SUM(E189:S189)</f>
        <v>4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13">
        <f t="shared" si="38"/>
        <v>0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1.0</v>
      </c>
      <c r="P191" s="73">
        <v>0.0</v>
      </c>
      <c r="Q191" s="73">
        <v>1.0</v>
      </c>
      <c r="R191" s="73">
        <v>0.0</v>
      </c>
      <c r="S191" s="73">
        <v>0.0</v>
      </c>
      <c r="T191" s="13">
        <f t="shared" si="38"/>
        <v>2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13">
        <f t="shared" si="38"/>
        <v>0</v>
      </c>
    </row>
    <row r="193" ht="12.75" customHeight="1">
      <c r="A193" s="18"/>
      <c r="B193" s="49"/>
      <c r="C193" s="50" t="s">
        <v>145</v>
      </c>
      <c r="D193" s="51"/>
      <c r="E193" s="73">
        <v>1.0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1.0</v>
      </c>
      <c r="T193" s="13">
        <f t="shared" si="38"/>
        <v>2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13">
        <f t="shared" si="38"/>
        <v>0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1.0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13">
        <f t="shared" si="38"/>
        <v>1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0.0</v>
      </c>
      <c r="S196" s="80">
        <v>0.0</v>
      </c>
      <c r="T196" s="13">
        <f t="shared" si="38"/>
        <v>0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13">
        <f t="shared" si="38"/>
        <v>0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T199" si="39">SUM(E189:E198)</f>
        <v>1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1</v>
      </c>
      <c r="T199" s="13">
        <f t="shared" si="39"/>
        <v>9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7.0</v>
      </c>
      <c r="F201" s="73">
        <v>13.0</v>
      </c>
      <c r="G201" s="73">
        <v>4.0</v>
      </c>
      <c r="H201" s="73">
        <v>6.0</v>
      </c>
      <c r="I201" s="73">
        <v>1.0</v>
      </c>
      <c r="J201" s="73">
        <v>12.0</v>
      </c>
      <c r="K201" s="73">
        <v>6.0</v>
      </c>
      <c r="L201" s="73">
        <v>4.0</v>
      </c>
      <c r="M201" s="73">
        <v>9.0</v>
      </c>
      <c r="N201" s="73">
        <v>5.0</v>
      </c>
      <c r="O201" s="73">
        <v>1.0</v>
      </c>
      <c r="P201" s="73">
        <v>4.0</v>
      </c>
      <c r="Q201" s="73">
        <v>4.0</v>
      </c>
      <c r="R201" s="73">
        <v>4.0</v>
      </c>
      <c r="S201" s="73">
        <v>1.0</v>
      </c>
      <c r="T201" s="13">
        <f t="shared" ref="T201:T210" si="40">SUM(E201:S201)</f>
        <v>81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5.0</v>
      </c>
      <c r="F202" s="73">
        <v>9.0</v>
      </c>
      <c r="G202" s="73">
        <v>7.0</v>
      </c>
      <c r="H202" s="73">
        <v>5.0</v>
      </c>
      <c r="I202" s="73">
        <v>8.0</v>
      </c>
      <c r="J202" s="73">
        <v>8.0</v>
      </c>
      <c r="K202" s="73">
        <v>2.0</v>
      </c>
      <c r="L202" s="73">
        <v>2.0</v>
      </c>
      <c r="M202" s="73">
        <v>2.0</v>
      </c>
      <c r="N202" s="73">
        <v>9.0</v>
      </c>
      <c r="O202" s="73">
        <v>6.0</v>
      </c>
      <c r="P202" s="73">
        <v>1.0</v>
      </c>
      <c r="Q202" s="73">
        <v>3.0</v>
      </c>
      <c r="R202" s="73">
        <v>3.0</v>
      </c>
      <c r="S202" s="73">
        <v>1.0</v>
      </c>
      <c r="T202" s="13">
        <f t="shared" si="40"/>
        <v>71</v>
      </c>
    </row>
    <row r="203" ht="12.75" customHeight="1">
      <c r="A203" s="18"/>
      <c r="B203" s="49"/>
      <c r="C203" s="50" t="s">
        <v>154</v>
      </c>
      <c r="D203" s="51"/>
      <c r="E203" s="73">
        <v>8.0</v>
      </c>
      <c r="F203" s="73">
        <v>3.0</v>
      </c>
      <c r="G203" s="73">
        <v>2.0</v>
      </c>
      <c r="H203" s="73">
        <v>4.0</v>
      </c>
      <c r="I203" s="73">
        <v>4.0</v>
      </c>
      <c r="J203" s="73">
        <v>4.0</v>
      </c>
      <c r="K203" s="73">
        <v>3.0</v>
      </c>
      <c r="L203" s="73">
        <v>2.0</v>
      </c>
      <c r="M203" s="73">
        <v>6.0</v>
      </c>
      <c r="N203" s="73">
        <v>2.0</v>
      </c>
      <c r="O203" s="73">
        <v>3.0</v>
      </c>
      <c r="P203" s="73">
        <v>4.0</v>
      </c>
      <c r="Q203" s="73">
        <v>3.0</v>
      </c>
      <c r="R203" s="73">
        <v>2.0</v>
      </c>
      <c r="S203" s="73">
        <v>0.0</v>
      </c>
      <c r="T203" s="13">
        <f t="shared" si="40"/>
        <v>50</v>
      </c>
    </row>
    <row r="204" ht="12.75" customHeight="1">
      <c r="A204" s="18"/>
      <c r="B204" s="49"/>
      <c r="C204" s="50" t="s">
        <v>155</v>
      </c>
      <c r="D204" s="51"/>
      <c r="E204" s="73">
        <v>2.0</v>
      </c>
      <c r="F204" s="73">
        <v>2.0</v>
      </c>
      <c r="G204" s="73">
        <v>3.0</v>
      </c>
      <c r="H204" s="73">
        <v>0.0</v>
      </c>
      <c r="I204" s="73">
        <v>0.0</v>
      </c>
      <c r="J204" s="73">
        <v>1.0</v>
      </c>
      <c r="K204" s="73">
        <v>0.0</v>
      </c>
      <c r="L204" s="73">
        <v>0.0</v>
      </c>
      <c r="M204" s="73">
        <v>2.0</v>
      </c>
      <c r="N204" s="73">
        <v>0.0</v>
      </c>
      <c r="O204" s="73">
        <v>2.0</v>
      </c>
      <c r="P204" s="73">
        <v>2.0</v>
      </c>
      <c r="Q204" s="73">
        <v>0.0</v>
      </c>
      <c r="R204" s="73">
        <v>1.0</v>
      </c>
      <c r="S204" s="73">
        <v>2.0</v>
      </c>
      <c r="T204" s="13">
        <f t="shared" si="40"/>
        <v>17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1.0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1.0</v>
      </c>
      <c r="P205" s="73">
        <v>0.0</v>
      </c>
      <c r="Q205" s="73">
        <v>0.0</v>
      </c>
      <c r="R205" s="73">
        <v>0.0</v>
      </c>
      <c r="S205" s="73">
        <v>0.0</v>
      </c>
      <c r="T205" s="13">
        <f t="shared" si="40"/>
        <v>2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1.0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13">
        <f t="shared" si="40"/>
        <v>1</v>
      </c>
    </row>
    <row r="207" ht="12.75" customHeight="1">
      <c r="A207" s="18"/>
      <c r="B207" s="49"/>
      <c r="C207" s="50" t="s">
        <v>158</v>
      </c>
      <c r="D207" s="51"/>
      <c r="E207" s="73">
        <v>4.0</v>
      </c>
      <c r="F207" s="73">
        <v>1.0</v>
      </c>
      <c r="G207" s="73">
        <v>0.0</v>
      </c>
      <c r="H207" s="73">
        <v>1.0</v>
      </c>
      <c r="I207" s="73">
        <v>1.0</v>
      </c>
      <c r="J207" s="73">
        <v>0.0</v>
      </c>
      <c r="K207" s="73">
        <v>1.0</v>
      </c>
      <c r="L207" s="73">
        <v>3.0</v>
      </c>
      <c r="M207" s="73">
        <v>1.0</v>
      </c>
      <c r="N207" s="73">
        <v>0.0</v>
      </c>
      <c r="O207" s="73">
        <v>0.0</v>
      </c>
      <c r="P207" s="73">
        <v>0.0</v>
      </c>
      <c r="Q207" s="73">
        <v>1.0</v>
      </c>
      <c r="R207" s="73">
        <v>1.0</v>
      </c>
      <c r="S207" s="73">
        <v>0.0</v>
      </c>
      <c r="T207" s="13">
        <f t="shared" si="40"/>
        <v>14</v>
      </c>
    </row>
    <row r="208" ht="12.75" customHeight="1">
      <c r="A208" s="79"/>
      <c r="B208" s="49"/>
      <c r="C208" s="50" t="s">
        <v>159</v>
      </c>
      <c r="D208" s="51"/>
      <c r="E208" s="80">
        <v>0.0</v>
      </c>
      <c r="F208" s="80">
        <v>0.0</v>
      </c>
      <c r="G208" s="80">
        <v>0.0</v>
      </c>
      <c r="H208" s="80">
        <v>2.0</v>
      </c>
      <c r="I208" s="80">
        <v>1.0</v>
      </c>
      <c r="J208" s="80">
        <v>2.0</v>
      </c>
      <c r="K208" s="80">
        <v>0.0</v>
      </c>
      <c r="L208" s="80">
        <v>0.0</v>
      </c>
      <c r="M208" s="80">
        <v>0.0</v>
      </c>
      <c r="N208" s="80">
        <v>1.0</v>
      </c>
      <c r="O208" s="80">
        <v>1.0</v>
      </c>
      <c r="P208" s="80">
        <v>0.0</v>
      </c>
      <c r="Q208" s="80">
        <v>0.0</v>
      </c>
      <c r="R208" s="80">
        <v>0.0</v>
      </c>
      <c r="S208" s="80">
        <v>0.0</v>
      </c>
      <c r="T208" s="13">
        <f t="shared" si="40"/>
        <v>7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1.0</v>
      </c>
      <c r="P209" s="80">
        <v>0.0</v>
      </c>
      <c r="Q209" s="80">
        <v>0.0</v>
      </c>
      <c r="R209" s="80">
        <v>0.0</v>
      </c>
      <c r="S209" s="80">
        <v>0.0</v>
      </c>
      <c r="T209" s="13">
        <f t="shared" si="40"/>
        <v>1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0.0</v>
      </c>
      <c r="H210" s="80">
        <v>0.0</v>
      </c>
      <c r="I210" s="80">
        <v>0.0</v>
      </c>
      <c r="J210" s="80">
        <v>1.0</v>
      </c>
      <c r="K210" s="80">
        <v>0.0</v>
      </c>
      <c r="L210" s="80">
        <v>0.0</v>
      </c>
      <c r="M210" s="80">
        <v>0.0</v>
      </c>
      <c r="N210" s="80">
        <v>0.0</v>
      </c>
      <c r="O210" s="80">
        <v>0.0</v>
      </c>
      <c r="P210" s="80">
        <v>0.0</v>
      </c>
      <c r="Q210" s="80">
        <v>0.0</v>
      </c>
      <c r="R210" s="80">
        <v>0.0</v>
      </c>
      <c r="S210" s="80">
        <v>0.0</v>
      </c>
      <c r="T210" s="13">
        <f t="shared" si="40"/>
        <v>1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T211" si="41">SUM(E201:E210)</f>
        <v>26</v>
      </c>
      <c r="F211" s="13">
        <f t="shared" si="41"/>
        <v>29</v>
      </c>
      <c r="G211" s="13">
        <f t="shared" si="41"/>
        <v>16</v>
      </c>
      <c r="H211" s="13">
        <f t="shared" si="41"/>
        <v>18</v>
      </c>
      <c r="I211" s="13">
        <f t="shared" si="41"/>
        <v>15</v>
      </c>
      <c r="J211" s="13">
        <f t="shared" si="41"/>
        <v>29</v>
      </c>
      <c r="K211" s="13">
        <f t="shared" si="41"/>
        <v>12</v>
      </c>
      <c r="L211" s="13">
        <f t="shared" si="41"/>
        <v>11</v>
      </c>
      <c r="M211" s="13">
        <f t="shared" si="41"/>
        <v>20</v>
      </c>
      <c r="N211" s="13">
        <f t="shared" si="41"/>
        <v>17</v>
      </c>
      <c r="O211" s="13">
        <f t="shared" si="41"/>
        <v>15</v>
      </c>
      <c r="P211" s="13">
        <f t="shared" si="41"/>
        <v>11</v>
      </c>
      <c r="Q211" s="13">
        <f t="shared" si="41"/>
        <v>11</v>
      </c>
      <c r="R211" s="13">
        <f t="shared" si="41"/>
        <v>11</v>
      </c>
      <c r="S211" s="13">
        <f t="shared" si="41"/>
        <v>4</v>
      </c>
      <c r="T211" s="13">
        <f t="shared" si="41"/>
        <v>245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2.0</v>
      </c>
      <c r="F213" s="73">
        <v>2.0</v>
      </c>
      <c r="G213" s="73">
        <v>7.0</v>
      </c>
      <c r="H213" s="73">
        <v>5.0</v>
      </c>
      <c r="I213" s="73">
        <v>3.0</v>
      </c>
      <c r="J213" s="73">
        <v>5.0</v>
      </c>
      <c r="K213" s="73">
        <v>5.0</v>
      </c>
      <c r="L213" s="73">
        <v>8.0</v>
      </c>
      <c r="M213" s="73">
        <v>8.0</v>
      </c>
      <c r="N213" s="73">
        <v>7.0</v>
      </c>
      <c r="O213" s="73">
        <v>2.0</v>
      </c>
      <c r="P213" s="73">
        <v>1.0</v>
      </c>
      <c r="Q213" s="73">
        <v>1.0</v>
      </c>
      <c r="R213" s="73">
        <v>0.0</v>
      </c>
      <c r="S213" s="73">
        <v>8.0</v>
      </c>
      <c r="T213" s="13">
        <f t="shared" ref="T213:T222" si="42">SUM(E213:S213)</f>
        <v>64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3.0</v>
      </c>
      <c r="F214" s="73">
        <v>2.0</v>
      </c>
      <c r="G214" s="73">
        <v>1.0</v>
      </c>
      <c r="H214" s="73">
        <v>1.0</v>
      </c>
      <c r="I214" s="73">
        <v>0.0</v>
      </c>
      <c r="J214" s="73">
        <v>0.0</v>
      </c>
      <c r="K214" s="73">
        <v>2.0</v>
      </c>
      <c r="L214" s="73">
        <v>3.0</v>
      </c>
      <c r="M214" s="73">
        <v>1.0</v>
      </c>
      <c r="N214" s="73">
        <v>2.0</v>
      </c>
      <c r="O214" s="73">
        <v>3.0</v>
      </c>
      <c r="P214" s="73">
        <v>1.0</v>
      </c>
      <c r="Q214" s="73">
        <v>0.0</v>
      </c>
      <c r="R214" s="73">
        <v>0.0</v>
      </c>
      <c r="S214" s="73">
        <v>1.0</v>
      </c>
      <c r="T214" s="13">
        <f t="shared" si="42"/>
        <v>20</v>
      </c>
    </row>
    <row r="215" ht="12.75" customHeight="1">
      <c r="A215" s="18"/>
      <c r="B215" s="49"/>
      <c r="C215" s="50" t="s">
        <v>165</v>
      </c>
      <c r="D215" s="51"/>
      <c r="E215" s="73">
        <v>1.0</v>
      </c>
      <c r="F215" s="73">
        <v>2.0</v>
      </c>
      <c r="G215" s="73">
        <v>1.0</v>
      </c>
      <c r="H215" s="73">
        <v>2.0</v>
      </c>
      <c r="I215" s="73">
        <v>1.0</v>
      </c>
      <c r="J215" s="73">
        <v>3.0</v>
      </c>
      <c r="K215" s="73">
        <v>1.0</v>
      </c>
      <c r="L215" s="73">
        <v>6.0</v>
      </c>
      <c r="M215" s="73">
        <v>5.0</v>
      </c>
      <c r="N215" s="73">
        <v>2.0</v>
      </c>
      <c r="O215" s="73">
        <v>4.0</v>
      </c>
      <c r="P215" s="73">
        <v>2.0</v>
      </c>
      <c r="Q215" s="73">
        <v>2.0</v>
      </c>
      <c r="R215" s="73">
        <v>1.0</v>
      </c>
      <c r="S215" s="73">
        <v>3.0</v>
      </c>
      <c r="T215" s="13">
        <f t="shared" si="42"/>
        <v>36</v>
      </c>
    </row>
    <row r="216" ht="12.75" customHeight="1">
      <c r="A216" s="18"/>
      <c r="B216" s="49"/>
      <c r="C216" s="50" t="s">
        <v>166</v>
      </c>
      <c r="D216" s="51"/>
      <c r="E216" s="73">
        <v>0.0</v>
      </c>
      <c r="F216" s="73">
        <v>0.0</v>
      </c>
      <c r="G216" s="73">
        <v>1.0</v>
      </c>
      <c r="H216" s="73">
        <v>1.0</v>
      </c>
      <c r="I216" s="73">
        <v>0.0</v>
      </c>
      <c r="J216" s="73">
        <v>0.0</v>
      </c>
      <c r="K216" s="73">
        <v>1.0</v>
      </c>
      <c r="L216" s="73">
        <v>0.0</v>
      </c>
      <c r="M216" s="73">
        <v>1.0</v>
      </c>
      <c r="N216" s="73">
        <v>1.0</v>
      </c>
      <c r="O216" s="73">
        <v>1.0</v>
      </c>
      <c r="P216" s="73">
        <v>0.0</v>
      </c>
      <c r="Q216" s="73">
        <v>0.0</v>
      </c>
      <c r="R216" s="73">
        <v>1.0</v>
      </c>
      <c r="S216" s="73">
        <v>3.0</v>
      </c>
      <c r="T216" s="13">
        <f t="shared" si="42"/>
        <v>10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T223" si="43">SUM(E213:E222)</f>
        <v>6</v>
      </c>
      <c r="F223" s="13">
        <f t="shared" si="43"/>
        <v>6</v>
      </c>
      <c r="G223" s="13">
        <f t="shared" si="43"/>
        <v>10</v>
      </c>
      <c r="H223" s="13">
        <f t="shared" si="43"/>
        <v>9</v>
      </c>
      <c r="I223" s="13">
        <f t="shared" si="43"/>
        <v>4</v>
      </c>
      <c r="J223" s="13">
        <f t="shared" si="43"/>
        <v>8</v>
      </c>
      <c r="K223" s="13">
        <f t="shared" si="43"/>
        <v>9</v>
      </c>
      <c r="L223" s="13">
        <f t="shared" si="43"/>
        <v>17</v>
      </c>
      <c r="M223" s="13">
        <f t="shared" si="43"/>
        <v>15</v>
      </c>
      <c r="N223" s="13">
        <f t="shared" si="43"/>
        <v>12</v>
      </c>
      <c r="O223" s="13">
        <f t="shared" si="43"/>
        <v>10</v>
      </c>
      <c r="P223" s="13">
        <f t="shared" si="43"/>
        <v>4</v>
      </c>
      <c r="Q223" s="13">
        <f t="shared" si="43"/>
        <v>3</v>
      </c>
      <c r="R223" s="13">
        <f t="shared" si="43"/>
        <v>2</v>
      </c>
      <c r="S223" s="13">
        <f t="shared" si="43"/>
        <v>15</v>
      </c>
      <c r="T223" s="13">
        <f t="shared" si="43"/>
        <v>130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0.0</v>
      </c>
      <c r="G225" s="73">
        <v>2.0</v>
      </c>
      <c r="H225" s="73">
        <v>0.0</v>
      </c>
      <c r="I225" s="73">
        <v>1.0</v>
      </c>
      <c r="J225" s="73">
        <v>0.0</v>
      </c>
      <c r="K225" s="73">
        <v>2.0</v>
      </c>
      <c r="L225" s="73">
        <v>1.0</v>
      </c>
      <c r="M225" s="73">
        <v>1.0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2.0</v>
      </c>
      <c r="T225" s="13">
        <f t="shared" ref="T225:T234" si="44">SUM(E225:S225)</f>
        <v>10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2.0</v>
      </c>
      <c r="L226" s="73">
        <v>3.0</v>
      </c>
      <c r="M226" s="73">
        <v>1.0</v>
      </c>
      <c r="N226" s="73">
        <v>0.0</v>
      </c>
      <c r="O226" s="73">
        <v>2.0</v>
      </c>
      <c r="P226" s="73">
        <v>0.0</v>
      </c>
      <c r="Q226" s="73">
        <v>0.0</v>
      </c>
      <c r="R226" s="73">
        <v>0.0</v>
      </c>
      <c r="S226" s="73">
        <v>0.0</v>
      </c>
      <c r="T226" s="13">
        <f t="shared" si="44"/>
        <v>8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1.0</v>
      </c>
      <c r="L227" s="73">
        <v>0.0</v>
      </c>
      <c r="M227" s="73">
        <v>0.0</v>
      </c>
      <c r="N227" s="73">
        <v>1.0</v>
      </c>
      <c r="O227" s="73">
        <v>0.0</v>
      </c>
      <c r="P227" s="73">
        <v>1.0</v>
      </c>
      <c r="Q227" s="73">
        <v>0.0</v>
      </c>
      <c r="R227" s="73">
        <v>0.0</v>
      </c>
      <c r="S227" s="73">
        <v>0.0</v>
      </c>
      <c r="T227" s="13">
        <f t="shared" si="44"/>
        <v>3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1.0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13">
        <f t="shared" si="44"/>
        <v>1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2.0</v>
      </c>
      <c r="P229" s="73">
        <v>0.0</v>
      </c>
      <c r="Q229" s="73">
        <v>0.0</v>
      </c>
      <c r="R229" s="73">
        <v>0.0</v>
      </c>
      <c r="S229" s="73">
        <v>0.0</v>
      </c>
      <c r="T229" s="13">
        <f t="shared" si="44"/>
        <v>2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T235" si="45">SUM(E225:E234)</f>
        <v>0</v>
      </c>
      <c r="F235" s="13">
        <f t="shared" si="45"/>
        <v>0</v>
      </c>
      <c r="G235" s="13">
        <f t="shared" si="45"/>
        <v>2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5</v>
      </c>
      <c r="L235" s="13">
        <f t="shared" si="45"/>
        <v>4</v>
      </c>
      <c r="M235" s="13">
        <f t="shared" si="45"/>
        <v>2</v>
      </c>
      <c r="N235" s="13">
        <f t="shared" si="45"/>
        <v>2</v>
      </c>
      <c r="O235" s="13">
        <f t="shared" si="45"/>
        <v>4</v>
      </c>
      <c r="P235" s="13">
        <f t="shared" si="45"/>
        <v>1</v>
      </c>
      <c r="Q235" s="13">
        <f t="shared" si="45"/>
        <v>0</v>
      </c>
      <c r="R235" s="13">
        <f t="shared" si="45"/>
        <v>1</v>
      </c>
      <c r="S235" s="13">
        <f t="shared" si="45"/>
        <v>2</v>
      </c>
      <c r="T235" s="13">
        <f t="shared" si="45"/>
        <v>24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1.0</v>
      </c>
      <c r="F237" s="73">
        <v>1.0</v>
      </c>
      <c r="G237" s="73">
        <v>0.0</v>
      </c>
      <c r="H237" s="73">
        <v>2.0</v>
      </c>
      <c r="I237" s="73">
        <v>0.0</v>
      </c>
      <c r="J237" s="73">
        <v>0.0</v>
      </c>
      <c r="K237" s="73">
        <v>2.0</v>
      </c>
      <c r="L237" s="73">
        <v>1.0</v>
      </c>
      <c r="M237" s="73">
        <v>2.0</v>
      </c>
      <c r="N237" s="73">
        <v>0.0</v>
      </c>
      <c r="O237" s="73">
        <v>0.0</v>
      </c>
      <c r="P237" s="73">
        <v>0.0</v>
      </c>
      <c r="Q237" s="73">
        <v>8.0</v>
      </c>
      <c r="R237" s="73">
        <v>1.0</v>
      </c>
      <c r="S237" s="73">
        <v>1.0</v>
      </c>
      <c r="T237" s="13">
        <f t="shared" ref="T237:T246" si="46">SUM(E237:S237)</f>
        <v>19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2.0</v>
      </c>
      <c r="F238" s="73">
        <v>0.0</v>
      </c>
      <c r="G238" s="73">
        <v>0.0</v>
      </c>
      <c r="H238" s="73">
        <v>0.0</v>
      </c>
      <c r="I238" s="73">
        <v>0.0</v>
      </c>
      <c r="J238" s="73">
        <v>0.0</v>
      </c>
      <c r="K238" s="73">
        <v>0.0</v>
      </c>
      <c r="L238" s="73">
        <v>0.0</v>
      </c>
      <c r="M238" s="73">
        <v>0.0</v>
      </c>
      <c r="N238" s="73">
        <v>0.0</v>
      </c>
      <c r="O238" s="73">
        <v>0.0</v>
      </c>
      <c r="P238" s="73">
        <v>1.0</v>
      </c>
      <c r="Q238" s="73">
        <v>2.0</v>
      </c>
      <c r="R238" s="73">
        <v>0.0</v>
      </c>
      <c r="S238" s="73">
        <v>0.0</v>
      </c>
      <c r="T238" s="13">
        <f t="shared" si="46"/>
        <v>5</v>
      </c>
    </row>
    <row r="239" ht="12.75" customHeight="1">
      <c r="A239" s="18"/>
      <c r="B239" s="49"/>
      <c r="C239" s="50" t="s">
        <v>176</v>
      </c>
      <c r="D239" s="51"/>
      <c r="E239" s="73">
        <v>2.0</v>
      </c>
      <c r="F239" s="73">
        <v>5.0</v>
      </c>
      <c r="G239" s="73">
        <v>1.0</v>
      </c>
      <c r="H239" s="73">
        <v>0.0</v>
      </c>
      <c r="I239" s="73">
        <v>0.0</v>
      </c>
      <c r="J239" s="73">
        <v>2.0</v>
      </c>
      <c r="K239" s="73">
        <v>2.0</v>
      </c>
      <c r="L239" s="73">
        <v>4.0</v>
      </c>
      <c r="M239" s="73">
        <v>10.0</v>
      </c>
      <c r="N239" s="73">
        <v>15.0</v>
      </c>
      <c r="O239" s="73">
        <v>7.0</v>
      </c>
      <c r="P239" s="73">
        <v>46.0</v>
      </c>
      <c r="Q239" s="73">
        <v>92.0</v>
      </c>
      <c r="R239" s="73">
        <v>11.0</v>
      </c>
      <c r="S239" s="73">
        <v>9.0</v>
      </c>
      <c r="T239" s="13">
        <f t="shared" si="46"/>
        <v>206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2.0</v>
      </c>
      <c r="G240" s="73">
        <v>0.0</v>
      </c>
      <c r="H240" s="73">
        <v>0.0</v>
      </c>
      <c r="I240" s="73">
        <v>1.0</v>
      </c>
      <c r="J240" s="73">
        <v>0.0</v>
      </c>
      <c r="K240" s="73">
        <v>1.0</v>
      </c>
      <c r="L240" s="73">
        <v>0.0</v>
      </c>
      <c r="M240" s="73">
        <v>0.0</v>
      </c>
      <c r="N240" s="73">
        <v>0.0</v>
      </c>
      <c r="O240" s="73">
        <v>1.0</v>
      </c>
      <c r="P240" s="73">
        <v>0.0</v>
      </c>
      <c r="Q240" s="73">
        <v>3.0</v>
      </c>
      <c r="R240" s="73">
        <v>0.0</v>
      </c>
      <c r="S240" s="73">
        <v>2.0</v>
      </c>
      <c r="T240" s="13">
        <f t="shared" si="46"/>
        <v>10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1.0</v>
      </c>
      <c r="G241" s="73">
        <v>0.0</v>
      </c>
      <c r="H241" s="73">
        <v>0.0</v>
      </c>
      <c r="I241" s="73">
        <v>1.0</v>
      </c>
      <c r="J241" s="73">
        <v>0.0</v>
      </c>
      <c r="K241" s="73">
        <v>1.0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1.0</v>
      </c>
      <c r="R241" s="73">
        <v>0.0</v>
      </c>
      <c r="S241" s="73">
        <v>1.0</v>
      </c>
      <c r="T241" s="13">
        <f t="shared" si="46"/>
        <v>5</v>
      </c>
    </row>
    <row r="242" ht="12.75" customHeight="1">
      <c r="A242" s="18"/>
      <c r="B242" s="49"/>
      <c r="C242" s="50" t="s">
        <v>179</v>
      </c>
      <c r="D242" s="51"/>
      <c r="E242" s="73">
        <v>1.0</v>
      </c>
      <c r="F242" s="73">
        <v>0.0</v>
      </c>
      <c r="G242" s="73">
        <v>0.0</v>
      </c>
      <c r="H242" s="73">
        <v>1.0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1.0</v>
      </c>
      <c r="R242" s="73">
        <v>0.0</v>
      </c>
      <c r="S242" s="73">
        <v>1.0</v>
      </c>
      <c r="T242" s="13">
        <f t="shared" si="46"/>
        <v>4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13">
        <f t="shared" si="46"/>
        <v>0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80">
        <v>0.0</v>
      </c>
      <c r="T244" s="13">
        <f t="shared" si="46"/>
        <v>0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80">
        <v>0.0</v>
      </c>
      <c r="S245" s="80">
        <v>0.0</v>
      </c>
      <c r="T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0.0</v>
      </c>
      <c r="I246" s="80">
        <v>4.0</v>
      </c>
      <c r="J246" s="80">
        <v>1.0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2.0</v>
      </c>
      <c r="R246" s="80">
        <v>0.0</v>
      </c>
      <c r="S246" s="80">
        <v>0.0</v>
      </c>
      <c r="T246" s="13">
        <f t="shared" si="46"/>
        <v>7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T247" si="47">SUM(E237:E246)</f>
        <v>6</v>
      </c>
      <c r="F247" s="13">
        <f t="shared" si="47"/>
        <v>9</v>
      </c>
      <c r="G247" s="13">
        <f t="shared" si="47"/>
        <v>1</v>
      </c>
      <c r="H247" s="13">
        <f t="shared" si="47"/>
        <v>3</v>
      </c>
      <c r="I247" s="13">
        <f t="shared" si="47"/>
        <v>6</v>
      </c>
      <c r="J247" s="13">
        <f t="shared" si="47"/>
        <v>3</v>
      </c>
      <c r="K247" s="13">
        <f t="shared" si="47"/>
        <v>6</v>
      </c>
      <c r="L247" s="13">
        <f t="shared" si="47"/>
        <v>5</v>
      </c>
      <c r="M247" s="13">
        <f t="shared" si="47"/>
        <v>12</v>
      </c>
      <c r="N247" s="13">
        <f t="shared" si="47"/>
        <v>15</v>
      </c>
      <c r="O247" s="13">
        <f t="shared" si="47"/>
        <v>8</v>
      </c>
      <c r="P247" s="13">
        <f t="shared" si="47"/>
        <v>47</v>
      </c>
      <c r="Q247" s="13">
        <f t="shared" si="47"/>
        <v>109</v>
      </c>
      <c r="R247" s="13">
        <f t="shared" si="47"/>
        <v>12</v>
      </c>
      <c r="S247" s="13">
        <f t="shared" si="47"/>
        <v>14</v>
      </c>
      <c r="T247" s="13">
        <f t="shared" si="47"/>
        <v>256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0.0</v>
      </c>
      <c r="G249" s="73">
        <v>1.0</v>
      </c>
      <c r="H249" s="73">
        <v>1.0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1.0</v>
      </c>
      <c r="P249" s="73">
        <v>0.0</v>
      </c>
      <c r="Q249" s="73">
        <v>0.0</v>
      </c>
      <c r="R249" s="73">
        <v>0.0</v>
      </c>
      <c r="S249" s="73">
        <v>0.0</v>
      </c>
      <c r="T249" s="13">
        <f t="shared" ref="T249:T258" si="48">SUM(E249:S249)</f>
        <v>3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2.0</v>
      </c>
      <c r="G250" s="73">
        <v>4.0</v>
      </c>
      <c r="H250" s="73">
        <v>2.0</v>
      </c>
      <c r="I250" s="73">
        <v>5.0</v>
      </c>
      <c r="J250" s="73">
        <v>0.0</v>
      </c>
      <c r="K250" s="73">
        <v>1.0</v>
      </c>
      <c r="L250" s="73">
        <v>0.0</v>
      </c>
      <c r="M250" s="73">
        <v>1.0</v>
      </c>
      <c r="N250" s="73">
        <v>4.0</v>
      </c>
      <c r="O250" s="73">
        <v>4.0</v>
      </c>
      <c r="P250" s="73">
        <v>2.0</v>
      </c>
      <c r="Q250" s="73">
        <v>1.0</v>
      </c>
      <c r="R250" s="73">
        <v>1.0</v>
      </c>
      <c r="S250" s="73">
        <v>0.0</v>
      </c>
      <c r="T250" s="13">
        <f t="shared" si="48"/>
        <v>27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2.0</v>
      </c>
      <c r="Q251" s="73">
        <v>0.0</v>
      </c>
      <c r="R251" s="73">
        <v>0.0</v>
      </c>
      <c r="S251" s="73">
        <v>0.0</v>
      </c>
      <c r="T251" s="13">
        <f t="shared" si="48"/>
        <v>2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1.0</v>
      </c>
      <c r="R252" s="73">
        <v>0.0</v>
      </c>
      <c r="S252" s="73">
        <v>1.0</v>
      </c>
      <c r="T252" s="13">
        <f t="shared" si="48"/>
        <v>2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T259" si="49">SUM(E249:E258)</f>
        <v>0</v>
      </c>
      <c r="F259" s="13">
        <f t="shared" si="49"/>
        <v>2</v>
      </c>
      <c r="G259" s="13">
        <f t="shared" si="49"/>
        <v>5</v>
      </c>
      <c r="H259" s="13">
        <f t="shared" si="49"/>
        <v>3</v>
      </c>
      <c r="I259" s="13">
        <f t="shared" si="49"/>
        <v>5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1</v>
      </c>
      <c r="N259" s="13">
        <f t="shared" si="49"/>
        <v>4</v>
      </c>
      <c r="O259" s="13">
        <f t="shared" si="49"/>
        <v>5</v>
      </c>
      <c r="P259" s="13">
        <f t="shared" si="49"/>
        <v>4</v>
      </c>
      <c r="Q259" s="13">
        <f t="shared" si="49"/>
        <v>2</v>
      </c>
      <c r="R259" s="13">
        <f t="shared" si="49"/>
        <v>1</v>
      </c>
      <c r="S259" s="13">
        <f t="shared" si="49"/>
        <v>1</v>
      </c>
      <c r="T259" s="13">
        <f t="shared" si="49"/>
        <v>34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S262" si="50">E55+E67+E79+E91+E103+E115+E127+E139+E151+E163+E175+E187+E199+E211+E223+E235+E247+E259</f>
        <v>176</v>
      </c>
      <c r="F262" s="19">
        <f t="shared" si="50"/>
        <v>180</v>
      </c>
      <c r="G262" s="19">
        <f t="shared" si="50"/>
        <v>172</v>
      </c>
      <c r="H262" s="19">
        <f t="shared" si="50"/>
        <v>205</v>
      </c>
      <c r="I262" s="19">
        <f t="shared" si="50"/>
        <v>176</v>
      </c>
      <c r="J262" s="19">
        <f t="shared" si="50"/>
        <v>197</v>
      </c>
      <c r="K262" s="19">
        <f t="shared" si="50"/>
        <v>197</v>
      </c>
      <c r="L262" s="19">
        <f t="shared" si="50"/>
        <v>178</v>
      </c>
      <c r="M262" s="19">
        <f t="shared" si="50"/>
        <v>195</v>
      </c>
      <c r="N262" s="19">
        <f t="shared" si="50"/>
        <v>180</v>
      </c>
      <c r="O262" s="19">
        <f t="shared" si="50"/>
        <v>194</v>
      </c>
      <c r="P262" s="19">
        <f t="shared" si="50"/>
        <v>186</v>
      </c>
      <c r="Q262" s="19">
        <f t="shared" si="50"/>
        <v>209</v>
      </c>
      <c r="R262" s="19">
        <f t="shared" si="50"/>
        <v>186</v>
      </c>
      <c r="S262" s="19">
        <f t="shared" si="50"/>
        <v>172</v>
      </c>
      <c r="T262" s="13">
        <f t="shared" ref="T262:T264" si="51">SUM(E262:S262)</f>
        <v>2803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43.0</v>
      </c>
      <c r="F263" s="73">
        <v>40.0</v>
      </c>
      <c r="G263" s="73">
        <v>31.0</v>
      </c>
      <c r="H263" s="73">
        <v>32.0</v>
      </c>
      <c r="I263" s="73">
        <v>34.0</v>
      </c>
      <c r="J263" s="73">
        <v>24.0</v>
      </c>
      <c r="K263" s="73">
        <v>25.0</v>
      </c>
      <c r="L263" s="73">
        <v>21.0</v>
      </c>
      <c r="M263" s="73">
        <v>26.0</v>
      </c>
      <c r="N263" s="73">
        <v>27.0</v>
      </c>
      <c r="O263" s="73">
        <v>38.0</v>
      </c>
      <c r="P263" s="73">
        <v>24.0</v>
      </c>
      <c r="Q263" s="73">
        <v>24.0</v>
      </c>
      <c r="R263" s="73">
        <v>24.0</v>
      </c>
      <c r="S263" s="73">
        <v>45.0</v>
      </c>
      <c r="T263" s="13">
        <f t="shared" si="51"/>
        <v>458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S264" si="52">SUM(E262:E263)</f>
        <v>219</v>
      </c>
      <c r="F264" s="13">
        <f t="shared" si="52"/>
        <v>220</v>
      </c>
      <c r="G264" s="13">
        <f t="shared" si="52"/>
        <v>203</v>
      </c>
      <c r="H264" s="13">
        <f t="shared" si="52"/>
        <v>237</v>
      </c>
      <c r="I264" s="13">
        <f t="shared" si="52"/>
        <v>210</v>
      </c>
      <c r="J264" s="13">
        <f t="shared" si="52"/>
        <v>221</v>
      </c>
      <c r="K264" s="13">
        <f t="shared" si="52"/>
        <v>222</v>
      </c>
      <c r="L264" s="13">
        <f t="shared" si="52"/>
        <v>199</v>
      </c>
      <c r="M264" s="13">
        <f t="shared" si="52"/>
        <v>221</v>
      </c>
      <c r="N264" s="13">
        <f t="shared" si="52"/>
        <v>207</v>
      </c>
      <c r="O264" s="13">
        <f t="shared" si="52"/>
        <v>232</v>
      </c>
      <c r="P264" s="13">
        <f t="shared" si="52"/>
        <v>210</v>
      </c>
      <c r="Q264" s="13">
        <f t="shared" si="52"/>
        <v>233</v>
      </c>
      <c r="R264" s="13">
        <f t="shared" si="52"/>
        <v>210</v>
      </c>
      <c r="S264" s="13">
        <f t="shared" si="52"/>
        <v>217</v>
      </c>
      <c r="T264" s="13">
        <f t="shared" si="51"/>
        <v>3261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8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  <c r="Y11" s="1"/>
      <c r="Z11" s="1"/>
      <c r="AA11" s="1"/>
      <c r="AB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224</v>
      </c>
      <c r="AC13" s="13" t="s">
        <v>225</v>
      </c>
      <c r="AD13" s="36"/>
    </row>
    <row r="14" ht="12.75" customHeight="1">
      <c r="A14" s="18"/>
      <c r="B14" s="22" t="s">
        <v>10</v>
      </c>
      <c r="C14" s="23"/>
      <c r="D14" s="19" t="s">
        <v>11</v>
      </c>
      <c r="E14" s="73">
        <v>136.0</v>
      </c>
      <c r="F14" s="73">
        <v>143.0</v>
      </c>
      <c r="G14" s="73">
        <v>115.0</v>
      </c>
      <c r="H14" s="73">
        <v>142.0</v>
      </c>
      <c r="I14" s="73">
        <v>126.0</v>
      </c>
      <c r="J14" s="73">
        <v>133.0</v>
      </c>
      <c r="K14" s="73">
        <v>129.0</v>
      </c>
      <c r="L14" s="73">
        <v>113.0</v>
      </c>
      <c r="M14" s="73">
        <v>130.0</v>
      </c>
      <c r="N14" s="73">
        <v>111.0</v>
      </c>
      <c r="O14" s="73">
        <v>120.0</v>
      </c>
      <c r="P14" s="73">
        <v>120.0</v>
      </c>
      <c r="Q14" s="73">
        <v>132.0</v>
      </c>
      <c r="R14" s="73">
        <v>129.0</v>
      </c>
      <c r="S14" s="73">
        <v>134.0</v>
      </c>
      <c r="T14" s="73">
        <v>136.0</v>
      </c>
      <c r="U14" s="73">
        <v>132.0</v>
      </c>
      <c r="V14" s="73">
        <v>133.0</v>
      </c>
      <c r="W14" s="73">
        <v>124.0</v>
      </c>
      <c r="X14" s="73">
        <v>135.0</v>
      </c>
      <c r="Y14" s="73">
        <v>127.0</v>
      </c>
      <c r="Z14" s="73">
        <v>142.0</v>
      </c>
      <c r="AA14" s="73">
        <v>120.0</v>
      </c>
      <c r="AB14" s="73">
        <v>148.0</v>
      </c>
      <c r="AC14" s="73">
        <v>126.0</v>
      </c>
      <c r="AD14" s="13">
        <f t="shared" ref="AD14:AD16" si="1">SUM(E14:AC14)</f>
        <v>3236</v>
      </c>
    </row>
    <row r="15" ht="12.75" customHeight="1">
      <c r="A15" s="18"/>
      <c r="B15" s="26"/>
      <c r="C15" s="27"/>
      <c r="D15" s="19" t="s">
        <v>12</v>
      </c>
      <c r="E15" s="73">
        <v>151.0</v>
      </c>
      <c r="F15" s="73">
        <v>147.0</v>
      </c>
      <c r="G15" s="73">
        <v>121.0</v>
      </c>
      <c r="H15" s="73">
        <v>138.0</v>
      </c>
      <c r="I15" s="73">
        <v>142.0</v>
      </c>
      <c r="J15" s="73">
        <v>138.0</v>
      </c>
      <c r="K15" s="73">
        <v>125.0</v>
      </c>
      <c r="L15" s="73">
        <v>127.0</v>
      </c>
      <c r="M15" s="73">
        <v>137.0</v>
      </c>
      <c r="N15" s="73">
        <v>125.0</v>
      </c>
      <c r="O15" s="73">
        <v>128.0</v>
      </c>
      <c r="P15" s="73">
        <v>147.0</v>
      </c>
      <c r="Q15" s="73">
        <v>129.0</v>
      </c>
      <c r="R15" s="73">
        <v>140.0</v>
      </c>
      <c r="S15" s="73">
        <v>149.0</v>
      </c>
      <c r="T15" s="73">
        <v>143.0</v>
      </c>
      <c r="U15" s="73">
        <v>148.0</v>
      </c>
      <c r="V15" s="73">
        <v>143.0</v>
      </c>
      <c r="W15" s="73">
        <v>144.0</v>
      </c>
      <c r="X15" s="73">
        <v>145.0</v>
      </c>
      <c r="Y15" s="73">
        <v>133.0</v>
      </c>
      <c r="Z15" s="73">
        <v>153.0</v>
      </c>
      <c r="AA15" s="73">
        <v>126.0</v>
      </c>
      <c r="AB15" s="73">
        <v>129.0</v>
      </c>
      <c r="AC15" s="73">
        <v>139.0</v>
      </c>
      <c r="AD15" s="13">
        <f t="shared" si="1"/>
        <v>3447</v>
      </c>
    </row>
    <row r="16" ht="12.75" customHeight="1">
      <c r="A16" s="25"/>
      <c r="B16" s="21"/>
      <c r="C16" s="28"/>
      <c r="D16" s="13" t="s">
        <v>13</v>
      </c>
      <c r="E16" s="13">
        <f t="shared" ref="E16:AC16" si="2">SUM(E14:E15)</f>
        <v>287</v>
      </c>
      <c r="F16" s="13">
        <f t="shared" si="2"/>
        <v>290</v>
      </c>
      <c r="G16" s="13">
        <f t="shared" si="2"/>
        <v>236</v>
      </c>
      <c r="H16" s="13">
        <f t="shared" si="2"/>
        <v>280</v>
      </c>
      <c r="I16" s="13">
        <f t="shared" si="2"/>
        <v>268</v>
      </c>
      <c r="J16" s="13">
        <f t="shared" si="2"/>
        <v>271</v>
      </c>
      <c r="K16" s="13">
        <f t="shared" si="2"/>
        <v>254</v>
      </c>
      <c r="L16" s="13">
        <f t="shared" si="2"/>
        <v>240</v>
      </c>
      <c r="M16" s="13">
        <f t="shared" si="2"/>
        <v>267</v>
      </c>
      <c r="N16" s="13">
        <f t="shared" si="2"/>
        <v>236</v>
      </c>
      <c r="O16" s="13">
        <f t="shared" si="2"/>
        <v>248</v>
      </c>
      <c r="P16" s="13">
        <f t="shared" si="2"/>
        <v>267</v>
      </c>
      <c r="Q16" s="13">
        <f t="shared" si="2"/>
        <v>261</v>
      </c>
      <c r="R16" s="13">
        <f t="shared" si="2"/>
        <v>269</v>
      </c>
      <c r="S16" s="13">
        <f t="shared" si="2"/>
        <v>283</v>
      </c>
      <c r="T16" s="13">
        <f t="shared" si="2"/>
        <v>279</v>
      </c>
      <c r="U16" s="13">
        <f t="shared" si="2"/>
        <v>280</v>
      </c>
      <c r="V16" s="13">
        <f t="shared" si="2"/>
        <v>276</v>
      </c>
      <c r="W16" s="13">
        <f t="shared" si="2"/>
        <v>268</v>
      </c>
      <c r="X16" s="13">
        <f t="shared" si="2"/>
        <v>280</v>
      </c>
      <c r="Y16" s="13">
        <f t="shared" si="2"/>
        <v>260</v>
      </c>
      <c r="Z16" s="13">
        <f t="shared" si="2"/>
        <v>295</v>
      </c>
      <c r="AA16" s="13">
        <f t="shared" si="2"/>
        <v>246</v>
      </c>
      <c r="AB16" s="13">
        <f t="shared" si="2"/>
        <v>277</v>
      </c>
      <c r="AC16" s="13">
        <f t="shared" si="2"/>
        <v>265</v>
      </c>
      <c r="AD16" s="13">
        <f t="shared" si="1"/>
        <v>6683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19"/>
      <c r="U17" s="19"/>
      <c r="V17" s="19"/>
      <c r="W17" s="19"/>
      <c r="X17" s="74"/>
      <c r="Y17" s="19"/>
      <c r="Z17" s="19"/>
      <c r="AA17" s="19"/>
      <c r="AB17" s="74"/>
      <c r="AC17" s="74"/>
      <c r="AD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19"/>
      <c r="U18" s="19"/>
      <c r="V18" s="19"/>
      <c r="W18" s="19"/>
      <c r="X18" s="74"/>
      <c r="Y18" s="19"/>
      <c r="Z18" s="19"/>
      <c r="AA18" s="19"/>
      <c r="AB18" s="74"/>
      <c r="AC18" s="74"/>
      <c r="AD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108.0</v>
      </c>
      <c r="F19" s="73">
        <v>93.0</v>
      </c>
      <c r="G19" s="73">
        <v>78.0</v>
      </c>
      <c r="H19" s="73">
        <v>105.0</v>
      </c>
      <c r="I19" s="73">
        <v>97.0</v>
      </c>
      <c r="J19" s="73">
        <v>105.0</v>
      </c>
      <c r="K19" s="73">
        <v>107.0</v>
      </c>
      <c r="L19" s="73">
        <v>80.0</v>
      </c>
      <c r="M19" s="73">
        <v>95.0</v>
      </c>
      <c r="N19" s="73">
        <v>71.0</v>
      </c>
      <c r="O19" s="73">
        <v>95.0</v>
      </c>
      <c r="P19" s="73">
        <v>93.0</v>
      </c>
      <c r="Q19" s="73">
        <v>97.0</v>
      </c>
      <c r="R19" s="73">
        <v>100.0</v>
      </c>
      <c r="S19" s="73">
        <v>93.0</v>
      </c>
      <c r="T19" s="73">
        <v>106.0</v>
      </c>
      <c r="U19" s="73">
        <v>96.0</v>
      </c>
      <c r="V19" s="73">
        <v>98.0</v>
      </c>
      <c r="W19" s="73">
        <v>87.0</v>
      </c>
      <c r="X19" s="73">
        <v>94.0</v>
      </c>
      <c r="Y19" s="73">
        <v>86.0</v>
      </c>
      <c r="Z19" s="73">
        <v>100.0</v>
      </c>
      <c r="AA19" s="73">
        <v>86.0</v>
      </c>
      <c r="AB19" s="73">
        <v>111.0</v>
      </c>
      <c r="AC19" s="73">
        <v>94.0</v>
      </c>
      <c r="AD19" s="13">
        <f t="shared" ref="AD19:AD30" si="3">SUM(E19:AC19)</f>
        <v>2375</v>
      </c>
    </row>
    <row r="20" ht="12.75" customHeight="1">
      <c r="A20" s="33"/>
      <c r="B20" s="27"/>
      <c r="C20" s="34"/>
      <c r="D20" s="19" t="s">
        <v>12</v>
      </c>
      <c r="E20" s="73">
        <v>125.0</v>
      </c>
      <c r="F20" s="73">
        <v>118.0</v>
      </c>
      <c r="G20" s="73">
        <v>96.0</v>
      </c>
      <c r="H20" s="73">
        <v>113.0</v>
      </c>
      <c r="I20" s="73">
        <v>112.0</v>
      </c>
      <c r="J20" s="73">
        <v>116.0</v>
      </c>
      <c r="K20" s="73">
        <v>112.0</v>
      </c>
      <c r="L20" s="73">
        <v>102.0</v>
      </c>
      <c r="M20" s="73">
        <v>109.0</v>
      </c>
      <c r="N20" s="73">
        <v>94.0</v>
      </c>
      <c r="O20" s="73">
        <v>102.0</v>
      </c>
      <c r="P20" s="73">
        <v>109.0</v>
      </c>
      <c r="Q20" s="73">
        <v>107.0</v>
      </c>
      <c r="R20" s="73">
        <v>115.0</v>
      </c>
      <c r="S20" s="73">
        <v>107.0</v>
      </c>
      <c r="T20" s="73">
        <v>123.0</v>
      </c>
      <c r="U20" s="73">
        <v>121.0</v>
      </c>
      <c r="V20" s="73">
        <v>115.0</v>
      </c>
      <c r="W20" s="73">
        <v>108.0</v>
      </c>
      <c r="X20" s="73">
        <v>112.0</v>
      </c>
      <c r="Y20" s="73">
        <v>102.0</v>
      </c>
      <c r="Z20" s="73">
        <v>123.0</v>
      </c>
      <c r="AA20" s="73">
        <v>97.0</v>
      </c>
      <c r="AB20" s="73">
        <v>109.0</v>
      </c>
      <c r="AC20" s="73">
        <v>108.0</v>
      </c>
      <c r="AD20" s="13">
        <f t="shared" si="3"/>
        <v>2755</v>
      </c>
    </row>
    <row r="21" ht="12.75" customHeight="1">
      <c r="A21" s="35"/>
      <c r="B21" s="28"/>
      <c r="C21" s="36"/>
      <c r="D21" s="13" t="s">
        <v>13</v>
      </c>
      <c r="E21" s="13">
        <f t="shared" ref="E21:AC21" si="4">SUM(E19:E20)</f>
        <v>233</v>
      </c>
      <c r="F21" s="13">
        <f t="shared" si="4"/>
        <v>211</v>
      </c>
      <c r="G21" s="13">
        <f t="shared" si="4"/>
        <v>174</v>
      </c>
      <c r="H21" s="13">
        <f t="shared" si="4"/>
        <v>218</v>
      </c>
      <c r="I21" s="13">
        <f t="shared" si="4"/>
        <v>209</v>
      </c>
      <c r="J21" s="13">
        <f t="shared" si="4"/>
        <v>221</v>
      </c>
      <c r="K21" s="13">
        <f t="shared" si="4"/>
        <v>219</v>
      </c>
      <c r="L21" s="13">
        <f t="shared" si="4"/>
        <v>182</v>
      </c>
      <c r="M21" s="13">
        <f t="shared" si="4"/>
        <v>204</v>
      </c>
      <c r="N21" s="13">
        <f t="shared" si="4"/>
        <v>165</v>
      </c>
      <c r="O21" s="13">
        <f t="shared" si="4"/>
        <v>197</v>
      </c>
      <c r="P21" s="13">
        <f t="shared" si="4"/>
        <v>202</v>
      </c>
      <c r="Q21" s="13">
        <f t="shared" si="4"/>
        <v>204</v>
      </c>
      <c r="R21" s="13">
        <f t="shared" si="4"/>
        <v>215</v>
      </c>
      <c r="S21" s="13">
        <f t="shared" si="4"/>
        <v>200</v>
      </c>
      <c r="T21" s="13">
        <f t="shared" si="4"/>
        <v>229</v>
      </c>
      <c r="U21" s="13">
        <f t="shared" si="4"/>
        <v>217</v>
      </c>
      <c r="V21" s="13">
        <f t="shared" si="4"/>
        <v>213</v>
      </c>
      <c r="W21" s="13">
        <f t="shared" si="4"/>
        <v>195</v>
      </c>
      <c r="X21" s="13">
        <f t="shared" si="4"/>
        <v>206</v>
      </c>
      <c r="Y21" s="13">
        <f t="shared" si="4"/>
        <v>188</v>
      </c>
      <c r="Z21" s="13">
        <f t="shared" si="4"/>
        <v>223</v>
      </c>
      <c r="AA21" s="13">
        <f t="shared" si="4"/>
        <v>183</v>
      </c>
      <c r="AB21" s="13">
        <f t="shared" si="4"/>
        <v>220</v>
      </c>
      <c r="AC21" s="13">
        <f t="shared" si="4"/>
        <v>202</v>
      </c>
      <c r="AD21" s="13">
        <f t="shared" si="3"/>
        <v>5130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1.0</v>
      </c>
      <c r="H22" s="73">
        <v>0.0</v>
      </c>
      <c r="I22" s="73">
        <v>1.0</v>
      </c>
      <c r="J22" s="73">
        <v>0.0</v>
      </c>
      <c r="K22" s="73">
        <v>0.0</v>
      </c>
      <c r="L22" s="73">
        <v>0.0</v>
      </c>
      <c r="M22" s="73">
        <v>0.0</v>
      </c>
      <c r="N22" s="73">
        <v>1.0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1.0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1.0</v>
      </c>
      <c r="AB23" s="73">
        <v>0.0</v>
      </c>
      <c r="AC23" s="73">
        <v>0.0</v>
      </c>
      <c r="AD23" s="13">
        <f t="shared" si="3"/>
        <v>2</v>
      </c>
    </row>
    <row r="24" ht="12.75" customHeight="1">
      <c r="A24" s="35"/>
      <c r="B24" s="28"/>
      <c r="C24" s="36"/>
      <c r="D24" s="13" t="s">
        <v>13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5"/>
        <v>0</v>
      </c>
      <c r="AD24" s="13">
        <f t="shared" si="3"/>
        <v>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1.0</v>
      </c>
      <c r="F25" s="73">
        <v>2.0</v>
      </c>
      <c r="G25" s="73">
        <v>6.0</v>
      </c>
      <c r="H25" s="73">
        <v>1.0</v>
      </c>
      <c r="I25" s="73">
        <v>3.0</v>
      </c>
      <c r="J25" s="73">
        <v>0.0</v>
      </c>
      <c r="K25" s="73">
        <v>2.0</v>
      </c>
      <c r="L25" s="73">
        <v>0.0</v>
      </c>
      <c r="M25" s="73">
        <v>2.0</v>
      </c>
      <c r="N25" s="73">
        <v>0.0</v>
      </c>
      <c r="O25" s="73">
        <v>2.0</v>
      </c>
      <c r="P25" s="73">
        <v>6.0</v>
      </c>
      <c r="Q25" s="73">
        <v>1.0</v>
      </c>
      <c r="R25" s="73">
        <v>0.0</v>
      </c>
      <c r="S25" s="73">
        <v>0.0</v>
      </c>
      <c r="T25" s="73">
        <v>2.0</v>
      </c>
      <c r="U25" s="73">
        <v>3.0</v>
      </c>
      <c r="V25" s="73">
        <v>1.0</v>
      </c>
      <c r="W25" s="73">
        <v>4.0</v>
      </c>
      <c r="X25" s="73">
        <v>1.0</v>
      </c>
      <c r="Y25" s="73">
        <v>1.0</v>
      </c>
      <c r="Z25" s="73">
        <v>8.0</v>
      </c>
      <c r="AA25" s="73">
        <v>2.0</v>
      </c>
      <c r="AB25" s="73">
        <v>3.0</v>
      </c>
      <c r="AC25" s="73">
        <v>2.0</v>
      </c>
      <c r="AD25" s="13">
        <f t="shared" si="3"/>
        <v>53</v>
      </c>
    </row>
    <row r="26" ht="12.75" customHeight="1">
      <c r="A26" s="33"/>
      <c r="B26" s="27"/>
      <c r="C26" s="34"/>
      <c r="D26" s="19" t="s">
        <v>12</v>
      </c>
      <c r="E26" s="73">
        <v>5.0</v>
      </c>
      <c r="F26" s="73">
        <v>3.0</v>
      </c>
      <c r="G26" s="73">
        <v>4.0</v>
      </c>
      <c r="H26" s="73">
        <v>0.0</v>
      </c>
      <c r="I26" s="73">
        <v>1.0</v>
      </c>
      <c r="J26" s="73">
        <v>1.0</v>
      </c>
      <c r="K26" s="73">
        <v>2.0</v>
      </c>
      <c r="L26" s="73">
        <v>2.0</v>
      </c>
      <c r="M26" s="73">
        <v>1.0</v>
      </c>
      <c r="N26" s="73">
        <v>0.0</v>
      </c>
      <c r="O26" s="73">
        <v>3.0</v>
      </c>
      <c r="P26" s="73">
        <v>4.0</v>
      </c>
      <c r="Q26" s="73">
        <v>2.0</v>
      </c>
      <c r="R26" s="73">
        <v>1.0</v>
      </c>
      <c r="S26" s="73">
        <v>2.0</v>
      </c>
      <c r="T26" s="73">
        <v>2.0</v>
      </c>
      <c r="U26" s="73">
        <v>7.0</v>
      </c>
      <c r="V26" s="73">
        <v>1.0</v>
      </c>
      <c r="W26" s="73">
        <v>6.0</v>
      </c>
      <c r="X26" s="73">
        <v>3.0</v>
      </c>
      <c r="Y26" s="73">
        <v>1.0</v>
      </c>
      <c r="Z26" s="73">
        <v>10.0</v>
      </c>
      <c r="AA26" s="73">
        <v>3.0</v>
      </c>
      <c r="AB26" s="73">
        <v>1.0</v>
      </c>
      <c r="AC26" s="73">
        <v>1.0</v>
      </c>
      <c r="AD26" s="13">
        <f t="shared" si="3"/>
        <v>66</v>
      </c>
    </row>
    <row r="27" ht="12.75" customHeight="1">
      <c r="A27" s="35"/>
      <c r="B27" s="28"/>
      <c r="C27" s="36"/>
      <c r="D27" s="13" t="s">
        <v>13</v>
      </c>
      <c r="E27" s="13">
        <f t="shared" ref="E27:AC27" si="6">SUM(E25:E26)</f>
        <v>6</v>
      </c>
      <c r="F27" s="13">
        <f t="shared" si="6"/>
        <v>5</v>
      </c>
      <c r="G27" s="13">
        <f t="shared" si="6"/>
        <v>10</v>
      </c>
      <c r="H27" s="13">
        <f t="shared" si="6"/>
        <v>1</v>
      </c>
      <c r="I27" s="13">
        <f t="shared" si="6"/>
        <v>4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5</v>
      </c>
      <c r="P27" s="13">
        <f t="shared" si="6"/>
        <v>10</v>
      </c>
      <c r="Q27" s="13">
        <f t="shared" si="6"/>
        <v>3</v>
      </c>
      <c r="R27" s="13">
        <f t="shared" si="6"/>
        <v>1</v>
      </c>
      <c r="S27" s="13">
        <f t="shared" si="6"/>
        <v>2</v>
      </c>
      <c r="T27" s="13">
        <f t="shared" si="6"/>
        <v>4</v>
      </c>
      <c r="U27" s="13">
        <f t="shared" si="6"/>
        <v>10</v>
      </c>
      <c r="V27" s="13">
        <f t="shared" si="6"/>
        <v>2</v>
      </c>
      <c r="W27" s="13">
        <f t="shared" si="6"/>
        <v>10</v>
      </c>
      <c r="X27" s="13">
        <f t="shared" si="6"/>
        <v>4</v>
      </c>
      <c r="Y27" s="13">
        <f t="shared" si="6"/>
        <v>2</v>
      </c>
      <c r="Z27" s="13">
        <f t="shared" si="6"/>
        <v>18</v>
      </c>
      <c r="AA27" s="13">
        <f t="shared" si="6"/>
        <v>5</v>
      </c>
      <c r="AB27" s="13">
        <f t="shared" si="6"/>
        <v>4</v>
      </c>
      <c r="AC27" s="13">
        <f t="shared" si="6"/>
        <v>3</v>
      </c>
      <c r="AD27" s="13">
        <f t="shared" si="3"/>
        <v>119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C28" si="7">SUM(E19,E22,E25)</f>
        <v>109</v>
      </c>
      <c r="F28" s="13">
        <f t="shared" si="7"/>
        <v>95</v>
      </c>
      <c r="G28" s="13">
        <f t="shared" si="7"/>
        <v>85</v>
      </c>
      <c r="H28" s="13">
        <f t="shared" si="7"/>
        <v>106</v>
      </c>
      <c r="I28" s="13">
        <f t="shared" si="7"/>
        <v>101</v>
      </c>
      <c r="J28" s="13">
        <f t="shared" si="7"/>
        <v>105</v>
      </c>
      <c r="K28" s="13">
        <f t="shared" si="7"/>
        <v>109</v>
      </c>
      <c r="L28" s="13">
        <f t="shared" si="7"/>
        <v>80</v>
      </c>
      <c r="M28" s="13">
        <f t="shared" si="7"/>
        <v>97</v>
      </c>
      <c r="N28" s="13">
        <f t="shared" si="7"/>
        <v>72</v>
      </c>
      <c r="O28" s="13">
        <f t="shared" si="7"/>
        <v>97</v>
      </c>
      <c r="P28" s="13">
        <f t="shared" si="7"/>
        <v>99</v>
      </c>
      <c r="Q28" s="13">
        <f t="shared" si="7"/>
        <v>98</v>
      </c>
      <c r="R28" s="13">
        <f t="shared" si="7"/>
        <v>100</v>
      </c>
      <c r="S28" s="13">
        <f t="shared" si="7"/>
        <v>93</v>
      </c>
      <c r="T28" s="13">
        <f t="shared" si="7"/>
        <v>108</v>
      </c>
      <c r="U28" s="13">
        <f t="shared" si="7"/>
        <v>99</v>
      </c>
      <c r="V28" s="13">
        <f t="shared" si="7"/>
        <v>99</v>
      </c>
      <c r="W28" s="13">
        <f t="shared" si="7"/>
        <v>91</v>
      </c>
      <c r="X28" s="13">
        <f t="shared" si="7"/>
        <v>95</v>
      </c>
      <c r="Y28" s="13">
        <f t="shared" si="7"/>
        <v>87</v>
      </c>
      <c r="Z28" s="13">
        <f t="shared" si="7"/>
        <v>108</v>
      </c>
      <c r="AA28" s="13">
        <f t="shared" si="7"/>
        <v>88</v>
      </c>
      <c r="AB28" s="13">
        <f t="shared" si="7"/>
        <v>114</v>
      </c>
      <c r="AC28" s="13">
        <f t="shared" si="7"/>
        <v>96</v>
      </c>
      <c r="AD28" s="13">
        <f t="shared" si="3"/>
        <v>2431</v>
      </c>
    </row>
    <row r="29" ht="12.75" customHeight="1">
      <c r="A29" s="35"/>
      <c r="B29" s="27"/>
      <c r="C29" s="34"/>
      <c r="D29" s="13" t="s">
        <v>12</v>
      </c>
      <c r="E29" s="13">
        <f t="shared" ref="E29:AC29" si="8">SUM(E20,E23,E26)</f>
        <v>130</v>
      </c>
      <c r="F29" s="13">
        <f t="shared" si="8"/>
        <v>121</v>
      </c>
      <c r="G29" s="13">
        <f t="shared" si="8"/>
        <v>100</v>
      </c>
      <c r="H29" s="13">
        <f t="shared" si="8"/>
        <v>113</v>
      </c>
      <c r="I29" s="13">
        <f t="shared" si="8"/>
        <v>114</v>
      </c>
      <c r="J29" s="13">
        <f t="shared" si="8"/>
        <v>117</v>
      </c>
      <c r="K29" s="13">
        <f t="shared" si="8"/>
        <v>114</v>
      </c>
      <c r="L29" s="13">
        <f t="shared" si="8"/>
        <v>104</v>
      </c>
      <c r="M29" s="13">
        <f t="shared" si="8"/>
        <v>110</v>
      </c>
      <c r="N29" s="13">
        <f t="shared" si="8"/>
        <v>94</v>
      </c>
      <c r="O29" s="13">
        <f t="shared" si="8"/>
        <v>105</v>
      </c>
      <c r="P29" s="13">
        <f t="shared" si="8"/>
        <v>113</v>
      </c>
      <c r="Q29" s="13">
        <f t="shared" si="8"/>
        <v>109</v>
      </c>
      <c r="R29" s="13">
        <f t="shared" si="8"/>
        <v>116</v>
      </c>
      <c r="S29" s="13">
        <f t="shared" si="8"/>
        <v>109</v>
      </c>
      <c r="T29" s="13">
        <f t="shared" si="8"/>
        <v>125</v>
      </c>
      <c r="U29" s="13">
        <f t="shared" si="8"/>
        <v>128</v>
      </c>
      <c r="V29" s="13">
        <f t="shared" si="8"/>
        <v>116</v>
      </c>
      <c r="W29" s="13">
        <f t="shared" si="8"/>
        <v>114</v>
      </c>
      <c r="X29" s="13">
        <f t="shared" si="8"/>
        <v>115</v>
      </c>
      <c r="Y29" s="13">
        <f t="shared" si="8"/>
        <v>103</v>
      </c>
      <c r="Z29" s="13">
        <f t="shared" si="8"/>
        <v>133</v>
      </c>
      <c r="AA29" s="13">
        <f t="shared" si="8"/>
        <v>101</v>
      </c>
      <c r="AB29" s="13">
        <f t="shared" si="8"/>
        <v>110</v>
      </c>
      <c r="AC29" s="13">
        <f t="shared" si="8"/>
        <v>109</v>
      </c>
      <c r="AD29" s="13">
        <f t="shared" si="3"/>
        <v>2823</v>
      </c>
    </row>
    <row r="30" ht="12.75" customHeight="1">
      <c r="A30" s="35"/>
      <c r="B30" s="28"/>
      <c r="C30" s="36"/>
      <c r="D30" s="13" t="s">
        <v>13</v>
      </c>
      <c r="E30" s="13">
        <f t="shared" ref="E30:AC30" si="9">SUM(E28:E29)</f>
        <v>239</v>
      </c>
      <c r="F30" s="13">
        <f t="shared" si="9"/>
        <v>216</v>
      </c>
      <c r="G30" s="13">
        <f t="shared" si="9"/>
        <v>185</v>
      </c>
      <c r="H30" s="13">
        <f t="shared" si="9"/>
        <v>219</v>
      </c>
      <c r="I30" s="13">
        <f t="shared" si="9"/>
        <v>215</v>
      </c>
      <c r="J30" s="13">
        <f t="shared" si="9"/>
        <v>222</v>
      </c>
      <c r="K30" s="13">
        <f t="shared" si="9"/>
        <v>223</v>
      </c>
      <c r="L30" s="13">
        <f t="shared" si="9"/>
        <v>184</v>
      </c>
      <c r="M30" s="13">
        <f t="shared" si="9"/>
        <v>207</v>
      </c>
      <c r="N30" s="13">
        <f t="shared" si="9"/>
        <v>166</v>
      </c>
      <c r="O30" s="13">
        <f t="shared" si="9"/>
        <v>202</v>
      </c>
      <c r="P30" s="13">
        <f t="shared" si="9"/>
        <v>212</v>
      </c>
      <c r="Q30" s="13">
        <f t="shared" si="9"/>
        <v>207</v>
      </c>
      <c r="R30" s="13">
        <f t="shared" si="9"/>
        <v>216</v>
      </c>
      <c r="S30" s="13">
        <f t="shared" si="9"/>
        <v>202</v>
      </c>
      <c r="T30" s="13">
        <f t="shared" si="9"/>
        <v>233</v>
      </c>
      <c r="U30" s="13">
        <f t="shared" si="9"/>
        <v>227</v>
      </c>
      <c r="V30" s="13">
        <f t="shared" si="9"/>
        <v>215</v>
      </c>
      <c r="W30" s="13">
        <f t="shared" si="9"/>
        <v>205</v>
      </c>
      <c r="X30" s="13">
        <f t="shared" si="9"/>
        <v>210</v>
      </c>
      <c r="Y30" s="13">
        <f t="shared" si="9"/>
        <v>190</v>
      </c>
      <c r="Z30" s="13">
        <f t="shared" si="9"/>
        <v>241</v>
      </c>
      <c r="AA30" s="13">
        <f t="shared" si="9"/>
        <v>189</v>
      </c>
      <c r="AB30" s="13">
        <f t="shared" si="9"/>
        <v>224</v>
      </c>
      <c r="AC30" s="13">
        <f t="shared" si="9"/>
        <v>205</v>
      </c>
      <c r="AD30" s="13">
        <f t="shared" si="3"/>
        <v>5254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19"/>
      <c r="U31" s="19"/>
      <c r="V31" s="19"/>
      <c r="W31" s="19"/>
      <c r="X31" s="74"/>
      <c r="Y31" s="19"/>
      <c r="Z31" s="19"/>
      <c r="AA31" s="19"/>
      <c r="AB31" s="74"/>
      <c r="AC31" s="74"/>
      <c r="AD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13"/>
      <c r="U32" s="13"/>
      <c r="V32" s="13"/>
      <c r="W32" s="13"/>
      <c r="X32" s="76"/>
      <c r="Y32" s="13"/>
      <c r="Z32" s="13"/>
      <c r="AA32" s="13"/>
      <c r="AB32" s="76"/>
      <c r="AC32" s="76"/>
      <c r="AD32" s="75"/>
    </row>
    <row r="33" ht="12.75" customHeight="1">
      <c r="A33" s="19">
        <v>1.0</v>
      </c>
      <c r="B33" s="20" t="s">
        <v>26</v>
      </c>
      <c r="C33" s="15"/>
      <c r="D33" s="16"/>
      <c r="E33" s="73">
        <v>293.0</v>
      </c>
      <c r="F33" s="73">
        <v>296.0</v>
      </c>
      <c r="G33" s="73">
        <v>241.0</v>
      </c>
      <c r="H33" s="73">
        <v>286.0</v>
      </c>
      <c r="I33" s="73">
        <v>274.0</v>
      </c>
      <c r="J33" s="73">
        <v>277.0</v>
      </c>
      <c r="K33" s="73">
        <v>240.0</v>
      </c>
      <c r="L33" s="73">
        <v>245.0</v>
      </c>
      <c r="M33" s="73">
        <v>273.0</v>
      </c>
      <c r="N33" s="73">
        <v>241.0</v>
      </c>
      <c r="O33" s="73">
        <v>253.0</v>
      </c>
      <c r="P33" s="73">
        <v>273.0</v>
      </c>
      <c r="Q33" s="73">
        <v>267.0</v>
      </c>
      <c r="R33" s="73">
        <v>254.0</v>
      </c>
      <c r="S33" s="73">
        <v>279.0</v>
      </c>
      <c r="T33" s="73">
        <v>285.0</v>
      </c>
      <c r="U33" s="73">
        <v>296.0</v>
      </c>
      <c r="V33" s="73">
        <v>282.0</v>
      </c>
      <c r="W33" s="73">
        <v>264.0</v>
      </c>
      <c r="X33" s="73">
        <v>286.0</v>
      </c>
      <c r="Y33" s="73">
        <v>266.0</v>
      </c>
      <c r="Z33" s="73">
        <v>301.0</v>
      </c>
      <c r="AA33" s="73">
        <v>251.0</v>
      </c>
      <c r="AB33" s="73">
        <v>283.0</v>
      </c>
      <c r="AC33" s="73">
        <v>271.0</v>
      </c>
      <c r="AD33" s="13">
        <f t="shared" ref="AD33:AD36" si="10">SUM(E33:AC33)</f>
        <v>6777</v>
      </c>
    </row>
    <row r="34" ht="12.75" customHeight="1">
      <c r="A34" s="19">
        <v>2.0</v>
      </c>
      <c r="B34" s="20" t="s">
        <v>27</v>
      </c>
      <c r="C34" s="15"/>
      <c r="D34" s="16"/>
      <c r="E34" s="77">
        <v>239.0</v>
      </c>
      <c r="F34" s="77">
        <v>216.0</v>
      </c>
      <c r="G34" s="77">
        <v>185.0</v>
      </c>
      <c r="H34" s="77">
        <v>219.0</v>
      </c>
      <c r="I34" s="77">
        <v>215.0</v>
      </c>
      <c r="J34" s="77">
        <v>222.0</v>
      </c>
      <c r="K34" s="77">
        <v>223.0</v>
      </c>
      <c r="L34" s="77">
        <v>184.0</v>
      </c>
      <c r="M34" s="77">
        <v>207.0</v>
      </c>
      <c r="N34" s="77">
        <v>166.0</v>
      </c>
      <c r="O34" s="77">
        <v>202.0</v>
      </c>
      <c r="P34" s="77">
        <v>212.0</v>
      </c>
      <c r="Q34" s="77">
        <v>207.0</v>
      </c>
      <c r="R34" s="77">
        <v>216.0</v>
      </c>
      <c r="S34" s="77">
        <v>202.0</v>
      </c>
      <c r="T34" s="77">
        <v>233.0</v>
      </c>
      <c r="U34" s="77">
        <v>227.0</v>
      </c>
      <c r="V34" s="77">
        <v>215.0</v>
      </c>
      <c r="W34" s="77">
        <v>205.0</v>
      </c>
      <c r="X34" s="77">
        <v>210.0</v>
      </c>
      <c r="Y34" s="77">
        <v>190.0</v>
      </c>
      <c r="Z34" s="77">
        <v>241.0</v>
      </c>
      <c r="AA34" s="77">
        <v>189.0</v>
      </c>
      <c r="AB34" s="77">
        <v>224.0</v>
      </c>
      <c r="AC34" s="77">
        <v>205.0</v>
      </c>
      <c r="AD34" s="13">
        <f t="shared" si="10"/>
        <v>5254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1.0</v>
      </c>
      <c r="J35" s="73">
        <v>1.0</v>
      </c>
      <c r="K35" s="73">
        <v>0.0</v>
      </c>
      <c r="L35" s="73">
        <v>0.0</v>
      </c>
      <c r="M35" s="73">
        <v>2.0</v>
      </c>
      <c r="N35" s="73">
        <v>0.0</v>
      </c>
      <c r="O35" s="73">
        <v>0.0</v>
      </c>
      <c r="P35" s="73">
        <v>0.0</v>
      </c>
      <c r="Q35" s="73">
        <v>0.0</v>
      </c>
      <c r="R35" s="73">
        <v>1.0</v>
      </c>
      <c r="S35" s="73">
        <v>0.0</v>
      </c>
      <c r="T35" s="73">
        <v>0.0</v>
      </c>
      <c r="U35" s="73">
        <v>1.0</v>
      </c>
      <c r="V35" s="73">
        <v>1.0</v>
      </c>
      <c r="W35" s="73">
        <v>0.0</v>
      </c>
      <c r="X35" s="73">
        <v>1.0</v>
      </c>
      <c r="Y35" s="73">
        <v>0.0</v>
      </c>
      <c r="Z35" s="73">
        <v>0.0</v>
      </c>
      <c r="AA35" s="73">
        <v>0.0</v>
      </c>
      <c r="AB35" s="73">
        <v>6.0</v>
      </c>
      <c r="AC35" s="73">
        <v>1.0</v>
      </c>
      <c r="AD35" s="13">
        <f t="shared" si="10"/>
        <v>15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C36" si="11">E33-(E34+E35)</f>
        <v>54</v>
      </c>
      <c r="F36" s="13">
        <f t="shared" si="11"/>
        <v>80</v>
      </c>
      <c r="G36" s="13">
        <f t="shared" si="11"/>
        <v>56</v>
      </c>
      <c r="H36" s="13">
        <f t="shared" si="11"/>
        <v>67</v>
      </c>
      <c r="I36" s="13">
        <f t="shared" si="11"/>
        <v>58</v>
      </c>
      <c r="J36" s="13">
        <f t="shared" si="11"/>
        <v>54</v>
      </c>
      <c r="K36" s="13">
        <f t="shared" si="11"/>
        <v>17</v>
      </c>
      <c r="L36" s="13">
        <f t="shared" si="11"/>
        <v>61</v>
      </c>
      <c r="M36" s="13">
        <f t="shared" si="11"/>
        <v>64</v>
      </c>
      <c r="N36" s="13">
        <f t="shared" si="11"/>
        <v>75</v>
      </c>
      <c r="O36" s="13">
        <f t="shared" si="11"/>
        <v>51</v>
      </c>
      <c r="P36" s="13">
        <f t="shared" si="11"/>
        <v>61</v>
      </c>
      <c r="Q36" s="13">
        <f t="shared" si="11"/>
        <v>60</v>
      </c>
      <c r="R36" s="13">
        <f t="shared" si="11"/>
        <v>37</v>
      </c>
      <c r="S36" s="13">
        <f t="shared" si="11"/>
        <v>77</v>
      </c>
      <c r="T36" s="13">
        <f t="shared" si="11"/>
        <v>52</v>
      </c>
      <c r="U36" s="13">
        <f t="shared" si="11"/>
        <v>68</v>
      </c>
      <c r="V36" s="13">
        <f t="shared" si="11"/>
        <v>66</v>
      </c>
      <c r="W36" s="13">
        <f t="shared" si="11"/>
        <v>59</v>
      </c>
      <c r="X36" s="13">
        <f t="shared" si="11"/>
        <v>75</v>
      </c>
      <c r="Y36" s="13">
        <f t="shared" si="11"/>
        <v>76</v>
      </c>
      <c r="Z36" s="13">
        <f t="shared" si="11"/>
        <v>60</v>
      </c>
      <c r="AA36" s="13">
        <f t="shared" si="11"/>
        <v>62</v>
      </c>
      <c r="AB36" s="13">
        <f t="shared" si="11"/>
        <v>53</v>
      </c>
      <c r="AC36" s="13">
        <f t="shared" si="11"/>
        <v>65</v>
      </c>
      <c r="AD36" s="13">
        <f t="shared" si="10"/>
        <v>1508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19"/>
      <c r="U37" s="19"/>
      <c r="V37" s="19"/>
      <c r="W37" s="19"/>
      <c r="X37" s="74"/>
      <c r="Y37" s="19"/>
      <c r="Z37" s="19"/>
      <c r="AA37" s="19"/>
      <c r="AB37" s="74"/>
      <c r="AC37" s="78"/>
      <c r="AD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13"/>
      <c r="U38" s="13"/>
      <c r="V38" s="13"/>
      <c r="W38" s="13"/>
      <c r="X38" s="76"/>
      <c r="Y38" s="13"/>
      <c r="Z38" s="13"/>
      <c r="AA38" s="13"/>
      <c r="AB38" s="76"/>
      <c r="AC38" s="76"/>
      <c r="AD38" s="75"/>
    </row>
    <row r="39" ht="12.75" customHeight="1">
      <c r="A39" s="30"/>
      <c r="B39" s="43" t="s">
        <v>32</v>
      </c>
      <c r="C39" s="23"/>
      <c r="D39" s="19" t="s">
        <v>11</v>
      </c>
      <c r="E39" s="73">
        <v>0.0</v>
      </c>
      <c r="F39" s="73">
        <v>0.0</v>
      </c>
      <c r="G39" s="73">
        <v>1.0</v>
      </c>
      <c r="H39" s="73">
        <v>1.0</v>
      </c>
      <c r="I39" s="73">
        <v>0.0</v>
      </c>
      <c r="J39" s="73">
        <v>1.0</v>
      </c>
      <c r="K39" s="73">
        <v>0.0</v>
      </c>
      <c r="L39" s="73">
        <v>0.0</v>
      </c>
      <c r="M39" s="73">
        <v>3.0</v>
      </c>
      <c r="N39" s="73">
        <v>0.0</v>
      </c>
      <c r="O39" s="73">
        <v>0.0</v>
      </c>
      <c r="P39" s="73">
        <v>1.0</v>
      </c>
      <c r="Q39" s="73">
        <v>5.0</v>
      </c>
      <c r="R39" s="73">
        <v>0.0</v>
      </c>
      <c r="S39" s="73">
        <v>0.0</v>
      </c>
      <c r="T39" s="73">
        <v>0.0</v>
      </c>
      <c r="U39" s="73">
        <v>0.0</v>
      </c>
      <c r="V39" s="73">
        <v>1.0</v>
      </c>
      <c r="W39" s="73">
        <v>1.0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13">
        <f t="shared" ref="AD39:AD41" si="12">SUM(E39:AC39)</f>
        <v>14</v>
      </c>
    </row>
    <row r="40" ht="12.75" customHeight="1">
      <c r="A40" s="33"/>
      <c r="C40" s="27"/>
      <c r="D40" s="19" t="s">
        <v>12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4.0</v>
      </c>
      <c r="N40" s="73">
        <v>0.0</v>
      </c>
      <c r="O40" s="73">
        <v>0.0</v>
      </c>
      <c r="P40" s="73">
        <v>1.0</v>
      </c>
      <c r="Q40" s="73">
        <v>2.0</v>
      </c>
      <c r="R40" s="73">
        <v>1.0</v>
      </c>
      <c r="S40" s="73">
        <v>0.0</v>
      </c>
      <c r="T40" s="73">
        <v>0.0</v>
      </c>
      <c r="U40" s="73">
        <v>0.0</v>
      </c>
      <c r="V40" s="73">
        <v>0.0</v>
      </c>
      <c r="W40" s="73">
        <v>4.0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0.0</v>
      </c>
      <c r="AD40" s="13">
        <f t="shared" si="12"/>
        <v>12</v>
      </c>
    </row>
    <row r="41" ht="12.75" customHeight="1">
      <c r="A41" s="41"/>
      <c r="B41" s="44"/>
      <c r="C41" s="28"/>
      <c r="D41" s="13" t="s">
        <v>13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7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7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5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26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19"/>
      <c r="U42" s="19"/>
      <c r="V42" s="19"/>
      <c r="W42" s="19"/>
      <c r="X42" s="74"/>
      <c r="Y42" s="19"/>
      <c r="Z42" s="19"/>
      <c r="AA42" s="19"/>
      <c r="AB42" s="74"/>
      <c r="AC42" s="19"/>
      <c r="AD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13"/>
      <c r="U43" s="13"/>
      <c r="V43" s="13"/>
      <c r="W43" s="13"/>
      <c r="X43" s="76"/>
      <c r="Y43" s="13"/>
      <c r="Z43" s="13"/>
      <c r="AA43" s="13"/>
      <c r="AB43" s="76"/>
      <c r="AC43" s="13"/>
      <c r="AD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19"/>
      <c r="U44" s="19"/>
      <c r="V44" s="19"/>
      <c r="W44" s="19"/>
      <c r="X44" s="74"/>
      <c r="Y44" s="19"/>
      <c r="Z44" s="19"/>
      <c r="AA44" s="19"/>
      <c r="AB44" s="74"/>
      <c r="AC44" s="19"/>
      <c r="AD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8.0</v>
      </c>
      <c r="F45" s="73">
        <v>5.0</v>
      </c>
      <c r="G45" s="73">
        <v>10.0</v>
      </c>
      <c r="H45" s="73">
        <v>8.0</v>
      </c>
      <c r="I45" s="73">
        <v>7.0</v>
      </c>
      <c r="J45" s="73">
        <v>7.0</v>
      </c>
      <c r="K45" s="73">
        <v>7.0</v>
      </c>
      <c r="L45" s="73">
        <v>12.0</v>
      </c>
      <c r="M45" s="73">
        <v>11.0</v>
      </c>
      <c r="N45" s="73">
        <v>10.0</v>
      </c>
      <c r="O45" s="73">
        <v>3.0</v>
      </c>
      <c r="P45" s="73">
        <v>6.0</v>
      </c>
      <c r="Q45" s="73">
        <v>8.0</v>
      </c>
      <c r="R45" s="73">
        <v>3.0</v>
      </c>
      <c r="S45" s="73">
        <v>3.0</v>
      </c>
      <c r="T45" s="73">
        <v>5.0</v>
      </c>
      <c r="U45" s="73">
        <v>5.0</v>
      </c>
      <c r="V45" s="73">
        <v>5.0</v>
      </c>
      <c r="W45" s="73">
        <v>7.0</v>
      </c>
      <c r="X45" s="73">
        <v>5.0</v>
      </c>
      <c r="Y45" s="73">
        <v>5.0</v>
      </c>
      <c r="Z45" s="73">
        <v>7.0</v>
      </c>
      <c r="AA45" s="73">
        <v>5.0</v>
      </c>
      <c r="AB45" s="73">
        <v>6.0</v>
      </c>
      <c r="AC45" s="73">
        <v>4.0</v>
      </c>
      <c r="AD45" s="13">
        <f t="shared" ref="AD45:AD54" si="14">SUM(E45:AC45)</f>
        <v>162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25.0</v>
      </c>
      <c r="F46" s="73">
        <v>18.0</v>
      </c>
      <c r="G46" s="73">
        <v>55.0</v>
      </c>
      <c r="H46" s="73">
        <v>41.0</v>
      </c>
      <c r="I46" s="73">
        <v>17.0</v>
      </c>
      <c r="J46" s="73">
        <v>55.0</v>
      </c>
      <c r="K46" s="73">
        <v>42.0</v>
      </c>
      <c r="L46" s="73">
        <v>46.0</v>
      </c>
      <c r="M46" s="73">
        <v>52.0</v>
      </c>
      <c r="N46" s="73">
        <v>50.0</v>
      </c>
      <c r="O46" s="73">
        <v>8.0</v>
      </c>
      <c r="P46" s="73">
        <v>18.0</v>
      </c>
      <c r="Q46" s="73">
        <v>15.0</v>
      </c>
      <c r="R46" s="73">
        <v>6.0</v>
      </c>
      <c r="S46" s="73">
        <v>13.0</v>
      </c>
      <c r="T46" s="73">
        <v>13.0</v>
      </c>
      <c r="U46" s="73">
        <v>37.0</v>
      </c>
      <c r="V46" s="73">
        <v>24.0</v>
      </c>
      <c r="W46" s="73">
        <v>13.0</v>
      </c>
      <c r="X46" s="73">
        <v>8.0</v>
      </c>
      <c r="Y46" s="73">
        <v>8.0</v>
      </c>
      <c r="Z46" s="73">
        <v>14.0</v>
      </c>
      <c r="AA46" s="73">
        <v>4.0</v>
      </c>
      <c r="AB46" s="73">
        <v>8.0</v>
      </c>
      <c r="AC46" s="73">
        <v>16.0</v>
      </c>
      <c r="AD46" s="13">
        <f t="shared" si="14"/>
        <v>606</v>
      </c>
    </row>
    <row r="47" ht="12.75" customHeight="1">
      <c r="A47" s="18"/>
      <c r="B47" s="49"/>
      <c r="C47" s="50" t="s">
        <v>40</v>
      </c>
      <c r="D47" s="51"/>
      <c r="E47" s="73">
        <v>1.0</v>
      </c>
      <c r="F47" s="73">
        <v>1.0</v>
      </c>
      <c r="G47" s="73">
        <v>0.0</v>
      </c>
      <c r="H47" s="73">
        <v>0.0</v>
      </c>
      <c r="I47" s="73">
        <v>0.0</v>
      </c>
      <c r="J47" s="73">
        <v>1.0</v>
      </c>
      <c r="K47" s="73">
        <v>0.0</v>
      </c>
      <c r="L47" s="73">
        <v>1.0</v>
      </c>
      <c r="M47" s="73">
        <v>1.0</v>
      </c>
      <c r="N47" s="73">
        <v>0.0</v>
      </c>
      <c r="O47" s="73">
        <v>0.0</v>
      </c>
      <c r="P47" s="73">
        <v>1.0</v>
      </c>
      <c r="Q47" s="73">
        <v>1.0</v>
      </c>
      <c r="R47" s="73">
        <v>0.0</v>
      </c>
      <c r="S47" s="73">
        <v>3.0</v>
      </c>
      <c r="T47" s="73">
        <v>2.0</v>
      </c>
      <c r="U47" s="73">
        <v>2.0</v>
      </c>
      <c r="V47" s="73">
        <v>2.0</v>
      </c>
      <c r="W47" s="73">
        <v>1.0</v>
      </c>
      <c r="X47" s="73">
        <v>0.0</v>
      </c>
      <c r="Y47" s="73">
        <v>4.0</v>
      </c>
      <c r="Z47" s="73">
        <v>1.0</v>
      </c>
      <c r="AA47" s="73">
        <v>0.0</v>
      </c>
      <c r="AB47" s="73">
        <v>0.0</v>
      </c>
      <c r="AC47" s="73">
        <v>3.0</v>
      </c>
      <c r="AD47" s="13">
        <f t="shared" si="14"/>
        <v>25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0.0</v>
      </c>
      <c r="G48" s="73">
        <v>1.0</v>
      </c>
      <c r="H48" s="73">
        <v>1.0</v>
      </c>
      <c r="I48" s="73">
        <v>0.0</v>
      </c>
      <c r="J48" s="73">
        <v>0.0</v>
      </c>
      <c r="K48" s="73">
        <v>0.0</v>
      </c>
      <c r="L48" s="73">
        <v>0.0</v>
      </c>
      <c r="M48" s="73">
        <v>0.0</v>
      </c>
      <c r="N48" s="73">
        <v>0.0</v>
      </c>
      <c r="O48" s="73">
        <v>0.0</v>
      </c>
      <c r="P48" s="73">
        <v>1.0</v>
      </c>
      <c r="Q48" s="73">
        <v>0.0</v>
      </c>
      <c r="R48" s="73">
        <v>1.0</v>
      </c>
      <c r="S48" s="73">
        <v>1.0</v>
      </c>
      <c r="T48" s="73">
        <v>0.0</v>
      </c>
      <c r="U48" s="73">
        <v>0.0</v>
      </c>
      <c r="V48" s="73">
        <v>0.0</v>
      </c>
      <c r="W48" s="73">
        <v>2.0</v>
      </c>
      <c r="X48" s="73">
        <v>0.0</v>
      </c>
      <c r="Y48" s="73">
        <v>0.0</v>
      </c>
      <c r="Z48" s="73">
        <v>2.0</v>
      </c>
      <c r="AA48" s="73">
        <v>1.0</v>
      </c>
      <c r="AB48" s="73">
        <v>0.0</v>
      </c>
      <c r="AC48" s="73">
        <v>1.0</v>
      </c>
      <c r="AD48" s="13">
        <f t="shared" si="14"/>
        <v>11</v>
      </c>
    </row>
    <row r="49" ht="12.75" customHeight="1">
      <c r="A49" s="18"/>
      <c r="B49" s="49"/>
      <c r="C49" s="50" t="s">
        <v>42</v>
      </c>
      <c r="D49" s="51"/>
      <c r="E49" s="73">
        <v>3.0</v>
      </c>
      <c r="F49" s="73">
        <v>1.0</v>
      </c>
      <c r="G49" s="73">
        <v>0.0</v>
      </c>
      <c r="H49" s="73">
        <v>1.0</v>
      </c>
      <c r="I49" s="73">
        <v>2.0</v>
      </c>
      <c r="J49" s="73">
        <v>1.0</v>
      </c>
      <c r="K49" s="73">
        <v>0.0</v>
      </c>
      <c r="L49" s="73">
        <v>0.0</v>
      </c>
      <c r="M49" s="73">
        <v>0.0</v>
      </c>
      <c r="N49" s="73">
        <v>0.0</v>
      </c>
      <c r="O49" s="73">
        <v>0.0</v>
      </c>
      <c r="P49" s="73">
        <v>3.0</v>
      </c>
      <c r="Q49" s="73">
        <v>1.0</v>
      </c>
      <c r="R49" s="73">
        <v>0.0</v>
      </c>
      <c r="S49" s="73">
        <v>0.0</v>
      </c>
      <c r="T49" s="73">
        <v>2.0</v>
      </c>
      <c r="U49" s="73">
        <v>0.0</v>
      </c>
      <c r="V49" s="73">
        <v>1.0</v>
      </c>
      <c r="W49" s="73">
        <v>1.0</v>
      </c>
      <c r="X49" s="73">
        <v>0.0</v>
      </c>
      <c r="Y49" s="73">
        <v>1.0</v>
      </c>
      <c r="Z49" s="73">
        <v>1.0</v>
      </c>
      <c r="AA49" s="73">
        <v>0.0</v>
      </c>
      <c r="AB49" s="73">
        <v>0.0</v>
      </c>
      <c r="AC49" s="73">
        <v>1.0</v>
      </c>
      <c r="AD49" s="13">
        <f t="shared" si="14"/>
        <v>19</v>
      </c>
    </row>
    <row r="50" ht="12.75" customHeight="1">
      <c r="A50" s="18"/>
      <c r="B50" s="49"/>
      <c r="C50" s="50" t="s">
        <v>43</v>
      </c>
      <c r="D50" s="51"/>
      <c r="E50" s="73">
        <v>1.0</v>
      </c>
      <c r="F50" s="73">
        <v>0.0</v>
      </c>
      <c r="G50" s="73">
        <v>0.0</v>
      </c>
      <c r="H50" s="73">
        <v>0.0</v>
      </c>
      <c r="I50" s="73">
        <v>1.0</v>
      </c>
      <c r="J50" s="73">
        <v>0.0</v>
      </c>
      <c r="K50" s="73">
        <v>0.0</v>
      </c>
      <c r="L50" s="73">
        <v>0.0</v>
      </c>
      <c r="M50" s="73">
        <v>1.0</v>
      </c>
      <c r="N50" s="73">
        <v>1.0</v>
      </c>
      <c r="O50" s="73">
        <v>0.0</v>
      </c>
      <c r="P50" s="73">
        <v>0.0</v>
      </c>
      <c r="Q50" s="73">
        <v>1.0</v>
      </c>
      <c r="R50" s="73">
        <v>0.0</v>
      </c>
      <c r="S50" s="73">
        <v>0.0</v>
      </c>
      <c r="T50" s="73">
        <v>0.0</v>
      </c>
      <c r="U50" s="73">
        <v>0.0</v>
      </c>
      <c r="V50" s="73">
        <v>0.0</v>
      </c>
      <c r="W50" s="73">
        <v>1.0</v>
      </c>
      <c r="X50" s="73">
        <v>1.0</v>
      </c>
      <c r="Y50" s="73">
        <v>0.0</v>
      </c>
      <c r="Z50" s="73">
        <v>0.0</v>
      </c>
      <c r="AA50" s="73">
        <v>3.0</v>
      </c>
      <c r="AB50" s="73">
        <v>0.0</v>
      </c>
      <c r="AC50" s="73">
        <v>1.0</v>
      </c>
      <c r="AD50" s="13">
        <f t="shared" si="14"/>
        <v>11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1.0</v>
      </c>
      <c r="G51" s="73">
        <v>0.0</v>
      </c>
      <c r="H51" s="73">
        <v>0.0</v>
      </c>
      <c r="I51" s="73">
        <v>1.0</v>
      </c>
      <c r="J51" s="73">
        <v>0.0</v>
      </c>
      <c r="K51" s="73">
        <v>0.0</v>
      </c>
      <c r="L51" s="73">
        <v>0.0</v>
      </c>
      <c r="M51" s="73">
        <v>2.0</v>
      </c>
      <c r="N51" s="73">
        <v>0.0</v>
      </c>
      <c r="O51" s="73">
        <v>0.0</v>
      </c>
      <c r="P51" s="73">
        <v>1.0</v>
      </c>
      <c r="Q51" s="73">
        <v>0.0</v>
      </c>
      <c r="R51" s="73">
        <v>1.0</v>
      </c>
      <c r="S51" s="73">
        <v>0.0</v>
      </c>
      <c r="T51" s="73">
        <v>0.0</v>
      </c>
      <c r="U51" s="73">
        <v>0.0</v>
      </c>
      <c r="V51" s="73">
        <v>2.0</v>
      </c>
      <c r="W51" s="73">
        <v>0.0</v>
      </c>
      <c r="X51" s="73">
        <v>0.0</v>
      </c>
      <c r="Y51" s="73">
        <v>0.0</v>
      </c>
      <c r="Z51" s="73">
        <v>0.0</v>
      </c>
      <c r="AA51" s="73">
        <v>1.0</v>
      </c>
      <c r="AB51" s="73">
        <v>0.0</v>
      </c>
      <c r="AC51" s="73">
        <v>1.0</v>
      </c>
      <c r="AD51" s="13">
        <f t="shared" si="14"/>
        <v>10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0.0</v>
      </c>
      <c r="H52" s="80">
        <v>1.0</v>
      </c>
      <c r="I52" s="80">
        <v>2.0</v>
      </c>
      <c r="J52" s="80">
        <v>0.0</v>
      </c>
      <c r="K52" s="80">
        <v>0.0</v>
      </c>
      <c r="L52" s="80">
        <v>0.0</v>
      </c>
      <c r="M52" s="80">
        <v>0.0</v>
      </c>
      <c r="N52" s="80">
        <v>2.0</v>
      </c>
      <c r="O52" s="80">
        <v>0.0</v>
      </c>
      <c r="P52" s="80">
        <v>0.0</v>
      </c>
      <c r="Q52" s="80">
        <v>0.0</v>
      </c>
      <c r="R52" s="80">
        <v>0.0</v>
      </c>
      <c r="S52" s="80">
        <v>0.0</v>
      </c>
      <c r="T52" s="80">
        <v>0.0</v>
      </c>
      <c r="U52" s="80">
        <v>2.0</v>
      </c>
      <c r="V52" s="80">
        <v>1.0</v>
      </c>
      <c r="W52" s="80">
        <v>3.0</v>
      </c>
      <c r="X52" s="80">
        <v>0.0</v>
      </c>
      <c r="Y52" s="80">
        <v>0.0</v>
      </c>
      <c r="Z52" s="80">
        <v>1.0</v>
      </c>
      <c r="AA52" s="80">
        <v>0.0</v>
      </c>
      <c r="AB52" s="80">
        <v>0.0</v>
      </c>
      <c r="AC52" s="80">
        <v>0.0</v>
      </c>
      <c r="AD52" s="13">
        <f t="shared" si="14"/>
        <v>12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0.0</v>
      </c>
      <c r="N53" s="80">
        <v>0.0</v>
      </c>
      <c r="O53" s="80">
        <v>0.0</v>
      </c>
      <c r="P53" s="80">
        <v>0.0</v>
      </c>
      <c r="Q53" s="80">
        <v>0.0</v>
      </c>
      <c r="R53" s="80">
        <v>0.0</v>
      </c>
      <c r="S53" s="80">
        <v>0.0</v>
      </c>
      <c r="T53" s="80">
        <v>0.0</v>
      </c>
      <c r="U53" s="80">
        <v>0.0</v>
      </c>
      <c r="V53" s="80">
        <v>0.0</v>
      </c>
      <c r="W53" s="80">
        <v>0.0</v>
      </c>
      <c r="X53" s="80">
        <v>0.0</v>
      </c>
      <c r="Y53" s="80">
        <v>0.0</v>
      </c>
      <c r="Z53" s="80">
        <v>0.0</v>
      </c>
      <c r="AA53" s="80">
        <v>0.0</v>
      </c>
      <c r="AB53" s="80">
        <v>0.0</v>
      </c>
      <c r="AC53" s="80">
        <v>0.0</v>
      </c>
      <c r="AD53" s="13">
        <f t="shared" si="14"/>
        <v>0</v>
      </c>
    </row>
    <row r="54" ht="12.75" customHeight="1">
      <c r="A54" s="79"/>
      <c r="B54" s="49"/>
      <c r="C54" s="50" t="s">
        <v>47</v>
      </c>
      <c r="D54" s="51"/>
      <c r="E54" s="80">
        <v>1.0</v>
      </c>
      <c r="F54" s="80">
        <v>0.0</v>
      </c>
      <c r="G54" s="80">
        <v>0.0</v>
      </c>
      <c r="H54" s="80">
        <v>0.0</v>
      </c>
      <c r="I54" s="80">
        <v>0.0</v>
      </c>
      <c r="J54" s="80">
        <v>0.0</v>
      </c>
      <c r="K54" s="80">
        <v>1.0</v>
      </c>
      <c r="L54" s="80">
        <v>0.0</v>
      </c>
      <c r="M54" s="80">
        <v>1.0</v>
      </c>
      <c r="N54" s="80">
        <v>1.0</v>
      </c>
      <c r="O54" s="80">
        <v>0.0</v>
      </c>
      <c r="P54" s="80">
        <v>0.0</v>
      </c>
      <c r="Q54" s="80">
        <v>0.0</v>
      </c>
      <c r="R54" s="80">
        <v>0.0</v>
      </c>
      <c r="S54" s="80">
        <v>1.0</v>
      </c>
      <c r="T54" s="80">
        <v>0.0</v>
      </c>
      <c r="U54" s="80">
        <v>0.0</v>
      </c>
      <c r="V54" s="80">
        <v>0.0</v>
      </c>
      <c r="W54" s="80">
        <v>0.0</v>
      </c>
      <c r="X54" s="80">
        <v>0.0</v>
      </c>
      <c r="Y54" s="80">
        <v>0.0</v>
      </c>
      <c r="Z54" s="80">
        <v>0.0</v>
      </c>
      <c r="AA54" s="80">
        <v>0.0</v>
      </c>
      <c r="AB54" s="80">
        <v>1.0</v>
      </c>
      <c r="AC54" s="80">
        <v>0.0</v>
      </c>
      <c r="AD54" s="13">
        <f t="shared" si="14"/>
        <v>6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AD55" si="15">SUM(E45:E54)</f>
        <v>39</v>
      </c>
      <c r="F55" s="13">
        <f t="shared" si="15"/>
        <v>26</v>
      </c>
      <c r="G55" s="13">
        <f t="shared" si="15"/>
        <v>66</v>
      </c>
      <c r="H55" s="13">
        <f t="shared" si="15"/>
        <v>52</v>
      </c>
      <c r="I55" s="13">
        <f t="shared" si="15"/>
        <v>30</v>
      </c>
      <c r="J55" s="13">
        <f t="shared" si="15"/>
        <v>64</v>
      </c>
      <c r="K55" s="13">
        <f t="shared" si="15"/>
        <v>50</v>
      </c>
      <c r="L55" s="13">
        <f t="shared" si="15"/>
        <v>59</v>
      </c>
      <c r="M55" s="13">
        <f t="shared" si="15"/>
        <v>68</v>
      </c>
      <c r="N55" s="13">
        <f t="shared" si="15"/>
        <v>64</v>
      </c>
      <c r="O55" s="13">
        <f t="shared" si="15"/>
        <v>11</v>
      </c>
      <c r="P55" s="13">
        <f t="shared" si="15"/>
        <v>30</v>
      </c>
      <c r="Q55" s="13">
        <f t="shared" si="15"/>
        <v>26</v>
      </c>
      <c r="R55" s="13">
        <f t="shared" si="15"/>
        <v>11</v>
      </c>
      <c r="S55" s="13">
        <f t="shared" si="15"/>
        <v>21</v>
      </c>
      <c r="T55" s="13">
        <f t="shared" si="15"/>
        <v>22</v>
      </c>
      <c r="U55" s="13">
        <f t="shared" si="15"/>
        <v>46</v>
      </c>
      <c r="V55" s="13">
        <f t="shared" si="15"/>
        <v>35</v>
      </c>
      <c r="W55" s="13">
        <f t="shared" si="15"/>
        <v>28</v>
      </c>
      <c r="X55" s="13">
        <f t="shared" si="15"/>
        <v>14</v>
      </c>
      <c r="Y55" s="13">
        <f t="shared" si="15"/>
        <v>18</v>
      </c>
      <c r="Z55" s="13">
        <f t="shared" si="15"/>
        <v>26</v>
      </c>
      <c r="AA55" s="13">
        <f t="shared" si="15"/>
        <v>14</v>
      </c>
      <c r="AB55" s="13">
        <f t="shared" si="15"/>
        <v>15</v>
      </c>
      <c r="AC55" s="13">
        <f t="shared" si="15"/>
        <v>27</v>
      </c>
      <c r="AD55" s="13">
        <f t="shared" si="15"/>
        <v>862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21.0</v>
      </c>
      <c r="F57" s="73">
        <v>4.0</v>
      </c>
      <c r="G57" s="73">
        <v>6.0</v>
      </c>
      <c r="H57" s="73">
        <v>15.0</v>
      </c>
      <c r="I57" s="73">
        <v>6.0</v>
      </c>
      <c r="J57" s="73">
        <v>8.0</v>
      </c>
      <c r="K57" s="73">
        <v>13.0</v>
      </c>
      <c r="L57" s="73">
        <v>13.0</v>
      </c>
      <c r="M57" s="73">
        <v>11.0</v>
      </c>
      <c r="N57" s="73">
        <v>8.0</v>
      </c>
      <c r="O57" s="73">
        <v>11.0</v>
      </c>
      <c r="P57" s="73">
        <v>14.0</v>
      </c>
      <c r="Q57" s="73">
        <v>14.0</v>
      </c>
      <c r="R57" s="73">
        <v>8.0</v>
      </c>
      <c r="S57" s="73">
        <v>13.0</v>
      </c>
      <c r="T57" s="73">
        <v>9.0</v>
      </c>
      <c r="U57" s="73">
        <v>8.0</v>
      </c>
      <c r="V57" s="73">
        <v>12.0</v>
      </c>
      <c r="W57" s="73">
        <v>8.0</v>
      </c>
      <c r="X57" s="73">
        <v>14.0</v>
      </c>
      <c r="Y57" s="73">
        <v>11.0</v>
      </c>
      <c r="Z57" s="73">
        <v>11.0</v>
      </c>
      <c r="AA57" s="73">
        <v>15.0</v>
      </c>
      <c r="AB57" s="73">
        <v>15.0</v>
      </c>
      <c r="AC57" s="73">
        <v>12.0</v>
      </c>
      <c r="AD57" s="13">
        <f t="shared" ref="AD57:AD66" si="16">SUM(E57:AC57)</f>
        <v>280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4.0</v>
      </c>
      <c r="F58" s="73">
        <v>7.0</v>
      </c>
      <c r="G58" s="73">
        <v>2.0</v>
      </c>
      <c r="H58" s="73">
        <v>7.0</v>
      </c>
      <c r="I58" s="73">
        <v>6.0</v>
      </c>
      <c r="J58" s="73">
        <v>4.0</v>
      </c>
      <c r="K58" s="73">
        <v>1.0</v>
      </c>
      <c r="L58" s="73">
        <v>4.0</v>
      </c>
      <c r="M58" s="73">
        <v>6.0</v>
      </c>
      <c r="N58" s="73">
        <v>3.0</v>
      </c>
      <c r="O58" s="73">
        <v>6.0</v>
      </c>
      <c r="P58" s="73">
        <v>1.0</v>
      </c>
      <c r="Q58" s="73">
        <v>6.0</v>
      </c>
      <c r="R58" s="73">
        <v>8.0</v>
      </c>
      <c r="S58" s="73">
        <v>5.0</v>
      </c>
      <c r="T58" s="73">
        <v>4.0</v>
      </c>
      <c r="U58" s="73">
        <v>4.0</v>
      </c>
      <c r="V58" s="73">
        <v>2.0</v>
      </c>
      <c r="W58" s="73">
        <v>0.0</v>
      </c>
      <c r="X58" s="73">
        <v>3.0</v>
      </c>
      <c r="Y58" s="73">
        <v>1.0</v>
      </c>
      <c r="Z58" s="73">
        <v>2.0</v>
      </c>
      <c r="AA58" s="73">
        <v>7.0</v>
      </c>
      <c r="AB58" s="73">
        <v>6.0</v>
      </c>
      <c r="AC58" s="73">
        <v>3.0</v>
      </c>
      <c r="AD58" s="13">
        <f t="shared" si="16"/>
        <v>102</v>
      </c>
    </row>
    <row r="59" ht="12.75" customHeight="1">
      <c r="A59" s="18"/>
      <c r="B59" s="49"/>
      <c r="C59" s="50" t="s">
        <v>51</v>
      </c>
      <c r="D59" s="51"/>
      <c r="E59" s="73">
        <v>15.0</v>
      </c>
      <c r="F59" s="73">
        <v>7.0</v>
      </c>
      <c r="G59" s="73">
        <v>10.0</v>
      </c>
      <c r="H59" s="73">
        <v>18.0</v>
      </c>
      <c r="I59" s="73">
        <v>11.0</v>
      </c>
      <c r="J59" s="73">
        <v>38.0</v>
      </c>
      <c r="K59" s="73">
        <v>12.0</v>
      </c>
      <c r="L59" s="73">
        <v>13.0</v>
      </c>
      <c r="M59" s="73">
        <v>11.0</v>
      </c>
      <c r="N59" s="73">
        <v>11.0</v>
      </c>
      <c r="O59" s="73">
        <v>14.0</v>
      </c>
      <c r="P59" s="73">
        <v>8.0</v>
      </c>
      <c r="Q59" s="73">
        <v>4.0</v>
      </c>
      <c r="R59" s="73">
        <v>9.0</v>
      </c>
      <c r="S59" s="73">
        <v>1.0</v>
      </c>
      <c r="T59" s="73">
        <v>6.0</v>
      </c>
      <c r="U59" s="73">
        <v>3.0</v>
      </c>
      <c r="V59" s="73">
        <v>6.0</v>
      </c>
      <c r="W59" s="73">
        <v>11.0</v>
      </c>
      <c r="X59" s="73">
        <v>9.0</v>
      </c>
      <c r="Y59" s="73">
        <v>7.0</v>
      </c>
      <c r="Z59" s="73">
        <v>10.0</v>
      </c>
      <c r="AA59" s="73">
        <v>13.0</v>
      </c>
      <c r="AB59" s="73">
        <v>8.0</v>
      </c>
      <c r="AC59" s="73">
        <v>20.0</v>
      </c>
      <c r="AD59" s="13">
        <f t="shared" si="16"/>
        <v>275</v>
      </c>
    </row>
    <row r="60" ht="12.75" customHeight="1">
      <c r="A60" s="18"/>
      <c r="B60" s="49"/>
      <c r="C60" s="50" t="s">
        <v>52</v>
      </c>
      <c r="D60" s="51"/>
      <c r="E60" s="73">
        <v>1.0</v>
      </c>
      <c r="F60" s="73">
        <v>2.0</v>
      </c>
      <c r="G60" s="73">
        <v>0.0</v>
      </c>
      <c r="H60" s="73">
        <v>1.0</v>
      </c>
      <c r="I60" s="73">
        <v>5.0</v>
      </c>
      <c r="J60" s="73">
        <v>0.0</v>
      </c>
      <c r="K60" s="73">
        <v>0.0</v>
      </c>
      <c r="L60" s="73">
        <v>0.0</v>
      </c>
      <c r="M60" s="73">
        <v>3.0</v>
      </c>
      <c r="N60" s="73">
        <v>0.0</v>
      </c>
      <c r="O60" s="73">
        <v>4.0</v>
      </c>
      <c r="P60" s="73">
        <v>3.0</v>
      </c>
      <c r="Q60" s="73">
        <v>1.0</v>
      </c>
      <c r="R60" s="73">
        <v>3.0</v>
      </c>
      <c r="S60" s="73">
        <v>1.0</v>
      </c>
      <c r="T60" s="73">
        <v>3.0</v>
      </c>
      <c r="U60" s="73">
        <v>1.0</v>
      </c>
      <c r="V60" s="73">
        <v>3.0</v>
      </c>
      <c r="W60" s="73">
        <v>1.0</v>
      </c>
      <c r="X60" s="73">
        <v>1.0</v>
      </c>
      <c r="Y60" s="73">
        <v>1.0</v>
      </c>
      <c r="Z60" s="73">
        <v>1.0</v>
      </c>
      <c r="AA60" s="73">
        <v>4.0</v>
      </c>
      <c r="AB60" s="73">
        <v>5.0</v>
      </c>
      <c r="AC60" s="73">
        <v>3.0</v>
      </c>
      <c r="AD60" s="13">
        <f t="shared" si="16"/>
        <v>47</v>
      </c>
    </row>
    <row r="61" ht="12.75" customHeight="1">
      <c r="A61" s="18"/>
      <c r="B61" s="49"/>
      <c r="C61" s="50" t="s">
        <v>53</v>
      </c>
      <c r="D61" s="51"/>
      <c r="E61" s="73">
        <v>2.0</v>
      </c>
      <c r="F61" s="73">
        <v>6.0</v>
      </c>
      <c r="G61" s="73">
        <v>2.0</v>
      </c>
      <c r="H61" s="73">
        <v>2.0</v>
      </c>
      <c r="I61" s="73">
        <v>0.0</v>
      </c>
      <c r="J61" s="73">
        <v>3.0</v>
      </c>
      <c r="K61" s="73">
        <v>1.0</v>
      </c>
      <c r="L61" s="73">
        <v>0.0</v>
      </c>
      <c r="M61" s="73">
        <v>0.0</v>
      </c>
      <c r="N61" s="73">
        <v>3.0</v>
      </c>
      <c r="O61" s="73">
        <v>4.0</v>
      </c>
      <c r="P61" s="73">
        <v>2.0</v>
      </c>
      <c r="Q61" s="73">
        <v>1.0</v>
      </c>
      <c r="R61" s="73">
        <v>2.0</v>
      </c>
      <c r="S61" s="73">
        <v>4.0</v>
      </c>
      <c r="T61" s="73">
        <v>3.0</v>
      </c>
      <c r="U61" s="73">
        <v>1.0</v>
      </c>
      <c r="V61" s="73">
        <v>2.0</v>
      </c>
      <c r="W61" s="73">
        <v>1.0</v>
      </c>
      <c r="X61" s="73">
        <v>0.0</v>
      </c>
      <c r="Y61" s="73">
        <v>3.0</v>
      </c>
      <c r="Z61" s="73">
        <v>0.0</v>
      </c>
      <c r="AA61" s="73">
        <v>1.0</v>
      </c>
      <c r="AB61" s="73">
        <v>2.0</v>
      </c>
      <c r="AC61" s="73">
        <v>5.0</v>
      </c>
      <c r="AD61" s="13">
        <f t="shared" si="16"/>
        <v>50</v>
      </c>
    </row>
    <row r="62" ht="12.75" customHeight="1">
      <c r="A62" s="18"/>
      <c r="B62" s="49"/>
      <c r="C62" s="50" t="s">
        <v>54</v>
      </c>
      <c r="D62" s="51"/>
      <c r="E62" s="73">
        <v>2.0</v>
      </c>
      <c r="F62" s="73">
        <v>2.0</v>
      </c>
      <c r="G62" s="73">
        <v>2.0</v>
      </c>
      <c r="H62" s="73">
        <v>3.0</v>
      </c>
      <c r="I62" s="73">
        <v>2.0</v>
      </c>
      <c r="J62" s="73">
        <v>1.0</v>
      </c>
      <c r="K62" s="73">
        <v>0.0</v>
      </c>
      <c r="L62" s="73">
        <v>1.0</v>
      </c>
      <c r="M62" s="73">
        <v>2.0</v>
      </c>
      <c r="N62" s="73">
        <v>2.0</v>
      </c>
      <c r="O62" s="73">
        <v>1.0</v>
      </c>
      <c r="P62" s="73">
        <v>1.0</v>
      </c>
      <c r="Q62" s="73">
        <v>0.0</v>
      </c>
      <c r="R62" s="73">
        <v>2.0</v>
      </c>
      <c r="S62" s="73">
        <v>0.0</v>
      </c>
      <c r="T62" s="73">
        <v>1.0</v>
      </c>
      <c r="U62" s="73">
        <v>0.0</v>
      </c>
      <c r="V62" s="73">
        <v>1.0</v>
      </c>
      <c r="W62" s="73">
        <v>0.0</v>
      </c>
      <c r="X62" s="73">
        <v>0.0</v>
      </c>
      <c r="Y62" s="73">
        <v>2.0</v>
      </c>
      <c r="Z62" s="73">
        <v>1.0</v>
      </c>
      <c r="AA62" s="73">
        <v>1.0</v>
      </c>
      <c r="AB62" s="73">
        <v>1.0</v>
      </c>
      <c r="AC62" s="73">
        <v>0.0</v>
      </c>
      <c r="AD62" s="13">
        <f t="shared" si="16"/>
        <v>28</v>
      </c>
    </row>
    <row r="63" ht="12.75" customHeight="1">
      <c r="A63" s="18"/>
      <c r="B63" s="49"/>
      <c r="C63" s="50" t="s">
        <v>55</v>
      </c>
      <c r="D63" s="51"/>
      <c r="E63" s="73">
        <v>0.0</v>
      </c>
      <c r="F63" s="73">
        <v>0.0</v>
      </c>
      <c r="G63" s="73">
        <v>0.0</v>
      </c>
      <c r="H63" s="73">
        <v>3.0</v>
      </c>
      <c r="I63" s="73">
        <v>0.0</v>
      </c>
      <c r="J63" s="73">
        <v>0.0</v>
      </c>
      <c r="K63" s="73">
        <v>1.0</v>
      </c>
      <c r="L63" s="73">
        <v>0.0</v>
      </c>
      <c r="M63" s="73">
        <v>0.0</v>
      </c>
      <c r="N63" s="73">
        <v>0.0</v>
      </c>
      <c r="O63" s="73">
        <v>0.0</v>
      </c>
      <c r="P63" s="73">
        <v>1.0</v>
      </c>
      <c r="Q63" s="73">
        <v>0.0</v>
      </c>
      <c r="R63" s="73">
        <v>0.0</v>
      </c>
      <c r="S63" s="73">
        <v>1.0</v>
      </c>
      <c r="T63" s="73">
        <v>1.0</v>
      </c>
      <c r="U63" s="73">
        <v>0.0</v>
      </c>
      <c r="V63" s="73">
        <v>0.0</v>
      </c>
      <c r="W63" s="73">
        <v>0.0</v>
      </c>
      <c r="X63" s="73">
        <v>0.0</v>
      </c>
      <c r="Y63" s="73">
        <v>0.0</v>
      </c>
      <c r="Z63" s="73">
        <v>0.0</v>
      </c>
      <c r="AA63" s="73">
        <v>0.0</v>
      </c>
      <c r="AB63" s="73">
        <v>0.0</v>
      </c>
      <c r="AC63" s="73">
        <v>2.0</v>
      </c>
      <c r="AD63" s="13">
        <f t="shared" si="16"/>
        <v>9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2.0</v>
      </c>
      <c r="G64" s="80">
        <v>0.0</v>
      </c>
      <c r="H64" s="80">
        <v>1.0</v>
      </c>
      <c r="I64" s="80">
        <v>0.0</v>
      </c>
      <c r="J64" s="80">
        <v>0.0</v>
      </c>
      <c r="K64" s="80">
        <v>0.0</v>
      </c>
      <c r="L64" s="80">
        <v>0.0</v>
      </c>
      <c r="M64" s="80">
        <v>0.0</v>
      </c>
      <c r="N64" s="80">
        <v>0.0</v>
      </c>
      <c r="O64" s="80">
        <v>0.0</v>
      </c>
      <c r="P64" s="80">
        <v>0.0</v>
      </c>
      <c r="Q64" s="80">
        <v>0.0</v>
      </c>
      <c r="R64" s="80">
        <v>0.0</v>
      </c>
      <c r="S64" s="80">
        <v>0.0</v>
      </c>
      <c r="T64" s="80">
        <v>1.0</v>
      </c>
      <c r="U64" s="80">
        <v>0.0</v>
      </c>
      <c r="V64" s="80">
        <v>0.0</v>
      </c>
      <c r="W64" s="80">
        <v>0.0</v>
      </c>
      <c r="X64" s="80">
        <v>0.0</v>
      </c>
      <c r="Y64" s="80">
        <v>0.0</v>
      </c>
      <c r="Z64" s="80">
        <v>0.0</v>
      </c>
      <c r="AA64" s="80">
        <v>0.0</v>
      </c>
      <c r="AB64" s="80">
        <v>0.0</v>
      </c>
      <c r="AC64" s="80">
        <v>2.0</v>
      </c>
      <c r="AD64" s="13">
        <f t="shared" si="16"/>
        <v>6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0.0</v>
      </c>
      <c r="H65" s="80">
        <v>0.0</v>
      </c>
      <c r="I65" s="80">
        <v>0.0</v>
      </c>
      <c r="J65" s="80">
        <v>0.0</v>
      </c>
      <c r="K65" s="80">
        <v>0.0</v>
      </c>
      <c r="L65" s="80">
        <v>0.0</v>
      </c>
      <c r="M65" s="80">
        <v>0.0</v>
      </c>
      <c r="N65" s="80">
        <v>1.0</v>
      </c>
      <c r="O65" s="80">
        <v>0.0</v>
      </c>
      <c r="P65" s="80">
        <v>0.0</v>
      </c>
      <c r="Q65" s="80">
        <v>0.0</v>
      </c>
      <c r="R65" s="80">
        <v>0.0</v>
      </c>
      <c r="S65" s="80">
        <v>0.0</v>
      </c>
      <c r="T65" s="80">
        <v>1.0</v>
      </c>
      <c r="U65" s="80">
        <v>0.0</v>
      </c>
      <c r="V65" s="80">
        <v>1.0</v>
      </c>
      <c r="W65" s="80">
        <v>0.0</v>
      </c>
      <c r="X65" s="80">
        <v>0.0</v>
      </c>
      <c r="Y65" s="80">
        <v>0.0</v>
      </c>
      <c r="Z65" s="80">
        <v>0.0</v>
      </c>
      <c r="AA65" s="80">
        <v>0.0</v>
      </c>
      <c r="AB65" s="80">
        <v>1.0</v>
      </c>
      <c r="AC65" s="80">
        <v>0.0</v>
      </c>
      <c r="AD65" s="13">
        <f t="shared" si="16"/>
        <v>4</v>
      </c>
    </row>
    <row r="66" ht="12.75" customHeight="1">
      <c r="A66" s="79"/>
      <c r="B66" s="49"/>
      <c r="C66" s="50" t="s">
        <v>58</v>
      </c>
      <c r="D66" s="51"/>
      <c r="E66" s="80">
        <v>0.0</v>
      </c>
      <c r="F66" s="80">
        <v>1.0</v>
      </c>
      <c r="G66" s="80">
        <v>0.0</v>
      </c>
      <c r="H66" s="80">
        <v>0.0</v>
      </c>
      <c r="I66" s="80">
        <v>0.0</v>
      </c>
      <c r="J66" s="80">
        <v>0.0</v>
      </c>
      <c r="K66" s="80">
        <v>0.0</v>
      </c>
      <c r="L66" s="80">
        <v>0.0</v>
      </c>
      <c r="M66" s="80">
        <v>1.0</v>
      </c>
      <c r="N66" s="80">
        <v>3.0</v>
      </c>
      <c r="O66" s="80">
        <v>2.0</v>
      </c>
      <c r="P66" s="80">
        <v>1.0</v>
      </c>
      <c r="Q66" s="80">
        <v>0.0</v>
      </c>
      <c r="R66" s="80">
        <v>0.0</v>
      </c>
      <c r="S66" s="80">
        <v>0.0</v>
      </c>
      <c r="T66" s="80">
        <v>0.0</v>
      </c>
      <c r="U66" s="80">
        <v>1.0</v>
      </c>
      <c r="V66" s="80">
        <v>1.0</v>
      </c>
      <c r="W66" s="80">
        <v>0.0</v>
      </c>
      <c r="X66" s="80">
        <v>0.0</v>
      </c>
      <c r="Y66" s="80">
        <v>0.0</v>
      </c>
      <c r="Z66" s="80">
        <v>0.0</v>
      </c>
      <c r="AA66" s="80">
        <v>0.0</v>
      </c>
      <c r="AB66" s="80">
        <v>1.0</v>
      </c>
      <c r="AC66" s="80">
        <v>1.0</v>
      </c>
      <c r="AD66" s="13">
        <f t="shared" si="16"/>
        <v>12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AD67" si="17">SUM(E57:E66)</f>
        <v>45</v>
      </c>
      <c r="F67" s="13">
        <f t="shared" si="17"/>
        <v>31</v>
      </c>
      <c r="G67" s="13">
        <f t="shared" si="17"/>
        <v>22</v>
      </c>
      <c r="H67" s="13">
        <f t="shared" si="17"/>
        <v>50</v>
      </c>
      <c r="I67" s="13">
        <f t="shared" si="17"/>
        <v>30</v>
      </c>
      <c r="J67" s="13">
        <f t="shared" si="17"/>
        <v>54</v>
      </c>
      <c r="K67" s="13">
        <f t="shared" si="17"/>
        <v>28</v>
      </c>
      <c r="L67" s="13">
        <f t="shared" si="17"/>
        <v>31</v>
      </c>
      <c r="M67" s="13">
        <f t="shared" si="17"/>
        <v>34</v>
      </c>
      <c r="N67" s="13">
        <f t="shared" si="17"/>
        <v>31</v>
      </c>
      <c r="O67" s="13">
        <f t="shared" si="17"/>
        <v>42</v>
      </c>
      <c r="P67" s="13">
        <f t="shared" si="17"/>
        <v>31</v>
      </c>
      <c r="Q67" s="13">
        <f t="shared" si="17"/>
        <v>26</v>
      </c>
      <c r="R67" s="13">
        <f t="shared" si="17"/>
        <v>32</v>
      </c>
      <c r="S67" s="13">
        <f t="shared" si="17"/>
        <v>25</v>
      </c>
      <c r="T67" s="13">
        <f t="shared" si="17"/>
        <v>29</v>
      </c>
      <c r="U67" s="13">
        <f t="shared" si="17"/>
        <v>18</v>
      </c>
      <c r="V67" s="13">
        <f t="shared" si="17"/>
        <v>28</v>
      </c>
      <c r="W67" s="13">
        <f t="shared" si="17"/>
        <v>21</v>
      </c>
      <c r="X67" s="13">
        <f t="shared" si="17"/>
        <v>27</v>
      </c>
      <c r="Y67" s="13">
        <f t="shared" si="17"/>
        <v>25</v>
      </c>
      <c r="Z67" s="13">
        <f t="shared" si="17"/>
        <v>25</v>
      </c>
      <c r="AA67" s="13">
        <f t="shared" si="17"/>
        <v>41</v>
      </c>
      <c r="AB67" s="13">
        <f t="shared" si="17"/>
        <v>39</v>
      </c>
      <c r="AC67" s="13">
        <f t="shared" si="17"/>
        <v>48</v>
      </c>
      <c r="AD67" s="13">
        <f t="shared" si="17"/>
        <v>813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15.0</v>
      </c>
      <c r="F69" s="73">
        <v>11.0</v>
      </c>
      <c r="G69" s="73">
        <v>7.0</v>
      </c>
      <c r="H69" s="73">
        <v>9.0</v>
      </c>
      <c r="I69" s="73">
        <v>6.0</v>
      </c>
      <c r="J69" s="73">
        <v>7.0</v>
      </c>
      <c r="K69" s="73">
        <v>7.0</v>
      </c>
      <c r="L69" s="73">
        <v>4.0</v>
      </c>
      <c r="M69" s="73">
        <v>8.0</v>
      </c>
      <c r="N69" s="73">
        <v>9.0</v>
      </c>
      <c r="O69" s="73">
        <v>5.0</v>
      </c>
      <c r="P69" s="73">
        <v>5.0</v>
      </c>
      <c r="Q69" s="73">
        <v>30.0</v>
      </c>
      <c r="R69" s="73">
        <v>15.0</v>
      </c>
      <c r="S69" s="73">
        <v>7.0</v>
      </c>
      <c r="T69" s="73">
        <v>7.0</v>
      </c>
      <c r="U69" s="73">
        <v>10.0</v>
      </c>
      <c r="V69" s="73">
        <v>8.0</v>
      </c>
      <c r="W69" s="73">
        <v>3.0</v>
      </c>
      <c r="X69" s="73">
        <v>5.0</v>
      </c>
      <c r="Y69" s="73">
        <v>6.0</v>
      </c>
      <c r="Z69" s="73">
        <v>25.0</v>
      </c>
      <c r="AA69" s="73">
        <v>11.0</v>
      </c>
      <c r="AB69" s="73">
        <v>16.0</v>
      </c>
      <c r="AC69" s="73">
        <v>2.0</v>
      </c>
      <c r="AD69" s="13">
        <f t="shared" ref="AD69:AD78" si="18">SUM(E69:AC69)</f>
        <v>238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6.0</v>
      </c>
      <c r="F70" s="73">
        <v>3.0</v>
      </c>
      <c r="G70" s="73">
        <v>1.0</v>
      </c>
      <c r="H70" s="73">
        <v>2.0</v>
      </c>
      <c r="I70" s="73">
        <v>12.0</v>
      </c>
      <c r="J70" s="73">
        <v>2.0</v>
      </c>
      <c r="K70" s="73">
        <v>4.0</v>
      </c>
      <c r="L70" s="73">
        <v>1.0</v>
      </c>
      <c r="M70" s="73">
        <v>4.0</v>
      </c>
      <c r="N70" s="73">
        <v>0.0</v>
      </c>
      <c r="O70" s="73">
        <v>3.0</v>
      </c>
      <c r="P70" s="73">
        <v>3.0</v>
      </c>
      <c r="Q70" s="73">
        <v>6.0</v>
      </c>
      <c r="R70" s="73">
        <v>14.0</v>
      </c>
      <c r="S70" s="73">
        <v>13.0</v>
      </c>
      <c r="T70" s="73">
        <v>3.0</v>
      </c>
      <c r="U70" s="73">
        <v>7.0</v>
      </c>
      <c r="V70" s="73">
        <v>6.0</v>
      </c>
      <c r="W70" s="73">
        <v>8.0</v>
      </c>
      <c r="X70" s="73">
        <v>13.0</v>
      </c>
      <c r="Y70" s="73">
        <v>2.0</v>
      </c>
      <c r="Z70" s="73">
        <v>10.0</v>
      </c>
      <c r="AA70" s="73">
        <v>4.0</v>
      </c>
      <c r="AB70" s="73">
        <v>4.0</v>
      </c>
      <c r="AC70" s="73">
        <v>5.0</v>
      </c>
      <c r="AD70" s="13">
        <f t="shared" si="18"/>
        <v>136</v>
      </c>
    </row>
    <row r="71" ht="12.75" customHeight="1">
      <c r="A71" s="18"/>
      <c r="B71" s="49"/>
      <c r="C71" s="50" t="s">
        <v>61</v>
      </c>
      <c r="D71" s="51"/>
      <c r="E71" s="73">
        <v>14.0</v>
      </c>
      <c r="F71" s="73">
        <v>15.0</v>
      </c>
      <c r="G71" s="73">
        <v>19.0</v>
      </c>
      <c r="H71" s="73">
        <v>13.0</v>
      </c>
      <c r="I71" s="73">
        <v>17.0</v>
      </c>
      <c r="J71" s="73">
        <v>27.0</v>
      </c>
      <c r="K71" s="73">
        <v>53.0</v>
      </c>
      <c r="L71" s="73">
        <v>19.0</v>
      </c>
      <c r="M71" s="73">
        <v>32.0</v>
      </c>
      <c r="N71" s="73">
        <v>12.0</v>
      </c>
      <c r="O71" s="73">
        <v>13.0</v>
      </c>
      <c r="P71" s="73">
        <v>9.0</v>
      </c>
      <c r="Q71" s="73">
        <v>10.0</v>
      </c>
      <c r="R71" s="73">
        <v>6.0</v>
      </c>
      <c r="S71" s="73">
        <v>6.0</v>
      </c>
      <c r="T71" s="73">
        <v>9.0</v>
      </c>
      <c r="U71" s="73">
        <v>3.0</v>
      </c>
      <c r="V71" s="73">
        <v>9.0</v>
      </c>
      <c r="W71" s="73">
        <v>12.0</v>
      </c>
      <c r="X71" s="73">
        <v>8.0</v>
      </c>
      <c r="Y71" s="73">
        <v>14.0</v>
      </c>
      <c r="Z71" s="73">
        <v>11.0</v>
      </c>
      <c r="AA71" s="73">
        <v>23.0</v>
      </c>
      <c r="AB71" s="73">
        <v>12.0</v>
      </c>
      <c r="AC71" s="73">
        <v>11.0</v>
      </c>
      <c r="AD71" s="13">
        <f t="shared" si="18"/>
        <v>377</v>
      </c>
    </row>
    <row r="72" ht="12.75" customHeight="1">
      <c r="A72" s="18"/>
      <c r="B72" s="49"/>
      <c r="C72" s="50" t="s">
        <v>62</v>
      </c>
      <c r="D72" s="51"/>
      <c r="E72" s="73">
        <v>3.0</v>
      </c>
      <c r="F72" s="73">
        <v>9.0</v>
      </c>
      <c r="G72" s="73">
        <v>1.0</v>
      </c>
      <c r="H72" s="73">
        <v>3.0</v>
      </c>
      <c r="I72" s="73">
        <v>3.0</v>
      </c>
      <c r="J72" s="73">
        <v>1.0</v>
      </c>
      <c r="K72" s="73">
        <v>1.0</v>
      </c>
      <c r="L72" s="73">
        <v>2.0</v>
      </c>
      <c r="M72" s="73">
        <v>0.0</v>
      </c>
      <c r="N72" s="73">
        <v>2.0</v>
      </c>
      <c r="O72" s="73">
        <v>2.0</v>
      </c>
      <c r="P72" s="73">
        <v>2.0</v>
      </c>
      <c r="Q72" s="73">
        <v>2.0</v>
      </c>
      <c r="R72" s="73">
        <v>1.0</v>
      </c>
      <c r="S72" s="73">
        <v>0.0</v>
      </c>
      <c r="T72" s="73">
        <v>4.0</v>
      </c>
      <c r="U72" s="73">
        <v>3.0</v>
      </c>
      <c r="V72" s="73">
        <v>5.0</v>
      </c>
      <c r="W72" s="73">
        <v>3.0</v>
      </c>
      <c r="X72" s="73">
        <v>4.0</v>
      </c>
      <c r="Y72" s="73">
        <v>3.0</v>
      </c>
      <c r="Z72" s="73">
        <v>9.0</v>
      </c>
      <c r="AA72" s="73">
        <v>2.0</v>
      </c>
      <c r="AB72" s="73">
        <v>14.0</v>
      </c>
      <c r="AC72" s="73">
        <v>2.0</v>
      </c>
      <c r="AD72" s="13">
        <f t="shared" si="18"/>
        <v>81</v>
      </c>
    </row>
    <row r="73" ht="12.75" customHeight="1">
      <c r="A73" s="18"/>
      <c r="B73" s="49"/>
      <c r="C73" s="50" t="s">
        <v>63</v>
      </c>
      <c r="D73" s="51"/>
      <c r="E73" s="73">
        <v>3.0</v>
      </c>
      <c r="F73" s="73">
        <v>4.0</v>
      </c>
      <c r="G73" s="73">
        <v>1.0</v>
      </c>
      <c r="H73" s="73">
        <v>2.0</v>
      </c>
      <c r="I73" s="73">
        <v>14.0</v>
      </c>
      <c r="J73" s="73">
        <v>1.0</v>
      </c>
      <c r="K73" s="73">
        <v>0.0</v>
      </c>
      <c r="L73" s="73">
        <v>2.0</v>
      </c>
      <c r="M73" s="73">
        <v>1.0</v>
      </c>
      <c r="N73" s="73">
        <v>0.0</v>
      </c>
      <c r="O73" s="73">
        <v>3.0</v>
      </c>
      <c r="P73" s="73">
        <v>0.0</v>
      </c>
      <c r="Q73" s="73">
        <v>1.0</v>
      </c>
      <c r="R73" s="73">
        <v>1.0</v>
      </c>
      <c r="S73" s="73">
        <v>1.0</v>
      </c>
      <c r="T73" s="73">
        <v>0.0</v>
      </c>
      <c r="U73" s="73">
        <v>1.0</v>
      </c>
      <c r="V73" s="73">
        <v>0.0</v>
      </c>
      <c r="W73" s="73">
        <v>2.0</v>
      </c>
      <c r="X73" s="73">
        <v>2.0</v>
      </c>
      <c r="Y73" s="73">
        <v>2.0</v>
      </c>
      <c r="Z73" s="73">
        <v>3.0</v>
      </c>
      <c r="AA73" s="73">
        <v>0.0</v>
      </c>
      <c r="AB73" s="73">
        <v>0.0</v>
      </c>
      <c r="AC73" s="73">
        <v>0.0</v>
      </c>
      <c r="AD73" s="13">
        <f t="shared" si="18"/>
        <v>44</v>
      </c>
    </row>
    <row r="74" ht="12.75" customHeight="1">
      <c r="A74" s="18"/>
      <c r="B74" s="49"/>
      <c r="C74" s="50" t="s">
        <v>64</v>
      </c>
      <c r="D74" s="51"/>
      <c r="E74" s="73">
        <v>1.0</v>
      </c>
      <c r="F74" s="73">
        <v>1.0</v>
      </c>
      <c r="G74" s="73">
        <v>0.0</v>
      </c>
      <c r="H74" s="73">
        <v>1.0</v>
      </c>
      <c r="I74" s="73">
        <v>0.0</v>
      </c>
      <c r="J74" s="73">
        <v>0.0</v>
      </c>
      <c r="K74" s="73">
        <v>0.0</v>
      </c>
      <c r="L74" s="73">
        <v>0.0</v>
      </c>
      <c r="M74" s="73">
        <v>0.0</v>
      </c>
      <c r="N74" s="73">
        <v>0.0</v>
      </c>
      <c r="O74" s="73">
        <v>0.0</v>
      </c>
      <c r="P74" s="73">
        <v>1.0</v>
      </c>
      <c r="Q74" s="73">
        <v>3.0</v>
      </c>
      <c r="R74" s="73">
        <v>3.0</v>
      </c>
      <c r="S74" s="73">
        <v>1.0</v>
      </c>
      <c r="T74" s="73">
        <v>3.0</v>
      </c>
      <c r="U74" s="73">
        <v>2.0</v>
      </c>
      <c r="V74" s="73">
        <v>2.0</v>
      </c>
      <c r="W74" s="73">
        <v>0.0</v>
      </c>
      <c r="X74" s="73">
        <v>2.0</v>
      </c>
      <c r="Y74" s="73">
        <v>0.0</v>
      </c>
      <c r="Z74" s="73">
        <v>3.0</v>
      </c>
      <c r="AA74" s="73">
        <v>0.0</v>
      </c>
      <c r="AB74" s="73">
        <v>3.0</v>
      </c>
      <c r="AC74" s="73">
        <v>0.0</v>
      </c>
      <c r="AD74" s="13">
        <f t="shared" si="18"/>
        <v>26</v>
      </c>
    </row>
    <row r="75" ht="12.75" customHeight="1">
      <c r="A75" s="18"/>
      <c r="B75" s="49"/>
      <c r="C75" s="50" t="s">
        <v>65</v>
      </c>
      <c r="D75" s="51"/>
      <c r="E75" s="73">
        <v>1.0</v>
      </c>
      <c r="F75" s="73">
        <v>0.0</v>
      </c>
      <c r="G75" s="73">
        <v>1.0</v>
      </c>
      <c r="H75" s="73">
        <v>1.0</v>
      </c>
      <c r="I75" s="73">
        <v>2.0</v>
      </c>
      <c r="J75" s="73">
        <v>0.0</v>
      </c>
      <c r="K75" s="73">
        <v>1.0</v>
      </c>
      <c r="L75" s="73">
        <v>0.0</v>
      </c>
      <c r="M75" s="73">
        <v>1.0</v>
      </c>
      <c r="N75" s="73">
        <v>2.0</v>
      </c>
      <c r="O75" s="73">
        <v>1.0</v>
      </c>
      <c r="P75" s="73">
        <v>0.0</v>
      </c>
      <c r="Q75" s="73">
        <v>5.0</v>
      </c>
      <c r="R75" s="73">
        <v>2.0</v>
      </c>
      <c r="S75" s="73">
        <v>0.0</v>
      </c>
      <c r="T75" s="73">
        <v>2.0</v>
      </c>
      <c r="U75" s="73">
        <v>2.0</v>
      </c>
      <c r="V75" s="73">
        <v>0.0</v>
      </c>
      <c r="W75" s="73">
        <v>1.0</v>
      </c>
      <c r="X75" s="73">
        <v>1.0</v>
      </c>
      <c r="Y75" s="73">
        <v>1.0</v>
      </c>
      <c r="Z75" s="73">
        <v>0.0</v>
      </c>
      <c r="AA75" s="73">
        <v>1.0</v>
      </c>
      <c r="AB75" s="73">
        <v>2.0</v>
      </c>
      <c r="AC75" s="73">
        <v>0.0</v>
      </c>
      <c r="AD75" s="13">
        <f t="shared" si="18"/>
        <v>27</v>
      </c>
    </row>
    <row r="76" ht="12.75" customHeight="1">
      <c r="A76" s="79"/>
      <c r="B76" s="49"/>
      <c r="C76" s="50" t="s">
        <v>66</v>
      </c>
      <c r="D76" s="51"/>
      <c r="E76" s="80">
        <v>1.0</v>
      </c>
      <c r="F76" s="80">
        <v>0.0</v>
      </c>
      <c r="G76" s="80">
        <v>0.0</v>
      </c>
      <c r="H76" s="80">
        <v>0.0</v>
      </c>
      <c r="I76" s="80">
        <v>1.0</v>
      </c>
      <c r="J76" s="80">
        <v>0.0</v>
      </c>
      <c r="K76" s="80">
        <v>0.0</v>
      </c>
      <c r="L76" s="80">
        <v>0.0</v>
      </c>
      <c r="M76" s="80">
        <v>0.0</v>
      </c>
      <c r="N76" s="80">
        <v>0.0</v>
      </c>
      <c r="O76" s="80">
        <v>0.0</v>
      </c>
      <c r="P76" s="80">
        <v>0.0</v>
      </c>
      <c r="Q76" s="80">
        <v>0.0</v>
      </c>
      <c r="R76" s="80">
        <v>1.0</v>
      </c>
      <c r="S76" s="80">
        <v>0.0</v>
      </c>
      <c r="T76" s="80">
        <v>1.0</v>
      </c>
      <c r="U76" s="80">
        <v>0.0</v>
      </c>
      <c r="V76" s="80">
        <v>0.0</v>
      </c>
      <c r="W76" s="80">
        <v>0.0</v>
      </c>
      <c r="X76" s="80">
        <v>0.0</v>
      </c>
      <c r="Y76" s="80">
        <v>0.0</v>
      </c>
      <c r="Z76" s="80">
        <v>0.0</v>
      </c>
      <c r="AA76" s="80">
        <v>0.0</v>
      </c>
      <c r="AB76" s="80">
        <v>1.0</v>
      </c>
      <c r="AC76" s="80">
        <v>0.0</v>
      </c>
      <c r="AD76" s="13">
        <f t="shared" si="18"/>
        <v>5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1.0</v>
      </c>
      <c r="G77" s="80">
        <v>0.0</v>
      </c>
      <c r="H77" s="80">
        <v>0.0</v>
      </c>
      <c r="I77" s="80">
        <v>0.0</v>
      </c>
      <c r="J77" s="80">
        <v>0.0</v>
      </c>
      <c r="K77" s="80">
        <v>0.0</v>
      </c>
      <c r="L77" s="80">
        <v>0.0</v>
      </c>
      <c r="M77" s="80">
        <v>0.0</v>
      </c>
      <c r="N77" s="80">
        <v>0.0</v>
      </c>
      <c r="O77" s="80">
        <v>0.0</v>
      </c>
      <c r="P77" s="80">
        <v>0.0</v>
      </c>
      <c r="Q77" s="80">
        <v>0.0</v>
      </c>
      <c r="R77" s="80">
        <v>1.0</v>
      </c>
      <c r="S77" s="80">
        <v>0.0</v>
      </c>
      <c r="T77" s="80">
        <v>0.0</v>
      </c>
      <c r="U77" s="80">
        <v>1.0</v>
      </c>
      <c r="V77" s="80">
        <v>1.0</v>
      </c>
      <c r="W77" s="80">
        <v>0.0</v>
      </c>
      <c r="X77" s="80">
        <v>1.0</v>
      </c>
      <c r="Y77" s="80">
        <v>0.0</v>
      </c>
      <c r="Z77" s="80">
        <v>0.0</v>
      </c>
      <c r="AA77" s="80">
        <v>0.0</v>
      </c>
      <c r="AB77" s="80">
        <v>0.0</v>
      </c>
      <c r="AC77" s="80">
        <v>0.0</v>
      </c>
      <c r="AD77" s="13">
        <f t="shared" si="18"/>
        <v>5</v>
      </c>
    </row>
    <row r="78" ht="12.75" customHeight="1">
      <c r="A78" s="79"/>
      <c r="B78" s="49"/>
      <c r="C78" s="50" t="s">
        <v>68</v>
      </c>
      <c r="D78" s="51"/>
      <c r="E78" s="80">
        <v>1.0</v>
      </c>
      <c r="F78" s="80">
        <v>1.0</v>
      </c>
      <c r="G78" s="80">
        <v>0.0</v>
      </c>
      <c r="H78" s="80">
        <v>1.0</v>
      </c>
      <c r="I78" s="80">
        <v>1.0</v>
      </c>
      <c r="J78" s="80">
        <v>0.0</v>
      </c>
      <c r="K78" s="80">
        <v>0.0</v>
      </c>
      <c r="L78" s="80">
        <v>0.0</v>
      </c>
      <c r="M78" s="80">
        <v>0.0</v>
      </c>
      <c r="N78" s="80">
        <v>0.0</v>
      </c>
      <c r="O78" s="80">
        <v>0.0</v>
      </c>
      <c r="P78" s="80">
        <v>2.0</v>
      </c>
      <c r="Q78" s="80">
        <v>0.0</v>
      </c>
      <c r="R78" s="80">
        <v>1.0</v>
      </c>
      <c r="S78" s="80">
        <v>2.0</v>
      </c>
      <c r="T78" s="80">
        <v>0.0</v>
      </c>
      <c r="U78" s="80">
        <v>0.0</v>
      </c>
      <c r="V78" s="80">
        <v>0.0</v>
      </c>
      <c r="W78" s="80">
        <v>1.0</v>
      </c>
      <c r="X78" s="80">
        <v>1.0</v>
      </c>
      <c r="Y78" s="80">
        <v>1.0</v>
      </c>
      <c r="Z78" s="80">
        <v>3.0</v>
      </c>
      <c r="AA78" s="80">
        <v>0.0</v>
      </c>
      <c r="AB78" s="80">
        <v>0.0</v>
      </c>
      <c r="AC78" s="80">
        <v>2.0</v>
      </c>
      <c r="AD78" s="13">
        <f t="shared" si="18"/>
        <v>17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AD79" si="19">SUM(E69:E78)</f>
        <v>45</v>
      </c>
      <c r="F79" s="13">
        <f t="shared" si="19"/>
        <v>45</v>
      </c>
      <c r="G79" s="13">
        <f t="shared" si="19"/>
        <v>30</v>
      </c>
      <c r="H79" s="13">
        <f t="shared" si="19"/>
        <v>32</v>
      </c>
      <c r="I79" s="13">
        <f t="shared" si="19"/>
        <v>56</v>
      </c>
      <c r="J79" s="13">
        <f t="shared" si="19"/>
        <v>38</v>
      </c>
      <c r="K79" s="13">
        <f t="shared" si="19"/>
        <v>66</v>
      </c>
      <c r="L79" s="13">
        <f t="shared" si="19"/>
        <v>28</v>
      </c>
      <c r="M79" s="13">
        <f t="shared" si="19"/>
        <v>46</v>
      </c>
      <c r="N79" s="13">
        <f t="shared" si="19"/>
        <v>25</v>
      </c>
      <c r="O79" s="13">
        <f t="shared" si="19"/>
        <v>27</v>
      </c>
      <c r="P79" s="13">
        <f t="shared" si="19"/>
        <v>22</v>
      </c>
      <c r="Q79" s="13">
        <f t="shared" si="19"/>
        <v>57</v>
      </c>
      <c r="R79" s="13">
        <f t="shared" si="19"/>
        <v>45</v>
      </c>
      <c r="S79" s="13">
        <f t="shared" si="19"/>
        <v>30</v>
      </c>
      <c r="T79" s="13">
        <f t="shared" si="19"/>
        <v>29</v>
      </c>
      <c r="U79" s="13">
        <f t="shared" si="19"/>
        <v>29</v>
      </c>
      <c r="V79" s="13">
        <f t="shared" si="19"/>
        <v>31</v>
      </c>
      <c r="W79" s="13">
        <f t="shared" si="19"/>
        <v>30</v>
      </c>
      <c r="X79" s="13">
        <f t="shared" si="19"/>
        <v>37</v>
      </c>
      <c r="Y79" s="13">
        <f t="shared" si="19"/>
        <v>29</v>
      </c>
      <c r="Z79" s="13">
        <f t="shared" si="19"/>
        <v>64</v>
      </c>
      <c r="AA79" s="13">
        <f t="shared" si="19"/>
        <v>41</v>
      </c>
      <c r="AB79" s="13">
        <f t="shared" si="19"/>
        <v>52</v>
      </c>
      <c r="AC79" s="13">
        <f t="shared" si="19"/>
        <v>22</v>
      </c>
      <c r="AD79" s="13">
        <f t="shared" si="19"/>
        <v>956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3.0</v>
      </c>
      <c r="F81" s="73">
        <v>3.0</v>
      </c>
      <c r="G81" s="73">
        <v>1.0</v>
      </c>
      <c r="H81" s="73">
        <v>3.0</v>
      </c>
      <c r="I81" s="73">
        <v>7.0</v>
      </c>
      <c r="J81" s="73">
        <v>0.0</v>
      </c>
      <c r="K81" s="73">
        <v>0.0</v>
      </c>
      <c r="L81" s="73">
        <v>3.0</v>
      </c>
      <c r="M81" s="73">
        <v>3.0</v>
      </c>
      <c r="N81" s="73">
        <v>1.0</v>
      </c>
      <c r="O81" s="73">
        <v>1.0</v>
      </c>
      <c r="P81" s="73">
        <v>6.0</v>
      </c>
      <c r="Q81" s="73">
        <v>4.0</v>
      </c>
      <c r="R81" s="73">
        <v>1.0</v>
      </c>
      <c r="S81" s="73">
        <v>6.0</v>
      </c>
      <c r="T81" s="73">
        <v>6.0</v>
      </c>
      <c r="U81" s="73">
        <v>8.0</v>
      </c>
      <c r="V81" s="73">
        <v>1.0</v>
      </c>
      <c r="W81" s="73">
        <v>5.0</v>
      </c>
      <c r="X81" s="73">
        <v>6.0</v>
      </c>
      <c r="Y81" s="73">
        <v>9.0</v>
      </c>
      <c r="Z81" s="73">
        <v>1.0</v>
      </c>
      <c r="AA81" s="73">
        <v>0.0</v>
      </c>
      <c r="AB81" s="73">
        <v>6.0</v>
      </c>
      <c r="AC81" s="73">
        <v>4.0</v>
      </c>
      <c r="AD81" s="13">
        <f t="shared" ref="AD81:AD90" si="20">SUM(E81:AC81)</f>
        <v>88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1.0</v>
      </c>
      <c r="F82" s="73">
        <v>1.0</v>
      </c>
      <c r="G82" s="73">
        <v>3.0</v>
      </c>
      <c r="H82" s="73">
        <v>1.0</v>
      </c>
      <c r="I82" s="73">
        <v>2.0</v>
      </c>
      <c r="J82" s="73">
        <v>0.0</v>
      </c>
      <c r="K82" s="73">
        <v>0.0</v>
      </c>
      <c r="L82" s="73">
        <v>1.0</v>
      </c>
      <c r="M82" s="73">
        <v>1.0</v>
      </c>
      <c r="N82" s="73">
        <v>0.0</v>
      </c>
      <c r="O82" s="73">
        <v>2.0</v>
      </c>
      <c r="P82" s="73">
        <v>2.0</v>
      </c>
      <c r="Q82" s="73">
        <v>0.0</v>
      </c>
      <c r="R82" s="73">
        <v>0.0</v>
      </c>
      <c r="S82" s="73">
        <v>3.0</v>
      </c>
      <c r="T82" s="73">
        <v>4.0</v>
      </c>
      <c r="U82" s="73">
        <v>6.0</v>
      </c>
      <c r="V82" s="73">
        <v>4.0</v>
      </c>
      <c r="W82" s="73">
        <v>0.0</v>
      </c>
      <c r="X82" s="73">
        <v>1.0</v>
      </c>
      <c r="Y82" s="73">
        <v>0.0</v>
      </c>
      <c r="Z82" s="73">
        <v>2.0</v>
      </c>
      <c r="AA82" s="73">
        <v>4.0</v>
      </c>
      <c r="AB82" s="73">
        <v>1.0</v>
      </c>
      <c r="AC82" s="73">
        <v>2.0</v>
      </c>
      <c r="AD82" s="13">
        <f t="shared" si="20"/>
        <v>41</v>
      </c>
    </row>
    <row r="83" ht="12.75" customHeight="1">
      <c r="A83" s="18"/>
      <c r="B83" s="49"/>
      <c r="C83" s="50" t="s">
        <v>71</v>
      </c>
      <c r="D83" s="51"/>
      <c r="E83" s="73">
        <v>2.0</v>
      </c>
      <c r="F83" s="73">
        <v>1.0</v>
      </c>
      <c r="G83" s="73">
        <v>0.0</v>
      </c>
      <c r="H83" s="73">
        <v>1.0</v>
      </c>
      <c r="I83" s="73">
        <v>0.0</v>
      </c>
      <c r="J83" s="73">
        <v>0.0</v>
      </c>
      <c r="K83" s="73">
        <v>1.0</v>
      </c>
      <c r="L83" s="73">
        <v>2.0</v>
      </c>
      <c r="M83" s="73">
        <v>1.0</v>
      </c>
      <c r="N83" s="73">
        <v>1.0</v>
      </c>
      <c r="O83" s="73">
        <v>2.0</v>
      </c>
      <c r="P83" s="73">
        <v>1.0</v>
      </c>
      <c r="Q83" s="73">
        <v>0.0</v>
      </c>
      <c r="R83" s="73">
        <v>0.0</v>
      </c>
      <c r="S83" s="73">
        <v>0.0</v>
      </c>
      <c r="T83" s="73">
        <v>0.0</v>
      </c>
      <c r="U83" s="73">
        <v>0.0</v>
      </c>
      <c r="V83" s="73">
        <v>2.0</v>
      </c>
      <c r="W83" s="73">
        <v>1.0</v>
      </c>
      <c r="X83" s="73">
        <v>1.0</v>
      </c>
      <c r="Y83" s="73">
        <v>1.0</v>
      </c>
      <c r="Z83" s="73">
        <v>1.0</v>
      </c>
      <c r="AA83" s="73">
        <v>0.0</v>
      </c>
      <c r="AB83" s="73">
        <v>1.0</v>
      </c>
      <c r="AC83" s="73">
        <v>0.0</v>
      </c>
      <c r="AD83" s="13">
        <f t="shared" si="20"/>
        <v>19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0.0</v>
      </c>
      <c r="G84" s="73">
        <v>0.0</v>
      </c>
      <c r="H84" s="73">
        <v>1.0</v>
      </c>
      <c r="I84" s="73">
        <v>0.0</v>
      </c>
      <c r="J84" s="73">
        <v>0.0</v>
      </c>
      <c r="K84" s="73">
        <v>0.0</v>
      </c>
      <c r="L84" s="73">
        <v>0.0</v>
      </c>
      <c r="M84" s="73">
        <v>1.0</v>
      </c>
      <c r="N84" s="73">
        <v>0.0</v>
      </c>
      <c r="O84" s="73">
        <v>2.0</v>
      </c>
      <c r="P84" s="73">
        <v>1.0</v>
      </c>
      <c r="Q84" s="73">
        <v>0.0</v>
      </c>
      <c r="R84" s="73">
        <v>1.0</v>
      </c>
      <c r="S84" s="73">
        <v>1.0</v>
      </c>
      <c r="T84" s="73">
        <v>1.0</v>
      </c>
      <c r="U84" s="73">
        <v>1.0</v>
      </c>
      <c r="V84" s="73">
        <v>0.0</v>
      </c>
      <c r="W84" s="73">
        <v>0.0</v>
      </c>
      <c r="X84" s="73">
        <v>0.0</v>
      </c>
      <c r="Y84" s="73">
        <v>0.0</v>
      </c>
      <c r="Z84" s="73">
        <v>0.0</v>
      </c>
      <c r="AA84" s="73">
        <v>0.0</v>
      </c>
      <c r="AB84" s="73">
        <v>1.0</v>
      </c>
      <c r="AC84" s="73">
        <v>0.0</v>
      </c>
      <c r="AD84" s="13">
        <f t="shared" si="20"/>
        <v>10</v>
      </c>
    </row>
    <row r="85" ht="12.75" customHeight="1">
      <c r="A85" s="18"/>
      <c r="B85" s="49"/>
      <c r="C85" s="50" t="s">
        <v>73</v>
      </c>
      <c r="D85" s="51"/>
      <c r="E85" s="73">
        <v>1.0</v>
      </c>
      <c r="F85" s="73">
        <v>1.0</v>
      </c>
      <c r="G85" s="73">
        <v>0.0</v>
      </c>
      <c r="H85" s="73">
        <v>1.0</v>
      </c>
      <c r="I85" s="73">
        <v>4.0</v>
      </c>
      <c r="J85" s="73">
        <v>0.0</v>
      </c>
      <c r="K85" s="73">
        <v>2.0</v>
      </c>
      <c r="L85" s="73">
        <v>3.0</v>
      </c>
      <c r="M85" s="73">
        <v>0.0</v>
      </c>
      <c r="N85" s="73">
        <v>1.0</v>
      </c>
      <c r="O85" s="73">
        <v>0.0</v>
      </c>
      <c r="P85" s="73">
        <v>1.0</v>
      </c>
      <c r="Q85" s="73">
        <v>2.0</v>
      </c>
      <c r="R85" s="73">
        <v>0.0</v>
      </c>
      <c r="S85" s="73">
        <v>0.0</v>
      </c>
      <c r="T85" s="73">
        <v>1.0</v>
      </c>
      <c r="U85" s="73">
        <v>1.0</v>
      </c>
      <c r="V85" s="73">
        <v>1.0</v>
      </c>
      <c r="W85" s="73">
        <v>3.0</v>
      </c>
      <c r="X85" s="73">
        <v>3.0</v>
      </c>
      <c r="Y85" s="73">
        <v>3.0</v>
      </c>
      <c r="Z85" s="73">
        <v>1.0</v>
      </c>
      <c r="AA85" s="73">
        <v>0.0</v>
      </c>
      <c r="AB85" s="73">
        <v>2.0</v>
      </c>
      <c r="AC85" s="73">
        <v>0.0</v>
      </c>
      <c r="AD85" s="13">
        <f t="shared" si="20"/>
        <v>31</v>
      </c>
    </row>
    <row r="86" ht="12.75" customHeight="1">
      <c r="A86" s="18"/>
      <c r="B86" s="49"/>
      <c r="C86" s="50" t="s">
        <v>74</v>
      </c>
      <c r="D86" s="51"/>
      <c r="E86" s="73">
        <v>0.0</v>
      </c>
      <c r="F86" s="73">
        <v>1.0</v>
      </c>
      <c r="G86" s="73">
        <v>1.0</v>
      </c>
      <c r="H86" s="73">
        <v>0.0</v>
      </c>
      <c r="I86" s="73">
        <v>0.0</v>
      </c>
      <c r="J86" s="73">
        <v>0.0</v>
      </c>
      <c r="K86" s="73">
        <v>2.0</v>
      </c>
      <c r="L86" s="73">
        <v>0.0</v>
      </c>
      <c r="M86" s="73">
        <v>1.0</v>
      </c>
      <c r="N86" s="73">
        <v>1.0</v>
      </c>
      <c r="O86" s="73">
        <v>1.0</v>
      </c>
      <c r="P86" s="73">
        <v>0.0</v>
      </c>
      <c r="Q86" s="73">
        <v>2.0</v>
      </c>
      <c r="R86" s="73">
        <v>2.0</v>
      </c>
      <c r="S86" s="73">
        <v>1.0</v>
      </c>
      <c r="T86" s="73">
        <v>0.0</v>
      </c>
      <c r="U86" s="73">
        <v>0.0</v>
      </c>
      <c r="V86" s="73">
        <v>0.0</v>
      </c>
      <c r="W86" s="73">
        <v>0.0</v>
      </c>
      <c r="X86" s="73">
        <v>1.0</v>
      </c>
      <c r="Y86" s="73">
        <v>4.0</v>
      </c>
      <c r="Z86" s="73">
        <v>2.0</v>
      </c>
      <c r="AA86" s="73">
        <v>0.0</v>
      </c>
      <c r="AB86" s="73">
        <v>0.0</v>
      </c>
      <c r="AC86" s="73">
        <v>5.0</v>
      </c>
      <c r="AD86" s="13">
        <f t="shared" si="20"/>
        <v>24</v>
      </c>
    </row>
    <row r="87" ht="12.75" customHeight="1">
      <c r="A87" s="18"/>
      <c r="B87" s="49"/>
      <c r="C87" s="50" t="s">
        <v>75</v>
      </c>
      <c r="D87" s="51"/>
      <c r="E87" s="73">
        <v>1.0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1.0</v>
      </c>
      <c r="R87" s="73">
        <v>1.0</v>
      </c>
      <c r="S87" s="73">
        <v>0.0</v>
      </c>
      <c r="T87" s="73">
        <v>1.0</v>
      </c>
      <c r="U87" s="73">
        <v>1.0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73">
        <v>0.0</v>
      </c>
      <c r="AC87" s="73">
        <v>1.0</v>
      </c>
      <c r="AD87" s="13">
        <f t="shared" si="20"/>
        <v>6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0.0</v>
      </c>
      <c r="L88" s="80">
        <v>0.0</v>
      </c>
      <c r="M88" s="80">
        <v>0.0</v>
      </c>
      <c r="N88" s="80">
        <v>0.0</v>
      </c>
      <c r="O88" s="80">
        <v>0.0</v>
      </c>
      <c r="P88" s="80">
        <v>0.0</v>
      </c>
      <c r="Q88" s="80">
        <v>1.0</v>
      </c>
      <c r="R88" s="80">
        <v>0.0</v>
      </c>
      <c r="S88" s="80">
        <v>0.0</v>
      </c>
      <c r="T88" s="80">
        <v>0.0</v>
      </c>
      <c r="U88" s="80">
        <v>0.0</v>
      </c>
      <c r="V88" s="80">
        <v>0.0</v>
      </c>
      <c r="W88" s="80">
        <v>0.0</v>
      </c>
      <c r="X88" s="80">
        <v>0.0</v>
      </c>
      <c r="Y88" s="80">
        <v>0.0</v>
      </c>
      <c r="Z88" s="80">
        <v>0.0</v>
      </c>
      <c r="AA88" s="80">
        <v>2.0</v>
      </c>
      <c r="AB88" s="80">
        <v>0.0</v>
      </c>
      <c r="AC88" s="80">
        <v>0.0</v>
      </c>
      <c r="AD88" s="13">
        <f t="shared" si="20"/>
        <v>3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0.0</v>
      </c>
      <c r="N89" s="80">
        <v>0.0</v>
      </c>
      <c r="O89" s="80">
        <v>0.0</v>
      </c>
      <c r="P89" s="80">
        <v>0.0</v>
      </c>
      <c r="Q89" s="80">
        <v>0.0</v>
      </c>
      <c r="R89" s="80">
        <v>0.0</v>
      </c>
      <c r="S89" s="80">
        <v>0.0</v>
      </c>
      <c r="T89" s="80">
        <v>0.0</v>
      </c>
      <c r="U89" s="80">
        <v>0.0</v>
      </c>
      <c r="V89" s="80">
        <v>0.0</v>
      </c>
      <c r="W89" s="80">
        <v>0.0</v>
      </c>
      <c r="X89" s="80">
        <v>1.0</v>
      </c>
      <c r="Y89" s="80">
        <v>0.0</v>
      </c>
      <c r="Z89" s="80">
        <v>0.0</v>
      </c>
      <c r="AA89" s="80">
        <v>1.0</v>
      </c>
      <c r="AB89" s="80">
        <v>0.0</v>
      </c>
      <c r="AC89" s="80">
        <v>0.0</v>
      </c>
      <c r="AD89" s="13">
        <f t="shared" si="20"/>
        <v>2</v>
      </c>
    </row>
    <row r="90" ht="12.75" customHeight="1">
      <c r="A90" s="79"/>
      <c r="B90" s="49"/>
      <c r="C90" s="50" t="s">
        <v>78</v>
      </c>
      <c r="D90" s="51"/>
      <c r="E90" s="80">
        <v>1.0</v>
      </c>
      <c r="F90" s="80">
        <v>0.0</v>
      </c>
      <c r="G90" s="80">
        <v>1.0</v>
      </c>
      <c r="H90" s="80">
        <v>1.0</v>
      </c>
      <c r="I90" s="80">
        <v>0.0</v>
      </c>
      <c r="J90" s="80">
        <v>0.0</v>
      </c>
      <c r="K90" s="80">
        <v>0.0</v>
      </c>
      <c r="L90" s="80">
        <v>0.0</v>
      </c>
      <c r="M90" s="80">
        <v>0.0</v>
      </c>
      <c r="N90" s="80">
        <v>0.0</v>
      </c>
      <c r="O90" s="80">
        <v>0.0</v>
      </c>
      <c r="P90" s="80">
        <v>0.0</v>
      </c>
      <c r="Q90" s="80">
        <v>0.0</v>
      </c>
      <c r="R90" s="80">
        <v>0.0</v>
      </c>
      <c r="S90" s="80">
        <v>0.0</v>
      </c>
      <c r="T90" s="80">
        <v>0.0</v>
      </c>
      <c r="U90" s="80">
        <v>0.0</v>
      </c>
      <c r="V90" s="80">
        <v>0.0</v>
      </c>
      <c r="W90" s="80">
        <v>0.0</v>
      </c>
      <c r="X90" s="80">
        <v>2.0</v>
      </c>
      <c r="Y90" s="80">
        <v>0.0</v>
      </c>
      <c r="Z90" s="80">
        <v>0.0</v>
      </c>
      <c r="AA90" s="80">
        <v>2.0</v>
      </c>
      <c r="AB90" s="80">
        <v>0.0</v>
      </c>
      <c r="AC90" s="80">
        <v>0.0</v>
      </c>
      <c r="AD90" s="13">
        <f t="shared" si="20"/>
        <v>7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AD91" si="21">SUM(E81:E90)</f>
        <v>9</v>
      </c>
      <c r="F91" s="13">
        <f t="shared" si="21"/>
        <v>7</v>
      </c>
      <c r="G91" s="13">
        <f t="shared" si="21"/>
        <v>6</v>
      </c>
      <c r="H91" s="13">
        <f t="shared" si="21"/>
        <v>8</v>
      </c>
      <c r="I91" s="13">
        <f t="shared" si="21"/>
        <v>13</v>
      </c>
      <c r="J91" s="13">
        <f t="shared" si="21"/>
        <v>0</v>
      </c>
      <c r="K91" s="13">
        <f t="shared" si="21"/>
        <v>5</v>
      </c>
      <c r="L91" s="13">
        <f t="shared" si="21"/>
        <v>9</v>
      </c>
      <c r="M91" s="13">
        <f t="shared" si="21"/>
        <v>7</v>
      </c>
      <c r="N91" s="13">
        <f t="shared" si="21"/>
        <v>4</v>
      </c>
      <c r="O91" s="13">
        <f t="shared" si="21"/>
        <v>8</v>
      </c>
      <c r="P91" s="13">
        <f t="shared" si="21"/>
        <v>11</v>
      </c>
      <c r="Q91" s="13">
        <f t="shared" si="21"/>
        <v>10</v>
      </c>
      <c r="R91" s="13">
        <f t="shared" si="21"/>
        <v>5</v>
      </c>
      <c r="S91" s="13">
        <f t="shared" si="21"/>
        <v>11</v>
      </c>
      <c r="T91" s="13">
        <f t="shared" si="21"/>
        <v>13</v>
      </c>
      <c r="U91" s="13">
        <f t="shared" si="21"/>
        <v>17</v>
      </c>
      <c r="V91" s="13">
        <f t="shared" si="21"/>
        <v>8</v>
      </c>
      <c r="W91" s="13">
        <f t="shared" si="21"/>
        <v>9</v>
      </c>
      <c r="X91" s="13">
        <f t="shared" si="21"/>
        <v>15</v>
      </c>
      <c r="Y91" s="13">
        <f t="shared" si="21"/>
        <v>17</v>
      </c>
      <c r="Z91" s="13">
        <f t="shared" si="21"/>
        <v>7</v>
      </c>
      <c r="AA91" s="13">
        <f t="shared" si="21"/>
        <v>9</v>
      </c>
      <c r="AB91" s="13">
        <f t="shared" si="21"/>
        <v>11</v>
      </c>
      <c r="AC91" s="13">
        <f t="shared" si="21"/>
        <v>12</v>
      </c>
      <c r="AD91" s="13">
        <f t="shared" si="21"/>
        <v>231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5.0</v>
      </c>
      <c r="F93" s="73">
        <v>2.0</v>
      </c>
      <c r="G93" s="73">
        <v>1.0</v>
      </c>
      <c r="H93" s="73">
        <v>2.0</v>
      </c>
      <c r="I93" s="73">
        <v>5.0</v>
      </c>
      <c r="J93" s="73">
        <v>3.0</v>
      </c>
      <c r="K93" s="73">
        <v>3.0</v>
      </c>
      <c r="L93" s="73">
        <v>3.0</v>
      </c>
      <c r="M93" s="73">
        <v>0.0</v>
      </c>
      <c r="N93" s="73">
        <v>0.0</v>
      </c>
      <c r="O93" s="73">
        <v>2.0</v>
      </c>
      <c r="P93" s="73">
        <v>1.0</v>
      </c>
      <c r="Q93" s="73">
        <v>2.0</v>
      </c>
      <c r="R93" s="73">
        <v>0.0</v>
      </c>
      <c r="S93" s="73">
        <v>1.0</v>
      </c>
      <c r="T93" s="73">
        <v>1.0</v>
      </c>
      <c r="U93" s="73">
        <v>0.0</v>
      </c>
      <c r="V93" s="73">
        <v>3.0</v>
      </c>
      <c r="W93" s="73">
        <v>3.0</v>
      </c>
      <c r="X93" s="73">
        <v>3.0</v>
      </c>
      <c r="Y93" s="73">
        <v>6.0</v>
      </c>
      <c r="Z93" s="73">
        <v>7.0</v>
      </c>
      <c r="AA93" s="73">
        <v>1.0</v>
      </c>
      <c r="AB93" s="73">
        <v>3.0</v>
      </c>
      <c r="AC93" s="73">
        <v>2.0</v>
      </c>
      <c r="AD93" s="13">
        <f t="shared" ref="AD93:AD102" si="22">SUM(E93:AC93)</f>
        <v>59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1.0</v>
      </c>
      <c r="F94" s="73">
        <v>0.0</v>
      </c>
      <c r="G94" s="73">
        <v>8.0</v>
      </c>
      <c r="H94" s="73">
        <v>4.0</v>
      </c>
      <c r="I94" s="73">
        <v>3.0</v>
      </c>
      <c r="J94" s="73">
        <v>6.0</v>
      </c>
      <c r="K94" s="73">
        <v>1.0</v>
      </c>
      <c r="L94" s="73">
        <v>0.0</v>
      </c>
      <c r="M94" s="73">
        <v>0.0</v>
      </c>
      <c r="N94" s="73">
        <v>1.0</v>
      </c>
      <c r="O94" s="73">
        <v>1.0</v>
      </c>
      <c r="P94" s="73">
        <v>1.0</v>
      </c>
      <c r="Q94" s="73">
        <v>1.0</v>
      </c>
      <c r="R94" s="73">
        <v>3.0</v>
      </c>
      <c r="S94" s="73">
        <v>0.0</v>
      </c>
      <c r="T94" s="73">
        <v>3.0</v>
      </c>
      <c r="U94" s="73">
        <v>3.0</v>
      </c>
      <c r="V94" s="73">
        <v>3.0</v>
      </c>
      <c r="W94" s="73">
        <v>3.0</v>
      </c>
      <c r="X94" s="73">
        <v>0.0</v>
      </c>
      <c r="Y94" s="73">
        <v>1.0</v>
      </c>
      <c r="Z94" s="73">
        <v>11.0</v>
      </c>
      <c r="AA94" s="73">
        <v>1.0</v>
      </c>
      <c r="AB94" s="73">
        <v>1.0</v>
      </c>
      <c r="AC94" s="73">
        <v>1.0</v>
      </c>
      <c r="AD94" s="13">
        <f t="shared" si="22"/>
        <v>57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1.0</v>
      </c>
      <c r="G95" s="73">
        <v>0.0</v>
      </c>
      <c r="H95" s="73">
        <v>0.0</v>
      </c>
      <c r="I95" s="73">
        <v>0.0</v>
      </c>
      <c r="J95" s="73">
        <v>0.0</v>
      </c>
      <c r="K95" s="73">
        <v>1.0</v>
      </c>
      <c r="L95" s="73">
        <v>0.0</v>
      </c>
      <c r="M95" s="73">
        <v>0.0</v>
      </c>
      <c r="N95" s="73">
        <v>0.0</v>
      </c>
      <c r="O95" s="73">
        <v>1.0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1.0</v>
      </c>
      <c r="Z95" s="73">
        <v>0.0</v>
      </c>
      <c r="AA95" s="73">
        <v>0.0</v>
      </c>
      <c r="AB95" s="73">
        <v>0.0</v>
      </c>
      <c r="AC95" s="73">
        <v>0.0</v>
      </c>
      <c r="AD95" s="13">
        <f t="shared" si="22"/>
        <v>4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1.0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1.0</v>
      </c>
      <c r="U96" s="73">
        <v>0.0</v>
      </c>
      <c r="V96" s="73">
        <v>1.0</v>
      </c>
      <c r="W96" s="73">
        <v>1.0</v>
      </c>
      <c r="X96" s="73">
        <v>0.0</v>
      </c>
      <c r="Y96" s="73">
        <v>0.0</v>
      </c>
      <c r="Z96" s="73">
        <v>1.0</v>
      </c>
      <c r="AA96" s="73">
        <v>1.0</v>
      </c>
      <c r="AB96" s="73">
        <v>0.0</v>
      </c>
      <c r="AC96" s="73">
        <v>1.0</v>
      </c>
      <c r="AD96" s="13">
        <f t="shared" si="22"/>
        <v>7</v>
      </c>
    </row>
    <row r="97" ht="12.75" customHeight="1">
      <c r="A97" s="18"/>
      <c r="B97" s="49"/>
      <c r="C97" s="50" t="s">
        <v>84</v>
      </c>
      <c r="D97" s="56"/>
      <c r="E97" s="73">
        <v>1.0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1.0</v>
      </c>
      <c r="U97" s="73">
        <v>0.0</v>
      </c>
      <c r="V97" s="73">
        <v>1.0</v>
      </c>
      <c r="W97" s="73">
        <v>0.0</v>
      </c>
      <c r="X97" s="73">
        <v>1.0</v>
      </c>
      <c r="Y97" s="73">
        <v>0.0</v>
      </c>
      <c r="Z97" s="73">
        <v>1.0</v>
      </c>
      <c r="AA97" s="73">
        <v>2.0</v>
      </c>
      <c r="AB97" s="73">
        <v>0.0</v>
      </c>
      <c r="AC97" s="73">
        <v>1.0</v>
      </c>
      <c r="AD97" s="13">
        <f t="shared" si="22"/>
        <v>8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1.0</v>
      </c>
      <c r="H98" s="73">
        <v>0.0</v>
      </c>
      <c r="I98" s="73">
        <v>1.0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1.0</v>
      </c>
      <c r="R98" s="73">
        <v>3.0</v>
      </c>
      <c r="S98" s="73">
        <v>0.0</v>
      </c>
      <c r="T98" s="73">
        <v>1.0</v>
      </c>
      <c r="U98" s="73">
        <v>0.0</v>
      </c>
      <c r="V98" s="73">
        <v>0.0</v>
      </c>
      <c r="W98" s="73">
        <v>0.0</v>
      </c>
      <c r="X98" s="73">
        <v>1.0</v>
      </c>
      <c r="Y98" s="73">
        <v>2.0</v>
      </c>
      <c r="Z98" s="73">
        <v>5.0</v>
      </c>
      <c r="AA98" s="73">
        <v>0.0</v>
      </c>
      <c r="AB98" s="73">
        <v>0.0</v>
      </c>
      <c r="AC98" s="73">
        <v>0.0</v>
      </c>
      <c r="AD98" s="13">
        <f t="shared" si="22"/>
        <v>15</v>
      </c>
    </row>
    <row r="99" ht="12.75" customHeight="1">
      <c r="A99" s="18"/>
      <c r="B99" s="49"/>
      <c r="C99" s="50" t="s">
        <v>86</v>
      </c>
      <c r="D99" s="51"/>
      <c r="E99" s="73">
        <v>1.0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2.0</v>
      </c>
      <c r="AA99" s="73">
        <v>0.0</v>
      </c>
      <c r="AB99" s="73">
        <v>0.0</v>
      </c>
      <c r="AC99" s="73">
        <v>0.0</v>
      </c>
      <c r="AD99" s="13">
        <f t="shared" si="22"/>
        <v>3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1.0</v>
      </c>
      <c r="T100" s="80">
        <v>0.0</v>
      </c>
      <c r="U100" s="80">
        <v>0.0</v>
      </c>
      <c r="V100" s="80">
        <v>0.0</v>
      </c>
      <c r="W100" s="80">
        <v>0.0</v>
      </c>
      <c r="X100" s="80">
        <v>0.0</v>
      </c>
      <c r="Y100" s="80">
        <v>0.0</v>
      </c>
      <c r="Z100" s="80">
        <v>0.0</v>
      </c>
      <c r="AA100" s="80">
        <v>0.0</v>
      </c>
      <c r="AB100" s="80">
        <v>0.0</v>
      </c>
      <c r="AC100" s="80">
        <v>0.0</v>
      </c>
      <c r="AD100" s="13">
        <f t="shared" si="22"/>
        <v>1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1.0</v>
      </c>
      <c r="J101" s="80">
        <v>0.0</v>
      </c>
      <c r="K101" s="80">
        <v>0.0</v>
      </c>
      <c r="L101" s="80">
        <v>0.0</v>
      </c>
      <c r="M101" s="80">
        <v>0.0</v>
      </c>
      <c r="N101" s="80">
        <v>1.0</v>
      </c>
      <c r="O101" s="80">
        <v>0.0</v>
      </c>
      <c r="P101" s="80">
        <v>0.0</v>
      </c>
      <c r="Q101" s="80">
        <v>0.0</v>
      </c>
      <c r="R101" s="80">
        <v>0.0</v>
      </c>
      <c r="S101" s="80">
        <v>0.0</v>
      </c>
      <c r="T101" s="80">
        <v>0.0</v>
      </c>
      <c r="U101" s="80">
        <v>0.0</v>
      </c>
      <c r="V101" s="80">
        <v>0.0</v>
      </c>
      <c r="W101" s="80">
        <v>0.0</v>
      </c>
      <c r="X101" s="80">
        <v>0.0</v>
      </c>
      <c r="Y101" s="80">
        <v>0.0</v>
      </c>
      <c r="Z101" s="80">
        <v>1.0</v>
      </c>
      <c r="AA101" s="80">
        <v>0.0</v>
      </c>
      <c r="AB101" s="80">
        <v>0.0</v>
      </c>
      <c r="AC101" s="80">
        <v>0.0</v>
      </c>
      <c r="AD101" s="13">
        <f t="shared" si="22"/>
        <v>3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1.0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80">
        <v>0.0</v>
      </c>
      <c r="V102" s="80">
        <v>0.0</v>
      </c>
      <c r="W102" s="80">
        <v>0.0</v>
      </c>
      <c r="X102" s="80">
        <v>0.0</v>
      </c>
      <c r="Y102" s="80">
        <v>0.0</v>
      </c>
      <c r="Z102" s="80">
        <v>0.0</v>
      </c>
      <c r="AA102" s="80">
        <v>0.0</v>
      </c>
      <c r="AB102" s="80">
        <v>0.0</v>
      </c>
      <c r="AC102" s="80">
        <v>0.0</v>
      </c>
      <c r="AD102" s="13">
        <f t="shared" si="22"/>
        <v>1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AD103" si="23">SUM(E93:E102)</f>
        <v>8</v>
      </c>
      <c r="F103" s="13">
        <f t="shared" si="23"/>
        <v>3</v>
      </c>
      <c r="G103" s="13">
        <f t="shared" si="23"/>
        <v>10</v>
      </c>
      <c r="H103" s="13">
        <f t="shared" si="23"/>
        <v>6</v>
      </c>
      <c r="I103" s="13">
        <f t="shared" si="23"/>
        <v>10</v>
      </c>
      <c r="J103" s="13">
        <f t="shared" si="23"/>
        <v>11</v>
      </c>
      <c r="K103" s="13">
        <f t="shared" si="23"/>
        <v>5</v>
      </c>
      <c r="L103" s="13">
        <f t="shared" si="23"/>
        <v>3</v>
      </c>
      <c r="M103" s="13">
        <f t="shared" si="23"/>
        <v>0</v>
      </c>
      <c r="N103" s="13">
        <f t="shared" si="23"/>
        <v>2</v>
      </c>
      <c r="O103" s="13">
        <f t="shared" si="23"/>
        <v>4</v>
      </c>
      <c r="P103" s="13">
        <f t="shared" si="23"/>
        <v>2</v>
      </c>
      <c r="Q103" s="13">
        <f t="shared" si="23"/>
        <v>4</v>
      </c>
      <c r="R103" s="13">
        <f t="shared" si="23"/>
        <v>6</v>
      </c>
      <c r="S103" s="13">
        <f t="shared" si="23"/>
        <v>2</v>
      </c>
      <c r="T103" s="13">
        <f t="shared" si="23"/>
        <v>7</v>
      </c>
      <c r="U103" s="13">
        <f t="shared" si="23"/>
        <v>3</v>
      </c>
      <c r="V103" s="13">
        <f t="shared" si="23"/>
        <v>8</v>
      </c>
      <c r="W103" s="13">
        <f t="shared" si="23"/>
        <v>7</v>
      </c>
      <c r="X103" s="13">
        <f t="shared" si="23"/>
        <v>5</v>
      </c>
      <c r="Y103" s="13">
        <f t="shared" si="23"/>
        <v>10</v>
      </c>
      <c r="Z103" s="13">
        <f t="shared" si="23"/>
        <v>28</v>
      </c>
      <c r="AA103" s="13">
        <f t="shared" si="23"/>
        <v>5</v>
      </c>
      <c r="AB103" s="13">
        <f t="shared" si="23"/>
        <v>4</v>
      </c>
      <c r="AC103" s="13">
        <f t="shared" si="23"/>
        <v>5</v>
      </c>
      <c r="AD103" s="13">
        <f t="shared" si="23"/>
        <v>158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1.0</v>
      </c>
      <c r="F105" s="73">
        <v>0.0</v>
      </c>
      <c r="G105" s="73">
        <v>0.0</v>
      </c>
      <c r="H105" s="73">
        <v>0.0</v>
      </c>
      <c r="I105" s="73">
        <v>1.0</v>
      </c>
      <c r="J105" s="73">
        <v>1.0</v>
      </c>
      <c r="K105" s="73">
        <v>0.0</v>
      </c>
      <c r="L105" s="73">
        <v>0.0</v>
      </c>
      <c r="M105" s="73">
        <v>1.0</v>
      </c>
      <c r="N105" s="73">
        <v>0.0</v>
      </c>
      <c r="O105" s="73">
        <v>0.0</v>
      </c>
      <c r="P105" s="73">
        <v>1.0</v>
      </c>
      <c r="Q105" s="73">
        <v>0.0</v>
      </c>
      <c r="R105" s="73">
        <v>2.0</v>
      </c>
      <c r="S105" s="73">
        <v>0.0</v>
      </c>
      <c r="T105" s="73">
        <v>1.0</v>
      </c>
      <c r="U105" s="73">
        <v>0.0</v>
      </c>
      <c r="V105" s="73">
        <v>0.0</v>
      </c>
      <c r="W105" s="73">
        <v>1.0</v>
      </c>
      <c r="X105" s="73">
        <v>0.0</v>
      </c>
      <c r="Y105" s="73">
        <v>0.0</v>
      </c>
      <c r="Z105" s="73">
        <v>0.0</v>
      </c>
      <c r="AA105" s="73">
        <v>1.0</v>
      </c>
      <c r="AB105" s="73">
        <v>1.0</v>
      </c>
      <c r="AC105" s="73">
        <v>2.0</v>
      </c>
      <c r="AD105" s="13">
        <f t="shared" ref="AD105:AD114" si="24">SUM(E105:AC105)</f>
        <v>13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1.0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1.0</v>
      </c>
      <c r="S106" s="73">
        <v>2.0</v>
      </c>
      <c r="T106" s="73">
        <v>0.0</v>
      </c>
      <c r="U106" s="73">
        <v>1.0</v>
      </c>
      <c r="V106" s="73">
        <v>0.0</v>
      </c>
      <c r="W106" s="73">
        <v>1.0</v>
      </c>
      <c r="X106" s="73">
        <v>0.0</v>
      </c>
      <c r="Y106" s="73">
        <v>1.0</v>
      </c>
      <c r="Z106" s="73">
        <v>0.0</v>
      </c>
      <c r="AA106" s="73">
        <v>0.0</v>
      </c>
      <c r="AB106" s="73">
        <v>0.0</v>
      </c>
      <c r="AC106" s="73">
        <v>0.0</v>
      </c>
      <c r="AD106" s="13">
        <f t="shared" si="24"/>
        <v>7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1.0</v>
      </c>
      <c r="H107" s="80">
        <v>0.0</v>
      </c>
      <c r="I107" s="80">
        <v>0.0</v>
      </c>
      <c r="J107" s="80">
        <v>0.0</v>
      </c>
      <c r="K107" s="80">
        <v>0.0</v>
      </c>
      <c r="L107" s="80">
        <v>0.0</v>
      </c>
      <c r="M107" s="80">
        <v>0.0</v>
      </c>
      <c r="N107" s="80">
        <v>0.0</v>
      </c>
      <c r="O107" s="80">
        <v>2.0</v>
      </c>
      <c r="P107" s="80">
        <v>1.0</v>
      </c>
      <c r="Q107" s="80">
        <v>0.0</v>
      </c>
      <c r="R107" s="80">
        <v>1.0</v>
      </c>
      <c r="S107" s="80">
        <v>0.0</v>
      </c>
      <c r="T107" s="80">
        <v>0.0</v>
      </c>
      <c r="U107" s="80">
        <v>0.0</v>
      </c>
      <c r="V107" s="80">
        <v>1.0</v>
      </c>
      <c r="W107" s="80">
        <v>0.0</v>
      </c>
      <c r="X107" s="80">
        <v>0.0</v>
      </c>
      <c r="Y107" s="80">
        <v>0.0</v>
      </c>
      <c r="Z107" s="80">
        <v>0.0</v>
      </c>
      <c r="AA107" s="80">
        <v>0.0</v>
      </c>
      <c r="AB107" s="80">
        <v>0.0</v>
      </c>
      <c r="AC107" s="80">
        <v>1.0</v>
      </c>
      <c r="AD107" s="13">
        <f t="shared" si="24"/>
        <v>7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AD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2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2</v>
      </c>
      <c r="P115" s="13">
        <f t="shared" si="25"/>
        <v>2</v>
      </c>
      <c r="Q115" s="13">
        <f t="shared" si="25"/>
        <v>0</v>
      </c>
      <c r="R115" s="13">
        <f t="shared" si="25"/>
        <v>4</v>
      </c>
      <c r="S115" s="13">
        <f t="shared" si="25"/>
        <v>2</v>
      </c>
      <c r="T115" s="13">
        <f t="shared" si="25"/>
        <v>1</v>
      </c>
      <c r="U115" s="13">
        <f t="shared" si="25"/>
        <v>1</v>
      </c>
      <c r="V115" s="13">
        <f t="shared" si="25"/>
        <v>1</v>
      </c>
      <c r="W115" s="13">
        <f t="shared" si="25"/>
        <v>2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1</v>
      </c>
      <c r="AB115" s="13">
        <f t="shared" si="25"/>
        <v>1</v>
      </c>
      <c r="AC115" s="13">
        <f t="shared" si="25"/>
        <v>3</v>
      </c>
      <c r="AD115" s="13">
        <f t="shared" si="25"/>
        <v>27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1.0</v>
      </c>
      <c r="F117" s="73">
        <v>1.0</v>
      </c>
      <c r="G117" s="73">
        <v>1.0</v>
      </c>
      <c r="H117" s="73">
        <v>1.0</v>
      </c>
      <c r="I117" s="73">
        <v>0.0</v>
      </c>
      <c r="J117" s="73">
        <v>5.0</v>
      </c>
      <c r="K117" s="73">
        <v>0.0</v>
      </c>
      <c r="L117" s="73">
        <v>1.0</v>
      </c>
      <c r="M117" s="73">
        <v>0.0</v>
      </c>
      <c r="N117" s="73">
        <v>1.0</v>
      </c>
      <c r="O117" s="73">
        <v>1.0</v>
      </c>
      <c r="P117" s="73">
        <v>1.0</v>
      </c>
      <c r="Q117" s="73">
        <v>2.0</v>
      </c>
      <c r="R117" s="73">
        <v>0.0</v>
      </c>
      <c r="S117" s="73">
        <v>0.0</v>
      </c>
      <c r="T117" s="73">
        <v>2.0</v>
      </c>
      <c r="U117" s="73">
        <v>1.0</v>
      </c>
      <c r="V117" s="73">
        <v>0.0</v>
      </c>
      <c r="W117" s="73">
        <v>1.0</v>
      </c>
      <c r="X117" s="73">
        <v>1.0</v>
      </c>
      <c r="Y117" s="73">
        <v>0.0</v>
      </c>
      <c r="Z117" s="73">
        <v>0.0</v>
      </c>
      <c r="AA117" s="73">
        <v>0.0</v>
      </c>
      <c r="AB117" s="73">
        <v>1.0</v>
      </c>
      <c r="AC117" s="73">
        <v>2.0</v>
      </c>
      <c r="AD117" s="13">
        <f t="shared" ref="AD117:AD126" si="26">SUM(E117:AC117)</f>
        <v>23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0.0</v>
      </c>
      <c r="G118" s="73">
        <v>0.0</v>
      </c>
      <c r="H118" s="73">
        <v>1.0</v>
      </c>
      <c r="I118" s="73">
        <v>1.0</v>
      </c>
      <c r="J118" s="73">
        <v>0.0</v>
      </c>
      <c r="K118" s="73">
        <v>1.0</v>
      </c>
      <c r="L118" s="73">
        <v>0.0</v>
      </c>
      <c r="M118" s="73">
        <v>1.0</v>
      </c>
      <c r="N118" s="73">
        <v>1.0</v>
      </c>
      <c r="O118" s="73">
        <v>0.0</v>
      </c>
      <c r="P118" s="73">
        <v>1.0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1.0</v>
      </c>
      <c r="W118" s="73">
        <v>0.0</v>
      </c>
      <c r="X118" s="73">
        <v>0.0</v>
      </c>
      <c r="Y118" s="73">
        <v>0.0</v>
      </c>
      <c r="Z118" s="73">
        <v>2.0</v>
      </c>
      <c r="AA118" s="73">
        <v>0.0</v>
      </c>
      <c r="AB118" s="73">
        <v>0.0</v>
      </c>
      <c r="AC118" s="73">
        <v>0.0</v>
      </c>
      <c r="AD118" s="13">
        <f t="shared" si="26"/>
        <v>9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1.0</v>
      </c>
      <c r="P119" s="73">
        <v>2.0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1.0</v>
      </c>
      <c r="AB119" s="73">
        <v>0.0</v>
      </c>
      <c r="AC119" s="73">
        <v>0.0</v>
      </c>
      <c r="AD119" s="13">
        <f t="shared" si="26"/>
        <v>4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1.0</v>
      </c>
      <c r="P120" s="73">
        <v>1.0</v>
      </c>
      <c r="Q120" s="73">
        <v>0.0</v>
      </c>
      <c r="R120" s="73">
        <v>0.0</v>
      </c>
      <c r="S120" s="73">
        <v>0.0</v>
      </c>
      <c r="T120" s="73">
        <v>1.0</v>
      </c>
      <c r="U120" s="73">
        <v>0.0</v>
      </c>
      <c r="V120" s="73">
        <v>0.0</v>
      </c>
      <c r="W120" s="73">
        <v>1.0</v>
      </c>
      <c r="X120" s="73">
        <v>0.0</v>
      </c>
      <c r="Y120" s="73">
        <v>0.0</v>
      </c>
      <c r="Z120" s="73">
        <v>0.0</v>
      </c>
      <c r="AA120" s="73">
        <v>2.0</v>
      </c>
      <c r="AB120" s="73">
        <v>1.0</v>
      </c>
      <c r="AC120" s="73">
        <v>1.0</v>
      </c>
      <c r="AD120" s="13">
        <f t="shared" si="26"/>
        <v>8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1.0</v>
      </c>
      <c r="J121" s="80">
        <v>0.0</v>
      </c>
      <c r="K121" s="80">
        <v>1.0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1.0</v>
      </c>
      <c r="R121" s="80">
        <v>0.0</v>
      </c>
      <c r="S121" s="80">
        <v>0.0</v>
      </c>
      <c r="T121" s="80">
        <v>0.0</v>
      </c>
      <c r="U121" s="80">
        <v>0.0</v>
      </c>
      <c r="V121" s="80">
        <v>1.0</v>
      </c>
      <c r="W121" s="80">
        <v>0.0</v>
      </c>
      <c r="X121" s="80">
        <v>0.0</v>
      </c>
      <c r="Y121" s="80">
        <v>0.0</v>
      </c>
      <c r="Z121" s="80">
        <v>1.0</v>
      </c>
      <c r="AA121" s="80">
        <v>0.0</v>
      </c>
      <c r="AB121" s="80">
        <v>1.0</v>
      </c>
      <c r="AC121" s="80">
        <v>0.0</v>
      </c>
      <c r="AD121" s="13">
        <f t="shared" si="26"/>
        <v>6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1.0</v>
      </c>
      <c r="R122" s="80">
        <v>0.0</v>
      </c>
      <c r="S122" s="80">
        <v>0.0</v>
      </c>
      <c r="T122" s="80">
        <v>0.0</v>
      </c>
      <c r="U122" s="80">
        <v>0.0</v>
      </c>
      <c r="V122" s="80">
        <v>0.0</v>
      </c>
      <c r="W122" s="80">
        <v>0.0</v>
      </c>
      <c r="X122" s="80">
        <v>0.0</v>
      </c>
      <c r="Y122" s="80">
        <v>0.0</v>
      </c>
      <c r="Z122" s="80">
        <v>0.0</v>
      </c>
      <c r="AA122" s="80">
        <v>1.0</v>
      </c>
      <c r="AB122" s="80">
        <v>1.0</v>
      </c>
      <c r="AC122" s="80">
        <v>0.0</v>
      </c>
      <c r="AD122" s="13">
        <f t="shared" si="26"/>
        <v>3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AD127" si="27">SUM(E117:E126)</f>
        <v>1</v>
      </c>
      <c r="F127" s="13">
        <f t="shared" si="27"/>
        <v>1</v>
      </c>
      <c r="G127" s="13">
        <f t="shared" si="27"/>
        <v>1</v>
      </c>
      <c r="H127" s="13">
        <f t="shared" si="27"/>
        <v>2</v>
      </c>
      <c r="I127" s="13">
        <f t="shared" si="27"/>
        <v>2</v>
      </c>
      <c r="J127" s="13">
        <f t="shared" si="27"/>
        <v>5</v>
      </c>
      <c r="K127" s="13">
        <f t="shared" si="27"/>
        <v>2</v>
      </c>
      <c r="L127" s="13">
        <f t="shared" si="27"/>
        <v>1</v>
      </c>
      <c r="M127" s="13">
        <f t="shared" si="27"/>
        <v>1</v>
      </c>
      <c r="N127" s="13">
        <f t="shared" si="27"/>
        <v>2</v>
      </c>
      <c r="O127" s="13">
        <f t="shared" si="27"/>
        <v>3</v>
      </c>
      <c r="P127" s="13">
        <f t="shared" si="27"/>
        <v>5</v>
      </c>
      <c r="Q127" s="13">
        <f t="shared" si="27"/>
        <v>4</v>
      </c>
      <c r="R127" s="13">
        <f t="shared" si="27"/>
        <v>0</v>
      </c>
      <c r="S127" s="13">
        <f t="shared" si="27"/>
        <v>0</v>
      </c>
      <c r="T127" s="13">
        <f t="shared" si="27"/>
        <v>3</v>
      </c>
      <c r="U127" s="13">
        <f t="shared" si="27"/>
        <v>1</v>
      </c>
      <c r="V127" s="13">
        <f t="shared" si="27"/>
        <v>2</v>
      </c>
      <c r="W127" s="13">
        <f t="shared" si="27"/>
        <v>2</v>
      </c>
      <c r="X127" s="13">
        <f t="shared" si="27"/>
        <v>1</v>
      </c>
      <c r="Y127" s="13">
        <f t="shared" si="27"/>
        <v>0</v>
      </c>
      <c r="Z127" s="13">
        <f t="shared" si="27"/>
        <v>3</v>
      </c>
      <c r="AA127" s="13">
        <f t="shared" si="27"/>
        <v>4</v>
      </c>
      <c r="AB127" s="13">
        <f t="shared" si="27"/>
        <v>4</v>
      </c>
      <c r="AC127" s="13">
        <f t="shared" si="27"/>
        <v>3</v>
      </c>
      <c r="AD127" s="13">
        <f t="shared" si="27"/>
        <v>53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2.0</v>
      </c>
      <c r="F129" s="73">
        <v>1.0</v>
      </c>
      <c r="G129" s="73">
        <v>6.0</v>
      </c>
      <c r="H129" s="73">
        <v>2.0</v>
      </c>
      <c r="I129" s="73">
        <v>3.0</v>
      </c>
      <c r="J129" s="73">
        <v>1.0</v>
      </c>
      <c r="K129" s="73">
        <v>1.0</v>
      </c>
      <c r="L129" s="73">
        <v>4.0</v>
      </c>
      <c r="M129" s="73">
        <v>1.0</v>
      </c>
      <c r="N129" s="73">
        <v>1.0</v>
      </c>
      <c r="O129" s="73">
        <v>9.0</v>
      </c>
      <c r="P129" s="73">
        <v>6.0</v>
      </c>
      <c r="Q129" s="73">
        <v>6.0</v>
      </c>
      <c r="R129" s="73">
        <v>8.0</v>
      </c>
      <c r="S129" s="73">
        <v>7.0</v>
      </c>
      <c r="T129" s="73">
        <v>7.0</v>
      </c>
      <c r="U129" s="73">
        <v>4.0</v>
      </c>
      <c r="V129" s="73">
        <v>9.0</v>
      </c>
      <c r="W129" s="73">
        <v>4.0</v>
      </c>
      <c r="X129" s="73">
        <v>8.0</v>
      </c>
      <c r="Y129" s="73">
        <v>5.0</v>
      </c>
      <c r="Z129" s="73">
        <v>5.0</v>
      </c>
      <c r="AA129" s="73">
        <v>5.0</v>
      </c>
      <c r="AB129" s="73">
        <v>7.0</v>
      </c>
      <c r="AC129" s="73">
        <v>4.0</v>
      </c>
      <c r="AD129" s="13">
        <f t="shared" ref="AD129:AD138" si="28">SUM(E129:AC129)</f>
        <v>116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1.0</v>
      </c>
      <c r="F130" s="73">
        <v>1.0</v>
      </c>
      <c r="G130" s="73">
        <v>14.0</v>
      </c>
      <c r="H130" s="73">
        <v>6.0</v>
      </c>
      <c r="I130" s="73">
        <v>3.0</v>
      </c>
      <c r="J130" s="73">
        <v>6.0</v>
      </c>
      <c r="K130" s="73">
        <v>0.0</v>
      </c>
      <c r="L130" s="73">
        <v>9.0</v>
      </c>
      <c r="M130" s="73">
        <v>1.0</v>
      </c>
      <c r="N130" s="73">
        <v>0.0</v>
      </c>
      <c r="O130" s="73">
        <v>9.0</v>
      </c>
      <c r="P130" s="73">
        <v>10.0</v>
      </c>
      <c r="Q130" s="73">
        <v>5.0</v>
      </c>
      <c r="R130" s="73">
        <v>4.0</v>
      </c>
      <c r="S130" s="73">
        <v>6.0</v>
      </c>
      <c r="T130" s="73">
        <v>13.0</v>
      </c>
      <c r="U130" s="73">
        <v>5.0</v>
      </c>
      <c r="V130" s="73">
        <v>6.0</v>
      </c>
      <c r="W130" s="73">
        <v>5.0</v>
      </c>
      <c r="X130" s="73">
        <v>18.0</v>
      </c>
      <c r="Y130" s="73">
        <v>18.0</v>
      </c>
      <c r="Z130" s="73">
        <v>1.0</v>
      </c>
      <c r="AA130" s="73">
        <v>4.0</v>
      </c>
      <c r="AB130" s="73">
        <v>6.0</v>
      </c>
      <c r="AC130" s="73">
        <v>6.0</v>
      </c>
      <c r="AD130" s="13">
        <f t="shared" si="28"/>
        <v>157</v>
      </c>
    </row>
    <row r="131" ht="12.75" customHeight="1">
      <c r="A131" s="18"/>
      <c r="B131" s="49"/>
      <c r="C131" s="50" t="s">
        <v>104</v>
      </c>
      <c r="D131" s="51"/>
      <c r="E131" s="73">
        <v>0.0</v>
      </c>
      <c r="F131" s="73">
        <v>0.0</v>
      </c>
      <c r="G131" s="73">
        <v>0.0</v>
      </c>
      <c r="H131" s="73">
        <v>1.0</v>
      </c>
      <c r="I131" s="73">
        <v>0.0</v>
      </c>
      <c r="J131" s="73">
        <v>1.0</v>
      </c>
      <c r="K131" s="73">
        <v>0.0</v>
      </c>
      <c r="L131" s="73">
        <v>0.0</v>
      </c>
      <c r="M131" s="73">
        <v>0.0</v>
      </c>
      <c r="N131" s="73">
        <v>1.0</v>
      </c>
      <c r="O131" s="73">
        <v>0.0</v>
      </c>
      <c r="P131" s="73">
        <v>4.0</v>
      </c>
      <c r="Q131" s="73">
        <v>0.0</v>
      </c>
      <c r="R131" s="73">
        <v>2.0</v>
      </c>
      <c r="S131" s="73">
        <v>1.0</v>
      </c>
      <c r="T131" s="73">
        <v>3.0</v>
      </c>
      <c r="U131" s="73">
        <v>2.0</v>
      </c>
      <c r="V131" s="73">
        <v>1.0</v>
      </c>
      <c r="W131" s="73">
        <v>3.0</v>
      </c>
      <c r="X131" s="73">
        <v>4.0</v>
      </c>
      <c r="Y131" s="73">
        <v>0.0</v>
      </c>
      <c r="Z131" s="73">
        <v>1.0</v>
      </c>
      <c r="AA131" s="73">
        <v>0.0</v>
      </c>
      <c r="AB131" s="73">
        <v>0.0</v>
      </c>
      <c r="AC131" s="73">
        <v>2.0</v>
      </c>
      <c r="AD131" s="13">
        <f t="shared" si="28"/>
        <v>26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3.0</v>
      </c>
      <c r="G132" s="73">
        <v>0.0</v>
      </c>
      <c r="H132" s="73">
        <v>1.0</v>
      </c>
      <c r="I132" s="73">
        <v>0.0</v>
      </c>
      <c r="J132" s="73">
        <v>0.0</v>
      </c>
      <c r="K132" s="73">
        <v>0.0</v>
      </c>
      <c r="L132" s="73">
        <v>1.0</v>
      </c>
      <c r="M132" s="73">
        <v>1.0</v>
      </c>
      <c r="N132" s="73">
        <v>0.0</v>
      </c>
      <c r="O132" s="73">
        <v>0.0</v>
      </c>
      <c r="P132" s="73">
        <v>1.0</v>
      </c>
      <c r="Q132" s="73">
        <v>5.0</v>
      </c>
      <c r="R132" s="73">
        <v>1.0</v>
      </c>
      <c r="S132" s="73">
        <v>2.0</v>
      </c>
      <c r="T132" s="73">
        <v>0.0</v>
      </c>
      <c r="U132" s="73">
        <v>0.0</v>
      </c>
      <c r="V132" s="73">
        <v>1.0</v>
      </c>
      <c r="W132" s="73">
        <v>2.0</v>
      </c>
      <c r="X132" s="73">
        <v>2.0</v>
      </c>
      <c r="Y132" s="73">
        <v>1.0</v>
      </c>
      <c r="Z132" s="73">
        <v>3.0</v>
      </c>
      <c r="AA132" s="73">
        <v>0.0</v>
      </c>
      <c r="AB132" s="73">
        <v>2.0</v>
      </c>
      <c r="AC132" s="73">
        <v>2.0</v>
      </c>
      <c r="AD132" s="13">
        <f t="shared" si="28"/>
        <v>28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1.0</v>
      </c>
      <c r="K133" s="73">
        <v>0.0</v>
      </c>
      <c r="L133" s="73">
        <v>1.0</v>
      </c>
      <c r="M133" s="73">
        <v>0.0</v>
      </c>
      <c r="N133" s="73">
        <v>0.0</v>
      </c>
      <c r="O133" s="73">
        <v>0.0</v>
      </c>
      <c r="P133" s="73">
        <v>1.0</v>
      </c>
      <c r="Q133" s="73">
        <v>0.0</v>
      </c>
      <c r="R133" s="73">
        <v>0.0</v>
      </c>
      <c r="S133" s="73">
        <v>0.0</v>
      </c>
      <c r="T133" s="73">
        <v>0.0</v>
      </c>
      <c r="U133" s="73">
        <v>1.0</v>
      </c>
      <c r="V133" s="73">
        <v>1.0</v>
      </c>
      <c r="W133" s="73">
        <v>1.0</v>
      </c>
      <c r="X133" s="73">
        <v>1.0</v>
      </c>
      <c r="Y133" s="73">
        <v>0.0</v>
      </c>
      <c r="Z133" s="73">
        <v>2.0</v>
      </c>
      <c r="AA133" s="73">
        <v>0.0</v>
      </c>
      <c r="AB133" s="73">
        <v>1.0</v>
      </c>
      <c r="AC133" s="73">
        <v>0.0</v>
      </c>
      <c r="AD133" s="13">
        <f t="shared" si="28"/>
        <v>10</v>
      </c>
    </row>
    <row r="134" ht="12.75" customHeight="1">
      <c r="A134" s="18"/>
      <c r="B134" s="49"/>
      <c r="C134" s="50" t="s">
        <v>107</v>
      </c>
      <c r="D134" s="51"/>
      <c r="E134" s="73">
        <v>0.0</v>
      </c>
      <c r="F134" s="73">
        <v>0.0</v>
      </c>
      <c r="G134" s="73">
        <v>0.0</v>
      </c>
      <c r="H134" s="73">
        <v>0.0</v>
      </c>
      <c r="I134" s="73">
        <v>1.0</v>
      </c>
      <c r="J134" s="73">
        <v>1.0</v>
      </c>
      <c r="K134" s="73">
        <v>0.0</v>
      </c>
      <c r="L134" s="73">
        <v>1.0</v>
      </c>
      <c r="M134" s="73">
        <v>1.0</v>
      </c>
      <c r="N134" s="73">
        <v>0.0</v>
      </c>
      <c r="O134" s="73">
        <v>6.0</v>
      </c>
      <c r="P134" s="73">
        <v>4.0</v>
      </c>
      <c r="Q134" s="73">
        <v>0.0</v>
      </c>
      <c r="R134" s="73">
        <v>6.0</v>
      </c>
      <c r="S134" s="73">
        <v>5.0</v>
      </c>
      <c r="T134" s="73">
        <v>2.0</v>
      </c>
      <c r="U134" s="73">
        <v>0.0</v>
      </c>
      <c r="V134" s="73">
        <v>1.0</v>
      </c>
      <c r="W134" s="73">
        <v>8.0</v>
      </c>
      <c r="X134" s="73">
        <v>4.0</v>
      </c>
      <c r="Y134" s="73">
        <v>1.0</v>
      </c>
      <c r="Z134" s="73">
        <v>4.0</v>
      </c>
      <c r="AA134" s="73">
        <v>0.0</v>
      </c>
      <c r="AB134" s="73">
        <v>1.0</v>
      </c>
      <c r="AC134" s="73">
        <v>0.0</v>
      </c>
      <c r="AD134" s="13">
        <f t="shared" si="28"/>
        <v>46</v>
      </c>
    </row>
    <row r="135" ht="12.75" customHeight="1">
      <c r="A135" s="18"/>
      <c r="B135" s="49"/>
      <c r="C135" s="50" t="s">
        <v>108</v>
      </c>
      <c r="D135" s="51"/>
      <c r="E135" s="73">
        <v>1.0</v>
      </c>
      <c r="F135" s="73">
        <v>0.0</v>
      </c>
      <c r="G135" s="73">
        <v>1.0</v>
      </c>
      <c r="H135" s="73">
        <v>0.0</v>
      </c>
      <c r="I135" s="73">
        <v>0.0</v>
      </c>
      <c r="J135" s="73">
        <v>0.0</v>
      </c>
      <c r="K135" s="73">
        <v>1.0</v>
      </c>
      <c r="L135" s="73">
        <v>0.0</v>
      </c>
      <c r="M135" s="73">
        <v>3.0</v>
      </c>
      <c r="N135" s="73">
        <v>0.0</v>
      </c>
      <c r="O135" s="73">
        <v>2.0</v>
      </c>
      <c r="P135" s="73">
        <v>1.0</v>
      </c>
      <c r="Q135" s="73">
        <v>2.0</v>
      </c>
      <c r="R135" s="73">
        <v>0.0</v>
      </c>
      <c r="S135" s="73">
        <v>1.0</v>
      </c>
      <c r="T135" s="73">
        <v>0.0</v>
      </c>
      <c r="U135" s="73">
        <v>1.0</v>
      </c>
      <c r="V135" s="73">
        <v>0.0</v>
      </c>
      <c r="W135" s="73">
        <v>1.0</v>
      </c>
      <c r="X135" s="73">
        <v>2.0</v>
      </c>
      <c r="Y135" s="73">
        <v>3.0</v>
      </c>
      <c r="Z135" s="73">
        <v>1.0</v>
      </c>
      <c r="AA135" s="73">
        <v>0.0</v>
      </c>
      <c r="AB135" s="73">
        <v>1.0</v>
      </c>
      <c r="AC135" s="73">
        <v>1.0</v>
      </c>
      <c r="AD135" s="13">
        <f t="shared" si="28"/>
        <v>22</v>
      </c>
    </row>
    <row r="136" ht="12.75" customHeight="1">
      <c r="A136" s="79"/>
      <c r="B136" s="49"/>
      <c r="C136" s="50" t="s">
        <v>109</v>
      </c>
      <c r="D136" s="51"/>
      <c r="E136" s="80">
        <v>1.0</v>
      </c>
      <c r="F136" s="80">
        <v>0.0</v>
      </c>
      <c r="G136" s="80">
        <v>0.0</v>
      </c>
      <c r="H136" s="80">
        <v>0.0</v>
      </c>
      <c r="I136" s="80">
        <v>0.0</v>
      </c>
      <c r="J136" s="80">
        <v>0.0</v>
      </c>
      <c r="K136" s="80">
        <v>1.0</v>
      </c>
      <c r="L136" s="80">
        <v>0.0</v>
      </c>
      <c r="M136" s="80">
        <v>0.0</v>
      </c>
      <c r="N136" s="80">
        <v>0.0</v>
      </c>
      <c r="O136" s="80">
        <v>0.0</v>
      </c>
      <c r="P136" s="80">
        <v>0.0</v>
      </c>
      <c r="Q136" s="80">
        <v>0.0</v>
      </c>
      <c r="R136" s="80">
        <v>0.0</v>
      </c>
      <c r="S136" s="80">
        <v>2.0</v>
      </c>
      <c r="T136" s="80">
        <v>0.0</v>
      </c>
      <c r="U136" s="80">
        <v>0.0</v>
      </c>
      <c r="V136" s="80">
        <v>0.0</v>
      </c>
      <c r="W136" s="80">
        <v>1.0</v>
      </c>
      <c r="X136" s="80">
        <v>1.0</v>
      </c>
      <c r="Y136" s="80">
        <v>0.0</v>
      </c>
      <c r="Z136" s="80">
        <v>1.0</v>
      </c>
      <c r="AA136" s="80">
        <v>0.0</v>
      </c>
      <c r="AB136" s="80">
        <v>0.0</v>
      </c>
      <c r="AC136" s="80">
        <v>0.0</v>
      </c>
      <c r="AD136" s="13">
        <f t="shared" si="28"/>
        <v>7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1.0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80">
        <v>0.0</v>
      </c>
      <c r="N137" s="80">
        <v>0.0</v>
      </c>
      <c r="O137" s="80">
        <v>0.0</v>
      </c>
      <c r="P137" s="80">
        <v>1.0</v>
      </c>
      <c r="Q137" s="80">
        <v>1.0</v>
      </c>
      <c r="R137" s="80">
        <v>1.0</v>
      </c>
      <c r="S137" s="80">
        <v>0.0</v>
      </c>
      <c r="T137" s="80">
        <v>1.0</v>
      </c>
      <c r="U137" s="80">
        <v>0.0</v>
      </c>
      <c r="V137" s="80">
        <v>0.0</v>
      </c>
      <c r="W137" s="80">
        <v>2.0</v>
      </c>
      <c r="X137" s="80">
        <v>2.0</v>
      </c>
      <c r="Y137" s="80">
        <v>0.0</v>
      </c>
      <c r="Z137" s="80">
        <v>0.0</v>
      </c>
      <c r="AA137" s="80">
        <v>0.0</v>
      </c>
      <c r="AB137" s="80">
        <v>1.0</v>
      </c>
      <c r="AC137" s="80">
        <v>2.0</v>
      </c>
      <c r="AD137" s="13">
        <f t="shared" si="28"/>
        <v>12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0.0</v>
      </c>
      <c r="I138" s="80">
        <v>0.0</v>
      </c>
      <c r="J138" s="80">
        <v>1.0</v>
      </c>
      <c r="K138" s="80">
        <v>0.0</v>
      </c>
      <c r="L138" s="80">
        <v>1.0</v>
      </c>
      <c r="M138" s="80">
        <v>0.0</v>
      </c>
      <c r="N138" s="80">
        <v>0.0</v>
      </c>
      <c r="O138" s="80">
        <v>1.0</v>
      </c>
      <c r="P138" s="80">
        <v>1.0</v>
      </c>
      <c r="Q138" s="80">
        <v>0.0</v>
      </c>
      <c r="R138" s="80">
        <v>0.0</v>
      </c>
      <c r="S138" s="80">
        <v>0.0</v>
      </c>
      <c r="T138" s="80">
        <v>2.0</v>
      </c>
      <c r="U138" s="80">
        <v>1.0</v>
      </c>
      <c r="V138" s="80">
        <v>0.0</v>
      </c>
      <c r="W138" s="80">
        <v>0.0</v>
      </c>
      <c r="X138" s="80">
        <v>0.0</v>
      </c>
      <c r="Y138" s="80">
        <v>1.0</v>
      </c>
      <c r="Z138" s="80">
        <v>0.0</v>
      </c>
      <c r="AA138" s="80">
        <v>1.0</v>
      </c>
      <c r="AB138" s="80">
        <v>1.0</v>
      </c>
      <c r="AC138" s="80">
        <v>1.0</v>
      </c>
      <c r="AD138" s="13">
        <f t="shared" si="28"/>
        <v>11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AD139" si="29">SUM(E129:E138)</f>
        <v>5</v>
      </c>
      <c r="F139" s="13">
        <f t="shared" si="29"/>
        <v>5</v>
      </c>
      <c r="G139" s="13">
        <f t="shared" si="29"/>
        <v>22</v>
      </c>
      <c r="H139" s="13">
        <f t="shared" si="29"/>
        <v>10</v>
      </c>
      <c r="I139" s="13">
        <f t="shared" si="29"/>
        <v>7</v>
      </c>
      <c r="J139" s="13">
        <f t="shared" si="29"/>
        <v>11</v>
      </c>
      <c r="K139" s="13">
        <f t="shared" si="29"/>
        <v>3</v>
      </c>
      <c r="L139" s="13">
        <f t="shared" si="29"/>
        <v>17</v>
      </c>
      <c r="M139" s="13">
        <f t="shared" si="29"/>
        <v>7</v>
      </c>
      <c r="N139" s="13">
        <f t="shared" si="29"/>
        <v>2</v>
      </c>
      <c r="O139" s="13">
        <f t="shared" si="29"/>
        <v>27</v>
      </c>
      <c r="P139" s="13">
        <f t="shared" si="29"/>
        <v>29</v>
      </c>
      <c r="Q139" s="13">
        <f t="shared" si="29"/>
        <v>19</v>
      </c>
      <c r="R139" s="13">
        <f t="shared" si="29"/>
        <v>22</v>
      </c>
      <c r="S139" s="13">
        <f t="shared" si="29"/>
        <v>24</v>
      </c>
      <c r="T139" s="13">
        <f t="shared" si="29"/>
        <v>28</v>
      </c>
      <c r="U139" s="13">
        <f t="shared" si="29"/>
        <v>14</v>
      </c>
      <c r="V139" s="13">
        <f t="shared" si="29"/>
        <v>19</v>
      </c>
      <c r="W139" s="13">
        <f t="shared" si="29"/>
        <v>27</v>
      </c>
      <c r="X139" s="13">
        <f t="shared" si="29"/>
        <v>42</v>
      </c>
      <c r="Y139" s="13">
        <f t="shared" si="29"/>
        <v>29</v>
      </c>
      <c r="Z139" s="13">
        <f t="shared" si="29"/>
        <v>18</v>
      </c>
      <c r="AA139" s="13">
        <f t="shared" si="29"/>
        <v>10</v>
      </c>
      <c r="AB139" s="13">
        <f t="shared" si="29"/>
        <v>20</v>
      </c>
      <c r="AC139" s="13">
        <f t="shared" si="29"/>
        <v>18</v>
      </c>
      <c r="AD139" s="13">
        <f t="shared" si="29"/>
        <v>435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1.0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13">
        <f t="shared" ref="AD141:AD150" si="30">SUM(E141:AC141)</f>
        <v>1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13">
        <f t="shared" si="30"/>
        <v>0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80">
        <v>0.0</v>
      </c>
      <c r="U143" s="80">
        <v>0.0</v>
      </c>
      <c r="V143" s="80">
        <v>0.0</v>
      </c>
      <c r="W143" s="80">
        <v>0.0</v>
      </c>
      <c r="X143" s="80">
        <v>0.0</v>
      </c>
      <c r="Y143" s="80">
        <v>0.0</v>
      </c>
      <c r="Z143" s="80">
        <v>0.0</v>
      </c>
      <c r="AA143" s="80">
        <v>0.0</v>
      </c>
      <c r="AB143" s="80">
        <v>0.0</v>
      </c>
      <c r="AC143" s="80">
        <v>0.0</v>
      </c>
      <c r="AD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0.0</v>
      </c>
      <c r="T144" s="80">
        <v>0.0</v>
      </c>
      <c r="U144" s="80">
        <v>0.0</v>
      </c>
      <c r="V144" s="80">
        <v>0.0</v>
      </c>
      <c r="W144" s="80">
        <v>0.0</v>
      </c>
      <c r="X144" s="80">
        <v>0.0</v>
      </c>
      <c r="Y144" s="80">
        <v>0.0</v>
      </c>
      <c r="Z144" s="80">
        <v>0.0</v>
      </c>
      <c r="AA144" s="80">
        <v>0.0</v>
      </c>
      <c r="AB144" s="80">
        <v>0.0</v>
      </c>
      <c r="AC144" s="80">
        <v>0.0</v>
      </c>
      <c r="AD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AD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0.0</v>
      </c>
      <c r="G153" s="73">
        <v>0.0</v>
      </c>
      <c r="H153" s="73">
        <v>1.0</v>
      </c>
      <c r="I153" s="73">
        <v>0.0</v>
      </c>
      <c r="J153" s="73">
        <v>1.0</v>
      </c>
      <c r="K153" s="73">
        <v>0.0</v>
      </c>
      <c r="L153" s="73">
        <v>0.0</v>
      </c>
      <c r="M153" s="73">
        <v>0.0</v>
      </c>
      <c r="N153" s="73">
        <v>0.0</v>
      </c>
      <c r="O153" s="73">
        <v>1.0</v>
      </c>
      <c r="P153" s="73">
        <v>1.0</v>
      </c>
      <c r="Q153" s="73">
        <v>1.0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1.0</v>
      </c>
      <c r="X153" s="73">
        <v>0.0</v>
      </c>
      <c r="Y153" s="73">
        <v>0.0</v>
      </c>
      <c r="Z153" s="73">
        <v>1.0</v>
      </c>
      <c r="AA153" s="73">
        <v>0.0</v>
      </c>
      <c r="AB153" s="73">
        <v>0.0</v>
      </c>
      <c r="AC153" s="73">
        <v>0.0</v>
      </c>
      <c r="AD153" s="13">
        <f t="shared" ref="AD153:AD162" si="32">SUM(E153:AC153)</f>
        <v>7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1.0</v>
      </c>
      <c r="O154" s="73">
        <v>1.0</v>
      </c>
      <c r="P154" s="73">
        <v>0.0</v>
      </c>
      <c r="Q154" s="73">
        <v>0.0</v>
      </c>
      <c r="R154" s="73">
        <v>0.0</v>
      </c>
      <c r="S154" s="73">
        <v>2.0</v>
      </c>
      <c r="T154" s="73">
        <v>0.0</v>
      </c>
      <c r="U154" s="73">
        <v>0.0</v>
      </c>
      <c r="V154" s="73">
        <v>0.0</v>
      </c>
      <c r="W154" s="73">
        <v>1.0</v>
      </c>
      <c r="X154" s="73">
        <v>0.0</v>
      </c>
      <c r="Y154" s="73">
        <v>0.0</v>
      </c>
      <c r="Z154" s="73">
        <v>0.0</v>
      </c>
      <c r="AA154" s="73">
        <v>0.0</v>
      </c>
      <c r="AB154" s="73">
        <v>0.0</v>
      </c>
      <c r="AC154" s="73">
        <v>0.0</v>
      </c>
      <c r="AD154" s="13">
        <f t="shared" si="32"/>
        <v>5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1.0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13">
        <f t="shared" si="32"/>
        <v>1</v>
      </c>
    </row>
    <row r="156" ht="12.75" customHeight="1">
      <c r="A156" s="18"/>
      <c r="B156" s="49"/>
      <c r="C156" s="50" t="s">
        <v>121</v>
      </c>
      <c r="D156" s="51"/>
      <c r="E156" s="83">
        <v>1.0</v>
      </c>
      <c r="F156" s="73">
        <v>1.0</v>
      </c>
      <c r="G156" s="73">
        <v>1.0</v>
      </c>
      <c r="H156" s="73">
        <v>1.0</v>
      </c>
      <c r="I156" s="73">
        <v>1.0</v>
      </c>
      <c r="J156" s="73">
        <v>0.0</v>
      </c>
      <c r="K156" s="73">
        <v>0.0</v>
      </c>
      <c r="L156" s="73">
        <v>1.0</v>
      </c>
      <c r="M156" s="73">
        <v>1.0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13">
        <f t="shared" si="32"/>
        <v>7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1.0</v>
      </c>
      <c r="AC157" s="73">
        <v>0.0</v>
      </c>
      <c r="AD157" s="13">
        <f t="shared" si="32"/>
        <v>1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0.0</v>
      </c>
      <c r="N158" s="80">
        <v>0.0</v>
      </c>
      <c r="O158" s="80">
        <v>0.0</v>
      </c>
      <c r="P158" s="73">
        <v>0.0</v>
      </c>
      <c r="Q158" s="80">
        <v>0.0</v>
      </c>
      <c r="R158" s="80">
        <v>0.0</v>
      </c>
      <c r="S158" s="80">
        <v>1.0</v>
      </c>
      <c r="T158" s="80">
        <v>0.0</v>
      </c>
      <c r="U158" s="80">
        <v>0.0</v>
      </c>
      <c r="V158" s="80">
        <v>0.0</v>
      </c>
      <c r="W158" s="80">
        <v>0.0</v>
      </c>
      <c r="X158" s="80">
        <v>2.0</v>
      </c>
      <c r="Y158" s="80">
        <v>0.0</v>
      </c>
      <c r="Z158" s="80">
        <v>1.0</v>
      </c>
      <c r="AA158" s="80">
        <v>0.0</v>
      </c>
      <c r="AB158" s="80">
        <v>1.0</v>
      </c>
      <c r="AC158" s="80">
        <v>2.0</v>
      </c>
      <c r="AD158" s="13">
        <f t="shared" si="32"/>
        <v>7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1.0</v>
      </c>
      <c r="G159" s="80">
        <v>0.0</v>
      </c>
      <c r="H159" s="80">
        <v>0.0</v>
      </c>
      <c r="I159" s="80">
        <v>0.0</v>
      </c>
      <c r="J159" s="80">
        <v>1.0</v>
      </c>
      <c r="K159" s="80">
        <v>0.0</v>
      </c>
      <c r="L159" s="80">
        <v>0.0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80">
        <v>0.0</v>
      </c>
      <c r="S159" s="80">
        <v>0.0</v>
      </c>
      <c r="T159" s="80">
        <v>0.0</v>
      </c>
      <c r="U159" s="80">
        <v>0.0</v>
      </c>
      <c r="V159" s="80">
        <v>0.0</v>
      </c>
      <c r="W159" s="80">
        <v>0.0</v>
      </c>
      <c r="X159" s="80">
        <v>1.0</v>
      </c>
      <c r="Y159" s="80">
        <v>0.0</v>
      </c>
      <c r="Z159" s="80">
        <v>0.0</v>
      </c>
      <c r="AA159" s="80">
        <v>0.0</v>
      </c>
      <c r="AB159" s="80">
        <v>0.0</v>
      </c>
      <c r="AC159" s="80">
        <v>1.0</v>
      </c>
      <c r="AD159" s="13">
        <f t="shared" si="32"/>
        <v>4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80">
        <v>0.0</v>
      </c>
      <c r="U160" s="80">
        <v>0.0</v>
      </c>
      <c r="V160" s="80">
        <v>0.0</v>
      </c>
      <c r="W160" s="80">
        <v>0.0</v>
      </c>
      <c r="X160" s="80">
        <v>0.0</v>
      </c>
      <c r="Y160" s="80">
        <v>0.0</v>
      </c>
      <c r="Z160" s="80">
        <v>0.0</v>
      </c>
      <c r="AA160" s="80">
        <v>0.0</v>
      </c>
      <c r="AB160" s="80">
        <v>0.0</v>
      </c>
      <c r="AC160" s="80">
        <v>0.0</v>
      </c>
      <c r="AD160" s="13">
        <f t="shared" si="32"/>
        <v>0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AD163" si="33">SUM(E153:E162)</f>
        <v>1</v>
      </c>
      <c r="F163" s="13">
        <f t="shared" si="33"/>
        <v>2</v>
      </c>
      <c r="G163" s="13">
        <f t="shared" si="33"/>
        <v>1</v>
      </c>
      <c r="H163" s="13">
        <f t="shared" si="33"/>
        <v>2</v>
      </c>
      <c r="I163" s="13">
        <f t="shared" si="33"/>
        <v>1</v>
      </c>
      <c r="J163" s="13">
        <f t="shared" si="33"/>
        <v>2</v>
      </c>
      <c r="K163" s="13">
        <f t="shared" si="33"/>
        <v>0</v>
      </c>
      <c r="L163" s="13">
        <f t="shared" si="33"/>
        <v>1</v>
      </c>
      <c r="M163" s="13">
        <f t="shared" si="33"/>
        <v>1</v>
      </c>
      <c r="N163" s="13">
        <f t="shared" si="33"/>
        <v>1</v>
      </c>
      <c r="O163" s="13">
        <f t="shared" si="33"/>
        <v>2</v>
      </c>
      <c r="P163" s="13">
        <f t="shared" si="33"/>
        <v>2</v>
      </c>
      <c r="Q163" s="13">
        <f t="shared" si="33"/>
        <v>1</v>
      </c>
      <c r="R163" s="13">
        <f t="shared" si="33"/>
        <v>0</v>
      </c>
      <c r="S163" s="13">
        <f t="shared" si="33"/>
        <v>3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2</v>
      </c>
      <c r="X163" s="13">
        <f t="shared" si="33"/>
        <v>3</v>
      </c>
      <c r="Y163" s="13">
        <f t="shared" si="33"/>
        <v>0</v>
      </c>
      <c r="Z163" s="13">
        <f t="shared" si="33"/>
        <v>2</v>
      </c>
      <c r="AA163" s="13">
        <f t="shared" si="33"/>
        <v>0</v>
      </c>
      <c r="AB163" s="13">
        <f t="shared" si="33"/>
        <v>2</v>
      </c>
      <c r="AC163" s="13">
        <f t="shared" si="33"/>
        <v>3</v>
      </c>
      <c r="AD163" s="13">
        <f t="shared" si="33"/>
        <v>32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1.0</v>
      </c>
      <c r="F165" s="73">
        <v>1.0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1.0</v>
      </c>
      <c r="N165" s="73">
        <v>0.0</v>
      </c>
      <c r="O165" s="73">
        <v>0.0</v>
      </c>
      <c r="P165" s="73">
        <v>0.0</v>
      </c>
      <c r="Q165" s="73">
        <v>2.0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1.0</v>
      </c>
      <c r="Z165" s="73">
        <v>0.0</v>
      </c>
      <c r="AA165" s="73">
        <v>0.0</v>
      </c>
      <c r="AB165" s="73">
        <v>1.0</v>
      </c>
      <c r="AC165" s="73">
        <v>0.0</v>
      </c>
      <c r="AD165" s="13">
        <f t="shared" ref="AD165:AD174" si="34">SUM(E165:AC165)</f>
        <v>7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1.0</v>
      </c>
      <c r="F166" s="80">
        <v>1.0</v>
      </c>
      <c r="G166" s="80">
        <v>0.0</v>
      </c>
      <c r="H166" s="80">
        <v>1.0</v>
      </c>
      <c r="I166" s="80">
        <v>0.0</v>
      </c>
      <c r="J166" s="80">
        <v>0.0</v>
      </c>
      <c r="K166" s="80">
        <v>1.0</v>
      </c>
      <c r="L166" s="80">
        <v>2.0</v>
      </c>
      <c r="M166" s="80">
        <v>2.0</v>
      </c>
      <c r="N166" s="80">
        <v>0.0</v>
      </c>
      <c r="O166" s="80">
        <v>1.0</v>
      </c>
      <c r="P166" s="80">
        <v>0.0</v>
      </c>
      <c r="Q166" s="80">
        <v>0.0</v>
      </c>
      <c r="R166" s="80">
        <v>1.0</v>
      </c>
      <c r="S166" s="80">
        <v>0.0</v>
      </c>
      <c r="T166" s="80">
        <v>0.0</v>
      </c>
      <c r="U166" s="80">
        <v>2.0</v>
      </c>
      <c r="V166" s="80">
        <v>0.0</v>
      </c>
      <c r="W166" s="80">
        <v>0.0</v>
      </c>
      <c r="X166" s="80">
        <v>2.0</v>
      </c>
      <c r="Y166" s="80">
        <v>1.0</v>
      </c>
      <c r="Z166" s="80">
        <v>1.0</v>
      </c>
      <c r="AA166" s="80">
        <v>0.0</v>
      </c>
      <c r="AB166" s="80">
        <v>0.0</v>
      </c>
      <c r="AC166" s="80">
        <v>2.0</v>
      </c>
      <c r="AD166" s="13">
        <f t="shared" si="34"/>
        <v>18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AD175" si="35">SUM(E165:E174)</f>
        <v>2</v>
      </c>
      <c r="F175" s="13">
        <f t="shared" si="35"/>
        <v>2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2</v>
      </c>
      <c r="M175" s="13">
        <f t="shared" si="35"/>
        <v>3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2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2</v>
      </c>
      <c r="V175" s="13">
        <f t="shared" si="35"/>
        <v>0</v>
      </c>
      <c r="W175" s="13">
        <f t="shared" si="35"/>
        <v>0</v>
      </c>
      <c r="X175" s="13">
        <f t="shared" si="35"/>
        <v>2</v>
      </c>
      <c r="Y175" s="13">
        <f t="shared" si="35"/>
        <v>2</v>
      </c>
      <c r="Z175" s="13">
        <f t="shared" si="35"/>
        <v>1</v>
      </c>
      <c r="AA175" s="13">
        <f t="shared" si="35"/>
        <v>0</v>
      </c>
      <c r="AB175" s="13">
        <f t="shared" si="35"/>
        <v>1</v>
      </c>
      <c r="AC175" s="13">
        <f t="shared" si="35"/>
        <v>2</v>
      </c>
      <c r="AD175" s="13">
        <f t="shared" si="35"/>
        <v>25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1.0</v>
      </c>
      <c r="F177" s="73">
        <v>0.0</v>
      </c>
      <c r="G177" s="73">
        <v>2.0</v>
      </c>
      <c r="H177" s="73">
        <v>1.0</v>
      </c>
      <c r="I177" s="73">
        <v>0.0</v>
      </c>
      <c r="J177" s="73">
        <v>0.0</v>
      </c>
      <c r="K177" s="73">
        <v>1.0</v>
      </c>
      <c r="L177" s="73">
        <v>0.0</v>
      </c>
      <c r="M177" s="73">
        <v>0.0</v>
      </c>
      <c r="N177" s="73">
        <v>0.0</v>
      </c>
      <c r="O177" s="73">
        <v>2.0</v>
      </c>
      <c r="P177" s="73">
        <v>2.0</v>
      </c>
      <c r="Q177" s="73">
        <v>2.0</v>
      </c>
      <c r="R177" s="73">
        <v>0.0</v>
      </c>
      <c r="S177" s="73">
        <v>3.0</v>
      </c>
      <c r="T177" s="73">
        <v>0.0</v>
      </c>
      <c r="U177" s="73">
        <v>5.0</v>
      </c>
      <c r="V177" s="73">
        <v>2.0</v>
      </c>
      <c r="W177" s="73">
        <v>1.0</v>
      </c>
      <c r="X177" s="73">
        <v>1.0</v>
      </c>
      <c r="Y177" s="73">
        <v>3.0</v>
      </c>
      <c r="Z177" s="73">
        <v>3.0</v>
      </c>
      <c r="AA177" s="73">
        <v>1.0</v>
      </c>
      <c r="AB177" s="73">
        <v>1.0</v>
      </c>
      <c r="AC177" s="73">
        <v>7.0</v>
      </c>
      <c r="AD177" s="13">
        <f t="shared" ref="AD177:AD186" si="36">SUM(E177:AC177)</f>
        <v>38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1.0</v>
      </c>
      <c r="F178" s="73">
        <v>0.0</v>
      </c>
      <c r="G178" s="73">
        <v>1.0</v>
      </c>
      <c r="H178" s="73">
        <v>1.0</v>
      </c>
      <c r="I178" s="73">
        <v>0.0</v>
      </c>
      <c r="J178" s="73">
        <v>1.0</v>
      </c>
      <c r="K178" s="73">
        <v>1.0</v>
      </c>
      <c r="L178" s="73">
        <v>0.0</v>
      </c>
      <c r="M178" s="73">
        <v>1.0</v>
      </c>
      <c r="N178" s="73">
        <v>2.0</v>
      </c>
      <c r="O178" s="73">
        <v>1.0</v>
      </c>
      <c r="P178" s="73">
        <v>5.0</v>
      </c>
      <c r="Q178" s="73">
        <v>2.0</v>
      </c>
      <c r="R178" s="73">
        <v>2.0</v>
      </c>
      <c r="S178" s="73">
        <v>3.0</v>
      </c>
      <c r="T178" s="73">
        <v>17.0</v>
      </c>
      <c r="U178" s="73">
        <v>20.0</v>
      </c>
      <c r="V178" s="73">
        <v>5.0</v>
      </c>
      <c r="W178" s="73">
        <v>2.0</v>
      </c>
      <c r="X178" s="73">
        <v>2.0</v>
      </c>
      <c r="Y178" s="73">
        <v>1.0</v>
      </c>
      <c r="Z178" s="73">
        <v>1.0</v>
      </c>
      <c r="AA178" s="73">
        <v>3.0</v>
      </c>
      <c r="AB178" s="73">
        <v>0.0</v>
      </c>
      <c r="AC178" s="73">
        <v>2.0</v>
      </c>
      <c r="AD178" s="13">
        <f t="shared" si="36"/>
        <v>74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2.0</v>
      </c>
      <c r="J179" s="73">
        <v>0.0</v>
      </c>
      <c r="K179" s="73">
        <v>1.0</v>
      </c>
      <c r="L179" s="73">
        <v>1.0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1.0</v>
      </c>
      <c r="S179" s="73">
        <v>0.0</v>
      </c>
      <c r="T179" s="73">
        <v>1.0</v>
      </c>
      <c r="U179" s="73">
        <v>1.0</v>
      </c>
      <c r="V179" s="73">
        <v>0.0</v>
      </c>
      <c r="W179" s="73">
        <v>0.0</v>
      </c>
      <c r="X179" s="73">
        <v>0.0</v>
      </c>
      <c r="Y179" s="73">
        <v>1.0</v>
      </c>
      <c r="Z179" s="73">
        <v>0.0</v>
      </c>
      <c r="AA179" s="73">
        <v>0.0</v>
      </c>
      <c r="AB179" s="73">
        <v>0.0</v>
      </c>
      <c r="AC179" s="73">
        <v>0.0</v>
      </c>
      <c r="AD179" s="13">
        <f t="shared" si="36"/>
        <v>8</v>
      </c>
    </row>
    <row r="180" ht="12.75" customHeight="1">
      <c r="A180" s="18"/>
      <c r="B180" s="49"/>
      <c r="C180" s="50" t="s">
        <v>133</v>
      </c>
      <c r="D180" s="51"/>
      <c r="E180" s="73">
        <v>0.0</v>
      </c>
      <c r="F180" s="73">
        <v>2.0</v>
      </c>
      <c r="G180" s="73">
        <v>0.0</v>
      </c>
      <c r="H180" s="73">
        <v>2.0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2.0</v>
      </c>
      <c r="P180" s="73">
        <v>1.0</v>
      </c>
      <c r="Q180" s="73">
        <v>0.0</v>
      </c>
      <c r="R180" s="73">
        <v>1.0</v>
      </c>
      <c r="S180" s="73">
        <v>0.0</v>
      </c>
      <c r="T180" s="73">
        <v>3.0</v>
      </c>
      <c r="U180" s="73">
        <v>0.0</v>
      </c>
      <c r="V180" s="73">
        <v>2.0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1.0</v>
      </c>
      <c r="AB180" s="73">
        <v>0.0</v>
      </c>
      <c r="AC180" s="73">
        <v>0.0</v>
      </c>
      <c r="AD180" s="13">
        <f t="shared" si="36"/>
        <v>14</v>
      </c>
    </row>
    <row r="181" ht="12.75" customHeight="1">
      <c r="A181" s="18"/>
      <c r="B181" s="49"/>
      <c r="C181" s="50" t="s">
        <v>134</v>
      </c>
      <c r="D181" s="51"/>
      <c r="E181" s="73">
        <v>1.0</v>
      </c>
      <c r="F181" s="73">
        <v>2.0</v>
      </c>
      <c r="G181" s="73">
        <v>0.0</v>
      </c>
      <c r="H181" s="73">
        <v>0.0</v>
      </c>
      <c r="I181" s="73">
        <v>0.0</v>
      </c>
      <c r="J181" s="73">
        <v>0.0</v>
      </c>
      <c r="K181" s="73">
        <v>2.0</v>
      </c>
      <c r="L181" s="73">
        <v>0.0</v>
      </c>
      <c r="M181" s="73">
        <v>1.0</v>
      </c>
      <c r="N181" s="73">
        <v>0.0</v>
      </c>
      <c r="O181" s="73">
        <v>0.0</v>
      </c>
      <c r="P181" s="73">
        <v>3.0</v>
      </c>
      <c r="Q181" s="73">
        <v>0.0</v>
      </c>
      <c r="R181" s="73">
        <v>1.0</v>
      </c>
      <c r="S181" s="73">
        <v>0.0</v>
      </c>
      <c r="T181" s="73">
        <v>4.0</v>
      </c>
      <c r="U181" s="73">
        <v>0.0</v>
      </c>
      <c r="V181" s="73">
        <v>1.0</v>
      </c>
      <c r="W181" s="73">
        <v>0.0</v>
      </c>
      <c r="X181" s="73">
        <v>4.0</v>
      </c>
      <c r="Y181" s="73">
        <v>0.0</v>
      </c>
      <c r="Z181" s="73">
        <v>0.0</v>
      </c>
      <c r="AA181" s="73">
        <v>0.0</v>
      </c>
      <c r="AB181" s="73">
        <v>1.0</v>
      </c>
      <c r="AC181" s="73">
        <v>0.0</v>
      </c>
      <c r="AD181" s="13">
        <f t="shared" si="36"/>
        <v>20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1.0</v>
      </c>
      <c r="M182" s="73">
        <v>1.0</v>
      </c>
      <c r="N182" s="73">
        <v>0.0</v>
      </c>
      <c r="O182" s="73">
        <v>0.0</v>
      </c>
      <c r="P182" s="73">
        <v>0.0</v>
      </c>
      <c r="Q182" s="73">
        <v>0.0</v>
      </c>
      <c r="R182" s="73">
        <v>2.0</v>
      </c>
      <c r="S182" s="73">
        <v>0.0</v>
      </c>
      <c r="T182" s="73">
        <v>0.0</v>
      </c>
      <c r="U182" s="73">
        <v>1.0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13">
        <f t="shared" si="36"/>
        <v>5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1.0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13">
        <f t="shared" si="36"/>
        <v>1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1.0</v>
      </c>
      <c r="G184" s="80">
        <v>0.0</v>
      </c>
      <c r="H184" s="80">
        <v>0.0</v>
      </c>
      <c r="I184" s="80">
        <v>0.0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80">
        <v>0.0</v>
      </c>
      <c r="T184" s="80">
        <v>0.0</v>
      </c>
      <c r="U184" s="80">
        <v>0.0</v>
      </c>
      <c r="V184" s="80">
        <v>0.0</v>
      </c>
      <c r="W184" s="80">
        <v>0.0</v>
      </c>
      <c r="X184" s="80">
        <v>0.0</v>
      </c>
      <c r="Y184" s="80">
        <v>0.0</v>
      </c>
      <c r="Z184" s="80">
        <v>0.0</v>
      </c>
      <c r="AA184" s="80">
        <v>0.0</v>
      </c>
      <c r="AB184" s="80">
        <v>0.0</v>
      </c>
      <c r="AC184" s="80">
        <v>0.0</v>
      </c>
      <c r="AD184" s="13">
        <f t="shared" si="36"/>
        <v>1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2.0</v>
      </c>
      <c r="G185" s="80">
        <v>0.0</v>
      </c>
      <c r="H185" s="80">
        <v>0.0</v>
      </c>
      <c r="I185" s="80">
        <v>0.0</v>
      </c>
      <c r="J185" s="80">
        <v>0.0</v>
      </c>
      <c r="K185" s="80">
        <v>0.0</v>
      </c>
      <c r="L185" s="80">
        <v>0.0</v>
      </c>
      <c r="M185" s="80">
        <v>0.0</v>
      </c>
      <c r="N185" s="80">
        <v>0.0</v>
      </c>
      <c r="O185" s="80">
        <v>1.0</v>
      </c>
      <c r="P185" s="80">
        <v>0.0</v>
      </c>
      <c r="Q185" s="80">
        <v>0.0</v>
      </c>
      <c r="R185" s="80">
        <v>0.0</v>
      </c>
      <c r="S185" s="80">
        <v>0.0</v>
      </c>
      <c r="T185" s="80">
        <v>0.0</v>
      </c>
      <c r="U185" s="80">
        <v>0.0</v>
      </c>
      <c r="V185" s="80">
        <v>0.0</v>
      </c>
      <c r="W185" s="80">
        <v>0.0</v>
      </c>
      <c r="X185" s="80">
        <v>0.0</v>
      </c>
      <c r="Y185" s="80">
        <v>0.0</v>
      </c>
      <c r="Z185" s="80">
        <v>1.0</v>
      </c>
      <c r="AA185" s="80">
        <v>0.0</v>
      </c>
      <c r="AB185" s="80">
        <v>0.0</v>
      </c>
      <c r="AC185" s="80">
        <v>0.0</v>
      </c>
      <c r="AD185" s="13">
        <f t="shared" si="36"/>
        <v>4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1.0</v>
      </c>
      <c r="Q186" s="80">
        <v>0.0</v>
      </c>
      <c r="R186" s="80">
        <v>0.0</v>
      </c>
      <c r="S186" s="80">
        <v>1.0</v>
      </c>
      <c r="T186" s="80">
        <v>0.0</v>
      </c>
      <c r="U186" s="80">
        <v>0.0</v>
      </c>
      <c r="V186" s="80">
        <v>0.0</v>
      </c>
      <c r="W186" s="80">
        <v>1.0</v>
      </c>
      <c r="X186" s="80">
        <v>0.0</v>
      </c>
      <c r="Y186" s="80">
        <v>0.0</v>
      </c>
      <c r="Z186" s="80">
        <v>0.0</v>
      </c>
      <c r="AA186" s="80">
        <v>0.0</v>
      </c>
      <c r="AB186" s="80">
        <v>0.0</v>
      </c>
      <c r="AC186" s="80">
        <v>0.0</v>
      </c>
      <c r="AD186" s="13">
        <f t="shared" si="36"/>
        <v>3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AD187" si="37">SUM(E177:E186)</f>
        <v>3</v>
      </c>
      <c r="F187" s="13">
        <f t="shared" si="37"/>
        <v>7</v>
      </c>
      <c r="G187" s="13">
        <f t="shared" si="37"/>
        <v>3</v>
      </c>
      <c r="H187" s="13">
        <f t="shared" si="37"/>
        <v>4</v>
      </c>
      <c r="I187" s="13">
        <f t="shared" si="37"/>
        <v>2</v>
      </c>
      <c r="J187" s="13">
        <f t="shared" si="37"/>
        <v>1</v>
      </c>
      <c r="K187" s="13">
        <f t="shared" si="37"/>
        <v>5</v>
      </c>
      <c r="L187" s="13">
        <f t="shared" si="37"/>
        <v>2</v>
      </c>
      <c r="M187" s="13">
        <f t="shared" si="37"/>
        <v>3</v>
      </c>
      <c r="N187" s="13">
        <f t="shared" si="37"/>
        <v>2</v>
      </c>
      <c r="O187" s="13">
        <f t="shared" si="37"/>
        <v>6</v>
      </c>
      <c r="P187" s="13">
        <f t="shared" si="37"/>
        <v>12</v>
      </c>
      <c r="Q187" s="13">
        <f t="shared" si="37"/>
        <v>4</v>
      </c>
      <c r="R187" s="13">
        <f t="shared" si="37"/>
        <v>8</v>
      </c>
      <c r="S187" s="13">
        <f t="shared" si="37"/>
        <v>7</v>
      </c>
      <c r="T187" s="13">
        <f t="shared" si="37"/>
        <v>25</v>
      </c>
      <c r="U187" s="13">
        <f t="shared" si="37"/>
        <v>27</v>
      </c>
      <c r="V187" s="13">
        <f t="shared" si="37"/>
        <v>10</v>
      </c>
      <c r="W187" s="13">
        <f t="shared" si="37"/>
        <v>4</v>
      </c>
      <c r="X187" s="13">
        <f t="shared" si="37"/>
        <v>7</v>
      </c>
      <c r="Y187" s="13">
        <f t="shared" si="37"/>
        <v>5</v>
      </c>
      <c r="Z187" s="13">
        <f t="shared" si="37"/>
        <v>5</v>
      </c>
      <c r="AA187" s="13">
        <f t="shared" si="37"/>
        <v>5</v>
      </c>
      <c r="AB187" s="13">
        <f t="shared" si="37"/>
        <v>2</v>
      </c>
      <c r="AC187" s="13">
        <f t="shared" si="37"/>
        <v>9</v>
      </c>
      <c r="AD187" s="13">
        <f t="shared" si="37"/>
        <v>168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T188" s="81"/>
      <c r="U188" s="81"/>
      <c r="V188" s="81"/>
      <c r="W188" s="81"/>
      <c r="X188" s="81"/>
      <c r="Y188" s="81"/>
      <c r="Z188" s="81"/>
      <c r="AA188" s="81"/>
      <c r="AB188" s="81"/>
      <c r="AD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2.0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1.0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2.0</v>
      </c>
      <c r="AA189" s="73">
        <v>0.0</v>
      </c>
      <c r="AB189" s="73">
        <v>1.0</v>
      </c>
      <c r="AC189" s="73">
        <v>0.0</v>
      </c>
      <c r="AD189" s="13">
        <f t="shared" ref="AD189:AD198" si="38">SUM(E189:AC189)</f>
        <v>6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1.0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1.0</v>
      </c>
      <c r="AD190" s="13">
        <f t="shared" si="38"/>
        <v>2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2.0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13">
        <f t="shared" si="38"/>
        <v>2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1.0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13">
        <f t="shared" si="38"/>
        <v>1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1.0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13">
        <f t="shared" si="38"/>
        <v>1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1.0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1.0</v>
      </c>
      <c r="AD194" s="13">
        <f t="shared" si="38"/>
        <v>2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13">
        <f t="shared" si="38"/>
        <v>0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0.0</v>
      </c>
      <c r="S196" s="80">
        <v>0.0</v>
      </c>
      <c r="T196" s="80">
        <v>0.0</v>
      </c>
      <c r="U196" s="80">
        <v>0.0</v>
      </c>
      <c r="V196" s="80">
        <v>0.0</v>
      </c>
      <c r="W196" s="80">
        <v>0.0</v>
      </c>
      <c r="X196" s="80">
        <v>0.0</v>
      </c>
      <c r="Y196" s="80">
        <v>0.0</v>
      </c>
      <c r="Z196" s="80">
        <v>0.0</v>
      </c>
      <c r="AA196" s="80">
        <v>0.0</v>
      </c>
      <c r="AB196" s="80">
        <v>0.0</v>
      </c>
      <c r="AC196" s="80">
        <v>0.0</v>
      </c>
      <c r="AD196" s="13">
        <f t="shared" si="38"/>
        <v>0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1.0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1.0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0">
        <v>0.0</v>
      </c>
      <c r="U197" s="80">
        <v>0.0</v>
      </c>
      <c r="V197" s="80">
        <v>0.0</v>
      </c>
      <c r="W197" s="80">
        <v>0.0</v>
      </c>
      <c r="X197" s="80">
        <v>0.0</v>
      </c>
      <c r="Y197" s="80">
        <v>0.0</v>
      </c>
      <c r="Z197" s="80">
        <v>0.0</v>
      </c>
      <c r="AA197" s="80">
        <v>0.0</v>
      </c>
      <c r="AB197" s="80">
        <v>0.0</v>
      </c>
      <c r="AC197" s="80">
        <v>0.0</v>
      </c>
      <c r="AD197" s="13">
        <f t="shared" si="38"/>
        <v>2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80">
        <v>0.0</v>
      </c>
      <c r="V198" s="80">
        <v>0.0</v>
      </c>
      <c r="W198" s="80">
        <v>0.0</v>
      </c>
      <c r="X198" s="80">
        <v>0.0</v>
      </c>
      <c r="Y198" s="80">
        <v>0.0</v>
      </c>
      <c r="Z198" s="80">
        <v>0.0</v>
      </c>
      <c r="AA198" s="80">
        <v>0.0</v>
      </c>
      <c r="AB198" s="80">
        <v>0.0</v>
      </c>
      <c r="AC198" s="80">
        <v>0.0</v>
      </c>
      <c r="AD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AD199" si="39">SUM(E189:E198)</f>
        <v>2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1</v>
      </c>
      <c r="O199" s="13">
        <f t="shared" si="39"/>
        <v>2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3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2</v>
      </c>
      <c r="AA199" s="13">
        <f t="shared" si="39"/>
        <v>0</v>
      </c>
      <c r="AB199" s="13">
        <f t="shared" si="39"/>
        <v>1</v>
      </c>
      <c r="AC199" s="13">
        <f t="shared" si="39"/>
        <v>2</v>
      </c>
      <c r="AD199" s="13">
        <f t="shared" si="39"/>
        <v>16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4.0</v>
      </c>
      <c r="F201" s="73">
        <v>2.0</v>
      </c>
      <c r="G201" s="73">
        <v>0.0</v>
      </c>
      <c r="H201" s="73">
        <v>5.0</v>
      </c>
      <c r="I201" s="73">
        <v>5.0</v>
      </c>
      <c r="J201" s="73">
        <v>5.0</v>
      </c>
      <c r="K201" s="73">
        <v>5.0</v>
      </c>
      <c r="L201" s="73">
        <v>4.0</v>
      </c>
      <c r="M201" s="73">
        <v>2.0</v>
      </c>
      <c r="N201" s="73">
        <v>1.0</v>
      </c>
      <c r="O201" s="73">
        <v>7.0</v>
      </c>
      <c r="P201" s="73">
        <v>9.0</v>
      </c>
      <c r="Q201" s="73">
        <v>0.0</v>
      </c>
      <c r="R201" s="73">
        <v>7.0</v>
      </c>
      <c r="S201" s="73">
        <v>4.0</v>
      </c>
      <c r="T201" s="73">
        <v>9.0</v>
      </c>
      <c r="U201" s="73">
        <v>3.0</v>
      </c>
      <c r="V201" s="73">
        <v>8.0</v>
      </c>
      <c r="W201" s="73">
        <v>3.0</v>
      </c>
      <c r="X201" s="73">
        <v>3.0</v>
      </c>
      <c r="Y201" s="73">
        <v>7.0</v>
      </c>
      <c r="Z201" s="73">
        <v>5.0</v>
      </c>
      <c r="AA201" s="73">
        <v>7.0</v>
      </c>
      <c r="AB201" s="73">
        <v>4.0</v>
      </c>
      <c r="AC201" s="73">
        <v>2.0</v>
      </c>
      <c r="AD201" s="13">
        <f t="shared" ref="AD201:AD210" si="40">SUM(E201:AC201)</f>
        <v>111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1.0</v>
      </c>
      <c r="F202" s="73">
        <v>2.0</v>
      </c>
      <c r="G202" s="73">
        <v>3.0</v>
      </c>
      <c r="H202" s="73">
        <v>7.0</v>
      </c>
      <c r="I202" s="73">
        <v>0.0</v>
      </c>
      <c r="J202" s="73">
        <v>6.0</v>
      </c>
      <c r="K202" s="73">
        <v>8.0</v>
      </c>
      <c r="L202" s="73">
        <v>2.0</v>
      </c>
      <c r="M202" s="73">
        <v>3.0</v>
      </c>
      <c r="N202" s="73">
        <v>2.0</v>
      </c>
      <c r="O202" s="73">
        <v>5.0</v>
      </c>
      <c r="P202" s="73">
        <v>6.0</v>
      </c>
      <c r="Q202" s="73">
        <v>5.0</v>
      </c>
      <c r="R202" s="73">
        <v>1.0</v>
      </c>
      <c r="S202" s="73">
        <v>5.0</v>
      </c>
      <c r="T202" s="73">
        <v>3.0</v>
      </c>
      <c r="U202" s="73">
        <v>2.0</v>
      </c>
      <c r="V202" s="73">
        <v>4.0</v>
      </c>
      <c r="W202" s="73">
        <v>4.0</v>
      </c>
      <c r="X202" s="73">
        <v>5.0</v>
      </c>
      <c r="Y202" s="73">
        <v>9.0</v>
      </c>
      <c r="Z202" s="73">
        <v>3.0</v>
      </c>
      <c r="AA202" s="73">
        <v>7.0</v>
      </c>
      <c r="AB202" s="73">
        <v>19.0</v>
      </c>
      <c r="AC202" s="73">
        <v>7.0</v>
      </c>
      <c r="AD202" s="13">
        <f t="shared" si="40"/>
        <v>119</v>
      </c>
    </row>
    <row r="203" ht="12.75" customHeight="1">
      <c r="A203" s="18"/>
      <c r="B203" s="49"/>
      <c r="C203" s="50" t="s">
        <v>154</v>
      </c>
      <c r="D203" s="51"/>
      <c r="E203" s="73">
        <v>2.0</v>
      </c>
      <c r="F203" s="73">
        <v>2.0</v>
      </c>
      <c r="G203" s="73">
        <v>1.0</v>
      </c>
      <c r="H203" s="73">
        <v>0.0</v>
      </c>
      <c r="I203" s="73">
        <v>0.0</v>
      </c>
      <c r="J203" s="73">
        <v>3.0</v>
      </c>
      <c r="K203" s="73">
        <v>1.0</v>
      </c>
      <c r="L203" s="73">
        <v>3.0</v>
      </c>
      <c r="M203" s="73">
        <v>1.0</v>
      </c>
      <c r="N203" s="73">
        <v>3.0</v>
      </c>
      <c r="O203" s="73">
        <v>6.0</v>
      </c>
      <c r="P203" s="73">
        <v>1.0</v>
      </c>
      <c r="Q203" s="73">
        <v>2.0</v>
      </c>
      <c r="R203" s="73">
        <v>2.0</v>
      </c>
      <c r="S203" s="73">
        <v>5.0</v>
      </c>
      <c r="T203" s="73">
        <v>1.0</v>
      </c>
      <c r="U203" s="73">
        <v>0.0</v>
      </c>
      <c r="V203" s="73">
        <v>10.0</v>
      </c>
      <c r="W203" s="73">
        <v>17.0</v>
      </c>
      <c r="X203" s="73">
        <v>2.0</v>
      </c>
      <c r="Y203" s="73">
        <v>1.0</v>
      </c>
      <c r="Z203" s="73">
        <v>6.0</v>
      </c>
      <c r="AA203" s="73">
        <v>2.0</v>
      </c>
      <c r="AB203" s="73">
        <v>4.0</v>
      </c>
      <c r="AC203" s="73">
        <v>1.0</v>
      </c>
      <c r="AD203" s="13">
        <f t="shared" si="40"/>
        <v>76</v>
      </c>
    </row>
    <row r="204" ht="12.75" customHeight="1">
      <c r="A204" s="18"/>
      <c r="B204" s="49"/>
      <c r="C204" s="50" t="s">
        <v>155</v>
      </c>
      <c r="D204" s="51"/>
      <c r="E204" s="73">
        <v>0.0</v>
      </c>
      <c r="F204" s="73">
        <v>0.0</v>
      </c>
      <c r="G204" s="73">
        <v>1.0</v>
      </c>
      <c r="H204" s="73">
        <v>1.0</v>
      </c>
      <c r="I204" s="73">
        <v>0.0</v>
      </c>
      <c r="J204" s="73">
        <v>0.0</v>
      </c>
      <c r="K204" s="73">
        <v>0.0</v>
      </c>
      <c r="L204" s="73">
        <v>0.0</v>
      </c>
      <c r="M204" s="73">
        <v>0.0</v>
      </c>
      <c r="N204" s="73">
        <v>2.0</v>
      </c>
      <c r="O204" s="73">
        <v>0.0</v>
      </c>
      <c r="P204" s="73">
        <v>0.0</v>
      </c>
      <c r="Q204" s="73">
        <v>0.0</v>
      </c>
      <c r="R204" s="73">
        <v>2.0</v>
      </c>
      <c r="S204" s="73">
        <v>0.0</v>
      </c>
      <c r="T204" s="73">
        <v>0.0</v>
      </c>
      <c r="U204" s="73">
        <v>0.0</v>
      </c>
      <c r="V204" s="73">
        <v>2.0</v>
      </c>
      <c r="W204" s="73">
        <v>1.0</v>
      </c>
      <c r="X204" s="73">
        <v>0.0</v>
      </c>
      <c r="Y204" s="73">
        <v>0.0</v>
      </c>
      <c r="Z204" s="73">
        <v>1.0</v>
      </c>
      <c r="AA204" s="73">
        <v>1.0</v>
      </c>
      <c r="AB204" s="73">
        <v>1.0</v>
      </c>
      <c r="AC204" s="73">
        <v>1.0</v>
      </c>
      <c r="AD204" s="13">
        <f t="shared" si="40"/>
        <v>13</v>
      </c>
    </row>
    <row r="205" ht="12.75" customHeight="1">
      <c r="A205" s="18"/>
      <c r="B205" s="49"/>
      <c r="C205" s="50" t="s">
        <v>156</v>
      </c>
      <c r="D205" s="51"/>
      <c r="E205" s="73">
        <v>2.0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3.0</v>
      </c>
      <c r="L205" s="73">
        <v>1.0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1.0</v>
      </c>
      <c r="S205" s="73">
        <v>1.0</v>
      </c>
      <c r="T205" s="73">
        <v>1.0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73">
        <v>2.0</v>
      </c>
      <c r="AA205" s="73">
        <v>2.0</v>
      </c>
      <c r="AB205" s="73">
        <v>0.0</v>
      </c>
      <c r="AC205" s="73">
        <v>0.0</v>
      </c>
      <c r="AD205" s="13">
        <f t="shared" si="40"/>
        <v>13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1.0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1.0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1.0</v>
      </c>
      <c r="Y206" s="73">
        <v>0.0</v>
      </c>
      <c r="Z206" s="73">
        <v>0.0</v>
      </c>
      <c r="AA206" s="73">
        <v>0.0</v>
      </c>
      <c r="AB206" s="73">
        <v>1.0</v>
      </c>
      <c r="AC206" s="73">
        <v>0.0</v>
      </c>
      <c r="AD206" s="13">
        <f t="shared" si="40"/>
        <v>4</v>
      </c>
    </row>
    <row r="207" ht="12.75" customHeight="1">
      <c r="A207" s="18"/>
      <c r="B207" s="49"/>
      <c r="C207" s="50" t="s">
        <v>158</v>
      </c>
      <c r="D207" s="51"/>
      <c r="E207" s="73">
        <v>1.0</v>
      </c>
      <c r="F207" s="73">
        <v>0.0</v>
      </c>
      <c r="G207" s="73">
        <v>0.0</v>
      </c>
      <c r="H207" s="73">
        <v>1.0</v>
      </c>
      <c r="I207" s="73">
        <v>1.0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1.0</v>
      </c>
      <c r="P207" s="73">
        <v>0.0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2.0</v>
      </c>
      <c r="W207" s="73">
        <v>1.0</v>
      </c>
      <c r="X207" s="73">
        <v>0.0</v>
      </c>
      <c r="Y207" s="73">
        <v>0.0</v>
      </c>
      <c r="Z207" s="73">
        <v>1.0</v>
      </c>
      <c r="AA207" s="73">
        <v>0.0</v>
      </c>
      <c r="AB207" s="73">
        <v>0.0</v>
      </c>
      <c r="AC207" s="73">
        <v>0.0</v>
      </c>
      <c r="AD207" s="13">
        <f t="shared" si="40"/>
        <v>8</v>
      </c>
    </row>
    <row r="208" ht="12.75" customHeight="1">
      <c r="A208" s="79"/>
      <c r="B208" s="49"/>
      <c r="C208" s="50" t="s">
        <v>159</v>
      </c>
      <c r="D208" s="51"/>
      <c r="E208" s="80">
        <v>3.0</v>
      </c>
      <c r="F208" s="80">
        <v>1.0</v>
      </c>
      <c r="G208" s="80">
        <v>0.0</v>
      </c>
      <c r="H208" s="80">
        <v>1.0</v>
      </c>
      <c r="I208" s="80">
        <v>0.0</v>
      </c>
      <c r="J208" s="80">
        <v>0.0</v>
      </c>
      <c r="K208" s="80">
        <v>0.0</v>
      </c>
      <c r="L208" s="80">
        <v>1.0</v>
      </c>
      <c r="M208" s="80">
        <v>0.0</v>
      </c>
      <c r="N208" s="80">
        <v>0.0</v>
      </c>
      <c r="O208" s="80">
        <v>0.0</v>
      </c>
      <c r="P208" s="80">
        <v>1.0</v>
      </c>
      <c r="Q208" s="80">
        <v>0.0</v>
      </c>
      <c r="R208" s="80">
        <v>2.0</v>
      </c>
      <c r="S208" s="80">
        <v>1.0</v>
      </c>
      <c r="T208" s="80">
        <v>0.0</v>
      </c>
      <c r="U208" s="80">
        <v>0.0</v>
      </c>
      <c r="V208" s="80">
        <v>0.0</v>
      </c>
      <c r="W208" s="80">
        <v>0.0</v>
      </c>
      <c r="X208" s="80">
        <v>2.0</v>
      </c>
      <c r="Y208" s="80">
        <v>0.0</v>
      </c>
      <c r="Z208" s="80">
        <v>1.0</v>
      </c>
      <c r="AA208" s="80">
        <v>0.0</v>
      </c>
      <c r="AB208" s="80">
        <v>0.0</v>
      </c>
      <c r="AC208" s="80">
        <v>0.0</v>
      </c>
      <c r="AD208" s="13">
        <f t="shared" si="40"/>
        <v>13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0.0</v>
      </c>
      <c r="T209" s="80">
        <v>0.0</v>
      </c>
      <c r="U209" s="80">
        <v>0.0</v>
      </c>
      <c r="V209" s="80">
        <v>0.0</v>
      </c>
      <c r="W209" s="80">
        <v>0.0</v>
      </c>
      <c r="X209" s="80">
        <v>0.0</v>
      </c>
      <c r="Y209" s="80">
        <v>0.0</v>
      </c>
      <c r="Z209" s="80">
        <v>0.0</v>
      </c>
      <c r="AA209" s="80">
        <v>0.0</v>
      </c>
      <c r="AB209" s="80">
        <v>0.0</v>
      </c>
      <c r="AC209" s="80">
        <v>0.0</v>
      </c>
      <c r="AD209" s="13">
        <f t="shared" si="40"/>
        <v>0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0.0</v>
      </c>
      <c r="H210" s="80">
        <v>0.0</v>
      </c>
      <c r="I210" s="80">
        <v>0.0</v>
      </c>
      <c r="J210" s="80">
        <v>0.0</v>
      </c>
      <c r="K210" s="80">
        <v>1.0</v>
      </c>
      <c r="L210" s="80">
        <v>0.0</v>
      </c>
      <c r="M210" s="80">
        <v>0.0</v>
      </c>
      <c r="N210" s="80">
        <v>0.0</v>
      </c>
      <c r="O210" s="80">
        <v>0.0</v>
      </c>
      <c r="P210" s="80">
        <v>0.0</v>
      </c>
      <c r="Q210" s="80">
        <v>0.0</v>
      </c>
      <c r="R210" s="80">
        <v>0.0</v>
      </c>
      <c r="S210" s="80">
        <v>0.0</v>
      </c>
      <c r="T210" s="80">
        <v>0.0</v>
      </c>
      <c r="U210" s="80">
        <v>0.0</v>
      </c>
      <c r="V210" s="80">
        <v>0.0</v>
      </c>
      <c r="W210" s="80">
        <v>1.0</v>
      </c>
      <c r="X210" s="80">
        <v>1.0</v>
      </c>
      <c r="Y210" s="80">
        <v>0.0</v>
      </c>
      <c r="Z210" s="80">
        <v>1.0</v>
      </c>
      <c r="AA210" s="80">
        <v>0.0</v>
      </c>
      <c r="AB210" s="80">
        <v>0.0</v>
      </c>
      <c r="AC210" s="80">
        <v>0.0</v>
      </c>
      <c r="AD210" s="13">
        <f t="shared" si="40"/>
        <v>4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AD211" si="41">SUM(E201:E210)</f>
        <v>13</v>
      </c>
      <c r="F211" s="13">
        <f t="shared" si="41"/>
        <v>7</v>
      </c>
      <c r="G211" s="13">
        <f t="shared" si="41"/>
        <v>5</v>
      </c>
      <c r="H211" s="13">
        <f t="shared" si="41"/>
        <v>15</v>
      </c>
      <c r="I211" s="13">
        <f t="shared" si="41"/>
        <v>6</v>
      </c>
      <c r="J211" s="13">
        <f t="shared" si="41"/>
        <v>14</v>
      </c>
      <c r="K211" s="13">
        <f t="shared" si="41"/>
        <v>19</v>
      </c>
      <c r="L211" s="13">
        <f t="shared" si="41"/>
        <v>11</v>
      </c>
      <c r="M211" s="13">
        <f t="shared" si="41"/>
        <v>6</v>
      </c>
      <c r="N211" s="13">
        <f t="shared" si="41"/>
        <v>8</v>
      </c>
      <c r="O211" s="13">
        <f t="shared" si="41"/>
        <v>19</v>
      </c>
      <c r="P211" s="13">
        <f t="shared" si="41"/>
        <v>17</v>
      </c>
      <c r="Q211" s="13">
        <f t="shared" si="41"/>
        <v>8</v>
      </c>
      <c r="R211" s="13">
        <f t="shared" si="41"/>
        <v>15</v>
      </c>
      <c r="S211" s="13">
        <f t="shared" si="41"/>
        <v>16</v>
      </c>
      <c r="T211" s="13">
        <f t="shared" si="41"/>
        <v>14</v>
      </c>
      <c r="U211" s="13">
        <f t="shared" si="41"/>
        <v>5</v>
      </c>
      <c r="V211" s="13">
        <f t="shared" si="41"/>
        <v>26</v>
      </c>
      <c r="W211" s="13">
        <f t="shared" si="41"/>
        <v>27</v>
      </c>
      <c r="X211" s="13">
        <f t="shared" si="41"/>
        <v>14</v>
      </c>
      <c r="Y211" s="13">
        <f t="shared" si="41"/>
        <v>17</v>
      </c>
      <c r="Z211" s="13">
        <f t="shared" si="41"/>
        <v>20</v>
      </c>
      <c r="AA211" s="13">
        <f t="shared" si="41"/>
        <v>19</v>
      </c>
      <c r="AB211" s="13">
        <f t="shared" si="41"/>
        <v>29</v>
      </c>
      <c r="AC211" s="13">
        <f t="shared" si="41"/>
        <v>11</v>
      </c>
      <c r="AD211" s="13">
        <f t="shared" si="41"/>
        <v>361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6.0</v>
      </c>
      <c r="F213" s="73">
        <v>6.0</v>
      </c>
      <c r="G213" s="73">
        <v>3.0</v>
      </c>
      <c r="H213" s="73">
        <v>2.0</v>
      </c>
      <c r="I213" s="73">
        <v>1.0</v>
      </c>
      <c r="J213" s="73">
        <v>1.0</v>
      </c>
      <c r="K213" s="73">
        <v>1.0</v>
      </c>
      <c r="L213" s="73">
        <v>1.0</v>
      </c>
      <c r="M213" s="73">
        <v>2.0</v>
      </c>
      <c r="N213" s="73">
        <v>2.0</v>
      </c>
      <c r="O213" s="73">
        <v>2.0</v>
      </c>
      <c r="P213" s="73">
        <v>7.0</v>
      </c>
      <c r="Q213" s="73">
        <v>5.0</v>
      </c>
      <c r="R213" s="73">
        <v>3.0</v>
      </c>
      <c r="S213" s="73">
        <v>11.0</v>
      </c>
      <c r="T213" s="73">
        <v>4.0</v>
      </c>
      <c r="U213" s="73">
        <v>8.0</v>
      </c>
      <c r="V213" s="73">
        <v>5.0</v>
      </c>
      <c r="W213" s="73">
        <v>2.0</v>
      </c>
      <c r="X213" s="73">
        <v>4.0</v>
      </c>
      <c r="Y213" s="73">
        <v>1.0</v>
      </c>
      <c r="Z213" s="73">
        <v>2.0</v>
      </c>
      <c r="AA213" s="73">
        <v>1.0</v>
      </c>
      <c r="AB213" s="73">
        <v>1.0</v>
      </c>
      <c r="AC213" s="73">
        <v>2.0</v>
      </c>
      <c r="AD213" s="13">
        <f t="shared" ref="AD213:AD222" si="42">SUM(E213:AC213)</f>
        <v>83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0.0</v>
      </c>
      <c r="F214" s="73">
        <v>1.0</v>
      </c>
      <c r="G214" s="73">
        <v>0.0</v>
      </c>
      <c r="H214" s="73">
        <v>1.0</v>
      </c>
      <c r="I214" s="73">
        <v>0.0</v>
      </c>
      <c r="J214" s="73">
        <v>2.0</v>
      </c>
      <c r="K214" s="73">
        <v>1.0</v>
      </c>
      <c r="L214" s="73">
        <v>1.0</v>
      </c>
      <c r="M214" s="73">
        <v>0.0</v>
      </c>
      <c r="N214" s="73">
        <v>0.0</v>
      </c>
      <c r="O214" s="73">
        <v>1.0</v>
      </c>
      <c r="P214" s="73">
        <v>1.0</v>
      </c>
      <c r="Q214" s="73">
        <v>0.0</v>
      </c>
      <c r="R214" s="73">
        <v>2.0</v>
      </c>
      <c r="S214" s="73">
        <v>4.0</v>
      </c>
      <c r="T214" s="73">
        <v>0.0</v>
      </c>
      <c r="U214" s="73">
        <v>1.0</v>
      </c>
      <c r="V214" s="73">
        <v>1.0</v>
      </c>
      <c r="W214" s="73">
        <v>0.0</v>
      </c>
      <c r="X214" s="73">
        <v>1.0</v>
      </c>
      <c r="Y214" s="73">
        <v>1.0</v>
      </c>
      <c r="Z214" s="73">
        <v>1.0</v>
      </c>
      <c r="AA214" s="73">
        <v>2.0</v>
      </c>
      <c r="AB214" s="73">
        <v>1.0</v>
      </c>
      <c r="AC214" s="73">
        <v>1.0</v>
      </c>
      <c r="AD214" s="13">
        <f t="shared" si="42"/>
        <v>23</v>
      </c>
    </row>
    <row r="215" ht="12.75" customHeight="1">
      <c r="A215" s="18"/>
      <c r="B215" s="49"/>
      <c r="C215" s="50" t="s">
        <v>165</v>
      </c>
      <c r="D215" s="51"/>
      <c r="E215" s="73">
        <v>2.0</v>
      </c>
      <c r="F215" s="73">
        <v>2.0</v>
      </c>
      <c r="G215" s="73">
        <v>1.0</v>
      </c>
      <c r="H215" s="73">
        <v>0.0</v>
      </c>
      <c r="I215" s="73">
        <v>1.0</v>
      </c>
      <c r="J215" s="73">
        <v>0.0</v>
      </c>
      <c r="K215" s="73">
        <v>3.0</v>
      </c>
      <c r="L215" s="73">
        <v>2.0</v>
      </c>
      <c r="M215" s="73">
        <v>2.0</v>
      </c>
      <c r="N215" s="73">
        <v>0.0</v>
      </c>
      <c r="O215" s="73">
        <v>0.0</v>
      </c>
      <c r="P215" s="73">
        <v>0.0</v>
      </c>
      <c r="Q215" s="73">
        <v>3.0</v>
      </c>
      <c r="R215" s="73">
        <v>0.0</v>
      </c>
      <c r="S215" s="73">
        <v>1.0</v>
      </c>
      <c r="T215" s="73">
        <v>0.0</v>
      </c>
      <c r="U215" s="73">
        <v>5.0</v>
      </c>
      <c r="V215" s="73">
        <v>3.0</v>
      </c>
      <c r="W215" s="73">
        <v>3.0</v>
      </c>
      <c r="X215" s="73">
        <v>2.0</v>
      </c>
      <c r="Y215" s="73">
        <v>2.0</v>
      </c>
      <c r="Z215" s="73">
        <v>1.0</v>
      </c>
      <c r="AA215" s="73">
        <v>1.0</v>
      </c>
      <c r="AB215" s="73">
        <v>0.0</v>
      </c>
      <c r="AC215" s="73">
        <v>2.0</v>
      </c>
      <c r="AD215" s="13">
        <f t="shared" si="42"/>
        <v>36</v>
      </c>
    </row>
    <row r="216" ht="12.75" customHeight="1">
      <c r="A216" s="18"/>
      <c r="B216" s="49"/>
      <c r="C216" s="50" t="s">
        <v>166</v>
      </c>
      <c r="D216" s="51"/>
      <c r="E216" s="73">
        <v>0.0</v>
      </c>
      <c r="F216" s="73">
        <v>1.0</v>
      </c>
      <c r="G216" s="73">
        <v>0.0</v>
      </c>
      <c r="H216" s="73">
        <v>0.0</v>
      </c>
      <c r="I216" s="73">
        <v>2.0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2.0</v>
      </c>
      <c r="P216" s="73">
        <v>0.0</v>
      </c>
      <c r="Q216" s="73">
        <v>0.0</v>
      </c>
      <c r="R216" s="73">
        <v>1.0</v>
      </c>
      <c r="S216" s="73">
        <v>1.0</v>
      </c>
      <c r="T216" s="73">
        <v>0.0</v>
      </c>
      <c r="U216" s="73">
        <v>2.0</v>
      </c>
      <c r="V216" s="73">
        <v>2.0</v>
      </c>
      <c r="W216" s="73">
        <v>1.0</v>
      </c>
      <c r="X216" s="73">
        <v>1.0</v>
      </c>
      <c r="Y216" s="73">
        <v>1.0</v>
      </c>
      <c r="Z216" s="73">
        <v>0.0</v>
      </c>
      <c r="AA216" s="73">
        <v>0.0</v>
      </c>
      <c r="AB216" s="73">
        <v>0.0</v>
      </c>
      <c r="AC216" s="73">
        <v>0.0</v>
      </c>
      <c r="AD216" s="13">
        <f t="shared" si="42"/>
        <v>14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AD223" si="43">SUM(E213:E222)</f>
        <v>8</v>
      </c>
      <c r="F223" s="13">
        <f t="shared" si="43"/>
        <v>10</v>
      </c>
      <c r="G223" s="13">
        <f t="shared" si="43"/>
        <v>4</v>
      </c>
      <c r="H223" s="13">
        <f t="shared" si="43"/>
        <v>3</v>
      </c>
      <c r="I223" s="13">
        <f t="shared" si="43"/>
        <v>4</v>
      </c>
      <c r="J223" s="13">
        <f t="shared" si="43"/>
        <v>3</v>
      </c>
      <c r="K223" s="13">
        <f t="shared" si="43"/>
        <v>5</v>
      </c>
      <c r="L223" s="13">
        <f t="shared" si="43"/>
        <v>4</v>
      </c>
      <c r="M223" s="13">
        <f t="shared" si="43"/>
        <v>4</v>
      </c>
      <c r="N223" s="13">
        <f t="shared" si="43"/>
        <v>2</v>
      </c>
      <c r="O223" s="13">
        <f t="shared" si="43"/>
        <v>5</v>
      </c>
      <c r="P223" s="13">
        <f t="shared" si="43"/>
        <v>8</v>
      </c>
      <c r="Q223" s="13">
        <f t="shared" si="43"/>
        <v>8</v>
      </c>
      <c r="R223" s="13">
        <f t="shared" si="43"/>
        <v>6</v>
      </c>
      <c r="S223" s="13">
        <f t="shared" si="43"/>
        <v>17</v>
      </c>
      <c r="T223" s="13">
        <f t="shared" si="43"/>
        <v>4</v>
      </c>
      <c r="U223" s="13">
        <f t="shared" si="43"/>
        <v>16</v>
      </c>
      <c r="V223" s="13">
        <f t="shared" si="43"/>
        <v>11</v>
      </c>
      <c r="W223" s="13">
        <f t="shared" si="43"/>
        <v>6</v>
      </c>
      <c r="X223" s="13">
        <f t="shared" si="43"/>
        <v>8</v>
      </c>
      <c r="Y223" s="13">
        <f t="shared" si="43"/>
        <v>5</v>
      </c>
      <c r="Z223" s="13">
        <f t="shared" si="43"/>
        <v>4</v>
      </c>
      <c r="AA223" s="13">
        <f t="shared" si="43"/>
        <v>4</v>
      </c>
      <c r="AB223" s="13">
        <f t="shared" si="43"/>
        <v>2</v>
      </c>
      <c r="AC223" s="13">
        <f t="shared" si="43"/>
        <v>5</v>
      </c>
      <c r="AD223" s="13">
        <f t="shared" si="43"/>
        <v>156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1.0</v>
      </c>
      <c r="L225" s="73">
        <v>0.0</v>
      </c>
      <c r="M225" s="73">
        <v>1.0</v>
      </c>
      <c r="N225" s="73">
        <v>0.0</v>
      </c>
      <c r="O225" s="73">
        <v>0.0</v>
      </c>
      <c r="P225" s="73">
        <v>2.0</v>
      </c>
      <c r="Q225" s="73">
        <v>1.0</v>
      </c>
      <c r="R225" s="73">
        <v>0.0</v>
      </c>
      <c r="S225" s="73">
        <v>0.0</v>
      </c>
      <c r="T225" s="73">
        <v>2.0</v>
      </c>
      <c r="U225" s="73">
        <v>1.0</v>
      </c>
      <c r="V225" s="73">
        <v>2.0</v>
      </c>
      <c r="W225" s="73">
        <v>1.0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2.0</v>
      </c>
      <c r="AC225" s="73">
        <v>0.0</v>
      </c>
      <c r="AD225" s="13">
        <f t="shared" ref="AD225:AD234" si="44">SUM(E225:AC225)</f>
        <v>13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2.0</v>
      </c>
      <c r="F226" s="73">
        <v>0.0</v>
      </c>
      <c r="G226" s="73">
        <v>0.0</v>
      </c>
      <c r="H226" s="73">
        <v>0.0</v>
      </c>
      <c r="I226" s="73">
        <v>0.0</v>
      </c>
      <c r="J226" s="73">
        <v>1.0</v>
      </c>
      <c r="K226" s="73">
        <v>0.0</v>
      </c>
      <c r="L226" s="73">
        <v>0.0</v>
      </c>
      <c r="M226" s="73">
        <v>0.0</v>
      </c>
      <c r="N226" s="73">
        <v>2.0</v>
      </c>
      <c r="O226" s="73">
        <v>2.0</v>
      </c>
      <c r="P226" s="73">
        <v>1.0</v>
      </c>
      <c r="Q226" s="73">
        <v>0.0</v>
      </c>
      <c r="R226" s="73">
        <v>2.0</v>
      </c>
      <c r="S226" s="73">
        <v>0.0</v>
      </c>
      <c r="T226" s="73">
        <v>0.0</v>
      </c>
      <c r="U226" s="73">
        <v>0.0</v>
      </c>
      <c r="V226" s="73">
        <v>0.0</v>
      </c>
      <c r="W226" s="73">
        <v>1.0</v>
      </c>
      <c r="X226" s="73">
        <v>0.0</v>
      </c>
      <c r="Y226" s="73">
        <v>0.0</v>
      </c>
      <c r="Z226" s="73">
        <v>0.0</v>
      </c>
      <c r="AA226" s="73">
        <v>0.0</v>
      </c>
      <c r="AB226" s="73">
        <v>1.0</v>
      </c>
      <c r="AC226" s="73">
        <v>0.0</v>
      </c>
      <c r="AD226" s="13">
        <f t="shared" si="44"/>
        <v>12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1.0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1.0</v>
      </c>
      <c r="AB227" s="73">
        <v>0.0</v>
      </c>
      <c r="AC227" s="73">
        <v>0.0</v>
      </c>
      <c r="AD227" s="13">
        <f t="shared" si="44"/>
        <v>2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13">
        <f t="shared" si="44"/>
        <v>0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1.0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1.0</v>
      </c>
      <c r="W229" s="73">
        <v>1.0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13">
        <f t="shared" si="44"/>
        <v>3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AD235" si="45">SUM(E225:E234)</f>
        <v>2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1</v>
      </c>
      <c r="K235" s="13">
        <f t="shared" si="45"/>
        <v>1</v>
      </c>
      <c r="L235" s="13">
        <f t="shared" si="45"/>
        <v>0</v>
      </c>
      <c r="M235" s="13">
        <f t="shared" si="45"/>
        <v>1</v>
      </c>
      <c r="N235" s="13">
        <f t="shared" si="45"/>
        <v>2</v>
      </c>
      <c r="O235" s="13">
        <f t="shared" si="45"/>
        <v>2</v>
      </c>
      <c r="P235" s="13">
        <f t="shared" si="45"/>
        <v>3</v>
      </c>
      <c r="Q235" s="13">
        <f t="shared" si="45"/>
        <v>1</v>
      </c>
      <c r="R235" s="13">
        <f t="shared" si="45"/>
        <v>2</v>
      </c>
      <c r="S235" s="13">
        <f t="shared" si="45"/>
        <v>0</v>
      </c>
      <c r="T235" s="13">
        <f t="shared" si="45"/>
        <v>3</v>
      </c>
      <c r="U235" s="13">
        <f t="shared" si="45"/>
        <v>1</v>
      </c>
      <c r="V235" s="13">
        <f t="shared" si="45"/>
        <v>3</v>
      </c>
      <c r="W235" s="13">
        <f t="shared" si="45"/>
        <v>3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1</v>
      </c>
      <c r="AB235" s="13">
        <f t="shared" si="45"/>
        <v>3</v>
      </c>
      <c r="AC235" s="13">
        <f t="shared" si="45"/>
        <v>0</v>
      </c>
      <c r="AD235" s="13">
        <f t="shared" si="45"/>
        <v>30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1.0</v>
      </c>
      <c r="F237" s="73">
        <v>2.0</v>
      </c>
      <c r="G237" s="73">
        <v>1.0</v>
      </c>
      <c r="H237" s="73">
        <v>2.0</v>
      </c>
      <c r="I237" s="73">
        <v>0.0</v>
      </c>
      <c r="J237" s="73">
        <v>0.0</v>
      </c>
      <c r="K237" s="73">
        <v>2.0</v>
      </c>
      <c r="L237" s="73">
        <v>0.0</v>
      </c>
      <c r="M237" s="73">
        <v>1.0</v>
      </c>
      <c r="N237" s="73">
        <v>0.0</v>
      </c>
      <c r="O237" s="73">
        <v>0.0</v>
      </c>
      <c r="P237" s="73">
        <v>1.0</v>
      </c>
      <c r="Q237" s="73">
        <v>5.0</v>
      </c>
      <c r="R237" s="73">
        <v>1.0</v>
      </c>
      <c r="S237" s="73">
        <v>2.0</v>
      </c>
      <c r="T237" s="73">
        <v>1.0</v>
      </c>
      <c r="U237" s="73">
        <v>4.0</v>
      </c>
      <c r="V237" s="73">
        <v>1.0</v>
      </c>
      <c r="W237" s="73">
        <v>1.0</v>
      </c>
      <c r="X237" s="73">
        <v>1.0</v>
      </c>
      <c r="Y237" s="73">
        <v>0.0</v>
      </c>
      <c r="Z237" s="73">
        <v>2.0</v>
      </c>
      <c r="AA237" s="73">
        <v>0.0</v>
      </c>
      <c r="AB237" s="73">
        <v>0.0</v>
      </c>
      <c r="AC237" s="73">
        <v>0.0</v>
      </c>
      <c r="AD237" s="13">
        <f t="shared" ref="AD237:AD246" si="46">SUM(E237:AC237)</f>
        <v>28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2.0</v>
      </c>
      <c r="F238" s="73">
        <v>0.0</v>
      </c>
      <c r="G238" s="73">
        <v>0.0</v>
      </c>
      <c r="H238" s="73">
        <v>1.0</v>
      </c>
      <c r="I238" s="73">
        <v>1.0</v>
      </c>
      <c r="J238" s="73">
        <v>0.0</v>
      </c>
      <c r="K238" s="73">
        <v>0.0</v>
      </c>
      <c r="L238" s="73">
        <v>0.0</v>
      </c>
      <c r="M238" s="73">
        <v>0.0</v>
      </c>
      <c r="N238" s="73">
        <v>0.0</v>
      </c>
      <c r="O238" s="73">
        <v>0.0</v>
      </c>
      <c r="P238" s="73">
        <v>1.0</v>
      </c>
      <c r="Q238" s="73">
        <v>1.0</v>
      </c>
      <c r="R238" s="73">
        <v>1.0</v>
      </c>
      <c r="S238" s="73">
        <v>0.0</v>
      </c>
      <c r="T238" s="73">
        <v>1.0</v>
      </c>
      <c r="U238" s="73">
        <v>1.0</v>
      </c>
      <c r="V238" s="73">
        <v>1.0</v>
      </c>
      <c r="W238" s="73">
        <v>0.0</v>
      </c>
      <c r="X238" s="73">
        <v>1.0</v>
      </c>
      <c r="Y238" s="73">
        <v>0.0</v>
      </c>
      <c r="Z238" s="73">
        <v>1.0</v>
      </c>
      <c r="AA238" s="73">
        <v>0.0</v>
      </c>
      <c r="AB238" s="73">
        <v>0.0</v>
      </c>
      <c r="AC238" s="73">
        <v>0.0</v>
      </c>
      <c r="AD238" s="13">
        <f t="shared" si="46"/>
        <v>12</v>
      </c>
    </row>
    <row r="239" ht="12.75" customHeight="1">
      <c r="A239" s="18"/>
      <c r="B239" s="49"/>
      <c r="C239" s="50" t="s">
        <v>176</v>
      </c>
      <c r="D239" s="51"/>
      <c r="E239" s="73">
        <v>10.0</v>
      </c>
      <c r="F239" s="73">
        <v>33.0</v>
      </c>
      <c r="G239" s="73">
        <v>0.0</v>
      </c>
      <c r="H239" s="73">
        <v>2.0</v>
      </c>
      <c r="I239" s="73">
        <v>3.0</v>
      </c>
      <c r="J239" s="73">
        <v>0.0</v>
      </c>
      <c r="K239" s="73">
        <v>1.0</v>
      </c>
      <c r="L239" s="73">
        <v>0.0</v>
      </c>
      <c r="M239" s="73">
        <v>0.0</v>
      </c>
      <c r="N239" s="73">
        <v>0.0</v>
      </c>
      <c r="O239" s="73">
        <v>14.0</v>
      </c>
      <c r="P239" s="73">
        <v>2.0</v>
      </c>
      <c r="Q239" s="73">
        <v>4.0</v>
      </c>
      <c r="R239" s="73">
        <v>7.0</v>
      </c>
      <c r="S239" s="73">
        <v>1.0</v>
      </c>
      <c r="T239" s="73">
        <v>1.0</v>
      </c>
      <c r="U239" s="73">
        <v>4.0</v>
      </c>
      <c r="V239" s="73">
        <v>1.0</v>
      </c>
      <c r="W239" s="73">
        <v>1.0</v>
      </c>
      <c r="X239" s="73">
        <v>0.0</v>
      </c>
      <c r="Y239" s="73">
        <v>1.0</v>
      </c>
      <c r="Z239" s="73">
        <v>0.0</v>
      </c>
      <c r="AA239" s="73">
        <v>2.0</v>
      </c>
      <c r="AB239" s="73">
        <v>0.0</v>
      </c>
      <c r="AC239" s="73">
        <v>2.0</v>
      </c>
      <c r="AD239" s="13">
        <f t="shared" si="46"/>
        <v>89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0.0</v>
      </c>
      <c r="H240" s="73">
        <v>1.0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2.0</v>
      </c>
      <c r="Q240" s="73">
        <v>0.0</v>
      </c>
      <c r="R240" s="73">
        <v>0.0</v>
      </c>
      <c r="S240" s="73">
        <v>1.0</v>
      </c>
      <c r="T240" s="73">
        <v>2.0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1.0</v>
      </c>
      <c r="AC240" s="73">
        <v>0.0</v>
      </c>
      <c r="AD240" s="13">
        <f t="shared" si="46"/>
        <v>7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1.0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13">
        <f t="shared" si="46"/>
        <v>1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1.0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1.0</v>
      </c>
      <c r="X242" s="73">
        <v>0.0</v>
      </c>
      <c r="Y242" s="73">
        <v>0.0</v>
      </c>
      <c r="Z242" s="73">
        <v>1.0</v>
      </c>
      <c r="AA242" s="73">
        <v>1.0</v>
      </c>
      <c r="AB242" s="73">
        <v>1.0</v>
      </c>
      <c r="AC242" s="73">
        <v>1.0</v>
      </c>
      <c r="AD242" s="13">
        <f t="shared" si="46"/>
        <v>6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1.0</v>
      </c>
      <c r="K243" s="73">
        <v>0.0</v>
      </c>
      <c r="L243" s="73">
        <v>0.0</v>
      </c>
      <c r="M243" s="73">
        <v>1.0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1.0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13">
        <f t="shared" si="46"/>
        <v>3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1.0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1.0</v>
      </c>
      <c r="S244" s="80">
        <v>0.0</v>
      </c>
      <c r="T244" s="80">
        <v>0.0</v>
      </c>
      <c r="U244" s="80">
        <v>0.0</v>
      </c>
      <c r="V244" s="80">
        <v>0.0</v>
      </c>
      <c r="W244" s="80">
        <v>0.0</v>
      </c>
      <c r="X244" s="80">
        <v>0.0</v>
      </c>
      <c r="Y244" s="80">
        <v>0.0</v>
      </c>
      <c r="Z244" s="80">
        <v>0.0</v>
      </c>
      <c r="AA244" s="80">
        <v>0.0</v>
      </c>
      <c r="AB244" s="80">
        <v>0.0</v>
      </c>
      <c r="AC244" s="80">
        <v>1.0</v>
      </c>
      <c r="AD244" s="13">
        <f t="shared" si="46"/>
        <v>3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80">
        <v>0.0</v>
      </c>
      <c r="S245" s="80">
        <v>0.0</v>
      </c>
      <c r="T245" s="80">
        <v>0.0</v>
      </c>
      <c r="U245" s="80">
        <v>0.0</v>
      </c>
      <c r="V245" s="80">
        <v>0.0</v>
      </c>
      <c r="W245" s="80">
        <v>0.0</v>
      </c>
      <c r="X245" s="80">
        <v>0.0</v>
      </c>
      <c r="Y245" s="80">
        <v>0.0</v>
      </c>
      <c r="Z245" s="80">
        <v>0.0</v>
      </c>
      <c r="AA245" s="80">
        <v>0.0</v>
      </c>
      <c r="AB245" s="80">
        <v>0.0</v>
      </c>
      <c r="AC245" s="80">
        <v>0.0</v>
      </c>
      <c r="AD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0.0</v>
      </c>
      <c r="I246" s="80">
        <v>0.0</v>
      </c>
      <c r="J246" s="80">
        <v>0.0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1.0</v>
      </c>
      <c r="T246" s="80">
        <v>0.0</v>
      </c>
      <c r="U246" s="80">
        <v>1.0</v>
      </c>
      <c r="V246" s="80">
        <v>0.0</v>
      </c>
      <c r="W246" s="80">
        <v>0.0</v>
      </c>
      <c r="X246" s="80">
        <v>0.0</v>
      </c>
      <c r="Y246" s="80">
        <v>0.0</v>
      </c>
      <c r="Z246" s="80">
        <v>0.0</v>
      </c>
      <c r="AA246" s="80">
        <v>0.0</v>
      </c>
      <c r="AB246" s="80">
        <v>0.0</v>
      </c>
      <c r="AC246" s="80">
        <v>0.0</v>
      </c>
      <c r="AD246" s="13">
        <f t="shared" si="46"/>
        <v>2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AD247" si="47">SUM(E237:E246)</f>
        <v>13</v>
      </c>
      <c r="F247" s="13">
        <f t="shared" si="47"/>
        <v>36</v>
      </c>
      <c r="G247" s="13">
        <f t="shared" si="47"/>
        <v>1</v>
      </c>
      <c r="H247" s="13">
        <f t="shared" si="47"/>
        <v>7</v>
      </c>
      <c r="I247" s="13">
        <f t="shared" si="47"/>
        <v>5</v>
      </c>
      <c r="J247" s="13">
        <f t="shared" si="47"/>
        <v>1</v>
      </c>
      <c r="K247" s="13">
        <f t="shared" si="47"/>
        <v>3</v>
      </c>
      <c r="L247" s="13">
        <f t="shared" si="47"/>
        <v>0</v>
      </c>
      <c r="M247" s="13">
        <f t="shared" si="47"/>
        <v>2</v>
      </c>
      <c r="N247" s="13">
        <f t="shared" si="47"/>
        <v>0</v>
      </c>
      <c r="O247" s="13">
        <f t="shared" si="47"/>
        <v>14</v>
      </c>
      <c r="P247" s="13">
        <f t="shared" si="47"/>
        <v>6</v>
      </c>
      <c r="Q247" s="13">
        <f t="shared" si="47"/>
        <v>10</v>
      </c>
      <c r="R247" s="13">
        <f t="shared" si="47"/>
        <v>10</v>
      </c>
      <c r="S247" s="13">
        <f t="shared" si="47"/>
        <v>5</v>
      </c>
      <c r="T247" s="13">
        <f t="shared" si="47"/>
        <v>5</v>
      </c>
      <c r="U247" s="13">
        <f t="shared" si="47"/>
        <v>10</v>
      </c>
      <c r="V247" s="13">
        <f t="shared" si="47"/>
        <v>3</v>
      </c>
      <c r="W247" s="13">
        <f t="shared" si="47"/>
        <v>4</v>
      </c>
      <c r="X247" s="13">
        <f t="shared" si="47"/>
        <v>2</v>
      </c>
      <c r="Y247" s="13">
        <f t="shared" si="47"/>
        <v>1</v>
      </c>
      <c r="Z247" s="13">
        <f t="shared" si="47"/>
        <v>4</v>
      </c>
      <c r="AA247" s="13">
        <f t="shared" si="47"/>
        <v>3</v>
      </c>
      <c r="AB247" s="13">
        <f t="shared" si="47"/>
        <v>2</v>
      </c>
      <c r="AC247" s="13">
        <f t="shared" si="47"/>
        <v>4</v>
      </c>
      <c r="AD247" s="13">
        <f t="shared" si="47"/>
        <v>151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1.0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1.0</v>
      </c>
      <c r="S249" s="73">
        <v>1.0</v>
      </c>
      <c r="T249" s="73">
        <v>0.0</v>
      </c>
      <c r="U249" s="73">
        <v>3.0</v>
      </c>
      <c r="V249" s="73">
        <v>4.0</v>
      </c>
      <c r="W249" s="73">
        <v>4.0</v>
      </c>
      <c r="X249" s="73">
        <v>0.0</v>
      </c>
      <c r="Y249" s="73">
        <v>1.0</v>
      </c>
      <c r="Z249" s="73">
        <v>1.0</v>
      </c>
      <c r="AA249" s="73">
        <v>0.0</v>
      </c>
      <c r="AB249" s="73">
        <v>0.0</v>
      </c>
      <c r="AC249" s="73">
        <v>1.0</v>
      </c>
      <c r="AD249" s="13">
        <f t="shared" ref="AD249:AD258" si="48">SUM(E249:AC249)</f>
        <v>17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1.0</v>
      </c>
      <c r="G250" s="73">
        <v>1.0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1.0</v>
      </c>
      <c r="O250" s="73">
        <v>3.0</v>
      </c>
      <c r="P250" s="73">
        <v>5.0</v>
      </c>
      <c r="Q250" s="73">
        <v>0.0</v>
      </c>
      <c r="R250" s="73">
        <v>12.0</v>
      </c>
      <c r="S250" s="73">
        <v>6.0</v>
      </c>
      <c r="T250" s="73">
        <v>0.0</v>
      </c>
      <c r="U250" s="73">
        <v>5.0</v>
      </c>
      <c r="V250" s="73">
        <v>5.0</v>
      </c>
      <c r="W250" s="73">
        <v>5.0</v>
      </c>
      <c r="X250" s="73">
        <v>1.0</v>
      </c>
      <c r="Y250" s="73">
        <v>1.0</v>
      </c>
      <c r="Z250" s="73">
        <v>1.0</v>
      </c>
      <c r="AA250" s="73">
        <v>1.0</v>
      </c>
      <c r="AB250" s="73">
        <v>0.0</v>
      </c>
      <c r="AC250" s="73">
        <v>1.0</v>
      </c>
      <c r="AD250" s="13">
        <f t="shared" si="48"/>
        <v>49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1.0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13">
        <f t="shared" si="48"/>
        <v>1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1.0</v>
      </c>
      <c r="S252" s="73">
        <v>0.0</v>
      </c>
      <c r="T252" s="73">
        <v>0.0</v>
      </c>
      <c r="U252" s="73">
        <v>0.0</v>
      </c>
      <c r="V252" s="73">
        <v>0.0</v>
      </c>
      <c r="W252" s="73">
        <v>1.0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13">
        <f t="shared" si="48"/>
        <v>2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AD259" si="49">SUM(E249:E258)</f>
        <v>0</v>
      </c>
      <c r="F259" s="13">
        <f t="shared" si="49"/>
        <v>2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3</v>
      </c>
      <c r="P259" s="13">
        <f t="shared" si="49"/>
        <v>5</v>
      </c>
      <c r="Q259" s="13">
        <f t="shared" si="49"/>
        <v>1</v>
      </c>
      <c r="R259" s="13">
        <f t="shared" si="49"/>
        <v>14</v>
      </c>
      <c r="S259" s="13">
        <f t="shared" si="49"/>
        <v>7</v>
      </c>
      <c r="T259" s="13">
        <f t="shared" si="49"/>
        <v>0</v>
      </c>
      <c r="U259" s="13">
        <f t="shared" si="49"/>
        <v>8</v>
      </c>
      <c r="V259" s="13">
        <f t="shared" si="49"/>
        <v>9</v>
      </c>
      <c r="W259" s="13">
        <f t="shared" si="49"/>
        <v>10</v>
      </c>
      <c r="X259" s="13">
        <f t="shared" si="49"/>
        <v>1</v>
      </c>
      <c r="Y259" s="13">
        <f t="shared" si="49"/>
        <v>2</v>
      </c>
      <c r="Z259" s="13">
        <f t="shared" si="49"/>
        <v>2</v>
      </c>
      <c r="AA259" s="13">
        <f t="shared" si="49"/>
        <v>1</v>
      </c>
      <c r="AB259" s="13">
        <f t="shared" si="49"/>
        <v>0</v>
      </c>
      <c r="AC259" s="13">
        <f t="shared" si="49"/>
        <v>2</v>
      </c>
      <c r="AD259" s="13">
        <f t="shared" si="49"/>
        <v>69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13"/>
      <c r="U261" s="13"/>
      <c r="V261" s="13"/>
      <c r="W261" s="13"/>
      <c r="X261" s="76"/>
      <c r="Y261" s="13"/>
      <c r="Z261" s="13"/>
      <c r="AA261" s="13"/>
      <c r="AB261" s="76"/>
      <c r="AC261" s="76"/>
      <c r="AD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AC262" si="50">E55+E67+E79+E91+E103+E115+E127+E139+E151+E163+E175+E187+E199+E211+E223+E235+E247+E259</f>
        <v>197</v>
      </c>
      <c r="F262" s="19">
        <f t="shared" si="50"/>
        <v>185</v>
      </c>
      <c r="G262" s="19">
        <f t="shared" si="50"/>
        <v>173</v>
      </c>
      <c r="H262" s="19">
        <f t="shared" si="50"/>
        <v>193</v>
      </c>
      <c r="I262" s="19">
        <f t="shared" si="50"/>
        <v>168</v>
      </c>
      <c r="J262" s="19">
        <f t="shared" si="50"/>
        <v>206</v>
      </c>
      <c r="K262" s="19">
        <f t="shared" si="50"/>
        <v>193</v>
      </c>
      <c r="L262" s="19">
        <f t="shared" si="50"/>
        <v>169</v>
      </c>
      <c r="M262" s="19">
        <f t="shared" si="50"/>
        <v>184</v>
      </c>
      <c r="N262" s="19">
        <f t="shared" si="50"/>
        <v>147</v>
      </c>
      <c r="O262" s="19">
        <f t="shared" si="50"/>
        <v>178</v>
      </c>
      <c r="P262" s="19">
        <f t="shared" si="50"/>
        <v>185</v>
      </c>
      <c r="Q262" s="19">
        <f t="shared" si="50"/>
        <v>182</v>
      </c>
      <c r="R262" s="19">
        <f t="shared" si="50"/>
        <v>182</v>
      </c>
      <c r="S262" s="19">
        <f t="shared" si="50"/>
        <v>170</v>
      </c>
      <c r="T262" s="19">
        <f t="shared" si="50"/>
        <v>186</v>
      </c>
      <c r="U262" s="19">
        <f t="shared" si="50"/>
        <v>198</v>
      </c>
      <c r="V262" s="19">
        <f t="shared" si="50"/>
        <v>194</v>
      </c>
      <c r="W262" s="19">
        <f t="shared" si="50"/>
        <v>182</v>
      </c>
      <c r="X262" s="19">
        <f t="shared" si="50"/>
        <v>178</v>
      </c>
      <c r="Y262" s="19">
        <f t="shared" si="50"/>
        <v>161</v>
      </c>
      <c r="Z262" s="19">
        <f t="shared" si="50"/>
        <v>211</v>
      </c>
      <c r="AA262" s="19">
        <f t="shared" si="50"/>
        <v>158</v>
      </c>
      <c r="AB262" s="19">
        <f t="shared" si="50"/>
        <v>188</v>
      </c>
      <c r="AC262" s="19">
        <f t="shared" si="50"/>
        <v>176</v>
      </c>
      <c r="AD262" s="13">
        <f t="shared" ref="AD262:AD264" si="51">SUM(E262:AC262)</f>
        <v>4544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42.0</v>
      </c>
      <c r="F263" s="73">
        <v>31.0</v>
      </c>
      <c r="G263" s="73">
        <v>12.0</v>
      </c>
      <c r="H263" s="73">
        <v>26.0</v>
      </c>
      <c r="I263" s="73">
        <v>47.0</v>
      </c>
      <c r="J263" s="73">
        <v>16.0</v>
      </c>
      <c r="K263" s="73">
        <v>30.0</v>
      </c>
      <c r="L263" s="73">
        <v>15.0</v>
      </c>
      <c r="M263" s="73">
        <v>23.0</v>
      </c>
      <c r="N263" s="73">
        <v>19.0</v>
      </c>
      <c r="O263" s="73">
        <v>24.0</v>
      </c>
      <c r="P263" s="73">
        <v>27.0</v>
      </c>
      <c r="Q263" s="73">
        <v>24.0</v>
      </c>
      <c r="R263" s="73">
        <v>33.0</v>
      </c>
      <c r="S263" s="73">
        <v>34.0</v>
      </c>
      <c r="T263" s="73">
        <v>47.0</v>
      </c>
      <c r="U263" s="73">
        <v>29.0</v>
      </c>
      <c r="V263" s="73">
        <v>21.0</v>
      </c>
      <c r="W263" s="73">
        <v>23.0</v>
      </c>
      <c r="X263" s="73">
        <v>32.0</v>
      </c>
      <c r="Y263" s="73">
        <v>29.0</v>
      </c>
      <c r="Z263" s="73">
        <v>30.0</v>
      </c>
      <c r="AA263" s="73">
        <v>31.0</v>
      </c>
      <c r="AB263" s="73">
        <v>36.0</v>
      </c>
      <c r="AC263" s="73">
        <v>29.0</v>
      </c>
      <c r="AD263" s="13">
        <f t="shared" si="51"/>
        <v>710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AC264" si="52">SUM(E262:E263)</f>
        <v>239</v>
      </c>
      <c r="F264" s="13">
        <f t="shared" si="52"/>
        <v>216</v>
      </c>
      <c r="G264" s="13">
        <f t="shared" si="52"/>
        <v>185</v>
      </c>
      <c r="H264" s="13">
        <f t="shared" si="52"/>
        <v>219</v>
      </c>
      <c r="I264" s="13">
        <f t="shared" si="52"/>
        <v>215</v>
      </c>
      <c r="J264" s="13">
        <f t="shared" si="52"/>
        <v>222</v>
      </c>
      <c r="K264" s="13">
        <f t="shared" si="52"/>
        <v>223</v>
      </c>
      <c r="L264" s="13">
        <f t="shared" si="52"/>
        <v>184</v>
      </c>
      <c r="M264" s="13">
        <f t="shared" si="52"/>
        <v>207</v>
      </c>
      <c r="N264" s="13">
        <f t="shared" si="52"/>
        <v>166</v>
      </c>
      <c r="O264" s="13">
        <f t="shared" si="52"/>
        <v>202</v>
      </c>
      <c r="P264" s="13">
        <f t="shared" si="52"/>
        <v>212</v>
      </c>
      <c r="Q264" s="13">
        <f t="shared" si="52"/>
        <v>206</v>
      </c>
      <c r="R264" s="13">
        <f t="shared" si="52"/>
        <v>215</v>
      </c>
      <c r="S264" s="13">
        <f t="shared" si="52"/>
        <v>204</v>
      </c>
      <c r="T264" s="13">
        <f t="shared" si="52"/>
        <v>233</v>
      </c>
      <c r="U264" s="13">
        <f t="shared" si="52"/>
        <v>227</v>
      </c>
      <c r="V264" s="13">
        <f t="shared" si="52"/>
        <v>215</v>
      </c>
      <c r="W264" s="13">
        <f t="shared" si="52"/>
        <v>205</v>
      </c>
      <c r="X264" s="13">
        <f t="shared" si="52"/>
        <v>210</v>
      </c>
      <c r="Y264" s="13">
        <f t="shared" si="52"/>
        <v>190</v>
      </c>
      <c r="Z264" s="13">
        <f t="shared" si="52"/>
        <v>241</v>
      </c>
      <c r="AA264" s="13">
        <f t="shared" si="52"/>
        <v>189</v>
      </c>
      <c r="AB264" s="13">
        <f t="shared" si="52"/>
        <v>224</v>
      </c>
      <c r="AC264" s="13">
        <f t="shared" si="52"/>
        <v>205</v>
      </c>
      <c r="AD264" s="13">
        <f t="shared" si="51"/>
        <v>5254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E34&lt;&gt;E64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8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73">
        <v>135.0</v>
      </c>
      <c r="F14" s="73">
        <v>141.0</v>
      </c>
      <c r="G14" s="73">
        <v>138.0</v>
      </c>
      <c r="H14" s="73">
        <v>132.0</v>
      </c>
      <c r="I14" s="73">
        <v>126.0</v>
      </c>
      <c r="J14" s="73">
        <v>129.0</v>
      </c>
      <c r="K14" s="73">
        <v>113.0</v>
      </c>
      <c r="L14" s="73">
        <v>147.0</v>
      </c>
      <c r="M14" s="73">
        <v>142.0</v>
      </c>
      <c r="N14" s="73">
        <v>130.0</v>
      </c>
      <c r="O14" s="73">
        <v>120.0</v>
      </c>
      <c r="P14" s="73">
        <v>129.0</v>
      </c>
      <c r="Q14" s="73">
        <v>140.0</v>
      </c>
      <c r="R14" s="73">
        <v>142.0</v>
      </c>
      <c r="S14" s="73">
        <v>142.0</v>
      </c>
      <c r="T14" s="73">
        <v>142.0</v>
      </c>
      <c r="U14" s="73">
        <v>144.0</v>
      </c>
      <c r="V14" s="73">
        <v>125.0</v>
      </c>
      <c r="W14" s="73">
        <v>141.0</v>
      </c>
      <c r="X14" s="73">
        <v>135.0</v>
      </c>
      <c r="Y14" s="73">
        <v>138.0</v>
      </c>
      <c r="Z14" s="73">
        <v>130.0</v>
      </c>
      <c r="AA14" s="73">
        <v>101.0</v>
      </c>
      <c r="AB14" s="13">
        <f t="shared" ref="AB14:AB16" si="1">SUM(E14:AA14)</f>
        <v>3062</v>
      </c>
    </row>
    <row r="15" ht="12.75" customHeight="1">
      <c r="A15" s="18"/>
      <c r="B15" s="26"/>
      <c r="C15" s="27"/>
      <c r="D15" s="19" t="s">
        <v>12</v>
      </c>
      <c r="E15" s="73">
        <v>146.0</v>
      </c>
      <c r="F15" s="73">
        <v>143.0</v>
      </c>
      <c r="G15" s="73">
        <v>145.0</v>
      </c>
      <c r="H15" s="73">
        <v>150.0</v>
      </c>
      <c r="I15" s="73">
        <v>142.0</v>
      </c>
      <c r="J15" s="73">
        <v>132.0</v>
      </c>
      <c r="K15" s="73">
        <v>117.0</v>
      </c>
      <c r="L15" s="73">
        <v>131.0</v>
      </c>
      <c r="M15" s="73">
        <v>136.0</v>
      </c>
      <c r="N15" s="73">
        <v>137.0</v>
      </c>
      <c r="O15" s="73">
        <v>134.0</v>
      </c>
      <c r="P15" s="73">
        <v>138.0</v>
      </c>
      <c r="Q15" s="73">
        <v>140.0</v>
      </c>
      <c r="R15" s="73">
        <v>148.0</v>
      </c>
      <c r="S15" s="73">
        <v>146.0</v>
      </c>
      <c r="T15" s="73">
        <v>144.0</v>
      </c>
      <c r="U15" s="73">
        <v>134.0</v>
      </c>
      <c r="V15" s="73">
        <v>115.0</v>
      </c>
      <c r="W15" s="73">
        <v>142.0</v>
      </c>
      <c r="X15" s="73">
        <v>124.0</v>
      </c>
      <c r="Y15" s="73">
        <v>136.0</v>
      </c>
      <c r="Z15" s="73">
        <v>140.0</v>
      </c>
      <c r="AA15" s="73">
        <v>106.0</v>
      </c>
      <c r="AB15" s="13">
        <f t="shared" si="1"/>
        <v>3126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281</v>
      </c>
      <c r="F16" s="13">
        <f t="shared" si="2"/>
        <v>284</v>
      </c>
      <c r="G16" s="13">
        <f t="shared" si="2"/>
        <v>283</v>
      </c>
      <c r="H16" s="13">
        <f t="shared" si="2"/>
        <v>282</v>
      </c>
      <c r="I16" s="13">
        <f t="shared" si="2"/>
        <v>268</v>
      </c>
      <c r="J16" s="13">
        <f t="shared" si="2"/>
        <v>261</v>
      </c>
      <c r="K16" s="13">
        <f t="shared" si="2"/>
        <v>230</v>
      </c>
      <c r="L16" s="13">
        <f t="shared" si="2"/>
        <v>278</v>
      </c>
      <c r="M16" s="13">
        <f t="shared" si="2"/>
        <v>278</v>
      </c>
      <c r="N16" s="13">
        <f t="shared" si="2"/>
        <v>267</v>
      </c>
      <c r="O16" s="13">
        <f t="shared" si="2"/>
        <v>254</v>
      </c>
      <c r="P16" s="13">
        <f t="shared" si="2"/>
        <v>267</v>
      </c>
      <c r="Q16" s="13">
        <f t="shared" si="2"/>
        <v>280</v>
      </c>
      <c r="R16" s="13">
        <f t="shared" si="2"/>
        <v>290</v>
      </c>
      <c r="S16" s="13">
        <f t="shared" si="2"/>
        <v>288</v>
      </c>
      <c r="T16" s="13">
        <f t="shared" si="2"/>
        <v>286</v>
      </c>
      <c r="U16" s="13">
        <f t="shared" si="2"/>
        <v>278</v>
      </c>
      <c r="V16" s="13">
        <f t="shared" si="2"/>
        <v>240</v>
      </c>
      <c r="W16" s="13">
        <f t="shared" si="2"/>
        <v>283</v>
      </c>
      <c r="X16" s="13">
        <f t="shared" si="2"/>
        <v>259</v>
      </c>
      <c r="Y16" s="13">
        <f t="shared" si="2"/>
        <v>274</v>
      </c>
      <c r="Z16" s="13">
        <f t="shared" si="2"/>
        <v>270</v>
      </c>
      <c r="AA16" s="13">
        <f t="shared" si="2"/>
        <v>207</v>
      </c>
      <c r="AB16" s="13">
        <f t="shared" si="1"/>
        <v>6188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95.0</v>
      </c>
      <c r="F19" s="73">
        <v>118.0</v>
      </c>
      <c r="G19" s="73">
        <v>103.0</v>
      </c>
      <c r="H19" s="73">
        <v>100.0</v>
      </c>
      <c r="I19" s="73">
        <v>97.0</v>
      </c>
      <c r="J19" s="73">
        <v>96.0</v>
      </c>
      <c r="K19" s="73">
        <v>90.0</v>
      </c>
      <c r="L19" s="73">
        <v>86.0</v>
      </c>
      <c r="M19" s="73">
        <v>85.0</v>
      </c>
      <c r="N19" s="73">
        <v>98.0</v>
      </c>
      <c r="O19" s="73">
        <v>80.0</v>
      </c>
      <c r="P19" s="73">
        <v>79.0</v>
      </c>
      <c r="Q19" s="73">
        <v>96.0</v>
      </c>
      <c r="R19" s="73">
        <v>105.0</v>
      </c>
      <c r="S19" s="73">
        <v>97.0</v>
      </c>
      <c r="T19" s="73">
        <v>97.0</v>
      </c>
      <c r="U19" s="73">
        <v>99.0</v>
      </c>
      <c r="V19" s="73">
        <v>105.0</v>
      </c>
      <c r="W19" s="73">
        <v>97.0</v>
      </c>
      <c r="X19" s="73">
        <v>91.0</v>
      </c>
      <c r="Y19" s="73">
        <v>95.0</v>
      </c>
      <c r="Z19" s="73">
        <v>94.0</v>
      </c>
      <c r="AA19" s="73">
        <v>67.0</v>
      </c>
      <c r="AB19" s="13">
        <f t="shared" ref="AB19:AB30" si="3">SUM(E19:AA19)</f>
        <v>2170</v>
      </c>
    </row>
    <row r="20" ht="12.75" customHeight="1">
      <c r="A20" s="33"/>
      <c r="B20" s="27"/>
      <c r="C20" s="34"/>
      <c r="D20" s="19" t="s">
        <v>12</v>
      </c>
      <c r="E20" s="73">
        <v>117.0</v>
      </c>
      <c r="F20" s="73">
        <v>122.0</v>
      </c>
      <c r="G20" s="73">
        <v>106.0</v>
      </c>
      <c r="H20" s="73">
        <v>122.0</v>
      </c>
      <c r="I20" s="73">
        <v>114.0</v>
      </c>
      <c r="J20" s="73">
        <v>113.0</v>
      </c>
      <c r="K20" s="73">
        <v>93.0</v>
      </c>
      <c r="L20" s="73">
        <v>124.0</v>
      </c>
      <c r="M20" s="73">
        <v>96.0</v>
      </c>
      <c r="N20" s="73">
        <v>102.0</v>
      </c>
      <c r="O20" s="73">
        <v>98.0</v>
      </c>
      <c r="P20" s="73">
        <v>108.0</v>
      </c>
      <c r="Q20" s="73">
        <v>114.0</v>
      </c>
      <c r="R20" s="73">
        <v>122.0</v>
      </c>
      <c r="S20" s="73">
        <v>116.0</v>
      </c>
      <c r="T20" s="73">
        <v>108.0</v>
      </c>
      <c r="U20" s="73">
        <v>98.0</v>
      </c>
      <c r="V20" s="73">
        <v>96.0</v>
      </c>
      <c r="W20" s="73">
        <v>117.0</v>
      </c>
      <c r="X20" s="73">
        <v>96.0</v>
      </c>
      <c r="Y20" s="73">
        <v>106.0</v>
      </c>
      <c r="Z20" s="73">
        <v>103.0</v>
      </c>
      <c r="AA20" s="73">
        <v>80.0</v>
      </c>
      <c r="AB20" s="13">
        <f t="shared" si="3"/>
        <v>2471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212</v>
      </c>
      <c r="F21" s="13">
        <f t="shared" si="4"/>
        <v>240</v>
      </c>
      <c r="G21" s="13">
        <f t="shared" si="4"/>
        <v>209</v>
      </c>
      <c r="H21" s="13">
        <f t="shared" si="4"/>
        <v>222</v>
      </c>
      <c r="I21" s="13">
        <f t="shared" si="4"/>
        <v>211</v>
      </c>
      <c r="J21" s="13">
        <f t="shared" si="4"/>
        <v>209</v>
      </c>
      <c r="K21" s="13">
        <f t="shared" si="4"/>
        <v>183</v>
      </c>
      <c r="L21" s="13">
        <f t="shared" si="4"/>
        <v>210</v>
      </c>
      <c r="M21" s="13">
        <f t="shared" si="4"/>
        <v>181</v>
      </c>
      <c r="N21" s="13">
        <f t="shared" si="4"/>
        <v>200</v>
      </c>
      <c r="O21" s="13">
        <f t="shared" si="4"/>
        <v>178</v>
      </c>
      <c r="P21" s="13">
        <f t="shared" si="4"/>
        <v>187</v>
      </c>
      <c r="Q21" s="13">
        <f t="shared" si="4"/>
        <v>210</v>
      </c>
      <c r="R21" s="13">
        <f t="shared" si="4"/>
        <v>227</v>
      </c>
      <c r="S21" s="13">
        <f t="shared" si="4"/>
        <v>213</v>
      </c>
      <c r="T21" s="13">
        <f t="shared" si="4"/>
        <v>205</v>
      </c>
      <c r="U21" s="13">
        <f t="shared" si="4"/>
        <v>197</v>
      </c>
      <c r="V21" s="13">
        <f t="shared" si="4"/>
        <v>201</v>
      </c>
      <c r="W21" s="13">
        <f t="shared" si="4"/>
        <v>214</v>
      </c>
      <c r="X21" s="13">
        <f t="shared" si="4"/>
        <v>187</v>
      </c>
      <c r="Y21" s="13">
        <f t="shared" si="4"/>
        <v>201</v>
      </c>
      <c r="Z21" s="13">
        <f t="shared" si="4"/>
        <v>197</v>
      </c>
      <c r="AA21" s="13">
        <f t="shared" si="4"/>
        <v>147</v>
      </c>
      <c r="AB21" s="13">
        <f t="shared" si="3"/>
        <v>4641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2.0</v>
      </c>
      <c r="N22" s="73">
        <v>0.0</v>
      </c>
      <c r="O22" s="73">
        <v>0.0</v>
      </c>
      <c r="P22" s="73">
        <v>1.0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2.0</v>
      </c>
      <c r="J23" s="73">
        <v>0.0</v>
      </c>
      <c r="K23" s="73">
        <v>0.0</v>
      </c>
      <c r="L23" s="73">
        <v>0.0</v>
      </c>
      <c r="M23" s="73">
        <v>6.0</v>
      </c>
      <c r="N23" s="73">
        <v>0.0</v>
      </c>
      <c r="O23" s="73">
        <v>0.0</v>
      </c>
      <c r="P23" s="73">
        <v>1.0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13">
        <f t="shared" si="3"/>
        <v>9</v>
      </c>
    </row>
    <row r="24" ht="12.75" customHeight="1">
      <c r="A24" s="35"/>
      <c r="B24" s="28"/>
      <c r="C24" s="36"/>
      <c r="D24" s="13" t="s">
        <v>13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8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12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1.0</v>
      </c>
      <c r="F25" s="73">
        <v>0.0</v>
      </c>
      <c r="G25" s="73">
        <v>0.0</v>
      </c>
      <c r="H25" s="73">
        <v>1.0</v>
      </c>
      <c r="I25" s="73">
        <v>1.0</v>
      </c>
      <c r="J25" s="73">
        <v>1.0</v>
      </c>
      <c r="K25" s="73">
        <v>0.0</v>
      </c>
      <c r="L25" s="73">
        <v>2.0</v>
      </c>
      <c r="M25" s="73">
        <v>0.0</v>
      </c>
      <c r="N25" s="73">
        <v>2.0</v>
      </c>
      <c r="O25" s="73">
        <v>6.0</v>
      </c>
      <c r="P25" s="73">
        <v>0.0</v>
      </c>
      <c r="Q25" s="73">
        <v>0.0</v>
      </c>
      <c r="R25" s="73">
        <v>7.0</v>
      </c>
      <c r="S25" s="73">
        <v>1.0</v>
      </c>
      <c r="T25" s="73">
        <v>1.0</v>
      </c>
      <c r="U25" s="73">
        <v>3.0</v>
      </c>
      <c r="V25" s="73">
        <v>3.0</v>
      </c>
      <c r="W25" s="73">
        <v>0.0</v>
      </c>
      <c r="X25" s="73">
        <v>3.0</v>
      </c>
      <c r="Y25" s="73">
        <v>0.0</v>
      </c>
      <c r="Z25" s="73">
        <v>4.0</v>
      </c>
      <c r="AA25" s="73">
        <v>0.0</v>
      </c>
      <c r="AB25" s="13">
        <f t="shared" si="3"/>
        <v>36</v>
      </c>
    </row>
    <row r="26" ht="12.75" customHeight="1">
      <c r="A26" s="33"/>
      <c r="B26" s="27"/>
      <c r="C26" s="34"/>
      <c r="D26" s="19" t="s">
        <v>12</v>
      </c>
      <c r="E26" s="73">
        <v>0.0</v>
      </c>
      <c r="F26" s="73">
        <v>1.0</v>
      </c>
      <c r="G26" s="73">
        <v>1.0</v>
      </c>
      <c r="H26" s="73">
        <v>1.0</v>
      </c>
      <c r="I26" s="73">
        <v>0.0</v>
      </c>
      <c r="J26" s="73">
        <v>2.0</v>
      </c>
      <c r="K26" s="73">
        <v>0.0</v>
      </c>
      <c r="L26" s="73">
        <v>2.0</v>
      </c>
      <c r="M26" s="73">
        <v>0.0</v>
      </c>
      <c r="N26" s="73">
        <v>2.0</v>
      </c>
      <c r="O26" s="73">
        <v>3.0</v>
      </c>
      <c r="P26" s="73">
        <v>0.0</v>
      </c>
      <c r="Q26" s="73">
        <v>0.0</v>
      </c>
      <c r="R26" s="73">
        <v>6.0</v>
      </c>
      <c r="S26" s="73">
        <v>3.0</v>
      </c>
      <c r="T26" s="73">
        <v>1.0</v>
      </c>
      <c r="U26" s="73">
        <v>4.0</v>
      </c>
      <c r="V26" s="73">
        <v>6.0</v>
      </c>
      <c r="W26" s="73">
        <v>0.0</v>
      </c>
      <c r="X26" s="73">
        <v>2.0</v>
      </c>
      <c r="Y26" s="73">
        <v>0.0</v>
      </c>
      <c r="Z26" s="73">
        <v>5.0</v>
      </c>
      <c r="AA26" s="73">
        <v>1.0</v>
      </c>
      <c r="AB26" s="13">
        <f t="shared" si="3"/>
        <v>40</v>
      </c>
    </row>
    <row r="27" ht="12.75" customHeight="1">
      <c r="A27" s="35"/>
      <c r="B27" s="28"/>
      <c r="C27" s="36"/>
      <c r="D27" s="13" t="s">
        <v>13</v>
      </c>
      <c r="E27" s="13">
        <f t="shared" ref="E27:AA27" si="6">SUM(E25:E26)</f>
        <v>1</v>
      </c>
      <c r="F27" s="13">
        <f t="shared" si="6"/>
        <v>1</v>
      </c>
      <c r="G27" s="13">
        <f t="shared" si="6"/>
        <v>1</v>
      </c>
      <c r="H27" s="13">
        <f t="shared" si="6"/>
        <v>2</v>
      </c>
      <c r="I27" s="13">
        <f t="shared" si="6"/>
        <v>1</v>
      </c>
      <c r="J27" s="13">
        <f t="shared" si="6"/>
        <v>3</v>
      </c>
      <c r="K27" s="13">
        <f t="shared" si="6"/>
        <v>0</v>
      </c>
      <c r="L27" s="13">
        <f t="shared" si="6"/>
        <v>4</v>
      </c>
      <c r="M27" s="13">
        <f t="shared" si="6"/>
        <v>0</v>
      </c>
      <c r="N27" s="13">
        <f t="shared" si="6"/>
        <v>4</v>
      </c>
      <c r="O27" s="13">
        <f t="shared" si="6"/>
        <v>9</v>
      </c>
      <c r="P27" s="13">
        <f t="shared" si="6"/>
        <v>0</v>
      </c>
      <c r="Q27" s="13">
        <f t="shared" si="6"/>
        <v>0</v>
      </c>
      <c r="R27" s="13">
        <f t="shared" si="6"/>
        <v>13</v>
      </c>
      <c r="S27" s="13">
        <f t="shared" si="6"/>
        <v>4</v>
      </c>
      <c r="T27" s="13">
        <f t="shared" si="6"/>
        <v>2</v>
      </c>
      <c r="U27" s="13">
        <f t="shared" si="6"/>
        <v>7</v>
      </c>
      <c r="V27" s="13">
        <f t="shared" si="6"/>
        <v>9</v>
      </c>
      <c r="W27" s="13">
        <f t="shared" si="6"/>
        <v>0</v>
      </c>
      <c r="X27" s="13">
        <f t="shared" si="6"/>
        <v>5</v>
      </c>
      <c r="Y27" s="13">
        <f t="shared" si="6"/>
        <v>0</v>
      </c>
      <c r="Z27" s="13">
        <f t="shared" si="6"/>
        <v>9</v>
      </c>
      <c r="AA27" s="13">
        <f t="shared" si="6"/>
        <v>1</v>
      </c>
      <c r="AB27" s="13">
        <f t="shared" si="3"/>
        <v>76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7">SUM(E19,E22,E25)</f>
        <v>96</v>
      </c>
      <c r="F28" s="13">
        <f t="shared" si="7"/>
        <v>118</v>
      </c>
      <c r="G28" s="13">
        <f t="shared" si="7"/>
        <v>103</v>
      </c>
      <c r="H28" s="13">
        <f t="shared" si="7"/>
        <v>101</v>
      </c>
      <c r="I28" s="13">
        <f t="shared" si="7"/>
        <v>98</v>
      </c>
      <c r="J28" s="13">
        <f t="shared" si="7"/>
        <v>97</v>
      </c>
      <c r="K28" s="13">
        <f t="shared" si="7"/>
        <v>90</v>
      </c>
      <c r="L28" s="13">
        <f t="shared" si="7"/>
        <v>88</v>
      </c>
      <c r="M28" s="13">
        <f t="shared" si="7"/>
        <v>87</v>
      </c>
      <c r="N28" s="13">
        <f t="shared" si="7"/>
        <v>100</v>
      </c>
      <c r="O28" s="13">
        <f t="shared" si="7"/>
        <v>86</v>
      </c>
      <c r="P28" s="13">
        <f t="shared" si="7"/>
        <v>80</v>
      </c>
      <c r="Q28" s="13">
        <f t="shared" si="7"/>
        <v>96</v>
      </c>
      <c r="R28" s="13">
        <f t="shared" si="7"/>
        <v>112</v>
      </c>
      <c r="S28" s="13">
        <f t="shared" si="7"/>
        <v>98</v>
      </c>
      <c r="T28" s="13">
        <f t="shared" si="7"/>
        <v>98</v>
      </c>
      <c r="U28" s="13">
        <f t="shared" si="7"/>
        <v>102</v>
      </c>
      <c r="V28" s="13">
        <f t="shared" si="7"/>
        <v>108</v>
      </c>
      <c r="W28" s="13">
        <f t="shared" si="7"/>
        <v>97</v>
      </c>
      <c r="X28" s="13">
        <f t="shared" si="7"/>
        <v>94</v>
      </c>
      <c r="Y28" s="13">
        <f t="shared" si="7"/>
        <v>95</v>
      </c>
      <c r="Z28" s="13">
        <f t="shared" si="7"/>
        <v>98</v>
      </c>
      <c r="AA28" s="13">
        <f t="shared" si="7"/>
        <v>67</v>
      </c>
      <c r="AB28" s="13">
        <f t="shared" si="3"/>
        <v>2209</v>
      </c>
    </row>
    <row r="29" ht="12.75" customHeight="1">
      <c r="A29" s="35"/>
      <c r="B29" s="27"/>
      <c r="C29" s="34"/>
      <c r="D29" s="13" t="s">
        <v>12</v>
      </c>
      <c r="E29" s="13">
        <f t="shared" ref="E29:AA29" si="8">SUM(E20,E23,E26)</f>
        <v>117</v>
      </c>
      <c r="F29" s="13">
        <f t="shared" si="8"/>
        <v>123</v>
      </c>
      <c r="G29" s="13">
        <f t="shared" si="8"/>
        <v>107</v>
      </c>
      <c r="H29" s="13">
        <f t="shared" si="8"/>
        <v>123</v>
      </c>
      <c r="I29" s="13">
        <f t="shared" si="8"/>
        <v>116</v>
      </c>
      <c r="J29" s="13">
        <f t="shared" si="8"/>
        <v>115</v>
      </c>
      <c r="K29" s="13">
        <f t="shared" si="8"/>
        <v>93</v>
      </c>
      <c r="L29" s="13">
        <f t="shared" si="8"/>
        <v>126</v>
      </c>
      <c r="M29" s="13">
        <f t="shared" si="8"/>
        <v>102</v>
      </c>
      <c r="N29" s="13">
        <f t="shared" si="8"/>
        <v>104</v>
      </c>
      <c r="O29" s="13">
        <f t="shared" si="8"/>
        <v>101</v>
      </c>
      <c r="P29" s="13">
        <f t="shared" si="8"/>
        <v>109</v>
      </c>
      <c r="Q29" s="13">
        <f t="shared" si="8"/>
        <v>114</v>
      </c>
      <c r="R29" s="13">
        <f t="shared" si="8"/>
        <v>128</v>
      </c>
      <c r="S29" s="13">
        <f t="shared" si="8"/>
        <v>119</v>
      </c>
      <c r="T29" s="13">
        <f t="shared" si="8"/>
        <v>109</v>
      </c>
      <c r="U29" s="13">
        <f t="shared" si="8"/>
        <v>102</v>
      </c>
      <c r="V29" s="13">
        <f t="shared" si="8"/>
        <v>102</v>
      </c>
      <c r="W29" s="13">
        <f t="shared" si="8"/>
        <v>117</v>
      </c>
      <c r="X29" s="13">
        <f t="shared" si="8"/>
        <v>98</v>
      </c>
      <c r="Y29" s="13">
        <f t="shared" si="8"/>
        <v>106</v>
      </c>
      <c r="Z29" s="13">
        <f t="shared" si="8"/>
        <v>108</v>
      </c>
      <c r="AA29" s="13">
        <f t="shared" si="8"/>
        <v>81</v>
      </c>
      <c r="AB29" s="13">
        <f t="shared" si="3"/>
        <v>2520</v>
      </c>
    </row>
    <row r="30" ht="12.75" customHeight="1">
      <c r="A30" s="35"/>
      <c r="B30" s="28"/>
      <c r="C30" s="36"/>
      <c r="D30" s="13" t="s">
        <v>13</v>
      </c>
      <c r="E30" s="13">
        <f t="shared" ref="E30:AA30" si="9">SUM(E28:E29)</f>
        <v>213</v>
      </c>
      <c r="F30" s="13">
        <f t="shared" si="9"/>
        <v>241</v>
      </c>
      <c r="G30" s="13">
        <f t="shared" si="9"/>
        <v>210</v>
      </c>
      <c r="H30" s="13">
        <f t="shared" si="9"/>
        <v>224</v>
      </c>
      <c r="I30" s="13">
        <f t="shared" si="9"/>
        <v>214</v>
      </c>
      <c r="J30" s="13">
        <f t="shared" si="9"/>
        <v>212</v>
      </c>
      <c r="K30" s="13">
        <f t="shared" si="9"/>
        <v>183</v>
      </c>
      <c r="L30" s="13">
        <f t="shared" si="9"/>
        <v>214</v>
      </c>
      <c r="M30" s="13">
        <f t="shared" si="9"/>
        <v>189</v>
      </c>
      <c r="N30" s="13">
        <f t="shared" si="9"/>
        <v>204</v>
      </c>
      <c r="O30" s="13">
        <f t="shared" si="9"/>
        <v>187</v>
      </c>
      <c r="P30" s="13">
        <f t="shared" si="9"/>
        <v>189</v>
      </c>
      <c r="Q30" s="13">
        <f t="shared" si="9"/>
        <v>210</v>
      </c>
      <c r="R30" s="13">
        <f t="shared" si="9"/>
        <v>240</v>
      </c>
      <c r="S30" s="13">
        <f t="shared" si="9"/>
        <v>217</v>
      </c>
      <c r="T30" s="13">
        <f t="shared" si="9"/>
        <v>207</v>
      </c>
      <c r="U30" s="13">
        <f t="shared" si="9"/>
        <v>204</v>
      </c>
      <c r="V30" s="13">
        <f t="shared" si="9"/>
        <v>210</v>
      </c>
      <c r="W30" s="13">
        <f t="shared" si="9"/>
        <v>214</v>
      </c>
      <c r="X30" s="13">
        <f t="shared" si="9"/>
        <v>192</v>
      </c>
      <c r="Y30" s="13">
        <f t="shared" si="9"/>
        <v>201</v>
      </c>
      <c r="Z30" s="13">
        <f t="shared" si="9"/>
        <v>206</v>
      </c>
      <c r="AA30" s="13">
        <f t="shared" si="9"/>
        <v>148</v>
      </c>
      <c r="AB30" s="13">
        <f t="shared" si="3"/>
        <v>4729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5"/>
    </row>
    <row r="33" ht="12.75" customHeight="1">
      <c r="A33" s="19">
        <v>1.0</v>
      </c>
      <c r="B33" s="20" t="s">
        <v>26</v>
      </c>
      <c r="C33" s="15"/>
      <c r="D33" s="16"/>
      <c r="E33" s="73">
        <v>287.0</v>
      </c>
      <c r="F33" s="73">
        <v>290.0</v>
      </c>
      <c r="G33" s="73">
        <v>289.0</v>
      </c>
      <c r="H33" s="73">
        <v>299.0</v>
      </c>
      <c r="I33" s="73">
        <v>274.0</v>
      </c>
      <c r="J33" s="73">
        <v>267.0</v>
      </c>
      <c r="K33" s="73">
        <v>235.0</v>
      </c>
      <c r="L33" s="73">
        <v>284.0</v>
      </c>
      <c r="M33" s="73">
        <v>284.0</v>
      </c>
      <c r="N33" s="73">
        <v>273.0</v>
      </c>
      <c r="O33" s="73">
        <v>260.0</v>
      </c>
      <c r="P33" s="73">
        <v>273.0</v>
      </c>
      <c r="Q33" s="73">
        <v>286.0</v>
      </c>
      <c r="R33" s="73">
        <v>296.0</v>
      </c>
      <c r="S33" s="73">
        <v>294.0</v>
      </c>
      <c r="T33" s="73">
        <v>293.0</v>
      </c>
      <c r="U33" s="73">
        <v>284.0</v>
      </c>
      <c r="V33" s="73">
        <v>245.0</v>
      </c>
      <c r="W33" s="73">
        <v>289.0</v>
      </c>
      <c r="X33" s="73">
        <v>265.0</v>
      </c>
      <c r="Y33" s="73">
        <v>280.0</v>
      </c>
      <c r="Z33" s="73">
        <v>276.0</v>
      </c>
      <c r="AA33" s="73">
        <v>212.0</v>
      </c>
      <c r="AB33" s="13">
        <f t="shared" ref="AB33:AB36" si="10">SUM(E33:AA33)</f>
        <v>6335</v>
      </c>
    </row>
    <row r="34" ht="12.75" customHeight="1">
      <c r="A34" s="19">
        <v>2.0</v>
      </c>
      <c r="B34" s="20" t="s">
        <v>27</v>
      </c>
      <c r="C34" s="15"/>
      <c r="D34" s="16"/>
      <c r="E34" s="77">
        <v>213.0</v>
      </c>
      <c r="F34" s="77">
        <v>241.0</v>
      </c>
      <c r="G34" s="77">
        <v>210.0</v>
      </c>
      <c r="H34" s="77">
        <v>224.0</v>
      </c>
      <c r="I34" s="77">
        <v>214.0</v>
      </c>
      <c r="J34" s="77">
        <v>212.0</v>
      </c>
      <c r="K34" s="77">
        <v>183.0</v>
      </c>
      <c r="L34" s="77">
        <v>214.0</v>
      </c>
      <c r="M34" s="77">
        <v>189.0</v>
      </c>
      <c r="N34" s="77">
        <v>204.0</v>
      </c>
      <c r="O34" s="77">
        <v>187.0</v>
      </c>
      <c r="P34" s="77">
        <v>189.0</v>
      </c>
      <c r="Q34" s="77">
        <v>210.0</v>
      </c>
      <c r="R34" s="77">
        <v>240.0</v>
      </c>
      <c r="S34" s="77">
        <v>217.0</v>
      </c>
      <c r="T34" s="77">
        <v>207.0</v>
      </c>
      <c r="U34" s="77">
        <v>204.0</v>
      </c>
      <c r="V34" s="77">
        <v>210.0</v>
      </c>
      <c r="W34" s="77">
        <v>214.0</v>
      </c>
      <c r="X34" s="77">
        <v>192.0</v>
      </c>
      <c r="Y34" s="77">
        <v>201.0</v>
      </c>
      <c r="Z34" s="77">
        <v>206.0</v>
      </c>
      <c r="AA34" s="77">
        <v>148.0</v>
      </c>
      <c r="AB34" s="13">
        <f t="shared" si="10"/>
        <v>4729</v>
      </c>
    </row>
    <row r="35" ht="12.75" customHeight="1">
      <c r="A35" s="19">
        <v>3.0</v>
      </c>
      <c r="B35" s="20" t="s">
        <v>28</v>
      </c>
      <c r="C35" s="15"/>
      <c r="D35" s="16"/>
      <c r="E35" s="73">
        <v>1.0</v>
      </c>
      <c r="F35" s="73">
        <v>2.0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1.0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0.0</v>
      </c>
      <c r="V35" s="73">
        <v>0.0</v>
      </c>
      <c r="W35" s="73">
        <v>0.0</v>
      </c>
      <c r="X35" s="73">
        <v>0.0</v>
      </c>
      <c r="Y35" s="73">
        <v>1.0</v>
      </c>
      <c r="Z35" s="73">
        <v>0.0</v>
      </c>
      <c r="AA35" s="73">
        <v>0.0</v>
      </c>
      <c r="AB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73</v>
      </c>
      <c r="F36" s="13">
        <f t="shared" si="11"/>
        <v>47</v>
      </c>
      <c r="G36" s="13">
        <f t="shared" si="11"/>
        <v>79</v>
      </c>
      <c r="H36" s="13">
        <f t="shared" si="11"/>
        <v>75</v>
      </c>
      <c r="I36" s="13">
        <f t="shared" si="11"/>
        <v>60</v>
      </c>
      <c r="J36" s="13">
        <f t="shared" si="11"/>
        <v>55</v>
      </c>
      <c r="K36" s="13">
        <f t="shared" si="11"/>
        <v>52</v>
      </c>
      <c r="L36" s="13">
        <f t="shared" si="11"/>
        <v>70</v>
      </c>
      <c r="M36" s="13">
        <f t="shared" si="11"/>
        <v>94</v>
      </c>
      <c r="N36" s="13">
        <f t="shared" si="11"/>
        <v>69</v>
      </c>
      <c r="O36" s="13">
        <f t="shared" si="11"/>
        <v>73</v>
      </c>
      <c r="P36" s="13">
        <f t="shared" si="11"/>
        <v>84</v>
      </c>
      <c r="Q36" s="13">
        <f t="shared" si="11"/>
        <v>76</v>
      </c>
      <c r="R36" s="13">
        <f t="shared" si="11"/>
        <v>56</v>
      </c>
      <c r="S36" s="13">
        <f t="shared" si="11"/>
        <v>77</v>
      </c>
      <c r="T36" s="13">
        <f t="shared" si="11"/>
        <v>86</v>
      </c>
      <c r="U36" s="13">
        <f t="shared" si="11"/>
        <v>80</v>
      </c>
      <c r="V36" s="13">
        <f t="shared" si="11"/>
        <v>35</v>
      </c>
      <c r="W36" s="13">
        <f t="shared" si="11"/>
        <v>75</v>
      </c>
      <c r="X36" s="13">
        <f t="shared" si="11"/>
        <v>73</v>
      </c>
      <c r="Y36" s="13">
        <f t="shared" si="11"/>
        <v>78</v>
      </c>
      <c r="Z36" s="13">
        <f t="shared" si="11"/>
        <v>70</v>
      </c>
      <c r="AA36" s="13">
        <f t="shared" si="11"/>
        <v>64</v>
      </c>
      <c r="AB36" s="13">
        <f t="shared" si="10"/>
        <v>1601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5"/>
    </row>
    <row r="39" ht="12.75" customHeight="1">
      <c r="A39" s="30"/>
      <c r="B39" s="43" t="s">
        <v>32</v>
      </c>
      <c r="C39" s="23"/>
      <c r="D39" s="19" t="s">
        <v>11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1.0</v>
      </c>
      <c r="R39" s="73">
        <v>0.0</v>
      </c>
      <c r="S39" s="73">
        <v>0.0</v>
      </c>
      <c r="T39" s="73">
        <v>0.0</v>
      </c>
      <c r="U39" s="73">
        <v>0.0</v>
      </c>
      <c r="V39" s="73">
        <v>2.0</v>
      </c>
      <c r="W39" s="73">
        <v>0.0</v>
      </c>
      <c r="X39" s="73">
        <v>0.0</v>
      </c>
      <c r="Y39" s="73">
        <v>0.0</v>
      </c>
      <c r="Z39" s="73">
        <v>0.0</v>
      </c>
      <c r="AA39" s="73">
        <v>0.0</v>
      </c>
      <c r="AB39" s="13">
        <f t="shared" ref="AB39:AB41" si="12">SUM(E39:AA39)</f>
        <v>3</v>
      </c>
    </row>
    <row r="40" ht="12.75" customHeight="1">
      <c r="A40" s="33"/>
      <c r="C40" s="27"/>
      <c r="D40" s="19" t="s">
        <v>12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1.0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3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9"/>
      <c r="X42" s="74"/>
      <c r="Y42" s="19"/>
      <c r="Z42" s="74"/>
      <c r="AA42" s="19"/>
      <c r="AB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  <c r="X43" s="76"/>
      <c r="Y43" s="13"/>
      <c r="Z43" s="76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9"/>
      <c r="X44" s="74"/>
      <c r="Y44" s="19"/>
      <c r="Z44" s="74"/>
      <c r="AA44" s="19"/>
      <c r="AB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2.0</v>
      </c>
      <c r="F45" s="73">
        <v>4.0</v>
      </c>
      <c r="G45" s="73">
        <v>8.0</v>
      </c>
      <c r="H45" s="73">
        <v>7.0</v>
      </c>
      <c r="I45" s="73">
        <v>6.0</v>
      </c>
      <c r="J45" s="73">
        <v>4.0</v>
      </c>
      <c r="K45" s="73">
        <v>5.0</v>
      </c>
      <c r="L45" s="73">
        <v>7.0</v>
      </c>
      <c r="M45" s="73">
        <v>4.0</v>
      </c>
      <c r="N45" s="73">
        <v>5.0</v>
      </c>
      <c r="O45" s="73">
        <v>3.0</v>
      </c>
      <c r="P45" s="73">
        <v>9.0</v>
      </c>
      <c r="Q45" s="73">
        <v>6.0</v>
      </c>
      <c r="R45" s="73">
        <v>2.0</v>
      </c>
      <c r="S45" s="73">
        <v>10.0</v>
      </c>
      <c r="T45" s="73">
        <v>11.0</v>
      </c>
      <c r="U45" s="73">
        <v>10.0</v>
      </c>
      <c r="V45" s="73">
        <v>7.0</v>
      </c>
      <c r="W45" s="73">
        <v>2.0</v>
      </c>
      <c r="X45" s="73">
        <v>3.0</v>
      </c>
      <c r="Y45" s="73">
        <v>13.0</v>
      </c>
      <c r="Z45" s="73">
        <v>17.0</v>
      </c>
      <c r="AA45" s="73">
        <v>1.0</v>
      </c>
      <c r="AB45" s="13">
        <f t="shared" ref="AB45:AB54" si="14">SUM(E45:AA45)</f>
        <v>146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12.0</v>
      </c>
      <c r="F46" s="73">
        <v>6.0</v>
      </c>
      <c r="G46" s="73">
        <v>11.0</v>
      </c>
      <c r="H46" s="73">
        <v>21.0</v>
      </c>
      <c r="I46" s="73">
        <v>27.0</v>
      </c>
      <c r="J46" s="73">
        <v>25.0</v>
      </c>
      <c r="K46" s="73">
        <v>28.0</v>
      </c>
      <c r="L46" s="73">
        <v>22.0</v>
      </c>
      <c r="M46" s="73">
        <v>14.0</v>
      </c>
      <c r="N46" s="73">
        <v>17.0</v>
      </c>
      <c r="O46" s="73">
        <v>11.0</v>
      </c>
      <c r="P46" s="73">
        <v>10.0</v>
      </c>
      <c r="Q46" s="73">
        <v>17.0</v>
      </c>
      <c r="R46" s="73">
        <v>14.0</v>
      </c>
      <c r="S46" s="73">
        <v>10.0</v>
      </c>
      <c r="T46" s="73">
        <v>13.0</v>
      </c>
      <c r="U46" s="73">
        <v>26.0</v>
      </c>
      <c r="V46" s="73">
        <v>15.0</v>
      </c>
      <c r="W46" s="73">
        <v>11.0</v>
      </c>
      <c r="X46" s="73">
        <v>14.0</v>
      </c>
      <c r="Y46" s="73">
        <v>18.0</v>
      </c>
      <c r="Z46" s="73">
        <v>5.0</v>
      </c>
      <c r="AA46" s="73">
        <v>1.0</v>
      </c>
      <c r="AB46" s="13">
        <f t="shared" si="14"/>
        <v>348</v>
      </c>
    </row>
    <row r="47" ht="12.75" customHeight="1">
      <c r="A47" s="18"/>
      <c r="B47" s="49"/>
      <c r="C47" s="50" t="s">
        <v>40</v>
      </c>
      <c r="D47" s="51"/>
      <c r="E47" s="73">
        <v>2.0</v>
      </c>
      <c r="F47" s="73">
        <v>0.0</v>
      </c>
      <c r="G47" s="73">
        <v>0.0</v>
      </c>
      <c r="H47" s="73">
        <v>2.0</v>
      </c>
      <c r="I47" s="73">
        <v>1.0</v>
      </c>
      <c r="J47" s="73">
        <v>3.0</v>
      </c>
      <c r="K47" s="73">
        <v>1.0</v>
      </c>
      <c r="L47" s="73">
        <v>2.0</v>
      </c>
      <c r="M47" s="73">
        <v>1.0</v>
      </c>
      <c r="N47" s="73">
        <v>2.0</v>
      </c>
      <c r="O47" s="73">
        <v>2.0</v>
      </c>
      <c r="P47" s="73">
        <v>3.0</v>
      </c>
      <c r="Q47" s="73">
        <v>1.0</v>
      </c>
      <c r="R47" s="73">
        <v>0.0</v>
      </c>
      <c r="S47" s="73">
        <v>0.0</v>
      </c>
      <c r="T47" s="73">
        <v>1.0</v>
      </c>
      <c r="U47" s="73">
        <v>1.0</v>
      </c>
      <c r="V47" s="73">
        <v>3.0</v>
      </c>
      <c r="W47" s="73">
        <v>0.0</v>
      </c>
      <c r="X47" s="73">
        <v>0.0</v>
      </c>
      <c r="Y47" s="73">
        <v>0.0</v>
      </c>
      <c r="Z47" s="73">
        <v>2.0</v>
      </c>
      <c r="AA47" s="73">
        <v>0.0</v>
      </c>
      <c r="AB47" s="13">
        <f t="shared" si="14"/>
        <v>27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1.0</v>
      </c>
      <c r="G48" s="73">
        <v>2.0</v>
      </c>
      <c r="H48" s="73">
        <v>0.0</v>
      </c>
      <c r="I48" s="73">
        <v>0.0</v>
      </c>
      <c r="J48" s="73">
        <v>0.0</v>
      </c>
      <c r="K48" s="73">
        <v>1.0</v>
      </c>
      <c r="L48" s="73">
        <v>0.0</v>
      </c>
      <c r="M48" s="73">
        <v>0.0</v>
      </c>
      <c r="N48" s="73">
        <v>0.0</v>
      </c>
      <c r="O48" s="73">
        <v>1.0</v>
      </c>
      <c r="P48" s="73">
        <v>1.0</v>
      </c>
      <c r="Q48" s="73">
        <v>1.0</v>
      </c>
      <c r="R48" s="73">
        <v>0.0</v>
      </c>
      <c r="S48" s="73">
        <v>0.0</v>
      </c>
      <c r="T48" s="73">
        <v>0.0</v>
      </c>
      <c r="U48" s="73">
        <v>0.0</v>
      </c>
      <c r="V48" s="73">
        <v>0.0</v>
      </c>
      <c r="W48" s="73">
        <v>2.0</v>
      </c>
      <c r="X48" s="73">
        <v>1.0</v>
      </c>
      <c r="Y48" s="73">
        <v>0.0</v>
      </c>
      <c r="Z48" s="73">
        <v>1.0</v>
      </c>
      <c r="AA48" s="73">
        <v>0.0</v>
      </c>
      <c r="AB48" s="13">
        <f t="shared" si="14"/>
        <v>11</v>
      </c>
    </row>
    <row r="49" ht="12.75" customHeight="1">
      <c r="A49" s="18"/>
      <c r="B49" s="49"/>
      <c r="C49" s="50" t="s">
        <v>42</v>
      </c>
      <c r="D49" s="51"/>
      <c r="E49" s="73">
        <v>0.0</v>
      </c>
      <c r="F49" s="73">
        <v>1.0</v>
      </c>
      <c r="G49" s="73">
        <v>0.0</v>
      </c>
      <c r="H49" s="73">
        <v>1.0</v>
      </c>
      <c r="I49" s="73">
        <v>0.0</v>
      </c>
      <c r="J49" s="73">
        <v>1.0</v>
      </c>
      <c r="K49" s="73">
        <v>0.0</v>
      </c>
      <c r="L49" s="73">
        <v>2.0</v>
      </c>
      <c r="M49" s="73">
        <v>2.0</v>
      </c>
      <c r="N49" s="73">
        <v>1.0</v>
      </c>
      <c r="O49" s="73">
        <v>1.0</v>
      </c>
      <c r="P49" s="73">
        <v>1.0</v>
      </c>
      <c r="Q49" s="73">
        <v>1.0</v>
      </c>
      <c r="R49" s="73">
        <v>1.0</v>
      </c>
      <c r="S49" s="73">
        <v>1.0</v>
      </c>
      <c r="T49" s="73">
        <v>4.0</v>
      </c>
      <c r="U49" s="73">
        <v>0.0</v>
      </c>
      <c r="V49" s="73">
        <v>2.0</v>
      </c>
      <c r="W49" s="73">
        <v>0.0</v>
      </c>
      <c r="X49" s="73">
        <v>2.0</v>
      </c>
      <c r="Y49" s="73">
        <v>0.0</v>
      </c>
      <c r="Z49" s="73">
        <v>0.0</v>
      </c>
      <c r="AA49" s="73">
        <v>1.0</v>
      </c>
      <c r="AB49" s="13">
        <f t="shared" si="14"/>
        <v>22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0.0</v>
      </c>
      <c r="H50" s="73">
        <v>2.0</v>
      </c>
      <c r="I50" s="73">
        <v>0.0</v>
      </c>
      <c r="J50" s="73">
        <v>1.0</v>
      </c>
      <c r="K50" s="73">
        <v>1.0</v>
      </c>
      <c r="L50" s="73">
        <v>0.0</v>
      </c>
      <c r="M50" s="73">
        <v>0.0</v>
      </c>
      <c r="N50" s="73">
        <v>0.0</v>
      </c>
      <c r="O50" s="73">
        <v>0.0</v>
      </c>
      <c r="P50" s="73">
        <v>1.0</v>
      </c>
      <c r="Q50" s="73">
        <v>1.0</v>
      </c>
      <c r="R50" s="73">
        <v>1.0</v>
      </c>
      <c r="S50" s="73">
        <v>0.0</v>
      </c>
      <c r="T50" s="73">
        <v>1.0</v>
      </c>
      <c r="U50" s="73">
        <v>0.0</v>
      </c>
      <c r="V50" s="73">
        <v>0.0</v>
      </c>
      <c r="W50" s="73">
        <v>2.0</v>
      </c>
      <c r="X50" s="73">
        <v>0.0</v>
      </c>
      <c r="Y50" s="73">
        <v>0.0</v>
      </c>
      <c r="Z50" s="73">
        <v>1.0</v>
      </c>
      <c r="AA50" s="73">
        <v>1.0</v>
      </c>
      <c r="AB50" s="13">
        <f t="shared" si="14"/>
        <v>12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0.0</v>
      </c>
      <c r="H51" s="73">
        <v>1.0</v>
      </c>
      <c r="I51" s="73">
        <v>1.0</v>
      </c>
      <c r="J51" s="73">
        <v>0.0</v>
      </c>
      <c r="K51" s="73">
        <v>0.0</v>
      </c>
      <c r="L51" s="73">
        <v>0.0</v>
      </c>
      <c r="M51" s="73">
        <v>1.0</v>
      </c>
      <c r="N51" s="73">
        <v>0.0</v>
      </c>
      <c r="O51" s="73">
        <v>2.0</v>
      </c>
      <c r="P51" s="73">
        <v>1.0</v>
      </c>
      <c r="Q51" s="73">
        <v>1.0</v>
      </c>
      <c r="R51" s="73">
        <v>0.0</v>
      </c>
      <c r="S51" s="73">
        <v>0.0</v>
      </c>
      <c r="T51" s="73">
        <v>1.0</v>
      </c>
      <c r="U51" s="73">
        <v>0.0</v>
      </c>
      <c r="V51" s="73">
        <v>1.0</v>
      </c>
      <c r="W51" s="73">
        <v>0.0</v>
      </c>
      <c r="X51" s="73">
        <v>1.0</v>
      </c>
      <c r="Y51" s="73">
        <v>0.0</v>
      </c>
      <c r="Z51" s="73">
        <v>0.0</v>
      </c>
      <c r="AA51" s="73">
        <v>0.0</v>
      </c>
      <c r="AB51" s="13">
        <f t="shared" si="14"/>
        <v>10</v>
      </c>
    </row>
    <row r="52" ht="12.75" customHeight="1">
      <c r="A52" s="79"/>
      <c r="B52" s="49"/>
      <c r="C52" s="50" t="s">
        <v>45</v>
      </c>
      <c r="D52" s="51"/>
      <c r="E52" s="80">
        <v>1.0</v>
      </c>
      <c r="F52" s="80">
        <v>0.0</v>
      </c>
      <c r="G52" s="80">
        <v>0.0</v>
      </c>
      <c r="H52" s="80">
        <v>0.0</v>
      </c>
      <c r="I52" s="80">
        <v>1.0</v>
      </c>
      <c r="J52" s="80">
        <v>1.0</v>
      </c>
      <c r="K52" s="80">
        <v>0.0</v>
      </c>
      <c r="L52" s="80">
        <v>0.0</v>
      </c>
      <c r="M52" s="80">
        <v>0.0</v>
      </c>
      <c r="N52" s="80">
        <v>0.0</v>
      </c>
      <c r="O52" s="80">
        <v>0.0</v>
      </c>
      <c r="P52" s="80">
        <v>0.0</v>
      </c>
      <c r="Q52" s="80">
        <v>0.0</v>
      </c>
      <c r="R52" s="80">
        <v>0.0</v>
      </c>
      <c r="S52" s="80">
        <v>0.0</v>
      </c>
      <c r="T52" s="80">
        <v>0.0</v>
      </c>
      <c r="U52" s="80">
        <v>1.0</v>
      </c>
      <c r="V52" s="80">
        <v>0.0</v>
      </c>
      <c r="W52" s="80">
        <v>0.0</v>
      </c>
      <c r="X52" s="80">
        <v>0.0</v>
      </c>
      <c r="Y52" s="80">
        <v>0.0</v>
      </c>
      <c r="Z52" s="80">
        <v>1.0</v>
      </c>
      <c r="AA52" s="80">
        <v>0.0</v>
      </c>
      <c r="AB52" s="13">
        <f t="shared" si="14"/>
        <v>5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0.0</v>
      </c>
      <c r="N53" s="80">
        <v>0.0</v>
      </c>
      <c r="O53" s="80">
        <v>1.0</v>
      </c>
      <c r="P53" s="80">
        <v>0.0</v>
      </c>
      <c r="Q53" s="80">
        <v>0.0</v>
      </c>
      <c r="R53" s="80">
        <v>1.0</v>
      </c>
      <c r="S53" s="80">
        <v>0.0</v>
      </c>
      <c r="T53" s="80">
        <v>0.0</v>
      </c>
      <c r="U53" s="80">
        <v>0.0</v>
      </c>
      <c r="V53" s="80">
        <v>0.0</v>
      </c>
      <c r="W53" s="80">
        <v>0.0</v>
      </c>
      <c r="X53" s="80">
        <v>0.0</v>
      </c>
      <c r="Y53" s="80">
        <v>0.0</v>
      </c>
      <c r="Z53" s="80">
        <v>0.0</v>
      </c>
      <c r="AA53" s="80">
        <v>0.0</v>
      </c>
      <c r="AB53" s="13">
        <f t="shared" si="14"/>
        <v>2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0.0</v>
      </c>
      <c r="H54" s="80">
        <v>0.0</v>
      </c>
      <c r="I54" s="80">
        <v>1.0</v>
      </c>
      <c r="J54" s="80">
        <v>1.0</v>
      </c>
      <c r="K54" s="80">
        <v>0.0</v>
      </c>
      <c r="L54" s="80">
        <v>0.0</v>
      </c>
      <c r="M54" s="80">
        <v>0.0</v>
      </c>
      <c r="N54" s="80">
        <v>0.0</v>
      </c>
      <c r="O54" s="80">
        <v>0.0</v>
      </c>
      <c r="P54" s="80">
        <v>0.0</v>
      </c>
      <c r="Q54" s="80">
        <v>1.0</v>
      </c>
      <c r="R54" s="80">
        <v>2.0</v>
      </c>
      <c r="S54" s="80">
        <v>0.0</v>
      </c>
      <c r="T54" s="80">
        <v>0.0</v>
      </c>
      <c r="U54" s="80">
        <v>0.0</v>
      </c>
      <c r="V54" s="80">
        <v>0.0</v>
      </c>
      <c r="W54" s="80">
        <v>1.0</v>
      </c>
      <c r="X54" s="80">
        <v>0.0</v>
      </c>
      <c r="Y54" s="80">
        <v>2.0</v>
      </c>
      <c r="Z54" s="80">
        <v>0.0</v>
      </c>
      <c r="AA54" s="80">
        <v>0.0</v>
      </c>
      <c r="AB54" s="13">
        <f t="shared" si="14"/>
        <v>8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AB55" si="15">SUM(E45:E54)</f>
        <v>17</v>
      </c>
      <c r="F55" s="13">
        <f t="shared" si="15"/>
        <v>12</v>
      </c>
      <c r="G55" s="13">
        <f t="shared" si="15"/>
        <v>21</v>
      </c>
      <c r="H55" s="13">
        <f t="shared" si="15"/>
        <v>34</v>
      </c>
      <c r="I55" s="13">
        <f t="shared" si="15"/>
        <v>37</v>
      </c>
      <c r="J55" s="13">
        <f t="shared" si="15"/>
        <v>36</v>
      </c>
      <c r="K55" s="13">
        <f t="shared" si="15"/>
        <v>36</v>
      </c>
      <c r="L55" s="13">
        <f t="shared" si="15"/>
        <v>33</v>
      </c>
      <c r="M55" s="13">
        <f t="shared" si="15"/>
        <v>22</v>
      </c>
      <c r="N55" s="13">
        <f t="shared" si="15"/>
        <v>25</v>
      </c>
      <c r="O55" s="13">
        <f t="shared" si="15"/>
        <v>21</v>
      </c>
      <c r="P55" s="13">
        <f t="shared" si="15"/>
        <v>26</v>
      </c>
      <c r="Q55" s="13">
        <f t="shared" si="15"/>
        <v>29</v>
      </c>
      <c r="R55" s="13">
        <f t="shared" si="15"/>
        <v>21</v>
      </c>
      <c r="S55" s="13">
        <f t="shared" si="15"/>
        <v>21</v>
      </c>
      <c r="T55" s="13">
        <f t="shared" si="15"/>
        <v>31</v>
      </c>
      <c r="U55" s="13">
        <f t="shared" si="15"/>
        <v>38</v>
      </c>
      <c r="V55" s="13">
        <f t="shared" si="15"/>
        <v>28</v>
      </c>
      <c r="W55" s="13">
        <f t="shared" si="15"/>
        <v>18</v>
      </c>
      <c r="X55" s="13">
        <f t="shared" si="15"/>
        <v>21</v>
      </c>
      <c r="Y55" s="13">
        <f t="shared" si="15"/>
        <v>33</v>
      </c>
      <c r="Z55" s="13">
        <f t="shared" si="15"/>
        <v>27</v>
      </c>
      <c r="AA55" s="13">
        <f t="shared" si="15"/>
        <v>4</v>
      </c>
      <c r="AB55" s="13">
        <f t="shared" si="15"/>
        <v>591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14.0</v>
      </c>
      <c r="F57" s="73">
        <v>10.0</v>
      </c>
      <c r="G57" s="73">
        <v>13.0</v>
      </c>
      <c r="H57" s="73">
        <v>12.0</v>
      </c>
      <c r="I57" s="73">
        <v>10.0</v>
      </c>
      <c r="J57" s="73">
        <v>24.0</v>
      </c>
      <c r="K57" s="73">
        <v>8.0</v>
      </c>
      <c r="L57" s="73">
        <v>12.0</v>
      </c>
      <c r="M57" s="73">
        <v>12.0</v>
      </c>
      <c r="N57" s="73">
        <v>16.0</v>
      </c>
      <c r="O57" s="73">
        <v>16.0</v>
      </c>
      <c r="P57" s="73">
        <v>13.0</v>
      </c>
      <c r="Q57" s="73">
        <v>15.0</v>
      </c>
      <c r="R57" s="73">
        <v>6.0</v>
      </c>
      <c r="S57" s="73">
        <v>8.0</v>
      </c>
      <c r="T57" s="73">
        <v>17.0</v>
      </c>
      <c r="U57" s="73">
        <v>9.0</v>
      </c>
      <c r="V57" s="73">
        <v>17.0</v>
      </c>
      <c r="W57" s="73">
        <v>15.0</v>
      </c>
      <c r="X57" s="73">
        <v>11.0</v>
      </c>
      <c r="Y57" s="73">
        <v>16.0</v>
      </c>
      <c r="Z57" s="73">
        <v>19.0</v>
      </c>
      <c r="AA57" s="73">
        <v>17.0</v>
      </c>
      <c r="AB57" s="13">
        <f t="shared" ref="AB57:AB66" si="16">SUM(E57:AA57)</f>
        <v>310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5.0</v>
      </c>
      <c r="F58" s="73">
        <v>2.0</v>
      </c>
      <c r="G58" s="73">
        <v>2.0</v>
      </c>
      <c r="H58" s="73">
        <v>8.0</v>
      </c>
      <c r="I58" s="73">
        <v>6.0</v>
      </c>
      <c r="J58" s="73">
        <v>3.0</v>
      </c>
      <c r="K58" s="73">
        <v>5.0</v>
      </c>
      <c r="L58" s="73">
        <v>10.0</v>
      </c>
      <c r="M58" s="73">
        <v>5.0</v>
      </c>
      <c r="N58" s="73">
        <v>8.0</v>
      </c>
      <c r="O58" s="73">
        <v>4.0</v>
      </c>
      <c r="P58" s="73">
        <v>6.0</v>
      </c>
      <c r="Q58" s="73">
        <v>6.0</v>
      </c>
      <c r="R58" s="73">
        <v>6.0</v>
      </c>
      <c r="S58" s="73">
        <v>6.0</v>
      </c>
      <c r="T58" s="73">
        <v>20.0</v>
      </c>
      <c r="U58" s="73">
        <v>10.0</v>
      </c>
      <c r="V58" s="73">
        <v>10.0</v>
      </c>
      <c r="W58" s="73">
        <v>8.0</v>
      </c>
      <c r="X58" s="73">
        <v>4.0</v>
      </c>
      <c r="Y58" s="73">
        <v>4.0</v>
      </c>
      <c r="Z58" s="73">
        <v>15.0</v>
      </c>
      <c r="AA58" s="73">
        <v>3.0</v>
      </c>
      <c r="AB58" s="13">
        <f t="shared" si="16"/>
        <v>156</v>
      </c>
    </row>
    <row r="59" ht="12.75" customHeight="1">
      <c r="A59" s="18"/>
      <c r="B59" s="49"/>
      <c r="C59" s="50" t="s">
        <v>51</v>
      </c>
      <c r="D59" s="51"/>
      <c r="E59" s="73">
        <v>6.0</v>
      </c>
      <c r="F59" s="73">
        <v>2.0</v>
      </c>
      <c r="G59" s="73">
        <v>6.0</v>
      </c>
      <c r="H59" s="73">
        <v>8.0</v>
      </c>
      <c r="I59" s="73">
        <v>6.0</v>
      </c>
      <c r="J59" s="73">
        <v>7.0</v>
      </c>
      <c r="K59" s="73">
        <v>3.0</v>
      </c>
      <c r="L59" s="73">
        <v>4.0</v>
      </c>
      <c r="M59" s="73">
        <v>7.0</v>
      </c>
      <c r="N59" s="73">
        <v>5.0</v>
      </c>
      <c r="O59" s="73">
        <v>9.0</v>
      </c>
      <c r="P59" s="73">
        <v>5.0</v>
      </c>
      <c r="Q59" s="73">
        <v>16.0</v>
      </c>
      <c r="R59" s="73">
        <v>14.0</v>
      </c>
      <c r="S59" s="73">
        <v>16.0</v>
      </c>
      <c r="T59" s="73">
        <v>10.0</v>
      </c>
      <c r="U59" s="73">
        <v>6.0</v>
      </c>
      <c r="V59" s="73">
        <v>9.0</v>
      </c>
      <c r="W59" s="73">
        <v>11.0</v>
      </c>
      <c r="X59" s="73">
        <v>16.0</v>
      </c>
      <c r="Y59" s="73">
        <v>3.0</v>
      </c>
      <c r="Z59" s="73">
        <v>11.0</v>
      </c>
      <c r="AA59" s="73">
        <v>8.0</v>
      </c>
      <c r="AB59" s="13">
        <f t="shared" si="16"/>
        <v>188</v>
      </c>
    </row>
    <row r="60" ht="12.75" customHeight="1">
      <c r="A60" s="18"/>
      <c r="B60" s="49"/>
      <c r="C60" s="50" t="s">
        <v>52</v>
      </c>
      <c r="D60" s="51"/>
      <c r="E60" s="73">
        <v>5.0</v>
      </c>
      <c r="F60" s="73">
        <v>3.0</v>
      </c>
      <c r="G60" s="73">
        <v>0.0</v>
      </c>
      <c r="H60" s="73">
        <v>5.0</v>
      </c>
      <c r="I60" s="73">
        <v>1.0</v>
      </c>
      <c r="J60" s="73">
        <v>3.0</v>
      </c>
      <c r="K60" s="73">
        <v>4.0</v>
      </c>
      <c r="L60" s="73">
        <v>3.0</v>
      </c>
      <c r="M60" s="73">
        <v>3.0</v>
      </c>
      <c r="N60" s="73">
        <v>2.0</v>
      </c>
      <c r="O60" s="73">
        <v>5.0</v>
      </c>
      <c r="P60" s="73">
        <v>2.0</v>
      </c>
      <c r="Q60" s="73">
        <v>3.0</v>
      </c>
      <c r="R60" s="73">
        <v>2.0</v>
      </c>
      <c r="S60" s="73">
        <v>4.0</v>
      </c>
      <c r="T60" s="73">
        <v>9.0</v>
      </c>
      <c r="U60" s="73">
        <v>8.0</v>
      </c>
      <c r="V60" s="73">
        <v>4.0</v>
      </c>
      <c r="W60" s="73">
        <v>2.0</v>
      </c>
      <c r="X60" s="73">
        <v>2.0</v>
      </c>
      <c r="Y60" s="73">
        <v>5.0</v>
      </c>
      <c r="Z60" s="73">
        <v>3.0</v>
      </c>
      <c r="AA60" s="73">
        <v>1.0</v>
      </c>
      <c r="AB60" s="13">
        <f t="shared" si="16"/>
        <v>79</v>
      </c>
    </row>
    <row r="61" ht="12.75" customHeight="1">
      <c r="A61" s="18"/>
      <c r="B61" s="49"/>
      <c r="C61" s="50" t="s">
        <v>53</v>
      </c>
      <c r="D61" s="51"/>
      <c r="E61" s="73">
        <v>0.0</v>
      </c>
      <c r="F61" s="73">
        <v>0.0</v>
      </c>
      <c r="G61" s="73">
        <v>4.0</v>
      </c>
      <c r="H61" s="73">
        <v>3.0</v>
      </c>
      <c r="I61" s="73">
        <v>0.0</v>
      </c>
      <c r="J61" s="73">
        <v>5.0</v>
      </c>
      <c r="K61" s="73">
        <v>5.0</v>
      </c>
      <c r="L61" s="73">
        <v>3.0</v>
      </c>
      <c r="M61" s="73">
        <v>3.0</v>
      </c>
      <c r="N61" s="73">
        <v>7.0</v>
      </c>
      <c r="O61" s="73">
        <v>1.0</v>
      </c>
      <c r="P61" s="73">
        <v>6.0</v>
      </c>
      <c r="Q61" s="73">
        <v>1.0</v>
      </c>
      <c r="R61" s="73">
        <v>4.0</v>
      </c>
      <c r="S61" s="73">
        <v>5.0</v>
      </c>
      <c r="T61" s="73">
        <v>3.0</v>
      </c>
      <c r="U61" s="73">
        <v>3.0</v>
      </c>
      <c r="V61" s="73">
        <v>2.0</v>
      </c>
      <c r="W61" s="73">
        <v>2.0</v>
      </c>
      <c r="X61" s="73">
        <v>1.0</v>
      </c>
      <c r="Y61" s="73">
        <v>1.0</v>
      </c>
      <c r="Z61" s="73">
        <v>3.0</v>
      </c>
      <c r="AA61" s="73">
        <v>0.0</v>
      </c>
      <c r="AB61" s="13">
        <f t="shared" si="16"/>
        <v>62</v>
      </c>
    </row>
    <row r="62" ht="12.75" customHeight="1">
      <c r="A62" s="18"/>
      <c r="B62" s="49"/>
      <c r="C62" s="50" t="s">
        <v>54</v>
      </c>
      <c r="D62" s="51"/>
      <c r="E62" s="73">
        <v>0.0</v>
      </c>
      <c r="F62" s="73">
        <v>0.0</v>
      </c>
      <c r="G62" s="73">
        <v>0.0</v>
      </c>
      <c r="H62" s="73">
        <v>0.0</v>
      </c>
      <c r="I62" s="73">
        <v>0.0</v>
      </c>
      <c r="J62" s="73">
        <v>1.0</v>
      </c>
      <c r="K62" s="73">
        <v>1.0</v>
      </c>
      <c r="L62" s="73">
        <v>0.0</v>
      </c>
      <c r="M62" s="73">
        <v>0.0</v>
      </c>
      <c r="N62" s="73">
        <v>0.0</v>
      </c>
      <c r="O62" s="73">
        <v>1.0</v>
      </c>
      <c r="P62" s="73">
        <v>0.0</v>
      </c>
      <c r="Q62" s="73">
        <v>1.0</v>
      </c>
      <c r="R62" s="73">
        <v>2.0</v>
      </c>
      <c r="S62" s="73">
        <v>2.0</v>
      </c>
      <c r="T62" s="73">
        <v>2.0</v>
      </c>
      <c r="U62" s="73">
        <v>0.0</v>
      </c>
      <c r="V62" s="73">
        <v>1.0</v>
      </c>
      <c r="W62" s="73">
        <v>0.0</v>
      </c>
      <c r="X62" s="73">
        <v>3.0</v>
      </c>
      <c r="Y62" s="73">
        <v>1.0</v>
      </c>
      <c r="Z62" s="73">
        <v>3.0</v>
      </c>
      <c r="AA62" s="73">
        <v>4.0</v>
      </c>
      <c r="AB62" s="13">
        <f t="shared" si="16"/>
        <v>22</v>
      </c>
    </row>
    <row r="63" ht="12.75" customHeight="1">
      <c r="A63" s="18"/>
      <c r="B63" s="49"/>
      <c r="C63" s="50" t="s">
        <v>55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1.0</v>
      </c>
      <c r="L63" s="73">
        <v>0.0</v>
      </c>
      <c r="M63" s="73">
        <v>0.0</v>
      </c>
      <c r="N63" s="73">
        <v>1.0</v>
      </c>
      <c r="O63" s="73">
        <v>1.0</v>
      </c>
      <c r="P63" s="73">
        <v>2.0</v>
      </c>
      <c r="Q63" s="73">
        <v>1.0</v>
      </c>
      <c r="R63" s="73">
        <v>0.0</v>
      </c>
      <c r="S63" s="73">
        <v>2.0</v>
      </c>
      <c r="T63" s="73">
        <v>0.0</v>
      </c>
      <c r="U63" s="73">
        <v>0.0</v>
      </c>
      <c r="V63" s="73">
        <v>0.0</v>
      </c>
      <c r="W63" s="73">
        <v>2.0</v>
      </c>
      <c r="X63" s="73">
        <v>0.0</v>
      </c>
      <c r="Y63" s="73">
        <v>0.0</v>
      </c>
      <c r="Z63" s="73">
        <v>0.0</v>
      </c>
      <c r="AA63" s="73">
        <v>0.0</v>
      </c>
      <c r="AB63" s="13">
        <f t="shared" si="16"/>
        <v>10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1.0</v>
      </c>
      <c r="G64" s="80">
        <v>0.0</v>
      </c>
      <c r="H64" s="80">
        <v>0.0</v>
      </c>
      <c r="I64" s="80">
        <v>1.0</v>
      </c>
      <c r="J64" s="80">
        <v>0.0</v>
      </c>
      <c r="K64" s="80">
        <v>0.0</v>
      </c>
      <c r="L64" s="80">
        <v>0.0</v>
      </c>
      <c r="M64" s="80">
        <v>0.0</v>
      </c>
      <c r="N64" s="80">
        <v>2.0</v>
      </c>
      <c r="O64" s="80">
        <v>0.0</v>
      </c>
      <c r="P64" s="80">
        <v>0.0</v>
      </c>
      <c r="Q64" s="80">
        <v>1.0</v>
      </c>
      <c r="R64" s="80">
        <v>0.0</v>
      </c>
      <c r="S64" s="80">
        <v>1.0</v>
      </c>
      <c r="T64" s="80">
        <v>0.0</v>
      </c>
      <c r="U64" s="80">
        <v>0.0</v>
      </c>
      <c r="V64" s="80">
        <v>2.0</v>
      </c>
      <c r="W64" s="80">
        <v>1.0</v>
      </c>
      <c r="X64" s="80">
        <v>0.0</v>
      </c>
      <c r="Y64" s="80">
        <v>0.0</v>
      </c>
      <c r="Z64" s="80">
        <v>1.0</v>
      </c>
      <c r="AA64" s="80">
        <v>0.0</v>
      </c>
      <c r="AB64" s="13">
        <f t="shared" si="16"/>
        <v>10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1.0</v>
      </c>
      <c r="H65" s="80">
        <v>0.0</v>
      </c>
      <c r="I65" s="80">
        <v>1.0</v>
      </c>
      <c r="J65" s="80">
        <v>0.0</v>
      </c>
      <c r="K65" s="80">
        <v>0.0</v>
      </c>
      <c r="L65" s="80">
        <v>1.0</v>
      </c>
      <c r="M65" s="80">
        <v>0.0</v>
      </c>
      <c r="N65" s="80">
        <v>0.0</v>
      </c>
      <c r="O65" s="80">
        <v>0.0</v>
      </c>
      <c r="P65" s="80">
        <v>1.0</v>
      </c>
      <c r="Q65" s="80">
        <v>0.0</v>
      </c>
      <c r="R65" s="80">
        <v>0.0</v>
      </c>
      <c r="S65" s="80">
        <v>0.0</v>
      </c>
      <c r="T65" s="80">
        <v>1.0</v>
      </c>
      <c r="U65" s="80">
        <v>0.0</v>
      </c>
      <c r="V65" s="80">
        <v>0.0</v>
      </c>
      <c r="W65" s="80">
        <v>0.0</v>
      </c>
      <c r="X65" s="80">
        <v>0.0</v>
      </c>
      <c r="Y65" s="80">
        <v>1.0</v>
      </c>
      <c r="Z65" s="80">
        <v>0.0</v>
      </c>
      <c r="AA65" s="80">
        <v>1.0</v>
      </c>
      <c r="AB65" s="13">
        <f t="shared" si="16"/>
        <v>7</v>
      </c>
    </row>
    <row r="66" ht="12.75" customHeight="1">
      <c r="A66" s="79"/>
      <c r="B66" s="49"/>
      <c r="C66" s="50" t="s">
        <v>58</v>
      </c>
      <c r="D66" s="51"/>
      <c r="E66" s="80">
        <v>0.0</v>
      </c>
      <c r="F66" s="80">
        <v>0.0</v>
      </c>
      <c r="G66" s="80">
        <v>1.0</v>
      </c>
      <c r="H66" s="80">
        <v>0.0</v>
      </c>
      <c r="I66" s="80">
        <v>0.0</v>
      </c>
      <c r="J66" s="80">
        <v>1.0</v>
      </c>
      <c r="K66" s="80">
        <v>2.0</v>
      </c>
      <c r="L66" s="80">
        <v>2.0</v>
      </c>
      <c r="M66" s="80">
        <v>1.0</v>
      </c>
      <c r="N66" s="80">
        <v>0.0</v>
      </c>
      <c r="O66" s="80">
        <v>1.0</v>
      </c>
      <c r="P66" s="80">
        <v>0.0</v>
      </c>
      <c r="Q66" s="80">
        <v>1.0</v>
      </c>
      <c r="R66" s="80">
        <v>1.0</v>
      </c>
      <c r="S66" s="80">
        <v>0.0</v>
      </c>
      <c r="T66" s="80">
        <v>0.0</v>
      </c>
      <c r="U66" s="80">
        <v>0.0</v>
      </c>
      <c r="V66" s="80">
        <v>1.0</v>
      </c>
      <c r="W66" s="80">
        <v>0.0</v>
      </c>
      <c r="X66" s="80">
        <v>1.0</v>
      </c>
      <c r="Y66" s="80">
        <v>0.0</v>
      </c>
      <c r="Z66" s="80">
        <v>0.0</v>
      </c>
      <c r="AA66" s="80">
        <v>0.0</v>
      </c>
      <c r="AB66" s="13">
        <f t="shared" si="16"/>
        <v>12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AB67" si="17">SUM(E57:E66)</f>
        <v>30</v>
      </c>
      <c r="F67" s="13">
        <f t="shared" si="17"/>
        <v>18</v>
      </c>
      <c r="G67" s="13">
        <f t="shared" si="17"/>
        <v>27</v>
      </c>
      <c r="H67" s="13">
        <f t="shared" si="17"/>
        <v>36</v>
      </c>
      <c r="I67" s="13">
        <f t="shared" si="17"/>
        <v>25</v>
      </c>
      <c r="J67" s="13">
        <f t="shared" si="17"/>
        <v>44</v>
      </c>
      <c r="K67" s="13">
        <f t="shared" si="17"/>
        <v>29</v>
      </c>
      <c r="L67" s="13">
        <f t="shared" si="17"/>
        <v>35</v>
      </c>
      <c r="M67" s="13">
        <f t="shared" si="17"/>
        <v>31</v>
      </c>
      <c r="N67" s="13">
        <f t="shared" si="17"/>
        <v>41</v>
      </c>
      <c r="O67" s="13">
        <f t="shared" si="17"/>
        <v>38</v>
      </c>
      <c r="P67" s="13">
        <f t="shared" si="17"/>
        <v>35</v>
      </c>
      <c r="Q67" s="13">
        <f t="shared" si="17"/>
        <v>45</v>
      </c>
      <c r="R67" s="13">
        <f t="shared" si="17"/>
        <v>35</v>
      </c>
      <c r="S67" s="13">
        <f t="shared" si="17"/>
        <v>44</v>
      </c>
      <c r="T67" s="13">
        <f t="shared" si="17"/>
        <v>62</v>
      </c>
      <c r="U67" s="13">
        <f t="shared" si="17"/>
        <v>36</v>
      </c>
      <c r="V67" s="13">
        <f t="shared" si="17"/>
        <v>46</v>
      </c>
      <c r="W67" s="13">
        <f t="shared" si="17"/>
        <v>41</v>
      </c>
      <c r="X67" s="13">
        <f t="shared" si="17"/>
        <v>38</v>
      </c>
      <c r="Y67" s="13">
        <f t="shared" si="17"/>
        <v>31</v>
      </c>
      <c r="Z67" s="13">
        <f t="shared" si="17"/>
        <v>55</v>
      </c>
      <c r="AA67" s="13">
        <f t="shared" si="17"/>
        <v>34</v>
      </c>
      <c r="AB67" s="13">
        <f t="shared" si="17"/>
        <v>856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10.0</v>
      </c>
      <c r="F69" s="73">
        <v>13.0</v>
      </c>
      <c r="G69" s="73">
        <v>14.0</v>
      </c>
      <c r="H69" s="73">
        <v>6.0</v>
      </c>
      <c r="I69" s="73">
        <v>11.0</v>
      </c>
      <c r="J69" s="73">
        <v>2.0</v>
      </c>
      <c r="K69" s="73">
        <v>5.0</v>
      </c>
      <c r="L69" s="73">
        <v>11.0</v>
      </c>
      <c r="M69" s="73">
        <v>20.0</v>
      </c>
      <c r="N69" s="73">
        <v>7.0</v>
      </c>
      <c r="O69" s="73">
        <v>7.0</v>
      </c>
      <c r="P69" s="73">
        <v>9.0</v>
      </c>
      <c r="Q69" s="73">
        <v>15.0</v>
      </c>
      <c r="R69" s="73">
        <v>11.0</v>
      </c>
      <c r="S69" s="73">
        <v>5.0</v>
      </c>
      <c r="T69" s="73">
        <v>5.0</v>
      </c>
      <c r="U69" s="73">
        <v>7.0</v>
      </c>
      <c r="V69" s="73">
        <v>14.0</v>
      </c>
      <c r="W69" s="73">
        <v>6.0</v>
      </c>
      <c r="X69" s="73">
        <v>8.0</v>
      </c>
      <c r="Y69" s="73">
        <v>3.0</v>
      </c>
      <c r="Z69" s="73">
        <v>6.0</v>
      </c>
      <c r="AA69" s="73">
        <v>20.0</v>
      </c>
      <c r="AB69" s="13">
        <f t="shared" ref="AB69:AB78" si="18">SUM(E69:AA69)</f>
        <v>215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20.0</v>
      </c>
      <c r="F70" s="73">
        <v>7.0</v>
      </c>
      <c r="G70" s="73">
        <v>3.0</v>
      </c>
      <c r="H70" s="73">
        <v>6.0</v>
      </c>
      <c r="I70" s="73">
        <v>4.0</v>
      </c>
      <c r="J70" s="73">
        <v>3.0</v>
      </c>
      <c r="K70" s="73">
        <v>6.0</v>
      </c>
      <c r="L70" s="73">
        <v>4.0</v>
      </c>
      <c r="M70" s="73">
        <v>7.0</v>
      </c>
      <c r="N70" s="73">
        <v>4.0</v>
      </c>
      <c r="O70" s="73">
        <v>3.0</v>
      </c>
      <c r="P70" s="73">
        <v>4.0</v>
      </c>
      <c r="Q70" s="73">
        <v>1.0</v>
      </c>
      <c r="R70" s="73">
        <v>7.0</v>
      </c>
      <c r="S70" s="73">
        <v>5.0</v>
      </c>
      <c r="T70" s="73">
        <v>1.0</v>
      </c>
      <c r="U70" s="73">
        <v>2.0</v>
      </c>
      <c r="V70" s="73">
        <v>3.0</v>
      </c>
      <c r="W70" s="73">
        <v>0.0</v>
      </c>
      <c r="X70" s="73">
        <v>6.0</v>
      </c>
      <c r="Y70" s="73">
        <v>4.0</v>
      </c>
      <c r="Z70" s="73">
        <v>4.0</v>
      </c>
      <c r="AA70" s="73">
        <v>3.0</v>
      </c>
      <c r="AB70" s="13">
        <f t="shared" si="18"/>
        <v>107</v>
      </c>
    </row>
    <row r="71" ht="12.75" customHeight="1">
      <c r="A71" s="18"/>
      <c r="B71" s="49"/>
      <c r="C71" s="50" t="s">
        <v>61</v>
      </c>
      <c r="D71" s="51"/>
      <c r="E71" s="73">
        <v>24.0</v>
      </c>
      <c r="F71" s="73">
        <v>94.0</v>
      </c>
      <c r="G71" s="73">
        <v>76.0</v>
      </c>
      <c r="H71" s="73">
        <v>20.0</v>
      </c>
      <c r="I71" s="73">
        <v>13.0</v>
      </c>
      <c r="J71" s="73">
        <v>14.0</v>
      </c>
      <c r="K71" s="73">
        <v>7.0</v>
      </c>
      <c r="L71" s="73">
        <v>16.0</v>
      </c>
      <c r="M71" s="73">
        <v>4.0</v>
      </c>
      <c r="N71" s="73">
        <v>11.0</v>
      </c>
      <c r="O71" s="73">
        <v>7.0</v>
      </c>
      <c r="P71" s="73">
        <v>10.0</v>
      </c>
      <c r="Q71" s="73">
        <v>16.0</v>
      </c>
      <c r="R71" s="73">
        <v>14.0</v>
      </c>
      <c r="S71" s="73">
        <v>10.0</v>
      </c>
      <c r="T71" s="73">
        <v>9.0</v>
      </c>
      <c r="U71" s="73">
        <v>6.0</v>
      </c>
      <c r="V71" s="73">
        <v>11.0</v>
      </c>
      <c r="W71" s="73">
        <v>28.0</v>
      </c>
      <c r="X71" s="73">
        <v>13.0</v>
      </c>
      <c r="Y71" s="73">
        <v>6.0</v>
      </c>
      <c r="Z71" s="73">
        <v>9.0</v>
      </c>
      <c r="AA71" s="73">
        <v>21.0</v>
      </c>
      <c r="AB71" s="13">
        <f t="shared" si="18"/>
        <v>439</v>
      </c>
    </row>
    <row r="72" ht="12.75" customHeight="1">
      <c r="A72" s="18"/>
      <c r="B72" s="49"/>
      <c r="C72" s="50" t="s">
        <v>62</v>
      </c>
      <c r="D72" s="51"/>
      <c r="E72" s="73">
        <v>2.0</v>
      </c>
      <c r="F72" s="73">
        <v>4.0</v>
      </c>
      <c r="G72" s="73">
        <v>7.0</v>
      </c>
      <c r="H72" s="73">
        <v>2.0</v>
      </c>
      <c r="I72" s="73">
        <v>6.0</v>
      </c>
      <c r="J72" s="73">
        <v>2.0</v>
      </c>
      <c r="K72" s="73">
        <v>4.0</v>
      </c>
      <c r="L72" s="73">
        <v>3.0</v>
      </c>
      <c r="M72" s="73">
        <v>3.0</v>
      </c>
      <c r="N72" s="73">
        <v>1.0</v>
      </c>
      <c r="O72" s="73">
        <v>2.0</v>
      </c>
      <c r="P72" s="73">
        <v>0.0</v>
      </c>
      <c r="Q72" s="73">
        <v>1.0</v>
      </c>
      <c r="R72" s="73">
        <v>4.0</v>
      </c>
      <c r="S72" s="73">
        <v>4.0</v>
      </c>
      <c r="T72" s="73">
        <v>3.0</v>
      </c>
      <c r="U72" s="73">
        <v>6.0</v>
      </c>
      <c r="V72" s="73">
        <v>3.0</v>
      </c>
      <c r="W72" s="73">
        <v>1.0</v>
      </c>
      <c r="X72" s="73">
        <v>2.0</v>
      </c>
      <c r="Y72" s="73">
        <v>2.0</v>
      </c>
      <c r="Z72" s="73">
        <v>3.0</v>
      </c>
      <c r="AA72" s="73">
        <v>4.0</v>
      </c>
      <c r="AB72" s="13">
        <f t="shared" si="18"/>
        <v>69</v>
      </c>
    </row>
    <row r="73" ht="12.75" customHeight="1">
      <c r="A73" s="18"/>
      <c r="B73" s="49"/>
      <c r="C73" s="50" t="s">
        <v>63</v>
      </c>
      <c r="D73" s="51"/>
      <c r="E73" s="73">
        <v>1.0</v>
      </c>
      <c r="F73" s="73">
        <v>4.0</v>
      </c>
      <c r="G73" s="73">
        <v>1.0</v>
      </c>
      <c r="H73" s="73">
        <v>1.0</v>
      </c>
      <c r="I73" s="73">
        <v>2.0</v>
      </c>
      <c r="J73" s="73">
        <v>0.0</v>
      </c>
      <c r="K73" s="73">
        <v>0.0</v>
      </c>
      <c r="L73" s="73">
        <v>0.0</v>
      </c>
      <c r="M73" s="73">
        <v>1.0</v>
      </c>
      <c r="N73" s="73">
        <v>1.0</v>
      </c>
      <c r="O73" s="73">
        <v>3.0</v>
      </c>
      <c r="P73" s="73">
        <v>1.0</v>
      </c>
      <c r="Q73" s="73">
        <v>1.0</v>
      </c>
      <c r="R73" s="73">
        <v>2.0</v>
      </c>
      <c r="S73" s="73">
        <v>1.0</v>
      </c>
      <c r="T73" s="73">
        <v>2.0</v>
      </c>
      <c r="U73" s="73">
        <v>3.0</v>
      </c>
      <c r="V73" s="73">
        <v>2.0</v>
      </c>
      <c r="W73" s="73">
        <v>1.0</v>
      </c>
      <c r="X73" s="73">
        <v>0.0</v>
      </c>
      <c r="Y73" s="73">
        <v>3.0</v>
      </c>
      <c r="Z73" s="73">
        <v>4.0</v>
      </c>
      <c r="AA73" s="73">
        <v>2.0</v>
      </c>
      <c r="AB73" s="13">
        <f t="shared" si="18"/>
        <v>36</v>
      </c>
    </row>
    <row r="74" ht="12.75" customHeight="1">
      <c r="A74" s="18"/>
      <c r="B74" s="49"/>
      <c r="C74" s="50" t="s">
        <v>64</v>
      </c>
      <c r="D74" s="51"/>
      <c r="E74" s="73">
        <v>3.0</v>
      </c>
      <c r="F74" s="73">
        <v>1.0</v>
      </c>
      <c r="G74" s="73">
        <v>1.0</v>
      </c>
      <c r="H74" s="73">
        <v>2.0</v>
      </c>
      <c r="I74" s="73">
        <v>0.0</v>
      </c>
      <c r="J74" s="73">
        <v>2.0</v>
      </c>
      <c r="K74" s="73">
        <v>2.0</v>
      </c>
      <c r="L74" s="73">
        <v>2.0</v>
      </c>
      <c r="M74" s="73">
        <v>2.0</v>
      </c>
      <c r="N74" s="73">
        <v>1.0</v>
      </c>
      <c r="O74" s="73">
        <v>1.0</v>
      </c>
      <c r="P74" s="73">
        <v>0.0</v>
      </c>
      <c r="Q74" s="73">
        <v>0.0</v>
      </c>
      <c r="R74" s="73">
        <v>4.0</v>
      </c>
      <c r="S74" s="73">
        <v>1.0</v>
      </c>
      <c r="T74" s="73">
        <v>0.0</v>
      </c>
      <c r="U74" s="73">
        <v>2.0</v>
      </c>
      <c r="V74" s="73">
        <v>4.0</v>
      </c>
      <c r="W74" s="73">
        <v>0.0</v>
      </c>
      <c r="X74" s="73">
        <v>0.0</v>
      </c>
      <c r="Y74" s="73">
        <v>6.0</v>
      </c>
      <c r="Z74" s="73">
        <v>4.0</v>
      </c>
      <c r="AA74" s="73">
        <v>7.0</v>
      </c>
      <c r="AB74" s="13">
        <f t="shared" si="18"/>
        <v>45</v>
      </c>
    </row>
    <row r="75" ht="12.75" customHeight="1">
      <c r="A75" s="18"/>
      <c r="B75" s="49"/>
      <c r="C75" s="50" t="s">
        <v>65</v>
      </c>
      <c r="D75" s="51"/>
      <c r="E75" s="73">
        <v>2.0</v>
      </c>
      <c r="F75" s="73">
        <v>1.0</v>
      </c>
      <c r="G75" s="73">
        <v>0.0</v>
      </c>
      <c r="H75" s="73">
        <v>0.0</v>
      </c>
      <c r="I75" s="73">
        <v>0.0</v>
      </c>
      <c r="J75" s="73">
        <v>0.0</v>
      </c>
      <c r="K75" s="73">
        <v>0.0</v>
      </c>
      <c r="L75" s="73">
        <v>1.0</v>
      </c>
      <c r="M75" s="73">
        <v>0.0</v>
      </c>
      <c r="N75" s="73">
        <v>0.0</v>
      </c>
      <c r="O75" s="73">
        <v>2.0</v>
      </c>
      <c r="P75" s="73">
        <v>0.0</v>
      </c>
      <c r="Q75" s="73">
        <v>0.0</v>
      </c>
      <c r="R75" s="73">
        <v>0.0</v>
      </c>
      <c r="S75" s="73">
        <v>3.0</v>
      </c>
      <c r="T75" s="73">
        <v>1.0</v>
      </c>
      <c r="U75" s="73">
        <v>1.0</v>
      </c>
      <c r="V75" s="73">
        <v>2.0</v>
      </c>
      <c r="W75" s="73">
        <v>1.0</v>
      </c>
      <c r="X75" s="73">
        <v>0.0</v>
      </c>
      <c r="Y75" s="73">
        <v>0.0</v>
      </c>
      <c r="Z75" s="73">
        <v>1.0</v>
      </c>
      <c r="AA75" s="73">
        <v>2.0</v>
      </c>
      <c r="AB75" s="13">
        <f t="shared" si="18"/>
        <v>17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0.0</v>
      </c>
      <c r="G76" s="80">
        <v>0.0</v>
      </c>
      <c r="H76" s="80">
        <v>0.0</v>
      </c>
      <c r="I76" s="80">
        <v>0.0</v>
      </c>
      <c r="J76" s="80">
        <v>0.0</v>
      </c>
      <c r="K76" s="80">
        <v>1.0</v>
      </c>
      <c r="L76" s="80">
        <v>0.0</v>
      </c>
      <c r="M76" s="80">
        <v>0.0</v>
      </c>
      <c r="N76" s="80">
        <v>0.0</v>
      </c>
      <c r="O76" s="80">
        <v>1.0</v>
      </c>
      <c r="P76" s="80">
        <v>0.0</v>
      </c>
      <c r="Q76" s="80">
        <v>1.0</v>
      </c>
      <c r="R76" s="80">
        <v>0.0</v>
      </c>
      <c r="S76" s="80">
        <v>1.0</v>
      </c>
      <c r="T76" s="80">
        <v>1.0</v>
      </c>
      <c r="U76" s="80">
        <v>1.0</v>
      </c>
      <c r="V76" s="80">
        <v>0.0</v>
      </c>
      <c r="W76" s="80">
        <v>0.0</v>
      </c>
      <c r="X76" s="80">
        <v>0.0</v>
      </c>
      <c r="Y76" s="80">
        <v>0.0</v>
      </c>
      <c r="Z76" s="80">
        <v>2.0</v>
      </c>
      <c r="AA76" s="80">
        <v>1.0</v>
      </c>
      <c r="AB76" s="13">
        <f t="shared" si="18"/>
        <v>9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0.0</v>
      </c>
      <c r="G77" s="80">
        <v>0.0</v>
      </c>
      <c r="H77" s="80">
        <v>0.0</v>
      </c>
      <c r="I77" s="80">
        <v>0.0</v>
      </c>
      <c r="J77" s="80">
        <v>0.0</v>
      </c>
      <c r="K77" s="80">
        <v>1.0</v>
      </c>
      <c r="L77" s="80">
        <v>1.0</v>
      </c>
      <c r="M77" s="80">
        <v>0.0</v>
      </c>
      <c r="N77" s="80">
        <v>1.0</v>
      </c>
      <c r="O77" s="80">
        <v>1.0</v>
      </c>
      <c r="P77" s="80">
        <v>0.0</v>
      </c>
      <c r="Q77" s="80">
        <v>0.0</v>
      </c>
      <c r="R77" s="80">
        <v>0.0</v>
      </c>
      <c r="S77" s="80">
        <v>1.0</v>
      </c>
      <c r="T77" s="80">
        <v>0.0</v>
      </c>
      <c r="U77" s="80">
        <v>0.0</v>
      </c>
      <c r="V77" s="80">
        <v>0.0</v>
      </c>
      <c r="W77" s="80">
        <v>0.0</v>
      </c>
      <c r="X77" s="80">
        <v>0.0</v>
      </c>
      <c r="Y77" s="80">
        <v>0.0</v>
      </c>
      <c r="Z77" s="80">
        <v>1.0</v>
      </c>
      <c r="AA77" s="80">
        <v>0.0</v>
      </c>
      <c r="AB77" s="13">
        <f t="shared" si="18"/>
        <v>6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0.0</v>
      </c>
      <c r="G78" s="80">
        <v>0.0</v>
      </c>
      <c r="H78" s="80">
        <v>1.0</v>
      </c>
      <c r="I78" s="80">
        <v>0.0</v>
      </c>
      <c r="J78" s="80">
        <v>0.0</v>
      </c>
      <c r="K78" s="80">
        <v>0.0</v>
      </c>
      <c r="L78" s="80">
        <v>0.0</v>
      </c>
      <c r="M78" s="80">
        <v>0.0</v>
      </c>
      <c r="N78" s="80">
        <v>0.0</v>
      </c>
      <c r="O78" s="80">
        <v>1.0</v>
      </c>
      <c r="P78" s="80">
        <v>1.0</v>
      </c>
      <c r="Q78" s="80">
        <v>1.0</v>
      </c>
      <c r="R78" s="80">
        <v>0.0</v>
      </c>
      <c r="S78" s="80">
        <v>0.0</v>
      </c>
      <c r="T78" s="80">
        <v>0.0</v>
      </c>
      <c r="U78" s="80">
        <v>1.0</v>
      </c>
      <c r="V78" s="80">
        <v>2.0</v>
      </c>
      <c r="W78" s="80">
        <v>0.0</v>
      </c>
      <c r="X78" s="80">
        <v>1.0</v>
      </c>
      <c r="Y78" s="80">
        <v>1.0</v>
      </c>
      <c r="Z78" s="80">
        <v>0.0</v>
      </c>
      <c r="AA78" s="80">
        <v>1.0</v>
      </c>
      <c r="AB78" s="13">
        <f t="shared" si="18"/>
        <v>10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AB79" si="19">SUM(E69:E78)</f>
        <v>62</v>
      </c>
      <c r="F79" s="13">
        <f t="shared" si="19"/>
        <v>124</v>
      </c>
      <c r="G79" s="13">
        <f t="shared" si="19"/>
        <v>102</v>
      </c>
      <c r="H79" s="13">
        <f t="shared" si="19"/>
        <v>38</v>
      </c>
      <c r="I79" s="13">
        <f t="shared" si="19"/>
        <v>36</v>
      </c>
      <c r="J79" s="13">
        <f t="shared" si="19"/>
        <v>23</v>
      </c>
      <c r="K79" s="13">
        <f t="shared" si="19"/>
        <v>26</v>
      </c>
      <c r="L79" s="13">
        <f t="shared" si="19"/>
        <v>38</v>
      </c>
      <c r="M79" s="13">
        <f t="shared" si="19"/>
        <v>37</v>
      </c>
      <c r="N79" s="13">
        <f t="shared" si="19"/>
        <v>26</v>
      </c>
      <c r="O79" s="13">
        <f t="shared" si="19"/>
        <v>28</v>
      </c>
      <c r="P79" s="13">
        <f t="shared" si="19"/>
        <v>25</v>
      </c>
      <c r="Q79" s="13">
        <f t="shared" si="19"/>
        <v>36</v>
      </c>
      <c r="R79" s="13">
        <f t="shared" si="19"/>
        <v>42</v>
      </c>
      <c r="S79" s="13">
        <f t="shared" si="19"/>
        <v>31</v>
      </c>
      <c r="T79" s="13">
        <f t="shared" si="19"/>
        <v>22</v>
      </c>
      <c r="U79" s="13">
        <f t="shared" si="19"/>
        <v>29</v>
      </c>
      <c r="V79" s="13">
        <f t="shared" si="19"/>
        <v>41</v>
      </c>
      <c r="W79" s="13">
        <f t="shared" si="19"/>
        <v>37</v>
      </c>
      <c r="X79" s="13">
        <f t="shared" si="19"/>
        <v>30</v>
      </c>
      <c r="Y79" s="13">
        <f t="shared" si="19"/>
        <v>25</v>
      </c>
      <c r="Z79" s="13">
        <f t="shared" si="19"/>
        <v>34</v>
      </c>
      <c r="AA79" s="13">
        <f t="shared" si="19"/>
        <v>61</v>
      </c>
      <c r="AB79" s="13">
        <f t="shared" si="19"/>
        <v>953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1.0</v>
      </c>
      <c r="F81" s="73">
        <v>6.0</v>
      </c>
      <c r="G81" s="73">
        <v>0.0</v>
      </c>
      <c r="H81" s="73">
        <v>3.0</v>
      </c>
      <c r="I81" s="73">
        <v>2.0</v>
      </c>
      <c r="J81" s="73">
        <v>3.0</v>
      </c>
      <c r="K81" s="73">
        <v>2.0</v>
      </c>
      <c r="L81" s="73">
        <v>3.0</v>
      </c>
      <c r="M81" s="73">
        <v>2.0</v>
      </c>
      <c r="N81" s="73">
        <v>1.0</v>
      </c>
      <c r="O81" s="73">
        <v>4.0</v>
      </c>
      <c r="P81" s="73">
        <v>5.0</v>
      </c>
      <c r="Q81" s="73">
        <v>5.0</v>
      </c>
      <c r="R81" s="73">
        <v>3.0</v>
      </c>
      <c r="S81" s="73">
        <v>3.0</v>
      </c>
      <c r="T81" s="73">
        <v>5.0</v>
      </c>
      <c r="U81" s="73">
        <v>2.0</v>
      </c>
      <c r="V81" s="73">
        <v>8.0</v>
      </c>
      <c r="W81" s="73">
        <v>2.0</v>
      </c>
      <c r="X81" s="73">
        <v>2.0</v>
      </c>
      <c r="Y81" s="73">
        <v>1.0</v>
      </c>
      <c r="Z81" s="73">
        <v>0.0</v>
      </c>
      <c r="AA81" s="73">
        <v>1.0</v>
      </c>
      <c r="AB81" s="13">
        <f t="shared" ref="AB81:AB90" si="20">SUM(E81:AA81)</f>
        <v>64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2.0</v>
      </c>
      <c r="F82" s="73">
        <v>2.0</v>
      </c>
      <c r="G82" s="73">
        <v>0.0</v>
      </c>
      <c r="H82" s="73">
        <v>4.0</v>
      </c>
      <c r="I82" s="73">
        <v>0.0</v>
      </c>
      <c r="J82" s="73">
        <v>0.0</v>
      </c>
      <c r="K82" s="73">
        <v>2.0</v>
      </c>
      <c r="L82" s="73">
        <v>4.0</v>
      </c>
      <c r="M82" s="73">
        <v>2.0</v>
      </c>
      <c r="N82" s="73">
        <v>1.0</v>
      </c>
      <c r="O82" s="73">
        <v>9.0</v>
      </c>
      <c r="P82" s="73">
        <v>4.0</v>
      </c>
      <c r="Q82" s="73">
        <v>3.0</v>
      </c>
      <c r="R82" s="73">
        <v>3.0</v>
      </c>
      <c r="S82" s="73">
        <v>3.0</v>
      </c>
      <c r="T82" s="73">
        <v>4.0</v>
      </c>
      <c r="U82" s="73">
        <v>9.0</v>
      </c>
      <c r="V82" s="73">
        <v>2.0</v>
      </c>
      <c r="W82" s="73">
        <v>0.0</v>
      </c>
      <c r="X82" s="73">
        <v>1.0</v>
      </c>
      <c r="Y82" s="73">
        <v>3.0</v>
      </c>
      <c r="Z82" s="73">
        <v>2.0</v>
      </c>
      <c r="AA82" s="73">
        <v>0.0</v>
      </c>
      <c r="AB82" s="13">
        <f t="shared" si="20"/>
        <v>60</v>
      </c>
    </row>
    <row r="83" ht="12.75" customHeight="1">
      <c r="A83" s="18"/>
      <c r="B83" s="49"/>
      <c r="C83" s="50" t="s">
        <v>71</v>
      </c>
      <c r="D83" s="51"/>
      <c r="E83" s="73">
        <v>1.0</v>
      </c>
      <c r="F83" s="73">
        <v>1.0</v>
      </c>
      <c r="G83" s="73">
        <v>2.0</v>
      </c>
      <c r="H83" s="73">
        <v>0.0</v>
      </c>
      <c r="I83" s="73">
        <v>1.0</v>
      </c>
      <c r="J83" s="73">
        <v>0.0</v>
      </c>
      <c r="K83" s="73">
        <v>0.0</v>
      </c>
      <c r="L83" s="73">
        <v>1.0</v>
      </c>
      <c r="M83" s="73">
        <v>2.0</v>
      </c>
      <c r="N83" s="73">
        <v>0.0</v>
      </c>
      <c r="O83" s="73">
        <v>2.0</v>
      </c>
      <c r="P83" s="73">
        <v>3.0</v>
      </c>
      <c r="Q83" s="73">
        <v>1.0</v>
      </c>
      <c r="R83" s="73">
        <v>2.0</v>
      </c>
      <c r="S83" s="73">
        <v>3.0</v>
      </c>
      <c r="T83" s="73">
        <v>0.0</v>
      </c>
      <c r="U83" s="73">
        <v>4.0</v>
      </c>
      <c r="V83" s="73">
        <v>3.0</v>
      </c>
      <c r="W83" s="73">
        <v>1.0</v>
      </c>
      <c r="X83" s="73">
        <v>1.0</v>
      </c>
      <c r="Y83" s="73">
        <v>1.0</v>
      </c>
      <c r="Z83" s="73">
        <v>0.0</v>
      </c>
      <c r="AA83" s="73">
        <v>0.0</v>
      </c>
      <c r="AB83" s="13">
        <f t="shared" si="20"/>
        <v>29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3.0</v>
      </c>
      <c r="G84" s="73">
        <v>2.0</v>
      </c>
      <c r="H84" s="73">
        <v>0.0</v>
      </c>
      <c r="I84" s="73">
        <v>1.0</v>
      </c>
      <c r="J84" s="73">
        <v>2.0</v>
      </c>
      <c r="K84" s="73">
        <v>0.0</v>
      </c>
      <c r="L84" s="73">
        <v>0.0</v>
      </c>
      <c r="M84" s="73">
        <v>0.0</v>
      </c>
      <c r="N84" s="73">
        <v>0.0</v>
      </c>
      <c r="O84" s="73">
        <v>4.0</v>
      </c>
      <c r="P84" s="73">
        <v>0.0</v>
      </c>
      <c r="Q84" s="73">
        <v>0.0</v>
      </c>
      <c r="R84" s="73">
        <v>4.0</v>
      </c>
      <c r="S84" s="73">
        <v>2.0</v>
      </c>
      <c r="T84" s="73">
        <v>2.0</v>
      </c>
      <c r="U84" s="73">
        <v>4.0</v>
      </c>
      <c r="V84" s="73">
        <v>0.0</v>
      </c>
      <c r="W84" s="73">
        <v>1.0</v>
      </c>
      <c r="X84" s="73">
        <v>0.0</v>
      </c>
      <c r="Y84" s="73">
        <v>0.0</v>
      </c>
      <c r="Z84" s="73">
        <v>0.0</v>
      </c>
      <c r="AA84" s="73">
        <v>0.0</v>
      </c>
      <c r="AB84" s="13">
        <f t="shared" si="20"/>
        <v>25</v>
      </c>
    </row>
    <row r="85" ht="12.75" customHeight="1">
      <c r="A85" s="18"/>
      <c r="B85" s="49"/>
      <c r="C85" s="50" t="s">
        <v>73</v>
      </c>
      <c r="D85" s="51"/>
      <c r="E85" s="73">
        <v>1.0</v>
      </c>
      <c r="F85" s="73">
        <v>0.0</v>
      </c>
      <c r="G85" s="73">
        <v>0.0</v>
      </c>
      <c r="H85" s="73">
        <v>0.0</v>
      </c>
      <c r="I85" s="73">
        <v>0.0</v>
      </c>
      <c r="J85" s="73">
        <v>0.0</v>
      </c>
      <c r="K85" s="73">
        <v>0.0</v>
      </c>
      <c r="L85" s="73">
        <v>1.0</v>
      </c>
      <c r="M85" s="73">
        <v>1.0</v>
      </c>
      <c r="N85" s="73">
        <v>6.0</v>
      </c>
      <c r="O85" s="73">
        <v>1.0</v>
      </c>
      <c r="P85" s="73">
        <v>5.0</v>
      </c>
      <c r="Q85" s="73">
        <v>0.0</v>
      </c>
      <c r="R85" s="73">
        <v>5.0</v>
      </c>
      <c r="S85" s="73">
        <v>2.0</v>
      </c>
      <c r="T85" s="73">
        <v>2.0</v>
      </c>
      <c r="U85" s="73">
        <v>1.0</v>
      </c>
      <c r="V85" s="73">
        <v>0.0</v>
      </c>
      <c r="W85" s="73">
        <v>0.0</v>
      </c>
      <c r="X85" s="73">
        <v>0.0</v>
      </c>
      <c r="Y85" s="73">
        <v>0.0</v>
      </c>
      <c r="Z85" s="73">
        <v>0.0</v>
      </c>
      <c r="AA85" s="73">
        <v>0.0</v>
      </c>
      <c r="AB85" s="13">
        <f t="shared" si="20"/>
        <v>25</v>
      </c>
    </row>
    <row r="86" ht="12.75" customHeight="1">
      <c r="A86" s="18"/>
      <c r="B86" s="49"/>
      <c r="C86" s="50" t="s">
        <v>74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1.0</v>
      </c>
      <c r="K86" s="73">
        <v>0.0</v>
      </c>
      <c r="L86" s="73">
        <v>0.0</v>
      </c>
      <c r="M86" s="73">
        <v>1.0</v>
      </c>
      <c r="N86" s="73">
        <v>1.0</v>
      </c>
      <c r="O86" s="73">
        <v>1.0</v>
      </c>
      <c r="P86" s="73">
        <v>1.0</v>
      </c>
      <c r="Q86" s="73">
        <v>11.0</v>
      </c>
      <c r="R86" s="73">
        <v>0.0</v>
      </c>
      <c r="S86" s="73">
        <v>0.0</v>
      </c>
      <c r="T86" s="73">
        <v>0.0</v>
      </c>
      <c r="U86" s="73">
        <v>1.0</v>
      </c>
      <c r="V86" s="73">
        <v>0.0</v>
      </c>
      <c r="W86" s="73">
        <v>0.0</v>
      </c>
      <c r="X86" s="73">
        <v>0.0</v>
      </c>
      <c r="Y86" s="73">
        <v>0.0</v>
      </c>
      <c r="Z86" s="73">
        <v>3.0</v>
      </c>
      <c r="AA86" s="73">
        <v>1.0</v>
      </c>
      <c r="AB86" s="13">
        <f t="shared" si="20"/>
        <v>21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2.0</v>
      </c>
      <c r="L87" s="73">
        <v>0.0</v>
      </c>
      <c r="M87" s="73">
        <v>0.0</v>
      </c>
      <c r="N87" s="73">
        <v>0.0</v>
      </c>
      <c r="O87" s="73">
        <v>0.0</v>
      </c>
      <c r="P87" s="73">
        <v>1.0</v>
      </c>
      <c r="Q87" s="73">
        <v>1.0</v>
      </c>
      <c r="R87" s="73">
        <v>1.0</v>
      </c>
      <c r="S87" s="73">
        <v>1.0</v>
      </c>
      <c r="T87" s="73">
        <v>1.0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73">
        <v>0.0</v>
      </c>
      <c r="AA87" s="73">
        <v>0.0</v>
      </c>
      <c r="AB87" s="13">
        <f t="shared" si="20"/>
        <v>7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0.0</v>
      </c>
      <c r="L88" s="80">
        <v>0.0</v>
      </c>
      <c r="M88" s="80">
        <v>0.0</v>
      </c>
      <c r="N88" s="80">
        <v>0.0</v>
      </c>
      <c r="O88" s="80">
        <v>1.0</v>
      </c>
      <c r="P88" s="80">
        <v>1.0</v>
      </c>
      <c r="Q88" s="80">
        <v>0.0</v>
      </c>
      <c r="R88" s="80">
        <v>0.0</v>
      </c>
      <c r="S88" s="80">
        <v>1.0</v>
      </c>
      <c r="T88" s="80">
        <v>0.0</v>
      </c>
      <c r="U88" s="80">
        <v>0.0</v>
      </c>
      <c r="V88" s="80">
        <v>0.0</v>
      </c>
      <c r="W88" s="80">
        <v>0.0</v>
      </c>
      <c r="X88" s="80">
        <v>0.0</v>
      </c>
      <c r="Y88" s="80">
        <v>0.0</v>
      </c>
      <c r="Z88" s="80">
        <v>0.0</v>
      </c>
      <c r="AA88" s="80">
        <v>0.0</v>
      </c>
      <c r="AB88" s="13">
        <f t="shared" si="20"/>
        <v>3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0.0</v>
      </c>
      <c r="N89" s="80">
        <v>0.0</v>
      </c>
      <c r="O89" s="80">
        <v>0.0</v>
      </c>
      <c r="P89" s="80">
        <v>0.0</v>
      </c>
      <c r="Q89" s="80">
        <v>0.0</v>
      </c>
      <c r="R89" s="80">
        <v>0.0</v>
      </c>
      <c r="S89" s="80">
        <v>0.0</v>
      </c>
      <c r="T89" s="80">
        <v>0.0</v>
      </c>
      <c r="U89" s="80">
        <v>0.0</v>
      </c>
      <c r="V89" s="80">
        <v>0.0</v>
      </c>
      <c r="W89" s="80">
        <v>0.0</v>
      </c>
      <c r="X89" s="80">
        <v>0.0</v>
      </c>
      <c r="Y89" s="80">
        <v>0.0</v>
      </c>
      <c r="Z89" s="80">
        <v>0.0</v>
      </c>
      <c r="AA89" s="80">
        <v>0.0</v>
      </c>
      <c r="AB89" s="13">
        <f t="shared" si="20"/>
        <v>0</v>
      </c>
    </row>
    <row r="90" ht="12.75" customHeight="1">
      <c r="A90" s="79"/>
      <c r="B90" s="49"/>
      <c r="C90" s="50" t="s">
        <v>78</v>
      </c>
      <c r="D90" s="51"/>
      <c r="E90" s="80">
        <v>1.0</v>
      </c>
      <c r="F90" s="80">
        <v>0.0</v>
      </c>
      <c r="G90" s="80">
        <v>0.0</v>
      </c>
      <c r="H90" s="80">
        <v>1.0</v>
      </c>
      <c r="I90" s="80">
        <v>0.0</v>
      </c>
      <c r="J90" s="80">
        <v>0.0</v>
      </c>
      <c r="K90" s="80">
        <v>0.0</v>
      </c>
      <c r="L90" s="80">
        <v>0.0</v>
      </c>
      <c r="M90" s="80">
        <v>0.0</v>
      </c>
      <c r="N90" s="80">
        <v>0.0</v>
      </c>
      <c r="O90" s="80">
        <v>0.0</v>
      </c>
      <c r="P90" s="80">
        <v>1.0</v>
      </c>
      <c r="Q90" s="80">
        <v>1.0</v>
      </c>
      <c r="R90" s="80">
        <v>0.0</v>
      </c>
      <c r="S90" s="80">
        <v>0.0</v>
      </c>
      <c r="T90" s="80">
        <v>1.0</v>
      </c>
      <c r="U90" s="80">
        <v>1.0</v>
      </c>
      <c r="V90" s="80">
        <v>0.0</v>
      </c>
      <c r="W90" s="80">
        <v>0.0</v>
      </c>
      <c r="X90" s="80">
        <v>1.0</v>
      </c>
      <c r="Y90" s="80">
        <v>0.0</v>
      </c>
      <c r="Z90" s="80">
        <v>0.0</v>
      </c>
      <c r="AA90" s="80">
        <v>0.0</v>
      </c>
      <c r="AB90" s="13">
        <f t="shared" si="20"/>
        <v>7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AB91" si="21">SUM(E81:E90)</f>
        <v>6</v>
      </c>
      <c r="F91" s="13">
        <f t="shared" si="21"/>
        <v>12</v>
      </c>
      <c r="G91" s="13">
        <f t="shared" si="21"/>
        <v>4</v>
      </c>
      <c r="H91" s="13">
        <f t="shared" si="21"/>
        <v>8</v>
      </c>
      <c r="I91" s="13">
        <f t="shared" si="21"/>
        <v>4</v>
      </c>
      <c r="J91" s="13">
        <f t="shared" si="21"/>
        <v>6</v>
      </c>
      <c r="K91" s="13">
        <f t="shared" si="21"/>
        <v>6</v>
      </c>
      <c r="L91" s="13">
        <f t="shared" si="21"/>
        <v>9</v>
      </c>
      <c r="M91" s="13">
        <f t="shared" si="21"/>
        <v>8</v>
      </c>
      <c r="N91" s="13">
        <f t="shared" si="21"/>
        <v>9</v>
      </c>
      <c r="O91" s="13">
        <f t="shared" si="21"/>
        <v>22</v>
      </c>
      <c r="P91" s="13">
        <f t="shared" si="21"/>
        <v>21</v>
      </c>
      <c r="Q91" s="13">
        <f t="shared" si="21"/>
        <v>22</v>
      </c>
      <c r="R91" s="13">
        <f t="shared" si="21"/>
        <v>18</v>
      </c>
      <c r="S91" s="13">
        <f t="shared" si="21"/>
        <v>15</v>
      </c>
      <c r="T91" s="13">
        <f t="shared" si="21"/>
        <v>15</v>
      </c>
      <c r="U91" s="13">
        <f t="shared" si="21"/>
        <v>22</v>
      </c>
      <c r="V91" s="13">
        <f t="shared" si="21"/>
        <v>13</v>
      </c>
      <c r="W91" s="13">
        <f t="shared" si="21"/>
        <v>4</v>
      </c>
      <c r="X91" s="13">
        <f t="shared" si="21"/>
        <v>5</v>
      </c>
      <c r="Y91" s="13">
        <f t="shared" si="21"/>
        <v>5</v>
      </c>
      <c r="Z91" s="13">
        <f t="shared" si="21"/>
        <v>5</v>
      </c>
      <c r="AA91" s="13">
        <f t="shared" si="21"/>
        <v>2</v>
      </c>
      <c r="AB91" s="13">
        <f t="shared" si="21"/>
        <v>241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3.0</v>
      </c>
      <c r="F93" s="73">
        <v>0.0</v>
      </c>
      <c r="G93" s="73">
        <v>1.0</v>
      </c>
      <c r="H93" s="73">
        <v>3.0</v>
      </c>
      <c r="I93" s="73">
        <v>1.0</v>
      </c>
      <c r="J93" s="73">
        <v>0.0</v>
      </c>
      <c r="K93" s="73">
        <v>2.0</v>
      </c>
      <c r="L93" s="73">
        <v>0.0</v>
      </c>
      <c r="M93" s="73">
        <v>1.0</v>
      </c>
      <c r="N93" s="73">
        <v>1.0</v>
      </c>
      <c r="O93" s="73">
        <v>1.0</v>
      </c>
      <c r="P93" s="73">
        <v>3.0</v>
      </c>
      <c r="Q93" s="73">
        <v>3.0</v>
      </c>
      <c r="R93" s="73">
        <v>3.0</v>
      </c>
      <c r="S93" s="73">
        <v>3.0</v>
      </c>
      <c r="T93" s="73">
        <v>1.0</v>
      </c>
      <c r="U93" s="73">
        <v>1.0</v>
      </c>
      <c r="V93" s="73">
        <v>0.0</v>
      </c>
      <c r="W93" s="73">
        <v>1.0</v>
      </c>
      <c r="X93" s="73">
        <v>0.0</v>
      </c>
      <c r="Y93" s="73">
        <v>2.0</v>
      </c>
      <c r="Z93" s="73">
        <v>1.0</v>
      </c>
      <c r="AA93" s="73">
        <v>7.0</v>
      </c>
      <c r="AB93" s="13">
        <f t="shared" ref="AB93:AB102" si="22">SUM(E93:AA93)</f>
        <v>38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5.0</v>
      </c>
      <c r="F94" s="73">
        <v>0.0</v>
      </c>
      <c r="G94" s="73">
        <v>2.0</v>
      </c>
      <c r="H94" s="73">
        <v>4.0</v>
      </c>
      <c r="I94" s="73">
        <v>4.0</v>
      </c>
      <c r="J94" s="73">
        <v>0.0</v>
      </c>
      <c r="K94" s="73">
        <v>3.0</v>
      </c>
      <c r="L94" s="73">
        <v>3.0</v>
      </c>
      <c r="M94" s="73">
        <v>1.0</v>
      </c>
      <c r="N94" s="73">
        <v>2.0</v>
      </c>
      <c r="O94" s="73">
        <v>1.0</v>
      </c>
      <c r="P94" s="73">
        <v>2.0</v>
      </c>
      <c r="Q94" s="73">
        <v>0.0</v>
      </c>
      <c r="R94" s="73">
        <v>1.0</v>
      </c>
      <c r="S94" s="73">
        <v>3.0</v>
      </c>
      <c r="T94" s="73">
        <v>2.0</v>
      </c>
      <c r="U94" s="73">
        <v>4.0</v>
      </c>
      <c r="V94" s="73">
        <v>2.0</v>
      </c>
      <c r="W94" s="73">
        <v>0.0</v>
      </c>
      <c r="X94" s="73">
        <v>1.0</v>
      </c>
      <c r="Y94" s="73">
        <v>1.0</v>
      </c>
      <c r="Z94" s="73">
        <v>4.0</v>
      </c>
      <c r="AA94" s="73">
        <v>0.0</v>
      </c>
      <c r="AB94" s="13">
        <f t="shared" si="22"/>
        <v>45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2.0</v>
      </c>
      <c r="M95" s="73">
        <v>1.0</v>
      </c>
      <c r="N95" s="73">
        <v>1.0</v>
      </c>
      <c r="O95" s="73">
        <v>0.0</v>
      </c>
      <c r="P95" s="73">
        <v>1.0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0.0</v>
      </c>
      <c r="Y95" s="73">
        <v>0.0</v>
      </c>
      <c r="Z95" s="73">
        <v>0.0</v>
      </c>
      <c r="AA95" s="73">
        <v>0.0</v>
      </c>
      <c r="AB95" s="13">
        <f t="shared" si="22"/>
        <v>5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1.0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1.0</v>
      </c>
      <c r="P96" s="73">
        <v>0.0</v>
      </c>
      <c r="Q96" s="73">
        <v>1.0</v>
      </c>
      <c r="R96" s="73">
        <v>0.0</v>
      </c>
      <c r="S96" s="73">
        <v>0.0</v>
      </c>
      <c r="T96" s="73">
        <v>0.0</v>
      </c>
      <c r="U96" s="73">
        <v>0.0</v>
      </c>
      <c r="V96" s="73">
        <v>0.0</v>
      </c>
      <c r="W96" s="73">
        <v>0.0</v>
      </c>
      <c r="X96" s="73">
        <v>0.0</v>
      </c>
      <c r="Y96" s="73">
        <v>0.0</v>
      </c>
      <c r="Z96" s="73">
        <v>1.0</v>
      </c>
      <c r="AA96" s="73">
        <v>0.0</v>
      </c>
      <c r="AB96" s="13">
        <f t="shared" si="22"/>
        <v>4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1.0</v>
      </c>
      <c r="M97" s="73">
        <v>0.0</v>
      </c>
      <c r="N97" s="73">
        <v>0.0</v>
      </c>
      <c r="O97" s="73">
        <v>0.0</v>
      </c>
      <c r="P97" s="73">
        <v>1.0</v>
      </c>
      <c r="Q97" s="73">
        <v>0.0</v>
      </c>
      <c r="R97" s="73">
        <v>0.0</v>
      </c>
      <c r="S97" s="73">
        <v>0.0</v>
      </c>
      <c r="T97" s="73">
        <v>1.0</v>
      </c>
      <c r="U97" s="73">
        <v>0.0</v>
      </c>
      <c r="V97" s="73">
        <v>0.0</v>
      </c>
      <c r="W97" s="73">
        <v>0.0</v>
      </c>
      <c r="X97" s="73">
        <v>1.0</v>
      </c>
      <c r="Y97" s="73">
        <v>1.0</v>
      </c>
      <c r="Z97" s="73">
        <v>2.0</v>
      </c>
      <c r="AA97" s="73">
        <v>0.0</v>
      </c>
      <c r="AB97" s="13">
        <f t="shared" si="22"/>
        <v>7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0.0</v>
      </c>
      <c r="H98" s="73">
        <v>1.0</v>
      </c>
      <c r="I98" s="73">
        <v>0.0</v>
      </c>
      <c r="J98" s="73">
        <v>0.0</v>
      </c>
      <c r="K98" s="73">
        <v>0.0</v>
      </c>
      <c r="L98" s="73">
        <v>0.0</v>
      </c>
      <c r="M98" s="73">
        <v>1.0</v>
      </c>
      <c r="N98" s="73">
        <v>0.0</v>
      </c>
      <c r="O98" s="73">
        <v>0.0</v>
      </c>
      <c r="P98" s="73">
        <v>0.0</v>
      </c>
      <c r="Q98" s="73">
        <v>0.0</v>
      </c>
      <c r="R98" s="73">
        <v>6.0</v>
      </c>
      <c r="S98" s="73">
        <v>1.0</v>
      </c>
      <c r="T98" s="73">
        <v>0.0</v>
      </c>
      <c r="U98" s="73">
        <v>0.0</v>
      </c>
      <c r="V98" s="73">
        <v>1.0</v>
      </c>
      <c r="W98" s="73">
        <v>0.0</v>
      </c>
      <c r="X98" s="73">
        <v>0.0</v>
      </c>
      <c r="Y98" s="73">
        <v>0.0</v>
      </c>
      <c r="Z98" s="73">
        <v>0.0</v>
      </c>
      <c r="AA98" s="73">
        <v>1.0</v>
      </c>
      <c r="AB98" s="13">
        <f t="shared" si="22"/>
        <v>11</v>
      </c>
    </row>
    <row r="99" ht="12.75" customHeight="1">
      <c r="A99" s="18"/>
      <c r="B99" s="49"/>
      <c r="C99" s="50" t="s">
        <v>86</v>
      </c>
      <c r="D99" s="51"/>
      <c r="E99" s="73">
        <v>1.0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1.0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13">
        <f t="shared" si="22"/>
        <v>2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0.0</v>
      </c>
      <c r="T100" s="80">
        <v>0.0</v>
      </c>
      <c r="U100" s="80">
        <v>0.0</v>
      </c>
      <c r="V100" s="80">
        <v>0.0</v>
      </c>
      <c r="W100" s="80">
        <v>0.0</v>
      </c>
      <c r="X100" s="80">
        <v>0.0</v>
      </c>
      <c r="Y100" s="80">
        <v>0.0</v>
      </c>
      <c r="Z100" s="80">
        <v>0.0</v>
      </c>
      <c r="AA100" s="80">
        <v>0.0</v>
      </c>
      <c r="AB100" s="13">
        <f t="shared" si="22"/>
        <v>0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80">
        <v>0.0</v>
      </c>
      <c r="M101" s="80">
        <v>2.0</v>
      </c>
      <c r="N101" s="80">
        <v>0.0</v>
      </c>
      <c r="O101" s="80">
        <v>1.0</v>
      </c>
      <c r="P101" s="80">
        <v>1.0</v>
      </c>
      <c r="Q101" s="80">
        <v>0.0</v>
      </c>
      <c r="R101" s="80">
        <v>0.0</v>
      </c>
      <c r="S101" s="80">
        <v>1.0</v>
      </c>
      <c r="T101" s="80">
        <v>0.0</v>
      </c>
      <c r="U101" s="80">
        <v>0.0</v>
      </c>
      <c r="V101" s="80">
        <v>0.0</v>
      </c>
      <c r="W101" s="80">
        <v>0.0</v>
      </c>
      <c r="X101" s="80">
        <v>0.0</v>
      </c>
      <c r="Y101" s="80">
        <v>0.0</v>
      </c>
      <c r="Z101" s="80">
        <v>0.0</v>
      </c>
      <c r="AA101" s="80">
        <v>0.0</v>
      </c>
      <c r="AB101" s="13">
        <f t="shared" si="22"/>
        <v>5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80">
        <v>0.0</v>
      </c>
      <c r="V102" s="80">
        <v>0.0</v>
      </c>
      <c r="W102" s="80">
        <v>0.0</v>
      </c>
      <c r="X102" s="80">
        <v>0.0</v>
      </c>
      <c r="Y102" s="80">
        <v>0.0</v>
      </c>
      <c r="Z102" s="80">
        <v>0.0</v>
      </c>
      <c r="AA102" s="80">
        <v>0.0</v>
      </c>
      <c r="AB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AB103" si="23">SUM(E93:E102)</f>
        <v>9</v>
      </c>
      <c r="F103" s="13">
        <f t="shared" si="23"/>
        <v>0</v>
      </c>
      <c r="G103" s="13">
        <f t="shared" si="23"/>
        <v>3</v>
      </c>
      <c r="H103" s="13">
        <f t="shared" si="23"/>
        <v>8</v>
      </c>
      <c r="I103" s="13">
        <f t="shared" si="23"/>
        <v>6</v>
      </c>
      <c r="J103" s="13">
        <f t="shared" si="23"/>
        <v>0</v>
      </c>
      <c r="K103" s="13">
        <f t="shared" si="23"/>
        <v>5</v>
      </c>
      <c r="L103" s="13">
        <f t="shared" si="23"/>
        <v>6</v>
      </c>
      <c r="M103" s="13">
        <f t="shared" si="23"/>
        <v>6</v>
      </c>
      <c r="N103" s="13">
        <f t="shared" si="23"/>
        <v>4</v>
      </c>
      <c r="O103" s="13">
        <f t="shared" si="23"/>
        <v>4</v>
      </c>
      <c r="P103" s="13">
        <f t="shared" si="23"/>
        <v>8</v>
      </c>
      <c r="Q103" s="13">
        <f t="shared" si="23"/>
        <v>4</v>
      </c>
      <c r="R103" s="13">
        <f t="shared" si="23"/>
        <v>10</v>
      </c>
      <c r="S103" s="13">
        <f t="shared" si="23"/>
        <v>8</v>
      </c>
      <c r="T103" s="13">
        <f t="shared" si="23"/>
        <v>4</v>
      </c>
      <c r="U103" s="13">
        <f t="shared" si="23"/>
        <v>6</v>
      </c>
      <c r="V103" s="13">
        <f t="shared" si="23"/>
        <v>3</v>
      </c>
      <c r="W103" s="13">
        <f t="shared" si="23"/>
        <v>1</v>
      </c>
      <c r="X103" s="13">
        <f t="shared" si="23"/>
        <v>2</v>
      </c>
      <c r="Y103" s="13">
        <f t="shared" si="23"/>
        <v>4</v>
      </c>
      <c r="Z103" s="13">
        <f t="shared" si="23"/>
        <v>8</v>
      </c>
      <c r="AA103" s="13">
        <f t="shared" si="23"/>
        <v>8</v>
      </c>
      <c r="AB103" s="13">
        <f t="shared" si="23"/>
        <v>117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2.0</v>
      </c>
      <c r="F105" s="73">
        <v>1.0</v>
      </c>
      <c r="G105" s="73">
        <v>0.0</v>
      </c>
      <c r="H105" s="73">
        <v>1.0</v>
      </c>
      <c r="I105" s="73">
        <v>0.0</v>
      </c>
      <c r="J105" s="73">
        <v>0.0</v>
      </c>
      <c r="K105" s="73">
        <v>1.0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1.0</v>
      </c>
      <c r="R105" s="73">
        <v>0.0</v>
      </c>
      <c r="S105" s="73">
        <v>0.0</v>
      </c>
      <c r="T105" s="73">
        <v>1.0</v>
      </c>
      <c r="U105" s="73">
        <v>2.0</v>
      </c>
      <c r="V105" s="73">
        <v>1.0</v>
      </c>
      <c r="W105" s="73">
        <v>1.0</v>
      </c>
      <c r="X105" s="73">
        <v>0.0</v>
      </c>
      <c r="Y105" s="73">
        <v>0.0</v>
      </c>
      <c r="Z105" s="73">
        <v>2.0</v>
      </c>
      <c r="AA105" s="73">
        <v>1.0</v>
      </c>
      <c r="AB105" s="13">
        <f t="shared" ref="AB105:AB114" si="24">SUM(E105:AA105)</f>
        <v>14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2.0</v>
      </c>
      <c r="J106" s="73">
        <v>0.0</v>
      </c>
      <c r="K106" s="73">
        <v>1.0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1.0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13">
        <f t="shared" si="24"/>
        <v>4</v>
      </c>
    </row>
    <row r="107" ht="12.75" customHeight="1">
      <c r="A107" s="79"/>
      <c r="B107" s="49"/>
      <c r="C107" s="50" t="s">
        <v>93</v>
      </c>
      <c r="D107" s="51"/>
      <c r="E107" s="80">
        <v>1.0</v>
      </c>
      <c r="F107" s="80">
        <v>0.0</v>
      </c>
      <c r="G107" s="80">
        <v>0.0</v>
      </c>
      <c r="H107" s="80">
        <v>0.0</v>
      </c>
      <c r="I107" s="80">
        <v>0.0</v>
      </c>
      <c r="J107" s="80">
        <v>0.0</v>
      </c>
      <c r="K107" s="80">
        <v>0.0</v>
      </c>
      <c r="L107" s="80">
        <v>0.0</v>
      </c>
      <c r="M107" s="80">
        <v>0.0</v>
      </c>
      <c r="N107" s="80">
        <v>0.0</v>
      </c>
      <c r="O107" s="80">
        <v>1.0</v>
      </c>
      <c r="P107" s="80">
        <v>0.0</v>
      </c>
      <c r="Q107" s="80">
        <v>0.0</v>
      </c>
      <c r="R107" s="80">
        <v>0.0</v>
      </c>
      <c r="S107" s="80">
        <v>1.0</v>
      </c>
      <c r="T107" s="80">
        <v>0.0</v>
      </c>
      <c r="U107" s="80">
        <v>0.0</v>
      </c>
      <c r="V107" s="80">
        <v>0.0</v>
      </c>
      <c r="W107" s="80">
        <v>0.0</v>
      </c>
      <c r="X107" s="80">
        <v>1.0</v>
      </c>
      <c r="Y107" s="80">
        <v>1.0</v>
      </c>
      <c r="Z107" s="80">
        <v>0.0</v>
      </c>
      <c r="AA107" s="80">
        <v>0.0</v>
      </c>
      <c r="AB107" s="13">
        <f t="shared" si="24"/>
        <v>5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AB115" si="25">SUM(E105:E114)</f>
        <v>3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2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2</v>
      </c>
      <c r="V115" s="13">
        <f t="shared" si="25"/>
        <v>2</v>
      </c>
      <c r="W115" s="13">
        <f t="shared" si="25"/>
        <v>1</v>
      </c>
      <c r="X115" s="13">
        <f t="shared" si="25"/>
        <v>1</v>
      </c>
      <c r="Y115" s="13">
        <f t="shared" si="25"/>
        <v>1</v>
      </c>
      <c r="Z115" s="13">
        <f t="shared" si="25"/>
        <v>2</v>
      </c>
      <c r="AA115" s="13">
        <f t="shared" si="25"/>
        <v>1</v>
      </c>
      <c r="AB115" s="13">
        <f t="shared" si="25"/>
        <v>23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AB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0.0</v>
      </c>
      <c r="G117" s="73">
        <v>0.0</v>
      </c>
      <c r="H117" s="73">
        <v>2.0</v>
      </c>
      <c r="I117" s="73">
        <v>0.0</v>
      </c>
      <c r="J117" s="73">
        <v>0.0</v>
      </c>
      <c r="K117" s="73">
        <v>1.0</v>
      </c>
      <c r="L117" s="73">
        <v>3.0</v>
      </c>
      <c r="M117" s="73">
        <v>0.0</v>
      </c>
      <c r="N117" s="73">
        <v>1.0</v>
      </c>
      <c r="O117" s="73">
        <v>0.0</v>
      </c>
      <c r="P117" s="73">
        <v>0.0</v>
      </c>
      <c r="Q117" s="73">
        <v>0.0</v>
      </c>
      <c r="R117" s="73">
        <v>2.0</v>
      </c>
      <c r="S117" s="73">
        <v>0.0</v>
      </c>
      <c r="T117" s="73">
        <v>4.0</v>
      </c>
      <c r="U117" s="73">
        <v>2.0</v>
      </c>
      <c r="V117" s="73">
        <v>3.0</v>
      </c>
      <c r="W117" s="73">
        <v>1.0</v>
      </c>
      <c r="X117" s="73">
        <v>1.0</v>
      </c>
      <c r="Y117" s="73">
        <v>1.0</v>
      </c>
      <c r="Z117" s="73">
        <v>0.0</v>
      </c>
      <c r="AA117" s="73">
        <v>2.0</v>
      </c>
      <c r="AB117" s="13">
        <f t="shared" ref="AB117:AB126" si="26">SUM(E117:AA117)</f>
        <v>23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1.0</v>
      </c>
      <c r="L118" s="73">
        <v>5.0</v>
      </c>
      <c r="M118" s="73">
        <v>2.0</v>
      </c>
      <c r="N118" s="73">
        <v>1.0</v>
      </c>
      <c r="O118" s="73">
        <v>1.0</v>
      </c>
      <c r="P118" s="73">
        <v>1.0</v>
      </c>
      <c r="Q118" s="73">
        <v>0.0</v>
      </c>
      <c r="R118" s="73">
        <v>0.0</v>
      </c>
      <c r="S118" s="73">
        <v>0.0</v>
      </c>
      <c r="T118" s="73">
        <v>0.0</v>
      </c>
      <c r="U118" s="73">
        <v>1.0</v>
      </c>
      <c r="V118" s="73">
        <v>1.0</v>
      </c>
      <c r="W118" s="73">
        <v>1.0</v>
      </c>
      <c r="X118" s="73">
        <v>0.0</v>
      </c>
      <c r="Y118" s="73">
        <v>2.0</v>
      </c>
      <c r="Z118" s="73">
        <v>1.0</v>
      </c>
      <c r="AA118" s="73">
        <v>0.0</v>
      </c>
      <c r="AB118" s="13">
        <f t="shared" si="26"/>
        <v>17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1.0</v>
      </c>
      <c r="M119" s="73">
        <v>1.0</v>
      </c>
      <c r="N119" s="73">
        <v>0.0</v>
      </c>
      <c r="O119" s="73">
        <v>2.0</v>
      </c>
      <c r="P119" s="73">
        <v>0.0</v>
      </c>
      <c r="Q119" s="73">
        <v>1.0</v>
      </c>
      <c r="R119" s="73">
        <v>0.0</v>
      </c>
      <c r="S119" s="73">
        <v>0.0</v>
      </c>
      <c r="T119" s="73">
        <v>2.0</v>
      </c>
      <c r="U119" s="73">
        <v>0.0</v>
      </c>
      <c r="V119" s="73">
        <v>2.0</v>
      </c>
      <c r="W119" s="73">
        <v>1.0</v>
      </c>
      <c r="X119" s="73">
        <v>1.0</v>
      </c>
      <c r="Y119" s="73">
        <v>1.0</v>
      </c>
      <c r="Z119" s="73">
        <v>0.0</v>
      </c>
      <c r="AA119" s="73">
        <v>0.0</v>
      </c>
      <c r="AB119" s="13">
        <f t="shared" si="26"/>
        <v>12</v>
      </c>
    </row>
    <row r="120" ht="12.75" customHeight="1">
      <c r="A120" s="18"/>
      <c r="B120" s="49"/>
      <c r="C120" s="50" t="s">
        <v>98</v>
      </c>
      <c r="D120" s="51"/>
      <c r="E120" s="73">
        <v>1.0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1.0</v>
      </c>
      <c r="M120" s="73">
        <v>0.0</v>
      </c>
      <c r="N120" s="73">
        <v>0.0</v>
      </c>
      <c r="O120" s="73">
        <v>0.0</v>
      </c>
      <c r="P120" s="73">
        <v>1.0</v>
      </c>
      <c r="Q120" s="73">
        <v>0.0</v>
      </c>
      <c r="R120" s="73">
        <v>0.0</v>
      </c>
      <c r="S120" s="73">
        <v>1.0</v>
      </c>
      <c r="T120" s="73">
        <v>0.0</v>
      </c>
      <c r="U120" s="73">
        <v>0.0</v>
      </c>
      <c r="V120" s="73">
        <v>0.0</v>
      </c>
      <c r="W120" s="73">
        <v>1.0</v>
      </c>
      <c r="X120" s="73">
        <v>1.0</v>
      </c>
      <c r="Y120" s="73">
        <v>1.0</v>
      </c>
      <c r="Z120" s="73">
        <v>0.0</v>
      </c>
      <c r="AA120" s="73">
        <v>0.0</v>
      </c>
      <c r="AB120" s="13">
        <f t="shared" si="26"/>
        <v>7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80">
        <v>0.0</v>
      </c>
      <c r="U121" s="80">
        <v>0.0</v>
      </c>
      <c r="V121" s="80">
        <v>0.0</v>
      </c>
      <c r="W121" s="80">
        <v>0.0</v>
      </c>
      <c r="X121" s="80">
        <v>0.0</v>
      </c>
      <c r="Y121" s="80">
        <v>1.0</v>
      </c>
      <c r="Z121" s="80">
        <v>0.0</v>
      </c>
      <c r="AA121" s="80">
        <v>0.0</v>
      </c>
      <c r="AB121" s="13">
        <f t="shared" si="26"/>
        <v>1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0.0</v>
      </c>
      <c r="R122" s="80">
        <v>0.0</v>
      </c>
      <c r="S122" s="80">
        <v>1.0</v>
      </c>
      <c r="T122" s="80">
        <v>0.0</v>
      </c>
      <c r="U122" s="80">
        <v>0.0</v>
      </c>
      <c r="V122" s="80">
        <v>0.0</v>
      </c>
      <c r="W122" s="80">
        <v>0.0</v>
      </c>
      <c r="X122" s="80">
        <v>0.0</v>
      </c>
      <c r="Y122" s="80">
        <v>0.0</v>
      </c>
      <c r="Z122" s="80">
        <v>0.0</v>
      </c>
      <c r="AA122" s="80">
        <v>0.0</v>
      </c>
      <c r="AB122" s="13">
        <f t="shared" si="26"/>
        <v>1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AB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2</v>
      </c>
      <c r="I127" s="13">
        <f t="shared" si="27"/>
        <v>0</v>
      </c>
      <c r="J127" s="13">
        <f t="shared" si="27"/>
        <v>0</v>
      </c>
      <c r="K127" s="13">
        <f t="shared" si="27"/>
        <v>2</v>
      </c>
      <c r="L127" s="13">
        <f t="shared" si="27"/>
        <v>10</v>
      </c>
      <c r="M127" s="13">
        <f t="shared" si="27"/>
        <v>3</v>
      </c>
      <c r="N127" s="13">
        <f t="shared" si="27"/>
        <v>2</v>
      </c>
      <c r="O127" s="13">
        <f t="shared" si="27"/>
        <v>3</v>
      </c>
      <c r="P127" s="13">
        <f t="shared" si="27"/>
        <v>2</v>
      </c>
      <c r="Q127" s="13">
        <f t="shared" si="27"/>
        <v>1</v>
      </c>
      <c r="R127" s="13">
        <f t="shared" si="27"/>
        <v>2</v>
      </c>
      <c r="S127" s="13">
        <f t="shared" si="27"/>
        <v>2</v>
      </c>
      <c r="T127" s="13">
        <f t="shared" si="27"/>
        <v>6</v>
      </c>
      <c r="U127" s="13">
        <f t="shared" si="27"/>
        <v>3</v>
      </c>
      <c r="V127" s="13">
        <f t="shared" si="27"/>
        <v>6</v>
      </c>
      <c r="W127" s="13">
        <f t="shared" si="27"/>
        <v>4</v>
      </c>
      <c r="X127" s="13">
        <f t="shared" si="27"/>
        <v>3</v>
      </c>
      <c r="Y127" s="13">
        <f t="shared" si="27"/>
        <v>6</v>
      </c>
      <c r="Z127" s="13">
        <f t="shared" si="27"/>
        <v>1</v>
      </c>
      <c r="AA127" s="13">
        <f t="shared" si="27"/>
        <v>2</v>
      </c>
      <c r="AB127" s="13">
        <f t="shared" si="27"/>
        <v>61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2.0</v>
      </c>
      <c r="F129" s="73">
        <v>1.0</v>
      </c>
      <c r="G129" s="73">
        <v>2.0</v>
      </c>
      <c r="H129" s="73">
        <v>3.0</v>
      </c>
      <c r="I129" s="73">
        <v>0.0</v>
      </c>
      <c r="J129" s="73">
        <v>2.0</v>
      </c>
      <c r="K129" s="73">
        <v>0.0</v>
      </c>
      <c r="L129" s="73">
        <v>3.0</v>
      </c>
      <c r="M129" s="73">
        <v>2.0</v>
      </c>
      <c r="N129" s="73">
        <v>4.0</v>
      </c>
      <c r="O129" s="73">
        <v>1.0</v>
      </c>
      <c r="P129" s="73">
        <v>9.0</v>
      </c>
      <c r="Q129" s="73">
        <v>6.0</v>
      </c>
      <c r="R129" s="73">
        <v>2.0</v>
      </c>
      <c r="S129" s="73">
        <v>5.0</v>
      </c>
      <c r="T129" s="73">
        <v>0.0</v>
      </c>
      <c r="U129" s="73">
        <v>0.0</v>
      </c>
      <c r="V129" s="73">
        <v>2.0</v>
      </c>
      <c r="W129" s="73">
        <v>2.0</v>
      </c>
      <c r="X129" s="73">
        <v>0.0</v>
      </c>
      <c r="Y129" s="73">
        <v>0.0</v>
      </c>
      <c r="Z129" s="73">
        <v>0.0</v>
      </c>
      <c r="AA129" s="73">
        <v>0.0</v>
      </c>
      <c r="AB129" s="13">
        <f t="shared" ref="AB129:AB138" si="28">SUM(E129:AA129)</f>
        <v>46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3.0</v>
      </c>
      <c r="F130" s="73">
        <v>4.0</v>
      </c>
      <c r="G130" s="73">
        <v>1.0</v>
      </c>
      <c r="H130" s="73">
        <v>3.0</v>
      </c>
      <c r="I130" s="73">
        <v>2.0</v>
      </c>
      <c r="J130" s="73">
        <v>3.0</v>
      </c>
      <c r="K130" s="73">
        <v>0.0</v>
      </c>
      <c r="L130" s="73">
        <v>4.0</v>
      </c>
      <c r="M130" s="73">
        <v>2.0</v>
      </c>
      <c r="N130" s="73">
        <v>6.0</v>
      </c>
      <c r="O130" s="73">
        <v>2.0</v>
      </c>
      <c r="P130" s="73">
        <v>12.0</v>
      </c>
      <c r="Q130" s="73">
        <v>3.0</v>
      </c>
      <c r="R130" s="73">
        <v>2.0</v>
      </c>
      <c r="S130" s="73">
        <v>2.0</v>
      </c>
      <c r="T130" s="73">
        <v>2.0</v>
      </c>
      <c r="U130" s="73">
        <v>3.0</v>
      </c>
      <c r="V130" s="73">
        <v>1.0</v>
      </c>
      <c r="W130" s="73">
        <v>1.0</v>
      </c>
      <c r="X130" s="73">
        <v>0.0</v>
      </c>
      <c r="Y130" s="73">
        <v>1.0</v>
      </c>
      <c r="Z130" s="73">
        <v>3.0</v>
      </c>
      <c r="AA130" s="73">
        <v>0.0</v>
      </c>
      <c r="AB130" s="13">
        <f t="shared" si="28"/>
        <v>60</v>
      </c>
    </row>
    <row r="131" ht="12.75" customHeight="1">
      <c r="A131" s="18"/>
      <c r="B131" s="49"/>
      <c r="C131" s="50" t="s">
        <v>104</v>
      </c>
      <c r="D131" s="51"/>
      <c r="E131" s="73">
        <v>4.0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0.0</v>
      </c>
      <c r="N131" s="73">
        <v>1.0</v>
      </c>
      <c r="O131" s="73">
        <v>0.0</v>
      </c>
      <c r="P131" s="73">
        <v>0.0</v>
      </c>
      <c r="Q131" s="73">
        <v>1.0</v>
      </c>
      <c r="R131" s="73">
        <v>0.0</v>
      </c>
      <c r="S131" s="73">
        <v>0.0</v>
      </c>
      <c r="T131" s="73">
        <v>0.0</v>
      </c>
      <c r="U131" s="73">
        <v>0.0</v>
      </c>
      <c r="V131" s="73">
        <v>0.0</v>
      </c>
      <c r="W131" s="73">
        <v>0.0</v>
      </c>
      <c r="X131" s="73">
        <v>0.0</v>
      </c>
      <c r="Y131" s="73">
        <v>1.0</v>
      </c>
      <c r="Z131" s="73">
        <v>0.0</v>
      </c>
      <c r="AA131" s="73">
        <v>0.0</v>
      </c>
      <c r="AB131" s="13">
        <f t="shared" si="28"/>
        <v>7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0.0</v>
      </c>
      <c r="G132" s="73">
        <v>0.0</v>
      </c>
      <c r="H132" s="73">
        <v>1.0</v>
      </c>
      <c r="I132" s="73">
        <v>0.0</v>
      </c>
      <c r="J132" s="73">
        <v>0.0</v>
      </c>
      <c r="K132" s="73">
        <v>0.0</v>
      </c>
      <c r="L132" s="73">
        <v>0.0</v>
      </c>
      <c r="M132" s="73">
        <v>1.0</v>
      </c>
      <c r="N132" s="73">
        <v>1.0</v>
      </c>
      <c r="O132" s="73">
        <v>1.0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0.0</v>
      </c>
      <c r="V132" s="73">
        <v>0.0</v>
      </c>
      <c r="W132" s="73">
        <v>0.0</v>
      </c>
      <c r="X132" s="73">
        <v>2.0</v>
      </c>
      <c r="Y132" s="73">
        <v>1.0</v>
      </c>
      <c r="Z132" s="73">
        <v>0.0</v>
      </c>
      <c r="AA132" s="73">
        <v>0.0</v>
      </c>
      <c r="AB132" s="13">
        <f t="shared" si="28"/>
        <v>7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1.0</v>
      </c>
      <c r="Q133" s="73">
        <v>0.0</v>
      </c>
      <c r="R133" s="73">
        <v>1.0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13">
        <f t="shared" si="28"/>
        <v>2</v>
      </c>
    </row>
    <row r="134" ht="12.75" customHeight="1">
      <c r="A134" s="18"/>
      <c r="B134" s="49"/>
      <c r="C134" s="50" t="s">
        <v>107</v>
      </c>
      <c r="D134" s="51"/>
      <c r="E134" s="73">
        <v>2.0</v>
      </c>
      <c r="F134" s="73">
        <v>0.0</v>
      </c>
      <c r="G134" s="73">
        <v>0.0</v>
      </c>
      <c r="H134" s="73">
        <v>0.0</v>
      </c>
      <c r="I134" s="73">
        <v>3.0</v>
      </c>
      <c r="J134" s="73">
        <v>0.0</v>
      </c>
      <c r="K134" s="73">
        <v>1.0</v>
      </c>
      <c r="L134" s="73">
        <v>2.0</v>
      </c>
      <c r="M134" s="73">
        <v>2.0</v>
      </c>
      <c r="N134" s="73">
        <v>2.0</v>
      </c>
      <c r="O134" s="73">
        <v>0.0</v>
      </c>
      <c r="P134" s="73">
        <v>3.0</v>
      </c>
      <c r="Q134" s="73">
        <v>1.0</v>
      </c>
      <c r="R134" s="73">
        <v>2.0</v>
      </c>
      <c r="S134" s="73">
        <v>3.0</v>
      </c>
      <c r="T134" s="73">
        <v>1.0</v>
      </c>
      <c r="U134" s="73">
        <v>0.0</v>
      </c>
      <c r="V134" s="73">
        <v>0.0</v>
      </c>
      <c r="W134" s="73">
        <v>1.0</v>
      </c>
      <c r="X134" s="73">
        <v>0.0</v>
      </c>
      <c r="Y134" s="73">
        <v>0.0</v>
      </c>
      <c r="Z134" s="73">
        <v>0.0</v>
      </c>
      <c r="AA134" s="73">
        <v>0.0</v>
      </c>
      <c r="AB134" s="13">
        <f t="shared" si="28"/>
        <v>23</v>
      </c>
    </row>
    <row r="135" ht="12.75" customHeight="1">
      <c r="A135" s="18"/>
      <c r="B135" s="49"/>
      <c r="C135" s="50" t="s">
        <v>108</v>
      </c>
      <c r="D135" s="51"/>
      <c r="E135" s="73">
        <v>3.0</v>
      </c>
      <c r="F135" s="73">
        <v>1.0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1.0</v>
      </c>
      <c r="O135" s="73">
        <v>0.0</v>
      </c>
      <c r="P135" s="73">
        <v>0.0</v>
      </c>
      <c r="Q135" s="73">
        <v>2.0</v>
      </c>
      <c r="R135" s="73">
        <v>1.0</v>
      </c>
      <c r="S135" s="73">
        <v>1.0</v>
      </c>
      <c r="T135" s="73">
        <v>0.0</v>
      </c>
      <c r="U135" s="73">
        <v>0.0</v>
      </c>
      <c r="V135" s="73">
        <v>0.0</v>
      </c>
      <c r="W135" s="73">
        <v>0.0</v>
      </c>
      <c r="X135" s="73">
        <v>0.0</v>
      </c>
      <c r="Y135" s="73">
        <v>0.0</v>
      </c>
      <c r="Z135" s="73">
        <v>1.0</v>
      </c>
      <c r="AA135" s="73">
        <v>0.0</v>
      </c>
      <c r="AB135" s="13">
        <f t="shared" si="28"/>
        <v>10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0.0</v>
      </c>
      <c r="I136" s="80">
        <v>3.0</v>
      </c>
      <c r="J136" s="80">
        <v>0.0</v>
      </c>
      <c r="K136" s="80">
        <v>0.0</v>
      </c>
      <c r="L136" s="80">
        <v>0.0</v>
      </c>
      <c r="M136" s="80">
        <v>0.0</v>
      </c>
      <c r="N136" s="80">
        <v>1.0</v>
      </c>
      <c r="O136" s="80">
        <v>0.0</v>
      </c>
      <c r="P136" s="80">
        <v>0.0</v>
      </c>
      <c r="Q136" s="80">
        <v>0.0</v>
      </c>
      <c r="R136" s="80">
        <v>0.0</v>
      </c>
      <c r="S136" s="80">
        <v>0.0</v>
      </c>
      <c r="T136" s="80">
        <v>0.0</v>
      </c>
      <c r="U136" s="80">
        <v>0.0</v>
      </c>
      <c r="V136" s="80">
        <v>0.0</v>
      </c>
      <c r="W136" s="80">
        <v>0.0</v>
      </c>
      <c r="X136" s="80">
        <v>0.0</v>
      </c>
      <c r="Y136" s="80">
        <v>0.0</v>
      </c>
      <c r="Z136" s="80">
        <v>0.0</v>
      </c>
      <c r="AA136" s="80">
        <v>0.0</v>
      </c>
      <c r="AB136" s="13">
        <f t="shared" si="28"/>
        <v>4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0.0</v>
      </c>
      <c r="H137" s="80">
        <v>0.0</v>
      </c>
      <c r="I137" s="80">
        <v>0.0</v>
      </c>
      <c r="J137" s="80">
        <v>0.0</v>
      </c>
      <c r="K137" s="80">
        <v>1.0</v>
      </c>
      <c r="L137" s="80">
        <v>0.0</v>
      </c>
      <c r="M137" s="80">
        <v>0.0</v>
      </c>
      <c r="N137" s="80">
        <v>0.0</v>
      </c>
      <c r="O137" s="80">
        <v>0.0</v>
      </c>
      <c r="P137" s="80">
        <v>0.0</v>
      </c>
      <c r="Q137" s="80">
        <v>0.0</v>
      </c>
      <c r="R137" s="80">
        <v>0.0</v>
      </c>
      <c r="S137" s="80">
        <v>0.0</v>
      </c>
      <c r="T137" s="80">
        <v>0.0</v>
      </c>
      <c r="U137" s="80">
        <v>0.0</v>
      </c>
      <c r="V137" s="80">
        <v>0.0</v>
      </c>
      <c r="W137" s="80">
        <v>0.0</v>
      </c>
      <c r="X137" s="80">
        <v>0.0</v>
      </c>
      <c r="Y137" s="80">
        <v>0.0</v>
      </c>
      <c r="Z137" s="80">
        <v>0.0</v>
      </c>
      <c r="AA137" s="80">
        <v>0.0</v>
      </c>
      <c r="AB137" s="13">
        <f t="shared" si="28"/>
        <v>1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0.0</v>
      </c>
      <c r="I138" s="80">
        <v>0.0</v>
      </c>
      <c r="J138" s="80">
        <v>0.0</v>
      </c>
      <c r="K138" s="80">
        <v>1.0</v>
      </c>
      <c r="L138" s="80">
        <v>0.0</v>
      </c>
      <c r="M138" s="80">
        <v>0.0</v>
      </c>
      <c r="N138" s="80">
        <v>0.0</v>
      </c>
      <c r="O138" s="80">
        <v>0.0</v>
      </c>
      <c r="P138" s="80">
        <v>0.0</v>
      </c>
      <c r="Q138" s="80">
        <v>0.0</v>
      </c>
      <c r="R138" s="80">
        <v>0.0</v>
      </c>
      <c r="S138" s="80">
        <v>1.0</v>
      </c>
      <c r="T138" s="80">
        <v>0.0</v>
      </c>
      <c r="U138" s="80">
        <v>0.0</v>
      </c>
      <c r="V138" s="80">
        <v>0.0</v>
      </c>
      <c r="W138" s="80">
        <v>0.0</v>
      </c>
      <c r="X138" s="80">
        <v>0.0</v>
      </c>
      <c r="Y138" s="80">
        <v>0.0</v>
      </c>
      <c r="Z138" s="80">
        <v>0.0</v>
      </c>
      <c r="AA138" s="80">
        <v>0.0</v>
      </c>
      <c r="AB138" s="13">
        <f t="shared" si="28"/>
        <v>2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AB139" si="29">SUM(E129:E138)</f>
        <v>14</v>
      </c>
      <c r="F139" s="13">
        <f t="shared" si="29"/>
        <v>6</v>
      </c>
      <c r="G139" s="13">
        <f t="shared" si="29"/>
        <v>3</v>
      </c>
      <c r="H139" s="13">
        <f t="shared" si="29"/>
        <v>7</v>
      </c>
      <c r="I139" s="13">
        <f t="shared" si="29"/>
        <v>8</v>
      </c>
      <c r="J139" s="13">
        <f t="shared" si="29"/>
        <v>5</v>
      </c>
      <c r="K139" s="13">
        <f t="shared" si="29"/>
        <v>3</v>
      </c>
      <c r="L139" s="13">
        <f t="shared" si="29"/>
        <v>9</v>
      </c>
      <c r="M139" s="13">
        <f t="shared" si="29"/>
        <v>7</v>
      </c>
      <c r="N139" s="13">
        <f t="shared" si="29"/>
        <v>16</v>
      </c>
      <c r="O139" s="13">
        <f t="shared" si="29"/>
        <v>4</v>
      </c>
      <c r="P139" s="13">
        <f t="shared" si="29"/>
        <v>25</v>
      </c>
      <c r="Q139" s="13">
        <f t="shared" si="29"/>
        <v>13</v>
      </c>
      <c r="R139" s="13">
        <f t="shared" si="29"/>
        <v>8</v>
      </c>
      <c r="S139" s="13">
        <f t="shared" si="29"/>
        <v>12</v>
      </c>
      <c r="T139" s="13">
        <f t="shared" si="29"/>
        <v>3</v>
      </c>
      <c r="U139" s="13">
        <f t="shared" si="29"/>
        <v>3</v>
      </c>
      <c r="V139" s="13">
        <f t="shared" si="29"/>
        <v>3</v>
      </c>
      <c r="W139" s="13">
        <f t="shared" si="29"/>
        <v>4</v>
      </c>
      <c r="X139" s="13">
        <f t="shared" si="29"/>
        <v>2</v>
      </c>
      <c r="Y139" s="13">
        <f t="shared" si="29"/>
        <v>3</v>
      </c>
      <c r="Z139" s="13">
        <f t="shared" si="29"/>
        <v>4</v>
      </c>
      <c r="AA139" s="13">
        <f t="shared" si="29"/>
        <v>0</v>
      </c>
      <c r="AB139" s="13">
        <f t="shared" si="29"/>
        <v>162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13">
        <f t="shared" ref="AB141:AB150" si="30">SUM(E141:AA141)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1.0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13">
        <f t="shared" si="30"/>
        <v>1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80">
        <v>0.0</v>
      </c>
      <c r="U143" s="80">
        <v>0.0</v>
      </c>
      <c r="V143" s="80">
        <v>0.0</v>
      </c>
      <c r="W143" s="80">
        <v>0.0</v>
      </c>
      <c r="X143" s="80">
        <v>0.0</v>
      </c>
      <c r="Y143" s="80">
        <v>0.0</v>
      </c>
      <c r="Z143" s="80">
        <v>0.0</v>
      </c>
      <c r="AA143" s="80">
        <v>0.0</v>
      </c>
      <c r="AB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0.0</v>
      </c>
      <c r="T144" s="80">
        <v>0.0</v>
      </c>
      <c r="U144" s="80">
        <v>0.0</v>
      </c>
      <c r="V144" s="80">
        <v>0.0</v>
      </c>
      <c r="W144" s="80">
        <v>0.0</v>
      </c>
      <c r="X144" s="80">
        <v>0.0</v>
      </c>
      <c r="Y144" s="80">
        <v>0.0</v>
      </c>
      <c r="Z144" s="80">
        <v>0.0</v>
      </c>
      <c r="AA144" s="80">
        <v>0.0</v>
      </c>
      <c r="AB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AB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1.0</v>
      </c>
      <c r="G153" s="73">
        <v>3.0</v>
      </c>
      <c r="H153" s="73">
        <v>7.0</v>
      </c>
      <c r="I153" s="73">
        <v>6.0</v>
      </c>
      <c r="J153" s="73">
        <v>20.0</v>
      </c>
      <c r="K153" s="73">
        <v>1.0</v>
      </c>
      <c r="L153" s="73">
        <v>2.0</v>
      </c>
      <c r="M153" s="73">
        <v>0.0</v>
      </c>
      <c r="N153" s="73">
        <v>1.0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1.0</v>
      </c>
      <c r="U153" s="73">
        <v>0.0</v>
      </c>
      <c r="V153" s="73">
        <v>0.0</v>
      </c>
      <c r="W153" s="73">
        <v>3.0</v>
      </c>
      <c r="X153" s="73">
        <v>3.0</v>
      </c>
      <c r="Y153" s="73">
        <v>3.0</v>
      </c>
      <c r="Z153" s="73">
        <v>3.0</v>
      </c>
      <c r="AA153" s="73">
        <v>0.0</v>
      </c>
      <c r="AB153" s="13">
        <f t="shared" ref="AB153:AB162" si="32">SUM(E153:AA153)</f>
        <v>54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1.0</v>
      </c>
      <c r="F154" s="73">
        <v>2.0</v>
      </c>
      <c r="G154" s="73">
        <v>7.0</v>
      </c>
      <c r="H154" s="73">
        <v>3.0</v>
      </c>
      <c r="I154" s="73">
        <v>3.0</v>
      </c>
      <c r="J154" s="73">
        <v>9.0</v>
      </c>
      <c r="K154" s="73">
        <v>3.0</v>
      </c>
      <c r="L154" s="73">
        <v>2.0</v>
      </c>
      <c r="M154" s="73">
        <v>1.0</v>
      </c>
      <c r="N154" s="73">
        <v>0.0</v>
      </c>
      <c r="O154" s="73">
        <v>0.0</v>
      </c>
      <c r="P154" s="73">
        <v>0.0</v>
      </c>
      <c r="Q154" s="73">
        <v>1.0</v>
      </c>
      <c r="R154" s="73">
        <v>2.0</v>
      </c>
      <c r="S154" s="73">
        <v>0.0</v>
      </c>
      <c r="T154" s="73">
        <v>0.0</v>
      </c>
      <c r="U154" s="73">
        <v>0.0</v>
      </c>
      <c r="V154" s="73">
        <v>1.0</v>
      </c>
      <c r="W154" s="73">
        <v>6.0</v>
      </c>
      <c r="X154" s="73">
        <v>8.0</v>
      </c>
      <c r="Y154" s="73">
        <v>4.0</v>
      </c>
      <c r="Z154" s="73">
        <v>3.0</v>
      </c>
      <c r="AA154" s="73">
        <v>0.0</v>
      </c>
      <c r="AB154" s="13">
        <f t="shared" si="32"/>
        <v>56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1.0</v>
      </c>
      <c r="H155" s="73">
        <v>2.0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2.0</v>
      </c>
      <c r="T155" s="73">
        <v>0.0</v>
      </c>
      <c r="U155" s="73">
        <v>0.0</v>
      </c>
      <c r="V155" s="73">
        <v>0.0</v>
      </c>
      <c r="W155" s="73">
        <v>3.0</v>
      </c>
      <c r="X155" s="73">
        <v>2.0</v>
      </c>
      <c r="Y155" s="73">
        <v>1.0</v>
      </c>
      <c r="Z155" s="73">
        <v>1.0</v>
      </c>
      <c r="AA155" s="73">
        <v>0.0</v>
      </c>
      <c r="AB155" s="13">
        <f t="shared" si="32"/>
        <v>12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2.0</v>
      </c>
      <c r="G156" s="73">
        <v>0.0</v>
      </c>
      <c r="H156" s="73">
        <v>0.0</v>
      </c>
      <c r="I156" s="73">
        <v>1.0</v>
      </c>
      <c r="J156" s="73">
        <v>1.0</v>
      </c>
      <c r="K156" s="73">
        <v>0.0</v>
      </c>
      <c r="L156" s="73">
        <v>0.0</v>
      </c>
      <c r="M156" s="73">
        <v>0.0</v>
      </c>
      <c r="N156" s="73">
        <v>0.0</v>
      </c>
      <c r="O156" s="73">
        <v>1.0</v>
      </c>
      <c r="P156" s="73">
        <v>0.0</v>
      </c>
      <c r="Q156" s="73">
        <v>0.0</v>
      </c>
      <c r="R156" s="73">
        <v>1.0</v>
      </c>
      <c r="S156" s="73">
        <v>0.0</v>
      </c>
      <c r="T156" s="73">
        <v>0.0</v>
      </c>
      <c r="U156" s="73">
        <v>0.0</v>
      </c>
      <c r="V156" s="73">
        <v>0.0</v>
      </c>
      <c r="W156" s="73">
        <v>1.0</v>
      </c>
      <c r="X156" s="73">
        <v>0.0</v>
      </c>
      <c r="Y156" s="73">
        <v>0.0</v>
      </c>
      <c r="Z156" s="73">
        <v>0.0</v>
      </c>
      <c r="AA156" s="73">
        <v>1.0</v>
      </c>
      <c r="AB156" s="13">
        <f t="shared" si="32"/>
        <v>8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1.0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1.0</v>
      </c>
      <c r="O157" s="73">
        <v>0.0</v>
      </c>
      <c r="P157" s="73">
        <v>0.0</v>
      </c>
      <c r="Q157" s="73">
        <v>2.0</v>
      </c>
      <c r="R157" s="73">
        <v>0.0</v>
      </c>
      <c r="S157" s="73">
        <v>1.0</v>
      </c>
      <c r="T157" s="73">
        <v>0.0</v>
      </c>
      <c r="U157" s="73">
        <v>0.0</v>
      </c>
      <c r="V157" s="73">
        <v>1.0</v>
      </c>
      <c r="W157" s="73">
        <v>1.0</v>
      </c>
      <c r="X157" s="73">
        <v>0.0</v>
      </c>
      <c r="Y157" s="73">
        <v>0.0</v>
      </c>
      <c r="Z157" s="73">
        <v>0.0</v>
      </c>
      <c r="AA157" s="73">
        <v>0.0</v>
      </c>
      <c r="AB157" s="13">
        <f t="shared" si="32"/>
        <v>7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1.0</v>
      </c>
      <c r="K158" s="80">
        <v>0.0</v>
      </c>
      <c r="L158" s="80">
        <v>0.0</v>
      </c>
      <c r="M158" s="80">
        <v>0.0</v>
      </c>
      <c r="N158" s="80">
        <v>0.0</v>
      </c>
      <c r="O158" s="80">
        <v>0.0</v>
      </c>
      <c r="P158" s="73">
        <v>0.0</v>
      </c>
      <c r="Q158" s="80">
        <v>0.0</v>
      </c>
      <c r="R158" s="80">
        <v>0.0</v>
      </c>
      <c r="S158" s="80">
        <v>0.0</v>
      </c>
      <c r="T158" s="80">
        <v>0.0</v>
      </c>
      <c r="U158" s="80">
        <v>0.0</v>
      </c>
      <c r="V158" s="80">
        <v>0.0</v>
      </c>
      <c r="W158" s="80">
        <v>0.0</v>
      </c>
      <c r="X158" s="80">
        <v>0.0</v>
      </c>
      <c r="Y158" s="80">
        <v>0.0</v>
      </c>
      <c r="Z158" s="80">
        <v>0.0</v>
      </c>
      <c r="AA158" s="80">
        <v>0.0</v>
      </c>
      <c r="AB158" s="13">
        <f t="shared" si="32"/>
        <v>1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1.0</v>
      </c>
      <c r="K159" s="80">
        <v>0.0</v>
      </c>
      <c r="L159" s="80">
        <v>0.0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80">
        <v>0.0</v>
      </c>
      <c r="S159" s="80">
        <v>0.0</v>
      </c>
      <c r="T159" s="80">
        <v>0.0</v>
      </c>
      <c r="U159" s="80">
        <v>0.0</v>
      </c>
      <c r="V159" s="80">
        <v>0.0</v>
      </c>
      <c r="W159" s="80">
        <v>0.0</v>
      </c>
      <c r="X159" s="80">
        <v>0.0</v>
      </c>
      <c r="Y159" s="80">
        <v>0.0</v>
      </c>
      <c r="Z159" s="80">
        <v>0.0</v>
      </c>
      <c r="AA159" s="80">
        <v>0.0</v>
      </c>
      <c r="AB159" s="13">
        <f t="shared" si="32"/>
        <v>1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1.0</v>
      </c>
      <c r="I160" s="80">
        <v>0.0</v>
      </c>
      <c r="J160" s="80">
        <v>1.0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80">
        <v>0.0</v>
      </c>
      <c r="U160" s="80">
        <v>0.0</v>
      </c>
      <c r="V160" s="80">
        <v>0.0</v>
      </c>
      <c r="W160" s="80">
        <v>0.0</v>
      </c>
      <c r="X160" s="80">
        <v>0.0</v>
      </c>
      <c r="Y160" s="80">
        <v>0.0</v>
      </c>
      <c r="Z160" s="80">
        <v>0.0</v>
      </c>
      <c r="AA160" s="80">
        <v>0.0</v>
      </c>
      <c r="AB160" s="13">
        <f t="shared" si="32"/>
        <v>2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AB163" si="33">SUM(E153:E162)</f>
        <v>1</v>
      </c>
      <c r="F163" s="13">
        <f t="shared" si="33"/>
        <v>5</v>
      </c>
      <c r="G163" s="13">
        <f t="shared" si="33"/>
        <v>12</v>
      </c>
      <c r="H163" s="13">
        <f t="shared" si="33"/>
        <v>13</v>
      </c>
      <c r="I163" s="13">
        <f t="shared" si="33"/>
        <v>10</v>
      </c>
      <c r="J163" s="13">
        <f t="shared" si="33"/>
        <v>33</v>
      </c>
      <c r="K163" s="13">
        <f t="shared" si="33"/>
        <v>4</v>
      </c>
      <c r="L163" s="13">
        <f t="shared" si="33"/>
        <v>4</v>
      </c>
      <c r="M163" s="13">
        <f t="shared" si="33"/>
        <v>1</v>
      </c>
      <c r="N163" s="13">
        <f t="shared" si="33"/>
        <v>2</v>
      </c>
      <c r="O163" s="13">
        <f t="shared" si="33"/>
        <v>1</v>
      </c>
      <c r="P163" s="13">
        <f t="shared" si="33"/>
        <v>0</v>
      </c>
      <c r="Q163" s="13">
        <f t="shared" si="33"/>
        <v>3</v>
      </c>
      <c r="R163" s="13">
        <f t="shared" si="33"/>
        <v>3</v>
      </c>
      <c r="S163" s="13">
        <f t="shared" si="33"/>
        <v>3</v>
      </c>
      <c r="T163" s="13">
        <f t="shared" si="33"/>
        <v>1</v>
      </c>
      <c r="U163" s="13">
        <f t="shared" si="33"/>
        <v>0</v>
      </c>
      <c r="V163" s="13">
        <f t="shared" si="33"/>
        <v>2</v>
      </c>
      <c r="W163" s="13">
        <f t="shared" si="33"/>
        <v>14</v>
      </c>
      <c r="X163" s="13">
        <f t="shared" si="33"/>
        <v>13</v>
      </c>
      <c r="Y163" s="13">
        <f t="shared" si="33"/>
        <v>8</v>
      </c>
      <c r="Z163" s="13">
        <f t="shared" si="33"/>
        <v>7</v>
      </c>
      <c r="AA163" s="13">
        <f t="shared" si="33"/>
        <v>1</v>
      </c>
      <c r="AB163" s="13">
        <f t="shared" si="33"/>
        <v>141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0.0</v>
      </c>
      <c r="G165" s="73">
        <v>0.0</v>
      </c>
      <c r="H165" s="73">
        <v>1.0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1.0</v>
      </c>
      <c r="P165" s="73">
        <v>1.0</v>
      </c>
      <c r="Q165" s="73">
        <v>0.0</v>
      </c>
      <c r="R165" s="73">
        <v>1.0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1.0</v>
      </c>
      <c r="Z165" s="73">
        <v>0.0</v>
      </c>
      <c r="AA165" s="73">
        <v>0.0</v>
      </c>
      <c r="AB165" s="13">
        <f t="shared" ref="AB165:AB174" si="34">SUM(E165:AA165)</f>
        <v>5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1.0</v>
      </c>
      <c r="F166" s="80">
        <v>0.0</v>
      </c>
      <c r="G166" s="80">
        <v>0.0</v>
      </c>
      <c r="H166" s="80">
        <v>0.0</v>
      </c>
      <c r="I166" s="80">
        <v>1.0</v>
      </c>
      <c r="J166" s="80">
        <v>0.0</v>
      </c>
      <c r="K166" s="80">
        <v>1.0</v>
      </c>
      <c r="L166" s="80">
        <v>1.0</v>
      </c>
      <c r="M166" s="80">
        <v>0.0</v>
      </c>
      <c r="N166" s="80">
        <v>0.0</v>
      </c>
      <c r="O166" s="80">
        <v>0.0</v>
      </c>
      <c r="P166" s="80">
        <v>0.0</v>
      </c>
      <c r="Q166" s="80">
        <v>0.0</v>
      </c>
      <c r="R166" s="80">
        <v>0.0</v>
      </c>
      <c r="S166" s="80">
        <v>1.0</v>
      </c>
      <c r="T166" s="80">
        <v>0.0</v>
      </c>
      <c r="U166" s="80">
        <v>1.0</v>
      </c>
      <c r="V166" s="80">
        <v>0.0</v>
      </c>
      <c r="W166" s="80">
        <v>0.0</v>
      </c>
      <c r="X166" s="80">
        <v>1.0</v>
      </c>
      <c r="Y166" s="80">
        <v>1.0</v>
      </c>
      <c r="Z166" s="80">
        <v>0.0</v>
      </c>
      <c r="AA166" s="80">
        <v>1.0</v>
      </c>
      <c r="AB166" s="13">
        <f t="shared" si="34"/>
        <v>9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AB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0</v>
      </c>
      <c r="K175" s="13">
        <f t="shared" si="35"/>
        <v>1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0</v>
      </c>
      <c r="R175" s="13">
        <f t="shared" si="35"/>
        <v>1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2</v>
      </c>
      <c r="Z175" s="13">
        <f t="shared" si="35"/>
        <v>0</v>
      </c>
      <c r="AA175" s="13">
        <f t="shared" si="35"/>
        <v>1</v>
      </c>
      <c r="AB175" s="13">
        <f t="shared" si="35"/>
        <v>14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0.0</v>
      </c>
      <c r="F177" s="73">
        <v>0.0</v>
      </c>
      <c r="G177" s="73">
        <v>0.0</v>
      </c>
      <c r="H177" s="73">
        <v>0.0</v>
      </c>
      <c r="I177" s="73">
        <v>0.0</v>
      </c>
      <c r="J177" s="73">
        <v>0.0</v>
      </c>
      <c r="K177" s="73">
        <v>0.0</v>
      </c>
      <c r="L177" s="73">
        <v>0.0</v>
      </c>
      <c r="M177" s="73">
        <v>1.0</v>
      </c>
      <c r="N177" s="73">
        <v>2.0</v>
      </c>
      <c r="O177" s="73">
        <v>2.0</v>
      </c>
      <c r="P177" s="73">
        <v>0.0</v>
      </c>
      <c r="Q177" s="73">
        <v>4.0</v>
      </c>
      <c r="R177" s="73">
        <v>0.0</v>
      </c>
      <c r="S177" s="73">
        <v>4.0</v>
      </c>
      <c r="T177" s="73">
        <v>0.0</v>
      </c>
      <c r="U177" s="73">
        <v>1.0</v>
      </c>
      <c r="V177" s="73">
        <v>1.0</v>
      </c>
      <c r="W177" s="73">
        <v>1.0</v>
      </c>
      <c r="X177" s="73">
        <v>0.0</v>
      </c>
      <c r="Y177" s="73">
        <v>1.0</v>
      </c>
      <c r="Z177" s="73">
        <v>1.0</v>
      </c>
      <c r="AA177" s="73">
        <v>1.0</v>
      </c>
      <c r="AB177" s="13">
        <f t="shared" ref="AB177:AB186" si="36">SUM(E177:AA177)</f>
        <v>19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11.0</v>
      </c>
      <c r="F178" s="73">
        <v>2.0</v>
      </c>
      <c r="G178" s="73">
        <v>1.0</v>
      </c>
      <c r="H178" s="73">
        <v>0.0</v>
      </c>
      <c r="I178" s="73">
        <v>3.0</v>
      </c>
      <c r="J178" s="73">
        <v>0.0</v>
      </c>
      <c r="K178" s="73">
        <v>0.0</v>
      </c>
      <c r="L178" s="73">
        <v>0.0</v>
      </c>
      <c r="M178" s="73">
        <v>1.0</v>
      </c>
      <c r="N178" s="73">
        <v>2.0</v>
      </c>
      <c r="O178" s="73">
        <v>4.0</v>
      </c>
      <c r="P178" s="73">
        <v>1.0</v>
      </c>
      <c r="Q178" s="73">
        <v>0.0</v>
      </c>
      <c r="R178" s="73">
        <v>1.0</v>
      </c>
      <c r="S178" s="73">
        <v>2.0</v>
      </c>
      <c r="T178" s="73">
        <v>0.0</v>
      </c>
      <c r="U178" s="73">
        <v>2.0</v>
      </c>
      <c r="V178" s="73">
        <v>2.0</v>
      </c>
      <c r="W178" s="73">
        <v>1.0</v>
      </c>
      <c r="X178" s="73">
        <v>3.0</v>
      </c>
      <c r="Y178" s="73">
        <v>0.0</v>
      </c>
      <c r="Z178" s="73">
        <v>0.0</v>
      </c>
      <c r="AA178" s="73">
        <v>2.0</v>
      </c>
      <c r="AB178" s="13">
        <f t="shared" si="36"/>
        <v>38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1.0</v>
      </c>
      <c r="H179" s="73">
        <v>0.0</v>
      </c>
      <c r="I179" s="73">
        <v>0.0</v>
      </c>
      <c r="J179" s="73">
        <v>1.0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0.0</v>
      </c>
      <c r="R179" s="73">
        <v>1.0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13">
        <f t="shared" si="36"/>
        <v>3</v>
      </c>
    </row>
    <row r="180" ht="12.75" customHeight="1">
      <c r="A180" s="18"/>
      <c r="B180" s="49"/>
      <c r="C180" s="50" t="s">
        <v>133</v>
      </c>
      <c r="D180" s="51"/>
      <c r="E180" s="73">
        <v>3.0</v>
      </c>
      <c r="F180" s="73">
        <v>1.0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2.0</v>
      </c>
      <c r="M180" s="73">
        <v>1.0</v>
      </c>
      <c r="N180" s="73">
        <v>0.0</v>
      </c>
      <c r="O180" s="73">
        <v>0.0</v>
      </c>
      <c r="P180" s="73">
        <v>0.0</v>
      </c>
      <c r="Q180" s="73">
        <v>1.0</v>
      </c>
      <c r="R180" s="73">
        <v>0.0</v>
      </c>
      <c r="S180" s="73">
        <v>0.0</v>
      </c>
      <c r="T180" s="73">
        <v>0.0</v>
      </c>
      <c r="U180" s="73">
        <v>1.0</v>
      </c>
      <c r="V180" s="73">
        <v>0.0</v>
      </c>
      <c r="W180" s="73">
        <v>0.0</v>
      </c>
      <c r="X180" s="73">
        <v>0.0</v>
      </c>
      <c r="Y180" s="73">
        <v>1.0</v>
      </c>
      <c r="Z180" s="73">
        <v>1.0</v>
      </c>
      <c r="AA180" s="73">
        <v>0.0</v>
      </c>
      <c r="AB180" s="13">
        <f t="shared" si="36"/>
        <v>11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0.0</v>
      </c>
      <c r="G181" s="73">
        <v>0.0</v>
      </c>
      <c r="H181" s="73">
        <v>2.0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1.0</v>
      </c>
      <c r="S181" s="73">
        <v>1.0</v>
      </c>
      <c r="T181" s="73">
        <v>0.0</v>
      </c>
      <c r="U181" s="73">
        <v>0.0</v>
      </c>
      <c r="V181" s="73">
        <v>0.0</v>
      </c>
      <c r="W181" s="73">
        <v>1.0</v>
      </c>
      <c r="X181" s="73">
        <v>0.0</v>
      </c>
      <c r="Y181" s="73">
        <v>2.0</v>
      </c>
      <c r="Z181" s="73">
        <v>0.0</v>
      </c>
      <c r="AA181" s="73">
        <v>0.0</v>
      </c>
      <c r="AB181" s="13">
        <f t="shared" si="36"/>
        <v>7</v>
      </c>
    </row>
    <row r="182" ht="12.75" customHeight="1">
      <c r="A182" s="18"/>
      <c r="B182" s="49"/>
      <c r="C182" s="50" t="s">
        <v>135</v>
      </c>
      <c r="D182" s="51"/>
      <c r="E182" s="73">
        <v>1.0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1.0</v>
      </c>
      <c r="L182" s="73">
        <v>0.0</v>
      </c>
      <c r="M182" s="73">
        <v>0.0</v>
      </c>
      <c r="N182" s="73">
        <v>0.0</v>
      </c>
      <c r="O182" s="73">
        <v>1.0</v>
      </c>
      <c r="P182" s="73">
        <v>0.0</v>
      </c>
      <c r="Q182" s="73">
        <v>0.0</v>
      </c>
      <c r="R182" s="73">
        <v>0.0</v>
      </c>
      <c r="S182" s="73">
        <v>1.0</v>
      </c>
      <c r="T182" s="73">
        <v>0.0</v>
      </c>
      <c r="U182" s="73">
        <v>1.0</v>
      </c>
      <c r="V182" s="73">
        <v>1.0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13">
        <f t="shared" si="36"/>
        <v>6</v>
      </c>
    </row>
    <row r="183" ht="12.75" customHeight="1">
      <c r="A183" s="18"/>
      <c r="B183" s="49"/>
      <c r="C183" s="50" t="s">
        <v>136</v>
      </c>
      <c r="D183" s="51"/>
      <c r="E183" s="73">
        <v>1.0</v>
      </c>
      <c r="F183" s="73">
        <v>1.0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13">
        <f t="shared" si="36"/>
        <v>2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1.0</v>
      </c>
      <c r="I184" s="80">
        <v>0.0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80">
        <v>0.0</v>
      </c>
      <c r="T184" s="80">
        <v>0.0</v>
      </c>
      <c r="U184" s="80">
        <v>0.0</v>
      </c>
      <c r="V184" s="80">
        <v>0.0</v>
      </c>
      <c r="W184" s="80">
        <v>0.0</v>
      </c>
      <c r="X184" s="80">
        <v>0.0</v>
      </c>
      <c r="Y184" s="80">
        <v>0.0</v>
      </c>
      <c r="Z184" s="80">
        <v>0.0</v>
      </c>
      <c r="AA184" s="80">
        <v>0.0</v>
      </c>
      <c r="AB184" s="13">
        <f t="shared" si="36"/>
        <v>1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0.0</v>
      </c>
      <c r="G185" s="80">
        <v>0.0</v>
      </c>
      <c r="H185" s="80">
        <v>1.0</v>
      </c>
      <c r="I185" s="80">
        <v>0.0</v>
      </c>
      <c r="J185" s="80">
        <v>0.0</v>
      </c>
      <c r="K185" s="80">
        <v>0.0</v>
      </c>
      <c r="L185" s="80">
        <v>0.0</v>
      </c>
      <c r="M185" s="80">
        <v>1.0</v>
      </c>
      <c r="N185" s="80">
        <v>0.0</v>
      </c>
      <c r="O185" s="80">
        <v>0.0</v>
      </c>
      <c r="P185" s="80">
        <v>0.0</v>
      </c>
      <c r="Q185" s="80">
        <v>0.0</v>
      </c>
      <c r="R185" s="80">
        <v>0.0</v>
      </c>
      <c r="S185" s="80">
        <v>0.0</v>
      </c>
      <c r="T185" s="80">
        <v>0.0</v>
      </c>
      <c r="U185" s="80">
        <v>0.0</v>
      </c>
      <c r="V185" s="80">
        <v>0.0</v>
      </c>
      <c r="W185" s="80">
        <v>0.0</v>
      </c>
      <c r="X185" s="80">
        <v>0.0</v>
      </c>
      <c r="Y185" s="80">
        <v>0.0</v>
      </c>
      <c r="Z185" s="80">
        <v>0.0</v>
      </c>
      <c r="AA185" s="80">
        <v>0.0</v>
      </c>
      <c r="AB185" s="13">
        <f t="shared" si="36"/>
        <v>2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0.0</v>
      </c>
      <c r="Q186" s="80">
        <v>0.0</v>
      </c>
      <c r="R186" s="80">
        <v>0.0</v>
      </c>
      <c r="S186" s="80">
        <v>0.0</v>
      </c>
      <c r="T186" s="80">
        <v>0.0</v>
      </c>
      <c r="U186" s="80">
        <v>1.0</v>
      </c>
      <c r="V186" s="80">
        <v>0.0</v>
      </c>
      <c r="W186" s="80">
        <v>0.0</v>
      </c>
      <c r="X186" s="80">
        <v>0.0</v>
      </c>
      <c r="Y186" s="80">
        <v>0.0</v>
      </c>
      <c r="Z186" s="80">
        <v>0.0</v>
      </c>
      <c r="AA186" s="80">
        <v>0.0</v>
      </c>
      <c r="AB186" s="13">
        <f t="shared" si="36"/>
        <v>1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AB187" si="37">SUM(E177:E186)</f>
        <v>16</v>
      </c>
      <c r="F187" s="13">
        <f t="shared" si="37"/>
        <v>4</v>
      </c>
      <c r="G187" s="13">
        <f t="shared" si="37"/>
        <v>2</v>
      </c>
      <c r="H187" s="13">
        <f t="shared" si="37"/>
        <v>4</v>
      </c>
      <c r="I187" s="13">
        <f t="shared" si="37"/>
        <v>3</v>
      </c>
      <c r="J187" s="13">
        <f t="shared" si="37"/>
        <v>1</v>
      </c>
      <c r="K187" s="13">
        <f t="shared" si="37"/>
        <v>1</v>
      </c>
      <c r="L187" s="13">
        <f t="shared" si="37"/>
        <v>2</v>
      </c>
      <c r="M187" s="13">
        <f t="shared" si="37"/>
        <v>4</v>
      </c>
      <c r="N187" s="13">
        <f t="shared" si="37"/>
        <v>4</v>
      </c>
      <c r="O187" s="13">
        <f t="shared" si="37"/>
        <v>7</v>
      </c>
      <c r="P187" s="13">
        <f t="shared" si="37"/>
        <v>1</v>
      </c>
      <c r="Q187" s="13">
        <f t="shared" si="37"/>
        <v>5</v>
      </c>
      <c r="R187" s="13">
        <f t="shared" si="37"/>
        <v>3</v>
      </c>
      <c r="S187" s="13">
        <f t="shared" si="37"/>
        <v>8</v>
      </c>
      <c r="T187" s="13">
        <f t="shared" si="37"/>
        <v>0</v>
      </c>
      <c r="U187" s="13">
        <f t="shared" si="37"/>
        <v>6</v>
      </c>
      <c r="V187" s="13">
        <f t="shared" si="37"/>
        <v>4</v>
      </c>
      <c r="W187" s="13">
        <f t="shared" si="37"/>
        <v>3</v>
      </c>
      <c r="X187" s="13">
        <f t="shared" si="37"/>
        <v>3</v>
      </c>
      <c r="Y187" s="13">
        <f t="shared" si="37"/>
        <v>4</v>
      </c>
      <c r="Z187" s="13">
        <f t="shared" si="37"/>
        <v>2</v>
      </c>
      <c r="AA187" s="13">
        <f t="shared" si="37"/>
        <v>3</v>
      </c>
      <c r="AB187" s="13">
        <f t="shared" si="37"/>
        <v>90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AB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2.0</v>
      </c>
      <c r="J189" s="73">
        <v>0.0</v>
      </c>
      <c r="K189" s="73">
        <v>0.0</v>
      </c>
      <c r="L189" s="73">
        <v>0.0</v>
      </c>
      <c r="M189" s="73">
        <v>1.0</v>
      </c>
      <c r="N189" s="73">
        <v>0.0</v>
      </c>
      <c r="O189" s="73">
        <v>0.0</v>
      </c>
      <c r="P189" s="73">
        <v>0.0</v>
      </c>
      <c r="Q189" s="73">
        <v>0.0</v>
      </c>
      <c r="R189" s="73">
        <v>1.0</v>
      </c>
      <c r="S189" s="73">
        <v>0.0</v>
      </c>
      <c r="T189" s="73">
        <v>0.0</v>
      </c>
      <c r="U189" s="73">
        <v>1.0</v>
      </c>
      <c r="V189" s="73">
        <v>1.0</v>
      </c>
      <c r="W189" s="73">
        <v>1.0</v>
      </c>
      <c r="X189" s="73">
        <v>1.0</v>
      </c>
      <c r="Y189" s="73">
        <v>0.0</v>
      </c>
      <c r="Z189" s="73">
        <v>0.0</v>
      </c>
      <c r="AA189" s="73">
        <v>0.0</v>
      </c>
      <c r="AB189" s="13">
        <f t="shared" ref="AB189:AB198" si="38">SUM(E189:AA189)</f>
        <v>8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1.0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13">
        <f t="shared" si="38"/>
        <v>1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13">
        <f t="shared" si="38"/>
        <v>0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1.0</v>
      </c>
      <c r="S192" s="73">
        <v>0.0</v>
      </c>
      <c r="T192" s="73">
        <v>1.0</v>
      </c>
      <c r="U192" s="73">
        <v>0.0</v>
      </c>
      <c r="V192" s="73">
        <v>0.0</v>
      </c>
      <c r="W192" s="73">
        <v>1.0</v>
      </c>
      <c r="X192" s="73">
        <v>0.0</v>
      </c>
      <c r="Y192" s="73">
        <v>0.0</v>
      </c>
      <c r="Z192" s="73">
        <v>0.0</v>
      </c>
      <c r="AA192" s="73">
        <v>0.0</v>
      </c>
      <c r="AB192" s="13">
        <f t="shared" si="38"/>
        <v>3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13">
        <f t="shared" si="38"/>
        <v>0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1.0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1.0</v>
      </c>
      <c r="P194" s="73">
        <v>1.0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1.0</v>
      </c>
      <c r="Z194" s="73">
        <v>0.0</v>
      </c>
      <c r="AA194" s="73">
        <v>0.0</v>
      </c>
      <c r="AB194" s="13">
        <f t="shared" si="38"/>
        <v>4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1.0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13">
        <f t="shared" si="38"/>
        <v>1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1.0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0.0</v>
      </c>
      <c r="S196" s="80">
        <v>0.0</v>
      </c>
      <c r="T196" s="80">
        <v>0.0</v>
      </c>
      <c r="U196" s="80">
        <v>0.0</v>
      </c>
      <c r="V196" s="80">
        <v>0.0</v>
      </c>
      <c r="W196" s="80">
        <v>1.0</v>
      </c>
      <c r="X196" s="80">
        <v>0.0</v>
      </c>
      <c r="Y196" s="80">
        <v>0.0</v>
      </c>
      <c r="Z196" s="80">
        <v>0.0</v>
      </c>
      <c r="AA196" s="80">
        <v>0.0</v>
      </c>
      <c r="AB196" s="13">
        <f t="shared" si="38"/>
        <v>2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0">
        <v>0.0</v>
      </c>
      <c r="U197" s="80">
        <v>0.0</v>
      </c>
      <c r="V197" s="80">
        <v>0.0</v>
      </c>
      <c r="W197" s="80">
        <v>0.0</v>
      </c>
      <c r="X197" s="80">
        <v>0.0</v>
      </c>
      <c r="Y197" s="80">
        <v>0.0</v>
      </c>
      <c r="Z197" s="80">
        <v>0.0</v>
      </c>
      <c r="AA197" s="80">
        <v>0.0</v>
      </c>
      <c r="AB197" s="13">
        <f t="shared" si="38"/>
        <v>0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1.0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80">
        <v>0.0</v>
      </c>
      <c r="V198" s="80">
        <v>0.0</v>
      </c>
      <c r="W198" s="80">
        <v>0.0</v>
      </c>
      <c r="X198" s="80">
        <v>0.0</v>
      </c>
      <c r="Y198" s="80">
        <v>0.0</v>
      </c>
      <c r="Z198" s="80">
        <v>0.0</v>
      </c>
      <c r="AA198" s="80">
        <v>0.0</v>
      </c>
      <c r="AB198" s="13">
        <f t="shared" si="38"/>
        <v>1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AB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4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1</v>
      </c>
      <c r="P199" s="13">
        <f t="shared" si="39"/>
        <v>2</v>
      </c>
      <c r="Q199" s="13">
        <f t="shared" si="39"/>
        <v>0</v>
      </c>
      <c r="R199" s="13">
        <f t="shared" si="39"/>
        <v>2</v>
      </c>
      <c r="S199" s="13">
        <f t="shared" si="39"/>
        <v>0</v>
      </c>
      <c r="T199" s="13">
        <f t="shared" si="39"/>
        <v>1</v>
      </c>
      <c r="U199" s="13">
        <f t="shared" si="39"/>
        <v>2</v>
      </c>
      <c r="V199" s="13">
        <f t="shared" si="39"/>
        <v>1</v>
      </c>
      <c r="W199" s="13">
        <f t="shared" si="39"/>
        <v>3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20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5.0</v>
      </c>
      <c r="F201" s="73">
        <v>1.0</v>
      </c>
      <c r="G201" s="73">
        <v>3.0</v>
      </c>
      <c r="H201" s="73">
        <v>2.0</v>
      </c>
      <c r="I201" s="73">
        <v>1.0</v>
      </c>
      <c r="J201" s="73">
        <v>2.0</v>
      </c>
      <c r="K201" s="73">
        <v>3.0</v>
      </c>
      <c r="L201" s="73">
        <v>8.0</v>
      </c>
      <c r="M201" s="73">
        <v>6.0</v>
      </c>
      <c r="N201" s="73">
        <v>10.0</v>
      </c>
      <c r="O201" s="73">
        <v>3.0</v>
      </c>
      <c r="P201" s="73">
        <v>1.0</v>
      </c>
      <c r="Q201" s="73">
        <v>9.0</v>
      </c>
      <c r="R201" s="73">
        <v>4.0</v>
      </c>
      <c r="S201" s="73">
        <v>1.0</v>
      </c>
      <c r="T201" s="73">
        <v>5.0</v>
      </c>
      <c r="U201" s="73">
        <v>1.0</v>
      </c>
      <c r="V201" s="73">
        <v>4.0</v>
      </c>
      <c r="W201" s="73">
        <v>6.0</v>
      </c>
      <c r="X201" s="73">
        <v>10.0</v>
      </c>
      <c r="Y201" s="73">
        <v>6.0</v>
      </c>
      <c r="Z201" s="73">
        <v>6.0</v>
      </c>
      <c r="AA201" s="73">
        <v>3.0</v>
      </c>
      <c r="AB201" s="13">
        <f t="shared" ref="AB201:AB210" si="40">SUM(E201:AA201)</f>
        <v>100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4.0</v>
      </c>
      <c r="F202" s="73">
        <v>4.0</v>
      </c>
      <c r="G202" s="73">
        <v>5.0</v>
      </c>
      <c r="H202" s="73">
        <v>3.0</v>
      </c>
      <c r="I202" s="73">
        <v>5.0</v>
      </c>
      <c r="J202" s="73">
        <v>2.0</v>
      </c>
      <c r="K202" s="73">
        <v>1.0</v>
      </c>
      <c r="L202" s="73">
        <v>2.0</v>
      </c>
      <c r="M202" s="73">
        <v>5.0</v>
      </c>
      <c r="N202" s="73">
        <v>4.0</v>
      </c>
      <c r="O202" s="73">
        <v>4.0</v>
      </c>
      <c r="P202" s="73">
        <v>8.0</v>
      </c>
      <c r="Q202" s="73">
        <v>7.0</v>
      </c>
      <c r="R202" s="73">
        <v>6.0</v>
      </c>
      <c r="S202" s="73">
        <v>8.0</v>
      </c>
      <c r="T202" s="73">
        <v>3.0</v>
      </c>
      <c r="U202" s="73">
        <v>1.0</v>
      </c>
      <c r="V202" s="73">
        <v>2.0</v>
      </c>
      <c r="W202" s="73">
        <v>9.0</v>
      </c>
      <c r="X202" s="73">
        <v>4.0</v>
      </c>
      <c r="Y202" s="73">
        <v>4.0</v>
      </c>
      <c r="Z202" s="73">
        <v>9.0</v>
      </c>
      <c r="AA202" s="73">
        <v>0.0</v>
      </c>
      <c r="AB202" s="13">
        <f t="shared" si="40"/>
        <v>100</v>
      </c>
    </row>
    <row r="203" ht="12.75" customHeight="1">
      <c r="A203" s="18"/>
      <c r="B203" s="49"/>
      <c r="C203" s="50" t="s">
        <v>154</v>
      </c>
      <c r="D203" s="51"/>
      <c r="E203" s="73">
        <v>2.0</v>
      </c>
      <c r="F203" s="73">
        <v>0.0</v>
      </c>
      <c r="G203" s="73">
        <v>1.0</v>
      </c>
      <c r="H203" s="73">
        <v>0.0</v>
      </c>
      <c r="I203" s="73">
        <v>2.0</v>
      </c>
      <c r="J203" s="73">
        <v>5.0</v>
      </c>
      <c r="K203" s="73">
        <v>1.0</v>
      </c>
      <c r="L203" s="73">
        <v>1.0</v>
      </c>
      <c r="M203" s="73">
        <v>2.0</v>
      </c>
      <c r="N203" s="73">
        <v>9.0</v>
      </c>
      <c r="O203" s="73">
        <v>5.0</v>
      </c>
      <c r="P203" s="73">
        <v>3.0</v>
      </c>
      <c r="Q203" s="73">
        <v>2.0</v>
      </c>
      <c r="R203" s="73">
        <v>6.0</v>
      </c>
      <c r="S203" s="73">
        <v>1.0</v>
      </c>
      <c r="T203" s="73">
        <v>1.0</v>
      </c>
      <c r="U203" s="73">
        <v>4.0</v>
      </c>
      <c r="V203" s="73">
        <v>1.0</v>
      </c>
      <c r="W203" s="73">
        <v>4.0</v>
      </c>
      <c r="X203" s="73">
        <v>5.0</v>
      </c>
      <c r="Y203" s="73">
        <v>2.0</v>
      </c>
      <c r="Z203" s="73">
        <v>6.0</v>
      </c>
      <c r="AA203" s="73">
        <v>1.0</v>
      </c>
      <c r="AB203" s="13">
        <f t="shared" si="40"/>
        <v>64</v>
      </c>
    </row>
    <row r="204" ht="12.75" customHeight="1">
      <c r="A204" s="18"/>
      <c r="B204" s="49"/>
      <c r="C204" s="50" t="s">
        <v>155</v>
      </c>
      <c r="D204" s="51"/>
      <c r="E204" s="73">
        <v>1.0</v>
      </c>
      <c r="F204" s="73">
        <v>0.0</v>
      </c>
      <c r="G204" s="73">
        <v>1.0</v>
      </c>
      <c r="H204" s="73">
        <v>1.0</v>
      </c>
      <c r="I204" s="73">
        <v>0.0</v>
      </c>
      <c r="J204" s="73">
        <v>0.0</v>
      </c>
      <c r="K204" s="73">
        <v>0.0</v>
      </c>
      <c r="L204" s="73">
        <v>3.0</v>
      </c>
      <c r="M204" s="73">
        <v>0.0</v>
      </c>
      <c r="N204" s="73">
        <v>2.0</v>
      </c>
      <c r="O204" s="73">
        <v>0.0</v>
      </c>
      <c r="P204" s="73">
        <v>0.0</v>
      </c>
      <c r="Q204" s="73">
        <v>1.0</v>
      </c>
      <c r="R204" s="73">
        <v>6.0</v>
      </c>
      <c r="S204" s="73">
        <v>1.0</v>
      </c>
      <c r="T204" s="73">
        <v>1.0</v>
      </c>
      <c r="U204" s="73">
        <v>1.0</v>
      </c>
      <c r="V204" s="73">
        <v>0.0</v>
      </c>
      <c r="W204" s="73">
        <v>1.0</v>
      </c>
      <c r="X204" s="73">
        <v>0.0</v>
      </c>
      <c r="Y204" s="73">
        <v>1.0</v>
      </c>
      <c r="Z204" s="73">
        <v>1.0</v>
      </c>
      <c r="AA204" s="73">
        <v>1.0</v>
      </c>
      <c r="AB204" s="13">
        <f t="shared" si="40"/>
        <v>22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1.0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1.0</v>
      </c>
      <c r="O205" s="73">
        <v>0.0</v>
      </c>
      <c r="P205" s="73">
        <v>0.0</v>
      </c>
      <c r="Q205" s="73">
        <v>0.0</v>
      </c>
      <c r="R205" s="73">
        <v>1.0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1.0</v>
      </c>
      <c r="Z205" s="73">
        <v>0.0</v>
      </c>
      <c r="AA205" s="73">
        <v>1.0</v>
      </c>
      <c r="AB205" s="13">
        <f t="shared" si="40"/>
        <v>5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1.0</v>
      </c>
      <c r="O206" s="73">
        <v>0.0</v>
      </c>
      <c r="P206" s="73">
        <v>0.0</v>
      </c>
      <c r="Q206" s="73">
        <v>1.0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1.0</v>
      </c>
      <c r="Y206" s="73">
        <v>0.0</v>
      </c>
      <c r="Z206" s="73">
        <v>0.0</v>
      </c>
      <c r="AA206" s="73">
        <v>1.0</v>
      </c>
      <c r="AB206" s="13">
        <f t="shared" si="40"/>
        <v>4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0.0</v>
      </c>
      <c r="G207" s="73">
        <v>0.0</v>
      </c>
      <c r="H207" s="73">
        <v>2.0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73">
        <v>2.0</v>
      </c>
      <c r="T207" s="73">
        <v>0.0</v>
      </c>
      <c r="U207" s="73">
        <v>0.0</v>
      </c>
      <c r="V207" s="73">
        <v>1.0</v>
      </c>
      <c r="W207" s="73">
        <v>0.0</v>
      </c>
      <c r="X207" s="73">
        <v>2.0</v>
      </c>
      <c r="Y207" s="73">
        <v>0.0</v>
      </c>
      <c r="Z207" s="73">
        <v>0.0</v>
      </c>
      <c r="AA207" s="73">
        <v>0.0</v>
      </c>
      <c r="AB207" s="13">
        <f t="shared" si="40"/>
        <v>7</v>
      </c>
    </row>
    <row r="208" ht="12.75" customHeight="1">
      <c r="A208" s="79"/>
      <c r="B208" s="49"/>
      <c r="C208" s="50" t="s">
        <v>159</v>
      </c>
      <c r="D208" s="51"/>
      <c r="E208" s="80">
        <v>0.0</v>
      </c>
      <c r="F208" s="80">
        <v>0.0</v>
      </c>
      <c r="G208" s="80">
        <v>0.0</v>
      </c>
      <c r="H208" s="80">
        <v>0.0</v>
      </c>
      <c r="I208" s="80">
        <v>1.0</v>
      </c>
      <c r="J208" s="80">
        <v>0.0</v>
      </c>
      <c r="K208" s="80">
        <v>1.0</v>
      </c>
      <c r="L208" s="80">
        <v>3.0</v>
      </c>
      <c r="M208" s="80">
        <v>0.0</v>
      </c>
      <c r="N208" s="80">
        <v>0.0</v>
      </c>
      <c r="O208" s="80">
        <v>1.0</v>
      </c>
      <c r="P208" s="80">
        <v>0.0</v>
      </c>
      <c r="Q208" s="80">
        <v>0.0</v>
      </c>
      <c r="R208" s="80">
        <v>2.0</v>
      </c>
      <c r="S208" s="80">
        <v>1.0</v>
      </c>
      <c r="T208" s="80">
        <v>0.0</v>
      </c>
      <c r="U208" s="80">
        <v>0.0</v>
      </c>
      <c r="V208" s="80">
        <v>0.0</v>
      </c>
      <c r="W208" s="80">
        <v>2.0</v>
      </c>
      <c r="X208" s="80">
        <v>0.0</v>
      </c>
      <c r="Y208" s="80">
        <v>2.0</v>
      </c>
      <c r="Z208" s="80">
        <v>0.0</v>
      </c>
      <c r="AA208" s="80">
        <v>0.0</v>
      </c>
      <c r="AB208" s="13">
        <f t="shared" si="40"/>
        <v>13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0.0</v>
      </c>
      <c r="T209" s="80">
        <v>0.0</v>
      </c>
      <c r="U209" s="80">
        <v>0.0</v>
      </c>
      <c r="V209" s="80">
        <v>0.0</v>
      </c>
      <c r="W209" s="80">
        <v>0.0</v>
      </c>
      <c r="X209" s="80">
        <v>0.0</v>
      </c>
      <c r="Y209" s="80">
        <v>0.0</v>
      </c>
      <c r="Z209" s="80">
        <v>0.0</v>
      </c>
      <c r="AA209" s="80">
        <v>0.0</v>
      </c>
      <c r="AB209" s="13">
        <f t="shared" si="40"/>
        <v>0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0.0</v>
      </c>
      <c r="H210" s="80">
        <v>0.0</v>
      </c>
      <c r="I210" s="80">
        <v>0.0</v>
      </c>
      <c r="J210" s="80">
        <v>0.0</v>
      </c>
      <c r="K210" s="80">
        <v>0.0</v>
      </c>
      <c r="L210" s="80">
        <v>0.0</v>
      </c>
      <c r="M210" s="80">
        <v>0.0</v>
      </c>
      <c r="N210" s="80">
        <v>0.0</v>
      </c>
      <c r="O210" s="80">
        <v>1.0</v>
      </c>
      <c r="P210" s="80">
        <v>0.0</v>
      </c>
      <c r="Q210" s="80">
        <v>0.0</v>
      </c>
      <c r="R210" s="80">
        <v>0.0</v>
      </c>
      <c r="S210" s="80">
        <v>1.0</v>
      </c>
      <c r="T210" s="80">
        <v>0.0</v>
      </c>
      <c r="U210" s="80">
        <v>1.0</v>
      </c>
      <c r="V210" s="80">
        <v>0.0</v>
      </c>
      <c r="W210" s="80">
        <v>0.0</v>
      </c>
      <c r="X210" s="80">
        <v>0.0</v>
      </c>
      <c r="Y210" s="80">
        <v>0.0</v>
      </c>
      <c r="Z210" s="80">
        <v>0.0</v>
      </c>
      <c r="AA210" s="80">
        <v>0.0</v>
      </c>
      <c r="AB210" s="13">
        <f t="shared" si="40"/>
        <v>3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AB211" si="41">SUM(E201:E210)</f>
        <v>12</v>
      </c>
      <c r="F211" s="13">
        <f t="shared" si="41"/>
        <v>6</v>
      </c>
      <c r="G211" s="13">
        <f t="shared" si="41"/>
        <v>10</v>
      </c>
      <c r="H211" s="13">
        <f t="shared" si="41"/>
        <v>8</v>
      </c>
      <c r="I211" s="13">
        <f t="shared" si="41"/>
        <v>9</v>
      </c>
      <c r="J211" s="13">
        <f t="shared" si="41"/>
        <v>9</v>
      </c>
      <c r="K211" s="13">
        <f t="shared" si="41"/>
        <v>6</v>
      </c>
      <c r="L211" s="13">
        <f t="shared" si="41"/>
        <v>17</v>
      </c>
      <c r="M211" s="13">
        <f t="shared" si="41"/>
        <v>13</v>
      </c>
      <c r="N211" s="13">
        <f t="shared" si="41"/>
        <v>27</v>
      </c>
      <c r="O211" s="13">
        <f t="shared" si="41"/>
        <v>14</v>
      </c>
      <c r="P211" s="13">
        <f t="shared" si="41"/>
        <v>12</v>
      </c>
      <c r="Q211" s="13">
        <f t="shared" si="41"/>
        <v>20</v>
      </c>
      <c r="R211" s="13">
        <f t="shared" si="41"/>
        <v>25</v>
      </c>
      <c r="S211" s="13">
        <f t="shared" si="41"/>
        <v>15</v>
      </c>
      <c r="T211" s="13">
        <f t="shared" si="41"/>
        <v>10</v>
      </c>
      <c r="U211" s="13">
        <f t="shared" si="41"/>
        <v>8</v>
      </c>
      <c r="V211" s="13">
        <f t="shared" si="41"/>
        <v>8</v>
      </c>
      <c r="W211" s="13">
        <f t="shared" si="41"/>
        <v>22</v>
      </c>
      <c r="X211" s="13">
        <f t="shared" si="41"/>
        <v>22</v>
      </c>
      <c r="Y211" s="13">
        <f t="shared" si="41"/>
        <v>16</v>
      </c>
      <c r="Z211" s="13">
        <f t="shared" si="41"/>
        <v>22</v>
      </c>
      <c r="AA211" s="13">
        <f t="shared" si="41"/>
        <v>7</v>
      </c>
      <c r="AB211" s="13">
        <f t="shared" si="41"/>
        <v>318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3.0</v>
      </c>
      <c r="F213" s="73">
        <v>3.0</v>
      </c>
      <c r="G213" s="73">
        <v>0.0</v>
      </c>
      <c r="H213" s="73">
        <v>6.0</v>
      </c>
      <c r="I213" s="73">
        <v>2.0</v>
      </c>
      <c r="J213" s="73">
        <v>2.0</v>
      </c>
      <c r="K213" s="73">
        <v>3.0</v>
      </c>
      <c r="L213" s="73">
        <v>0.0</v>
      </c>
      <c r="M213" s="73">
        <v>1.0</v>
      </c>
      <c r="N213" s="73">
        <v>10.0</v>
      </c>
      <c r="O213" s="73">
        <v>0.0</v>
      </c>
      <c r="P213" s="73">
        <v>3.0</v>
      </c>
      <c r="Q213" s="73">
        <v>7.0</v>
      </c>
      <c r="R213" s="73">
        <v>6.0</v>
      </c>
      <c r="S213" s="73">
        <v>5.0</v>
      </c>
      <c r="T213" s="73">
        <v>5.0</v>
      </c>
      <c r="U213" s="73">
        <v>0.0</v>
      </c>
      <c r="V213" s="73">
        <v>1.0</v>
      </c>
      <c r="W213" s="73">
        <v>0.0</v>
      </c>
      <c r="X213" s="73">
        <v>1.0</v>
      </c>
      <c r="Y213" s="73">
        <v>2.0</v>
      </c>
      <c r="Z213" s="73">
        <v>2.0</v>
      </c>
      <c r="AA213" s="73">
        <v>3.0</v>
      </c>
      <c r="AB213" s="13">
        <f t="shared" ref="AB213:AB222" si="42">SUM(E213:AA213)</f>
        <v>65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1.0</v>
      </c>
      <c r="F214" s="73">
        <v>3.0</v>
      </c>
      <c r="G214" s="73">
        <v>0.0</v>
      </c>
      <c r="H214" s="73">
        <v>2.0</v>
      </c>
      <c r="I214" s="73">
        <v>2.0</v>
      </c>
      <c r="J214" s="73">
        <v>1.0</v>
      </c>
      <c r="K214" s="73">
        <v>2.0</v>
      </c>
      <c r="L214" s="73">
        <v>3.0</v>
      </c>
      <c r="M214" s="73">
        <v>0.0</v>
      </c>
      <c r="N214" s="73">
        <v>4.0</v>
      </c>
      <c r="O214" s="73">
        <v>1.0</v>
      </c>
      <c r="P214" s="73">
        <v>2.0</v>
      </c>
      <c r="Q214" s="73">
        <v>1.0</v>
      </c>
      <c r="R214" s="73">
        <v>3.0</v>
      </c>
      <c r="S214" s="73">
        <v>5.0</v>
      </c>
      <c r="T214" s="73">
        <v>3.0</v>
      </c>
      <c r="U214" s="73">
        <v>1.0</v>
      </c>
      <c r="V214" s="73">
        <v>2.0</v>
      </c>
      <c r="W214" s="73">
        <v>0.0</v>
      </c>
      <c r="X214" s="73">
        <v>2.0</v>
      </c>
      <c r="Y214" s="73">
        <v>0.0</v>
      </c>
      <c r="Z214" s="73">
        <v>2.0</v>
      </c>
      <c r="AA214" s="73">
        <v>3.0</v>
      </c>
      <c r="AB214" s="13">
        <f t="shared" si="42"/>
        <v>43</v>
      </c>
    </row>
    <row r="215" ht="12.75" customHeight="1">
      <c r="A215" s="18"/>
      <c r="B215" s="49"/>
      <c r="C215" s="50" t="s">
        <v>165</v>
      </c>
      <c r="D215" s="51"/>
      <c r="E215" s="73">
        <v>0.0</v>
      </c>
      <c r="F215" s="73">
        <v>0.0</v>
      </c>
      <c r="G215" s="73">
        <v>0.0</v>
      </c>
      <c r="H215" s="73">
        <v>2.0</v>
      </c>
      <c r="I215" s="73">
        <v>5.0</v>
      </c>
      <c r="J215" s="73">
        <v>0.0</v>
      </c>
      <c r="K215" s="73">
        <v>2.0</v>
      </c>
      <c r="L215" s="73">
        <v>2.0</v>
      </c>
      <c r="M215" s="73">
        <v>0.0</v>
      </c>
      <c r="N215" s="73">
        <v>4.0</v>
      </c>
      <c r="O215" s="73">
        <v>2.0</v>
      </c>
      <c r="P215" s="73">
        <v>1.0</v>
      </c>
      <c r="Q215" s="73">
        <v>2.0</v>
      </c>
      <c r="R215" s="73">
        <v>5.0</v>
      </c>
      <c r="S215" s="73">
        <v>8.0</v>
      </c>
      <c r="T215" s="73">
        <v>2.0</v>
      </c>
      <c r="U215" s="73">
        <v>3.0</v>
      </c>
      <c r="V215" s="73">
        <v>1.0</v>
      </c>
      <c r="W215" s="73">
        <v>2.0</v>
      </c>
      <c r="X215" s="73">
        <v>1.0</v>
      </c>
      <c r="Y215" s="73">
        <v>0.0</v>
      </c>
      <c r="Z215" s="73">
        <v>2.0</v>
      </c>
      <c r="AA215" s="73">
        <v>0.0</v>
      </c>
      <c r="AB215" s="13">
        <f t="shared" si="42"/>
        <v>44</v>
      </c>
    </row>
    <row r="216" ht="12.75" customHeight="1">
      <c r="A216" s="18"/>
      <c r="B216" s="49"/>
      <c r="C216" s="50" t="s">
        <v>166</v>
      </c>
      <c r="D216" s="51"/>
      <c r="E216" s="73">
        <v>0.0</v>
      </c>
      <c r="F216" s="73">
        <v>1.0</v>
      </c>
      <c r="G216" s="73">
        <v>0.0</v>
      </c>
      <c r="H216" s="73">
        <v>1.0</v>
      </c>
      <c r="I216" s="73">
        <v>1.0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2.0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1.0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0.0</v>
      </c>
      <c r="AB216" s="13">
        <f t="shared" si="42"/>
        <v>6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AB223" si="43">SUM(E213:E222)</f>
        <v>4</v>
      </c>
      <c r="F223" s="13">
        <f t="shared" si="43"/>
        <v>7</v>
      </c>
      <c r="G223" s="13">
        <f t="shared" si="43"/>
        <v>0</v>
      </c>
      <c r="H223" s="13">
        <f t="shared" si="43"/>
        <v>11</v>
      </c>
      <c r="I223" s="13">
        <f t="shared" si="43"/>
        <v>10</v>
      </c>
      <c r="J223" s="13">
        <f t="shared" si="43"/>
        <v>3</v>
      </c>
      <c r="K223" s="13">
        <f t="shared" si="43"/>
        <v>7</v>
      </c>
      <c r="L223" s="13">
        <f t="shared" si="43"/>
        <v>5</v>
      </c>
      <c r="M223" s="13">
        <f t="shared" si="43"/>
        <v>1</v>
      </c>
      <c r="N223" s="13">
        <f t="shared" si="43"/>
        <v>18</v>
      </c>
      <c r="O223" s="13">
        <f t="shared" si="43"/>
        <v>5</v>
      </c>
      <c r="P223" s="13">
        <f t="shared" si="43"/>
        <v>6</v>
      </c>
      <c r="Q223" s="13">
        <f t="shared" si="43"/>
        <v>10</v>
      </c>
      <c r="R223" s="13">
        <f t="shared" si="43"/>
        <v>14</v>
      </c>
      <c r="S223" s="13">
        <f t="shared" si="43"/>
        <v>18</v>
      </c>
      <c r="T223" s="13">
        <f t="shared" si="43"/>
        <v>10</v>
      </c>
      <c r="U223" s="13">
        <f t="shared" si="43"/>
        <v>5</v>
      </c>
      <c r="V223" s="13">
        <f t="shared" si="43"/>
        <v>4</v>
      </c>
      <c r="W223" s="13">
        <f t="shared" si="43"/>
        <v>2</v>
      </c>
      <c r="X223" s="13">
        <f t="shared" si="43"/>
        <v>4</v>
      </c>
      <c r="Y223" s="13">
        <f t="shared" si="43"/>
        <v>2</v>
      </c>
      <c r="Z223" s="13">
        <f t="shared" si="43"/>
        <v>6</v>
      </c>
      <c r="AA223" s="13">
        <f t="shared" si="43"/>
        <v>6</v>
      </c>
      <c r="AB223" s="13">
        <f t="shared" si="43"/>
        <v>158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1.0</v>
      </c>
      <c r="G225" s="73">
        <v>0.0</v>
      </c>
      <c r="H225" s="73">
        <v>0.0</v>
      </c>
      <c r="I225" s="73">
        <v>0.0</v>
      </c>
      <c r="J225" s="73">
        <v>0.0</v>
      </c>
      <c r="K225" s="73">
        <v>1.0</v>
      </c>
      <c r="L225" s="73">
        <v>1.0</v>
      </c>
      <c r="M225" s="73">
        <v>2.0</v>
      </c>
      <c r="N225" s="73">
        <v>0.0</v>
      </c>
      <c r="O225" s="73">
        <v>0.0</v>
      </c>
      <c r="P225" s="73">
        <v>0.0</v>
      </c>
      <c r="Q225" s="73">
        <v>1.0</v>
      </c>
      <c r="R225" s="73">
        <v>0.0</v>
      </c>
      <c r="S225" s="73">
        <v>0.0</v>
      </c>
      <c r="T225" s="73">
        <v>1.0</v>
      </c>
      <c r="U225" s="73">
        <v>1.0</v>
      </c>
      <c r="V225" s="73">
        <v>1.0</v>
      </c>
      <c r="W225" s="73">
        <v>0.0</v>
      </c>
      <c r="X225" s="73">
        <v>0.0</v>
      </c>
      <c r="Y225" s="73">
        <v>2.0</v>
      </c>
      <c r="Z225" s="73">
        <v>0.0</v>
      </c>
      <c r="AA225" s="73">
        <v>0.0</v>
      </c>
      <c r="AB225" s="13">
        <f t="shared" ref="AB225:AB234" si="44">SUM(E225:AA225)</f>
        <v>11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2.0</v>
      </c>
      <c r="K226" s="73">
        <v>3.0</v>
      </c>
      <c r="L226" s="73">
        <v>6.0</v>
      </c>
      <c r="M226" s="73">
        <v>0.0</v>
      </c>
      <c r="N226" s="73">
        <v>1.0</v>
      </c>
      <c r="O226" s="73">
        <v>0.0</v>
      </c>
      <c r="P226" s="73">
        <v>1.0</v>
      </c>
      <c r="Q226" s="73">
        <v>0.0</v>
      </c>
      <c r="R226" s="73">
        <v>1.0</v>
      </c>
      <c r="S226" s="73">
        <v>0.0</v>
      </c>
      <c r="T226" s="73">
        <v>1.0</v>
      </c>
      <c r="U226" s="73">
        <v>0.0</v>
      </c>
      <c r="V226" s="73">
        <v>2.0</v>
      </c>
      <c r="W226" s="73">
        <v>0.0</v>
      </c>
      <c r="X226" s="73">
        <v>0.0</v>
      </c>
      <c r="Y226" s="73">
        <v>0.0</v>
      </c>
      <c r="Z226" s="73">
        <v>0.0</v>
      </c>
      <c r="AA226" s="73">
        <v>0.0</v>
      </c>
      <c r="AB226" s="13">
        <f t="shared" si="44"/>
        <v>17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1.0</v>
      </c>
      <c r="M227" s="73">
        <v>0.0</v>
      </c>
      <c r="N227" s="73">
        <v>1.0</v>
      </c>
      <c r="O227" s="73">
        <v>0.0</v>
      </c>
      <c r="P227" s="73">
        <v>1.0</v>
      </c>
      <c r="Q227" s="73">
        <v>0.0</v>
      </c>
      <c r="R227" s="73">
        <v>1.0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13">
        <f t="shared" si="44"/>
        <v>4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1.0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13">
        <f t="shared" si="44"/>
        <v>1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1.0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1.0</v>
      </c>
      <c r="S229" s="73">
        <v>0.0</v>
      </c>
      <c r="T229" s="73">
        <v>0.0</v>
      </c>
      <c r="U229" s="73">
        <v>2.0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13">
        <f t="shared" si="44"/>
        <v>4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AB235" si="45">SUM(E225:E234)</f>
        <v>0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2</v>
      </c>
      <c r="K235" s="13">
        <f t="shared" si="45"/>
        <v>4</v>
      </c>
      <c r="L235" s="13">
        <f t="shared" si="45"/>
        <v>8</v>
      </c>
      <c r="M235" s="13">
        <f t="shared" si="45"/>
        <v>2</v>
      </c>
      <c r="N235" s="13">
        <f t="shared" si="45"/>
        <v>2</v>
      </c>
      <c r="O235" s="13">
        <f t="shared" si="45"/>
        <v>0</v>
      </c>
      <c r="P235" s="13">
        <f t="shared" si="45"/>
        <v>2</v>
      </c>
      <c r="Q235" s="13">
        <f t="shared" si="45"/>
        <v>1</v>
      </c>
      <c r="R235" s="13">
        <f t="shared" si="45"/>
        <v>3</v>
      </c>
      <c r="S235" s="13">
        <f t="shared" si="45"/>
        <v>1</v>
      </c>
      <c r="T235" s="13">
        <f t="shared" si="45"/>
        <v>2</v>
      </c>
      <c r="U235" s="13">
        <f t="shared" si="45"/>
        <v>3</v>
      </c>
      <c r="V235" s="13">
        <f t="shared" si="45"/>
        <v>3</v>
      </c>
      <c r="W235" s="13">
        <f t="shared" si="45"/>
        <v>0</v>
      </c>
      <c r="X235" s="13">
        <f t="shared" si="45"/>
        <v>0</v>
      </c>
      <c r="Y235" s="13">
        <f t="shared" si="45"/>
        <v>2</v>
      </c>
      <c r="Z235" s="13">
        <f t="shared" si="45"/>
        <v>0</v>
      </c>
      <c r="AA235" s="13">
        <f t="shared" si="45"/>
        <v>0</v>
      </c>
      <c r="AB235" s="13">
        <f t="shared" si="45"/>
        <v>37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2.0</v>
      </c>
      <c r="F237" s="73">
        <v>1.0</v>
      </c>
      <c r="G237" s="73">
        <v>1.0</v>
      </c>
      <c r="H237" s="73">
        <v>5.0</v>
      </c>
      <c r="I237" s="73">
        <v>2.0</v>
      </c>
      <c r="J237" s="73">
        <v>3.0</v>
      </c>
      <c r="K237" s="73">
        <v>1.0</v>
      </c>
      <c r="L237" s="73">
        <v>2.0</v>
      </c>
      <c r="M237" s="73">
        <v>6.0</v>
      </c>
      <c r="N237" s="73">
        <v>2.0</v>
      </c>
      <c r="O237" s="73">
        <v>0.0</v>
      </c>
      <c r="P237" s="73">
        <v>1.0</v>
      </c>
      <c r="Q237" s="73">
        <v>1.0</v>
      </c>
      <c r="R237" s="73">
        <v>1.0</v>
      </c>
      <c r="S237" s="73">
        <v>1.0</v>
      </c>
      <c r="T237" s="73">
        <v>0.0</v>
      </c>
      <c r="U237" s="73">
        <v>0.0</v>
      </c>
      <c r="V237" s="73">
        <v>1.0</v>
      </c>
      <c r="W237" s="73">
        <v>8.0</v>
      </c>
      <c r="X237" s="73">
        <v>1.0</v>
      </c>
      <c r="Y237" s="73">
        <v>2.0</v>
      </c>
      <c r="Z237" s="73">
        <v>3.0</v>
      </c>
      <c r="AA237" s="73">
        <v>1.0</v>
      </c>
      <c r="AB237" s="13">
        <f t="shared" ref="AB237:AB246" si="46">SUM(E237:AA237)</f>
        <v>45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0.0</v>
      </c>
      <c r="F238" s="73">
        <v>0.0</v>
      </c>
      <c r="G238" s="73">
        <v>1.0</v>
      </c>
      <c r="H238" s="73">
        <v>1.0</v>
      </c>
      <c r="I238" s="73">
        <v>4.0</v>
      </c>
      <c r="J238" s="73">
        <v>3.0</v>
      </c>
      <c r="K238" s="73">
        <v>1.0</v>
      </c>
      <c r="L238" s="73">
        <v>0.0</v>
      </c>
      <c r="M238" s="73">
        <v>2.0</v>
      </c>
      <c r="N238" s="73">
        <v>1.0</v>
      </c>
      <c r="O238" s="73">
        <v>0.0</v>
      </c>
      <c r="P238" s="73">
        <v>0.0</v>
      </c>
      <c r="Q238" s="73">
        <v>2.0</v>
      </c>
      <c r="R238" s="73">
        <v>0.0</v>
      </c>
      <c r="S238" s="73">
        <v>2.0</v>
      </c>
      <c r="T238" s="73">
        <v>2.0</v>
      </c>
      <c r="U238" s="73">
        <v>1.0</v>
      </c>
      <c r="V238" s="73">
        <v>0.0</v>
      </c>
      <c r="W238" s="73">
        <v>2.0</v>
      </c>
      <c r="X238" s="73">
        <v>0.0</v>
      </c>
      <c r="Y238" s="73">
        <v>2.0</v>
      </c>
      <c r="Z238" s="73">
        <v>0.0</v>
      </c>
      <c r="AA238" s="73">
        <v>0.0</v>
      </c>
      <c r="AB238" s="13">
        <f t="shared" si="46"/>
        <v>24</v>
      </c>
    </row>
    <row r="239" ht="12.75" customHeight="1">
      <c r="A239" s="18"/>
      <c r="B239" s="49"/>
      <c r="C239" s="50" t="s">
        <v>176</v>
      </c>
      <c r="D239" s="51"/>
      <c r="E239" s="73">
        <v>0.0</v>
      </c>
      <c r="F239" s="73">
        <v>0.0</v>
      </c>
      <c r="G239" s="73">
        <v>4.0</v>
      </c>
      <c r="H239" s="73">
        <v>8.0</v>
      </c>
      <c r="I239" s="73">
        <v>7.0</v>
      </c>
      <c r="J239" s="73">
        <v>7.0</v>
      </c>
      <c r="K239" s="73">
        <v>3.0</v>
      </c>
      <c r="L239" s="73">
        <v>2.0</v>
      </c>
      <c r="M239" s="73">
        <v>2.0</v>
      </c>
      <c r="N239" s="73">
        <v>1.0</v>
      </c>
      <c r="O239" s="73">
        <v>7.0</v>
      </c>
      <c r="P239" s="73">
        <v>1.0</v>
      </c>
      <c r="Q239" s="73">
        <v>5.0</v>
      </c>
      <c r="R239" s="73">
        <v>10.0</v>
      </c>
      <c r="S239" s="73">
        <v>1.0</v>
      </c>
      <c r="T239" s="73">
        <v>3.0</v>
      </c>
      <c r="U239" s="73">
        <v>1.0</v>
      </c>
      <c r="V239" s="73">
        <v>3.0</v>
      </c>
      <c r="W239" s="73">
        <v>15.0</v>
      </c>
      <c r="X239" s="73">
        <v>10.0</v>
      </c>
      <c r="Y239" s="73">
        <v>4.0</v>
      </c>
      <c r="Z239" s="73">
        <v>0.0</v>
      </c>
      <c r="AA239" s="73">
        <v>1.0</v>
      </c>
      <c r="AB239" s="13">
        <f t="shared" si="46"/>
        <v>95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0.0</v>
      </c>
      <c r="H240" s="73">
        <v>1.0</v>
      </c>
      <c r="I240" s="73">
        <v>0.0</v>
      </c>
      <c r="J240" s="73">
        <v>2.0</v>
      </c>
      <c r="K240" s="73">
        <v>2.0</v>
      </c>
      <c r="L240" s="73">
        <v>0.0</v>
      </c>
      <c r="M240" s="73">
        <v>2.0</v>
      </c>
      <c r="N240" s="73">
        <v>0.0</v>
      </c>
      <c r="O240" s="73">
        <v>0.0</v>
      </c>
      <c r="P240" s="73">
        <v>0.0</v>
      </c>
      <c r="Q240" s="73">
        <v>1.0</v>
      </c>
      <c r="R240" s="73">
        <v>0.0</v>
      </c>
      <c r="S240" s="73">
        <v>1.0</v>
      </c>
      <c r="T240" s="73">
        <v>1.0</v>
      </c>
      <c r="U240" s="73">
        <v>0.0</v>
      </c>
      <c r="V240" s="73">
        <v>0.0</v>
      </c>
      <c r="W240" s="73">
        <v>2.0</v>
      </c>
      <c r="X240" s="73">
        <v>2.0</v>
      </c>
      <c r="Y240" s="73">
        <v>2.0</v>
      </c>
      <c r="Z240" s="73">
        <v>0.0</v>
      </c>
      <c r="AA240" s="73">
        <v>0.0</v>
      </c>
      <c r="AB240" s="13">
        <f t="shared" si="46"/>
        <v>16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1.0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1.0</v>
      </c>
      <c r="M241" s="73">
        <v>0.0</v>
      </c>
      <c r="N241" s="73">
        <v>0.0</v>
      </c>
      <c r="O241" s="73">
        <v>1.0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13">
        <f t="shared" si="46"/>
        <v>3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4.0</v>
      </c>
      <c r="K242" s="73">
        <v>1.0</v>
      </c>
      <c r="L242" s="73">
        <v>1.0</v>
      </c>
      <c r="M242" s="73">
        <v>0.0</v>
      </c>
      <c r="N242" s="73">
        <v>1.0</v>
      </c>
      <c r="O242" s="73">
        <v>2.0</v>
      </c>
      <c r="P242" s="73">
        <v>0.0</v>
      </c>
      <c r="Q242" s="73">
        <v>0.0</v>
      </c>
      <c r="R242" s="73">
        <v>0.0</v>
      </c>
      <c r="S242" s="73">
        <v>2.0</v>
      </c>
      <c r="T242" s="73">
        <v>3.0</v>
      </c>
      <c r="U242" s="73">
        <v>0.0</v>
      </c>
      <c r="V242" s="73">
        <v>0.0</v>
      </c>
      <c r="W242" s="73">
        <v>1.0</v>
      </c>
      <c r="X242" s="73">
        <v>4.0</v>
      </c>
      <c r="Y242" s="73">
        <v>0.0</v>
      </c>
      <c r="Z242" s="73">
        <v>1.0</v>
      </c>
      <c r="AA242" s="73">
        <v>0.0</v>
      </c>
      <c r="AB242" s="13">
        <f t="shared" si="46"/>
        <v>20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1.0</v>
      </c>
      <c r="H243" s="73">
        <v>2.0</v>
      </c>
      <c r="I243" s="73">
        <v>0.0</v>
      </c>
      <c r="J243" s="73">
        <v>3.0</v>
      </c>
      <c r="K243" s="73">
        <v>0.0</v>
      </c>
      <c r="L243" s="73">
        <v>0.0</v>
      </c>
      <c r="M243" s="73">
        <v>2.0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1.0</v>
      </c>
      <c r="Z243" s="73">
        <v>1.0</v>
      </c>
      <c r="AA243" s="73">
        <v>0.0</v>
      </c>
      <c r="AB243" s="13">
        <f t="shared" si="46"/>
        <v>10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1.0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80">
        <v>2.0</v>
      </c>
      <c r="T244" s="80">
        <v>0.0</v>
      </c>
      <c r="U244" s="80">
        <v>1.0</v>
      </c>
      <c r="V244" s="80">
        <v>0.0</v>
      </c>
      <c r="W244" s="80">
        <v>0.0</v>
      </c>
      <c r="X244" s="80">
        <v>1.0</v>
      </c>
      <c r="Y244" s="80">
        <v>0.0</v>
      </c>
      <c r="Z244" s="80">
        <v>0.0</v>
      </c>
      <c r="AA244" s="80">
        <v>0.0</v>
      </c>
      <c r="AB244" s="13">
        <f t="shared" si="46"/>
        <v>5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80">
        <v>1.0</v>
      </c>
      <c r="S245" s="80">
        <v>0.0</v>
      </c>
      <c r="T245" s="80">
        <v>0.0</v>
      </c>
      <c r="U245" s="80">
        <v>0.0</v>
      </c>
      <c r="V245" s="80">
        <v>0.0</v>
      </c>
      <c r="W245" s="80">
        <v>0.0</v>
      </c>
      <c r="X245" s="80">
        <v>1.0</v>
      </c>
      <c r="Y245" s="80">
        <v>0.0</v>
      </c>
      <c r="Z245" s="80">
        <v>0.0</v>
      </c>
      <c r="AA245" s="80">
        <v>0.0</v>
      </c>
      <c r="AB245" s="13">
        <f t="shared" si="46"/>
        <v>2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1.0</v>
      </c>
      <c r="I246" s="80">
        <v>1.0</v>
      </c>
      <c r="J246" s="80">
        <v>2.0</v>
      </c>
      <c r="K246" s="80">
        <v>0.0</v>
      </c>
      <c r="L246" s="80">
        <v>0.0</v>
      </c>
      <c r="M246" s="80">
        <v>1.0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0.0</v>
      </c>
      <c r="T246" s="80">
        <v>0.0</v>
      </c>
      <c r="U246" s="80">
        <v>0.0</v>
      </c>
      <c r="V246" s="80">
        <v>2.0</v>
      </c>
      <c r="W246" s="80">
        <v>1.0</v>
      </c>
      <c r="X246" s="80">
        <v>2.0</v>
      </c>
      <c r="Y246" s="80">
        <v>2.0</v>
      </c>
      <c r="Z246" s="80">
        <v>0.0</v>
      </c>
      <c r="AA246" s="80">
        <v>0.0</v>
      </c>
      <c r="AB246" s="13">
        <f t="shared" si="46"/>
        <v>12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AB247" si="47">SUM(E237:E246)</f>
        <v>2</v>
      </c>
      <c r="F247" s="13">
        <f t="shared" si="47"/>
        <v>2</v>
      </c>
      <c r="G247" s="13">
        <f t="shared" si="47"/>
        <v>7</v>
      </c>
      <c r="H247" s="13">
        <f t="shared" si="47"/>
        <v>18</v>
      </c>
      <c r="I247" s="13">
        <f t="shared" si="47"/>
        <v>14</v>
      </c>
      <c r="J247" s="13">
        <f t="shared" si="47"/>
        <v>25</v>
      </c>
      <c r="K247" s="13">
        <f t="shared" si="47"/>
        <v>8</v>
      </c>
      <c r="L247" s="13">
        <f t="shared" si="47"/>
        <v>6</v>
      </c>
      <c r="M247" s="13">
        <f t="shared" si="47"/>
        <v>15</v>
      </c>
      <c r="N247" s="13">
        <f t="shared" si="47"/>
        <v>5</v>
      </c>
      <c r="O247" s="13">
        <f t="shared" si="47"/>
        <v>10</v>
      </c>
      <c r="P247" s="13">
        <f t="shared" si="47"/>
        <v>2</v>
      </c>
      <c r="Q247" s="13">
        <f t="shared" si="47"/>
        <v>9</v>
      </c>
      <c r="R247" s="13">
        <f t="shared" si="47"/>
        <v>12</v>
      </c>
      <c r="S247" s="13">
        <f t="shared" si="47"/>
        <v>9</v>
      </c>
      <c r="T247" s="13">
        <f t="shared" si="47"/>
        <v>9</v>
      </c>
      <c r="U247" s="13">
        <f t="shared" si="47"/>
        <v>3</v>
      </c>
      <c r="V247" s="13">
        <f t="shared" si="47"/>
        <v>6</v>
      </c>
      <c r="W247" s="13">
        <f t="shared" si="47"/>
        <v>29</v>
      </c>
      <c r="X247" s="13">
        <f t="shared" si="47"/>
        <v>21</v>
      </c>
      <c r="Y247" s="13">
        <f t="shared" si="47"/>
        <v>13</v>
      </c>
      <c r="Z247" s="13">
        <f t="shared" si="47"/>
        <v>5</v>
      </c>
      <c r="AA247" s="13">
        <f t="shared" si="47"/>
        <v>2</v>
      </c>
      <c r="AB247" s="13">
        <f t="shared" si="47"/>
        <v>232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1.0</v>
      </c>
      <c r="N249" s="73">
        <v>0.0</v>
      </c>
      <c r="O249" s="73">
        <v>0.0</v>
      </c>
      <c r="P249" s="73">
        <v>0.0</v>
      </c>
      <c r="Q249" s="73">
        <v>1.0</v>
      </c>
      <c r="R249" s="73">
        <v>0.0</v>
      </c>
      <c r="S249" s="73">
        <v>0.0</v>
      </c>
      <c r="T249" s="73">
        <v>1.0</v>
      </c>
      <c r="U249" s="73">
        <v>0.0</v>
      </c>
      <c r="V249" s="73">
        <v>0.0</v>
      </c>
      <c r="W249" s="73">
        <v>0.0</v>
      </c>
      <c r="X249" s="73">
        <v>1.0</v>
      </c>
      <c r="Y249" s="73">
        <v>0.0</v>
      </c>
      <c r="Z249" s="73">
        <v>0.0</v>
      </c>
      <c r="AA249" s="73">
        <v>0.0</v>
      </c>
      <c r="AB249" s="13">
        <f t="shared" ref="AB249:AB258" si="48">SUM(E249:AA249)</f>
        <v>4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1.0</v>
      </c>
      <c r="O250" s="73">
        <v>0.0</v>
      </c>
      <c r="P250" s="73">
        <v>2.0</v>
      </c>
      <c r="Q250" s="73">
        <v>0.0</v>
      </c>
      <c r="R250" s="73">
        <v>0.0</v>
      </c>
      <c r="S250" s="73">
        <v>1.0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13">
        <f t="shared" si="48"/>
        <v>4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1.0</v>
      </c>
      <c r="Q251" s="73">
        <v>0.0</v>
      </c>
      <c r="R251" s="73">
        <v>0.0</v>
      </c>
      <c r="S251" s="73">
        <v>0.0</v>
      </c>
      <c r="T251" s="73">
        <v>0.0</v>
      </c>
      <c r="U251" s="73">
        <v>1.0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13">
        <f t="shared" si="48"/>
        <v>2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1.0</v>
      </c>
      <c r="AA252" s="73">
        <v>0.0</v>
      </c>
      <c r="AB252" s="13">
        <f t="shared" si="48"/>
        <v>1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AB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3</v>
      </c>
      <c r="Q259" s="13">
        <f t="shared" si="49"/>
        <v>1</v>
      </c>
      <c r="R259" s="13">
        <f t="shared" si="49"/>
        <v>0</v>
      </c>
      <c r="S259" s="13">
        <f t="shared" si="49"/>
        <v>1</v>
      </c>
      <c r="T259" s="13">
        <f t="shared" si="49"/>
        <v>1</v>
      </c>
      <c r="U259" s="13">
        <f t="shared" si="49"/>
        <v>1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1</v>
      </c>
      <c r="AA259" s="13">
        <f t="shared" si="49"/>
        <v>0</v>
      </c>
      <c r="AB259" s="13">
        <f t="shared" si="49"/>
        <v>11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AA262" si="50">E55+E67+E79+E91+E103+E115+E127+E139+E151+E163+E175+E187+E199+E211+E223+E235+E247+E259</f>
        <v>178</v>
      </c>
      <c r="F262" s="19">
        <f t="shared" si="50"/>
        <v>198</v>
      </c>
      <c r="G262" s="19">
        <f t="shared" si="50"/>
        <v>191</v>
      </c>
      <c r="H262" s="19">
        <f t="shared" si="50"/>
        <v>190</v>
      </c>
      <c r="I262" s="19">
        <f t="shared" si="50"/>
        <v>169</v>
      </c>
      <c r="J262" s="19">
        <f t="shared" si="50"/>
        <v>187</v>
      </c>
      <c r="K262" s="19">
        <f t="shared" si="50"/>
        <v>140</v>
      </c>
      <c r="L262" s="19">
        <f t="shared" si="50"/>
        <v>184</v>
      </c>
      <c r="M262" s="19">
        <f t="shared" si="50"/>
        <v>152</v>
      </c>
      <c r="N262" s="19">
        <f t="shared" si="50"/>
        <v>183</v>
      </c>
      <c r="O262" s="19">
        <f t="shared" si="50"/>
        <v>160</v>
      </c>
      <c r="P262" s="19">
        <f t="shared" si="50"/>
        <v>171</v>
      </c>
      <c r="Q262" s="19">
        <f t="shared" si="50"/>
        <v>200</v>
      </c>
      <c r="R262" s="19">
        <f t="shared" si="50"/>
        <v>199</v>
      </c>
      <c r="S262" s="19">
        <f t="shared" si="50"/>
        <v>190</v>
      </c>
      <c r="T262" s="19">
        <f t="shared" si="50"/>
        <v>178</v>
      </c>
      <c r="U262" s="19">
        <f t="shared" si="50"/>
        <v>168</v>
      </c>
      <c r="V262" s="19">
        <f t="shared" si="50"/>
        <v>170</v>
      </c>
      <c r="W262" s="19">
        <f t="shared" si="50"/>
        <v>183</v>
      </c>
      <c r="X262" s="19">
        <f t="shared" si="50"/>
        <v>168</v>
      </c>
      <c r="Y262" s="19">
        <f t="shared" si="50"/>
        <v>156</v>
      </c>
      <c r="Z262" s="19">
        <f t="shared" si="50"/>
        <v>179</v>
      </c>
      <c r="AA262" s="19">
        <f t="shared" si="50"/>
        <v>132</v>
      </c>
      <c r="AB262" s="13">
        <f t="shared" ref="AB262:AB264" si="51">SUM(E262:AA262)</f>
        <v>4026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35.0</v>
      </c>
      <c r="F263" s="73">
        <v>43.0</v>
      </c>
      <c r="G263" s="73">
        <v>19.0</v>
      </c>
      <c r="H263" s="73">
        <v>34.0</v>
      </c>
      <c r="I263" s="73">
        <v>45.0</v>
      </c>
      <c r="J263" s="73">
        <v>25.0</v>
      </c>
      <c r="K263" s="73">
        <v>43.0</v>
      </c>
      <c r="L263" s="73">
        <v>30.0</v>
      </c>
      <c r="M263" s="73">
        <v>37.0</v>
      </c>
      <c r="N263" s="73">
        <v>21.0</v>
      </c>
      <c r="O263" s="73">
        <v>27.0</v>
      </c>
      <c r="P263" s="73">
        <v>18.0</v>
      </c>
      <c r="Q263" s="73">
        <v>10.0</v>
      </c>
      <c r="R263" s="73">
        <v>41.0</v>
      </c>
      <c r="S263" s="73">
        <v>27.0</v>
      </c>
      <c r="T263" s="73">
        <v>29.0</v>
      </c>
      <c r="U263" s="73">
        <v>36.0</v>
      </c>
      <c r="V263" s="73">
        <v>40.0</v>
      </c>
      <c r="W263" s="73">
        <v>31.0</v>
      </c>
      <c r="X263" s="73">
        <v>24.0</v>
      </c>
      <c r="Y263" s="73">
        <v>45.0</v>
      </c>
      <c r="Z263" s="73">
        <v>27.0</v>
      </c>
      <c r="AA263" s="73">
        <v>16.0</v>
      </c>
      <c r="AB263" s="13">
        <f t="shared" si="51"/>
        <v>703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AA264" si="52">SUM(E262:E263)</f>
        <v>213</v>
      </c>
      <c r="F264" s="13">
        <f t="shared" si="52"/>
        <v>241</v>
      </c>
      <c r="G264" s="13">
        <f t="shared" si="52"/>
        <v>210</v>
      </c>
      <c r="H264" s="13">
        <f t="shared" si="52"/>
        <v>224</v>
      </c>
      <c r="I264" s="13">
        <f t="shared" si="52"/>
        <v>214</v>
      </c>
      <c r="J264" s="13">
        <f t="shared" si="52"/>
        <v>212</v>
      </c>
      <c r="K264" s="13">
        <f t="shared" si="52"/>
        <v>183</v>
      </c>
      <c r="L264" s="13">
        <f t="shared" si="52"/>
        <v>214</v>
      </c>
      <c r="M264" s="13">
        <f t="shared" si="52"/>
        <v>189</v>
      </c>
      <c r="N264" s="13">
        <f t="shared" si="52"/>
        <v>204</v>
      </c>
      <c r="O264" s="13">
        <f t="shared" si="52"/>
        <v>187</v>
      </c>
      <c r="P264" s="13">
        <f t="shared" si="52"/>
        <v>189</v>
      </c>
      <c r="Q264" s="13">
        <f t="shared" si="52"/>
        <v>210</v>
      </c>
      <c r="R264" s="13">
        <f t="shared" si="52"/>
        <v>240</v>
      </c>
      <c r="S264" s="13">
        <f t="shared" si="52"/>
        <v>217</v>
      </c>
      <c r="T264" s="13">
        <f t="shared" si="52"/>
        <v>207</v>
      </c>
      <c r="U264" s="13">
        <f t="shared" si="52"/>
        <v>204</v>
      </c>
      <c r="V264" s="13">
        <f t="shared" si="52"/>
        <v>210</v>
      </c>
      <c r="W264" s="13">
        <f t="shared" si="52"/>
        <v>214</v>
      </c>
      <c r="X264" s="13">
        <f t="shared" si="52"/>
        <v>192</v>
      </c>
      <c r="Y264" s="13">
        <f t="shared" si="52"/>
        <v>201</v>
      </c>
      <c r="Z264" s="13">
        <f t="shared" si="52"/>
        <v>206</v>
      </c>
      <c r="AA264" s="13">
        <f t="shared" si="52"/>
        <v>148</v>
      </c>
      <c r="AB264" s="13">
        <f t="shared" si="51"/>
        <v>4729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8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4" width="8.71"/>
    <col customWidth="1" min="35" max="35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234</v>
      </c>
      <c r="AI13" s="36"/>
    </row>
    <row r="14" ht="12.75" customHeight="1">
      <c r="A14" s="18"/>
      <c r="B14" s="22" t="s">
        <v>10</v>
      </c>
      <c r="C14" s="23"/>
      <c r="D14" s="19" t="s">
        <v>11</v>
      </c>
      <c r="E14" s="73">
        <v>130.0</v>
      </c>
      <c r="F14" s="73">
        <v>93.0</v>
      </c>
      <c r="G14" s="73">
        <v>137.0</v>
      </c>
      <c r="H14" s="73">
        <v>140.0</v>
      </c>
      <c r="I14" s="73">
        <v>135.0</v>
      </c>
      <c r="J14" s="73">
        <v>140.0</v>
      </c>
      <c r="K14" s="73">
        <v>146.0</v>
      </c>
      <c r="L14" s="73">
        <v>133.0</v>
      </c>
      <c r="M14" s="73">
        <v>126.0</v>
      </c>
      <c r="N14" s="73">
        <v>142.0</v>
      </c>
      <c r="O14" s="73">
        <v>106.0</v>
      </c>
      <c r="P14" s="73">
        <v>141.0</v>
      </c>
      <c r="Q14" s="73">
        <v>132.0</v>
      </c>
      <c r="R14" s="73">
        <v>141.0</v>
      </c>
      <c r="S14" s="73">
        <v>144.0</v>
      </c>
      <c r="T14" s="73">
        <v>132.0</v>
      </c>
      <c r="U14" s="73">
        <v>128.0</v>
      </c>
      <c r="V14" s="73">
        <v>140.0</v>
      </c>
      <c r="W14" s="73">
        <v>122.0</v>
      </c>
      <c r="X14" s="73">
        <v>140.0</v>
      </c>
      <c r="Y14" s="73">
        <v>144.0</v>
      </c>
      <c r="Z14" s="73">
        <v>149.0</v>
      </c>
      <c r="AA14" s="73">
        <v>145.0</v>
      </c>
      <c r="AB14" s="73">
        <v>145.0</v>
      </c>
      <c r="AC14" s="73">
        <v>140.0</v>
      </c>
      <c r="AD14" s="73">
        <v>138.0</v>
      </c>
      <c r="AE14" s="73">
        <v>145.0</v>
      </c>
      <c r="AF14" s="73">
        <v>148.0</v>
      </c>
      <c r="AG14" s="73">
        <v>143.0</v>
      </c>
      <c r="AH14" s="73">
        <v>138.0</v>
      </c>
      <c r="AI14" s="13">
        <f t="shared" ref="AI14:AI16" si="1">SUM(E14:AH14)</f>
        <v>4083</v>
      </c>
    </row>
    <row r="15" ht="12.75" customHeight="1">
      <c r="A15" s="18"/>
      <c r="B15" s="26"/>
      <c r="C15" s="27"/>
      <c r="D15" s="19" t="s">
        <v>12</v>
      </c>
      <c r="E15" s="73">
        <v>124.0</v>
      </c>
      <c r="F15" s="73">
        <v>89.0</v>
      </c>
      <c r="G15" s="73">
        <v>151.0</v>
      </c>
      <c r="H15" s="73">
        <v>142.0</v>
      </c>
      <c r="I15" s="73">
        <v>143.0</v>
      </c>
      <c r="J15" s="73">
        <v>135.0</v>
      </c>
      <c r="K15" s="73">
        <v>150.0</v>
      </c>
      <c r="L15" s="73">
        <v>156.0</v>
      </c>
      <c r="M15" s="73">
        <v>149.0</v>
      </c>
      <c r="N15" s="73">
        <v>134.0</v>
      </c>
      <c r="O15" s="73">
        <v>120.0</v>
      </c>
      <c r="P15" s="73">
        <v>133.0</v>
      </c>
      <c r="Q15" s="73">
        <v>134.0</v>
      </c>
      <c r="R15" s="73">
        <v>135.0</v>
      </c>
      <c r="S15" s="73">
        <v>147.0</v>
      </c>
      <c r="T15" s="73">
        <v>137.0</v>
      </c>
      <c r="U15" s="73">
        <v>149.0</v>
      </c>
      <c r="V15" s="73">
        <v>141.0</v>
      </c>
      <c r="W15" s="73">
        <v>137.0</v>
      </c>
      <c r="X15" s="73">
        <v>133.0</v>
      </c>
      <c r="Y15" s="73">
        <v>146.0</v>
      </c>
      <c r="Z15" s="73">
        <v>141.0</v>
      </c>
      <c r="AA15" s="73">
        <v>145.0</v>
      </c>
      <c r="AB15" s="73">
        <v>144.0</v>
      </c>
      <c r="AC15" s="73">
        <v>148.0</v>
      </c>
      <c r="AD15" s="73">
        <v>152.0</v>
      </c>
      <c r="AE15" s="73">
        <v>145.0</v>
      </c>
      <c r="AF15" s="73">
        <v>140.0</v>
      </c>
      <c r="AG15" s="73">
        <v>147.0</v>
      </c>
      <c r="AH15" s="73">
        <v>152.0</v>
      </c>
      <c r="AI15" s="13">
        <f t="shared" si="1"/>
        <v>4199</v>
      </c>
    </row>
    <row r="16" ht="12.75" customHeight="1">
      <c r="A16" s="25"/>
      <c r="B16" s="21"/>
      <c r="C16" s="28"/>
      <c r="D16" s="13" t="s">
        <v>13</v>
      </c>
      <c r="E16" s="13">
        <f t="shared" ref="E16:AH16" si="2">SUM(E14:E15)</f>
        <v>254</v>
      </c>
      <c r="F16" s="13">
        <f t="shared" si="2"/>
        <v>182</v>
      </c>
      <c r="G16" s="13">
        <f t="shared" si="2"/>
        <v>288</v>
      </c>
      <c r="H16" s="13">
        <f t="shared" si="2"/>
        <v>282</v>
      </c>
      <c r="I16" s="13">
        <f t="shared" si="2"/>
        <v>278</v>
      </c>
      <c r="J16" s="13">
        <f t="shared" si="2"/>
        <v>275</v>
      </c>
      <c r="K16" s="13">
        <f t="shared" si="2"/>
        <v>296</v>
      </c>
      <c r="L16" s="13">
        <f t="shared" si="2"/>
        <v>289</v>
      </c>
      <c r="M16" s="13">
        <f t="shared" si="2"/>
        <v>275</v>
      </c>
      <c r="N16" s="13">
        <f t="shared" si="2"/>
        <v>276</v>
      </c>
      <c r="O16" s="13">
        <f t="shared" si="2"/>
        <v>226</v>
      </c>
      <c r="P16" s="13">
        <f t="shared" si="2"/>
        <v>274</v>
      </c>
      <c r="Q16" s="13">
        <f t="shared" si="2"/>
        <v>266</v>
      </c>
      <c r="R16" s="13">
        <f t="shared" si="2"/>
        <v>276</v>
      </c>
      <c r="S16" s="13">
        <f t="shared" si="2"/>
        <v>291</v>
      </c>
      <c r="T16" s="13">
        <f t="shared" si="2"/>
        <v>269</v>
      </c>
      <c r="U16" s="13">
        <f t="shared" si="2"/>
        <v>277</v>
      </c>
      <c r="V16" s="13">
        <f t="shared" si="2"/>
        <v>281</v>
      </c>
      <c r="W16" s="13">
        <f t="shared" si="2"/>
        <v>259</v>
      </c>
      <c r="X16" s="13">
        <f t="shared" si="2"/>
        <v>273</v>
      </c>
      <c r="Y16" s="13">
        <f t="shared" si="2"/>
        <v>290</v>
      </c>
      <c r="Z16" s="13">
        <f t="shared" si="2"/>
        <v>290</v>
      </c>
      <c r="AA16" s="13">
        <f t="shared" si="2"/>
        <v>290</v>
      </c>
      <c r="AB16" s="13">
        <f t="shared" si="2"/>
        <v>289</v>
      </c>
      <c r="AC16" s="13">
        <f t="shared" si="2"/>
        <v>288</v>
      </c>
      <c r="AD16" s="13">
        <f t="shared" si="2"/>
        <v>290</v>
      </c>
      <c r="AE16" s="13">
        <f t="shared" si="2"/>
        <v>290</v>
      </c>
      <c r="AF16" s="13">
        <f t="shared" si="2"/>
        <v>288</v>
      </c>
      <c r="AG16" s="13">
        <f t="shared" si="2"/>
        <v>290</v>
      </c>
      <c r="AH16" s="13">
        <f t="shared" si="2"/>
        <v>290</v>
      </c>
      <c r="AI16" s="13">
        <f t="shared" si="1"/>
        <v>8282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84.0</v>
      </c>
      <c r="F19" s="73">
        <v>65.0</v>
      </c>
      <c r="G19" s="73">
        <v>95.0</v>
      </c>
      <c r="H19" s="73">
        <v>94.0</v>
      </c>
      <c r="I19" s="73">
        <v>99.0</v>
      </c>
      <c r="J19" s="73">
        <v>96.0</v>
      </c>
      <c r="K19" s="73">
        <v>110.0</v>
      </c>
      <c r="L19" s="73">
        <v>84.0</v>
      </c>
      <c r="M19" s="73">
        <v>86.0</v>
      </c>
      <c r="N19" s="73">
        <v>96.0</v>
      </c>
      <c r="O19" s="73">
        <v>76.0</v>
      </c>
      <c r="P19" s="73">
        <v>96.0</v>
      </c>
      <c r="Q19" s="73">
        <v>99.0</v>
      </c>
      <c r="R19" s="73">
        <v>90.0</v>
      </c>
      <c r="S19" s="73">
        <v>103.0</v>
      </c>
      <c r="T19" s="73">
        <v>86.0</v>
      </c>
      <c r="U19" s="73">
        <v>92.0</v>
      </c>
      <c r="V19" s="73">
        <v>102.0</v>
      </c>
      <c r="W19" s="73">
        <v>86.0</v>
      </c>
      <c r="X19" s="73">
        <v>101.0</v>
      </c>
      <c r="Y19" s="73">
        <v>85.0</v>
      </c>
      <c r="Z19" s="73">
        <v>95.0</v>
      </c>
      <c r="AA19" s="73">
        <v>102.0</v>
      </c>
      <c r="AB19" s="73">
        <v>109.0</v>
      </c>
      <c r="AC19" s="73">
        <v>82.0</v>
      </c>
      <c r="AD19" s="73">
        <v>89.0</v>
      </c>
      <c r="AE19" s="73">
        <v>117.0</v>
      </c>
      <c r="AF19" s="73">
        <v>104.0</v>
      </c>
      <c r="AG19" s="73">
        <v>91.0</v>
      </c>
      <c r="AH19" s="73">
        <v>108.0</v>
      </c>
      <c r="AI19" s="13">
        <f t="shared" ref="AI19:AI30" si="3">SUM(E19:AH19)</f>
        <v>2822</v>
      </c>
    </row>
    <row r="20" ht="12.75" customHeight="1">
      <c r="A20" s="33"/>
      <c r="B20" s="27"/>
      <c r="C20" s="34"/>
      <c r="D20" s="19" t="s">
        <v>12</v>
      </c>
      <c r="E20" s="73">
        <v>94.0</v>
      </c>
      <c r="F20" s="73">
        <v>61.0</v>
      </c>
      <c r="G20" s="73">
        <v>112.0</v>
      </c>
      <c r="H20" s="73">
        <v>104.0</v>
      </c>
      <c r="I20" s="73">
        <v>111.0</v>
      </c>
      <c r="J20" s="73">
        <v>108.0</v>
      </c>
      <c r="K20" s="73">
        <v>121.0</v>
      </c>
      <c r="L20" s="73">
        <v>114.0</v>
      </c>
      <c r="M20" s="73">
        <v>105.0</v>
      </c>
      <c r="N20" s="73">
        <v>102.0</v>
      </c>
      <c r="O20" s="73">
        <v>95.0</v>
      </c>
      <c r="P20" s="73">
        <v>98.0</v>
      </c>
      <c r="Q20" s="73">
        <v>116.0</v>
      </c>
      <c r="R20" s="73">
        <v>108.0</v>
      </c>
      <c r="S20" s="73">
        <v>117.0</v>
      </c>
      <c r="T20" s="73">
        <v>99.0</v>
      </c>
      <c r="U20" s="73">
        <v>107.0</v>
      </c>
      <c r="V20" s="73">
        <v>110.0</v>
      </c>
      <c r="W20" s="73">
        <v>98.0</v>
      </c>
      <c r="X20" s="73">
        <v>101.0</v>
      </c>
      <c r="Y20" s="73">
        <v>104.0</v>
      </c>
      <c r="Z20" s="73">
        <v>107.0</v>
      </c>
      <c r="AA20" s="73">
        <v>104.0</v>
      </c>
      <c r="AB20" s="73">
        <v>111.0</v>
      </c>
      <c r="AC20" s="73">
        <v>100.0</v>
      </c>
      <c r="AD20" s="73">
        <v>116.0</v>
      </c>
      <c r="AE20" s="73">
        <v>120.0</v>
      </c>
      <c r="AF20" s="73">
        <v>101.0</v>
      </c>
      <c r="AG20" s="73">
        <v>121.0</v>
      </c>
      <c r="AH20" s="73">
        <v>112.0</v>
      </c>
      <c r="AI20" s="13">
        <f t="shared" si="3"/>
        <v>3177</v>
      </c>
    </row>
    <row r="21" ht="12.75" customHeight="1">
      <c r="A21" s="35"/>
      <c r="B21" s="28"/>
      <c r="C21" s="36"/>
      <c r="D21" s="13" t="s">
        <v>13</v>
      </c>
      <c r="E21" s="13">
        <f t="shared" ref="E21:AH21" si="4">SUM(E19:E20)</f>
        <v>178</v>
      </c>
      <c r="F21" s="13">
        <f t="shared" si="4"/>
        <v>126</v>
      </c>
      <c r="G21" s="13">
        <f t="shared" si="4"/>
        <v>207</v>
      </c>
      <c r="H21" s="13">
        <f t="shared" si="4"/>
        <v>198</v>
      </c>
      <c r="I21" s="13">
        <f t="shared" si="4"/>
        <v>210</v>
      </c>
      <c r="J21" s="13">
        <f t="shared" si="4"/>
        <v>204</v>
      </c>
      <c r="K21" s="13">
        <f t="shared" si="4"/>
        <v>231</v>
      </c>
      <c r="L21" s="13">
        <f t="shared" si="4"/>
        <v>198</v>
      </c>
      <c r="M21" s="13">
        <f t="shared" si="4"/>
        <v>191</v>
      </c>
      <c r="N21" s="13">
        <f t="shared" si="4"/>
        <v>198</v>
      </c>
      <c r="O21" s="13">
        <f t="shared" si="4"/>
        <v>171</v>
      </c>
      <c r="P21" s="13">
        <f t="shared" si="4"/>
        <v>194</v>
      </c>
      <c r="Q21" s="13">
        <f t="shared" si="4"/>
        <v>215</v>
      </c>
      <c r="R21" s="13">
        <f t="shared" si="4"/>
        <v>198</v>
      </c>
      <c r="S21" s="13">
        <f t="shared" si="4"/>
        <v>220</v>
      </c>
      <c r="T21" s="13">
        <f t="shared" si="4"/>
        <v>185</v>
      </c>
      <c r="U21" s="13">
        <f t="shared" si="4"/>
        <v>199</v>
      </c>
      <c r="V21" s="13">
        <f t="shared" si="4"/>
        <v>212</v>
      </c>
      <c r="W21" s="13">
        <f t="shared" si="4"/>
        <v>184</v>
      </c>
      <c r="X21" s="13">
        <f t="shared" si="4"/>
        <v>202</v>
      </c>
      <c r="Y21" s="13">
        <f t="shared" si="4"/>
        <v>189</v>
      </c>
      <c r="Z21" s="13">
        <f t="shared" si="4"/>
        <v>202</v>
      </c>
      <c r="AA21" s="13">
        <f t="shared" si="4"/>
        <v>206</v>
      </c>
      <c r="AB21" s="13">
        <f t="shared" si="4"/>
        <v>220</v>
      </c>
      <c r="AC21" s="13">
        <f t="shared" si="4"/>
        <v>182</v>
      </c>
      <c r="AD21" s="13">
        <f t="shared" si="4"/>
        <v>205</v>
      </c>
      <c r="AE21" s="13">
        <f t="shared" si="4"/>
        <v>237</v>
      </c>
      <c r="AF21" s="13">
        <f t="shared" si="4"/>
        <v>205</v>
      </c>
      <c r="AG21" s="13">
        <f t="shared" si="4"/>
        <v>212</v>
      </c>
      <c r="AH21" s="13">
        <f t="shared" si="4"/>
        <v>220</v>
      </c>
      <c r="AI21" s="13">
        <f t="shared" si="3"/>
        <v>5999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1.0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1.0</v>
      </c>
      <c r="AD22" s="73">
        <v>0.0</v>
      </c>
      <c r="AE22" s="73">
        <v>0.0</v>
      </c>
      <c r="AF22" s="73">
        <v>0.0</v>
      </c>
      <c r="AG22" s="73">
        <v>0.0</v>
      </c>
      <c r="AH22" s="73">
        <v>0.0</v>
      </c>
      <c r="AI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1.0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2.0</v>
      </c>
      <c r="AD23" s="73">
        <v>0.0</v>
      </c>
      <c r="AE23" s="73">
        <v>0.0</v>
      </c>
      <c r="AF23" s="73">
        <v>0.0</v>
      </c>
      <c r="AG23" s="73">
        <v>1.0</v>
      </c>
      <c r="AH23" s="73">
        <v>0.0</v>
      </c>
      <c r="AI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AH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3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3"/>
        <v>6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0.0</v>
      </c>
      <c r="F25" s="73">
        <v>0.0</v>
      </c>
      <c r="G25" s="73">
        <v>1.0</v>
      </c>
      <c r="H25" s="73">
        <v>1.0</v>
      </c>
      <c r="I25" s="73">
        <v>0.0</v>
      </c>
      <c r="J25" s="73">
        <v>0.0</v>
      </c>
      <c r="K25" s="73">
        <v>1.0</v>
      </c>
      <c r="L25" s="73">
        <v>0.0</v>
      </c>
      <c r="M25" s="73">
        <v>1.0</v>
      </c>
      <c r="N25" s="73">
        <v>2.0</v>
      </c>
      <c r="O25" s="73">
        <v>4.0</v>
      </c>
      <c r="P25" s="73">
        <v>3.0</v>
      </c>
      <c r="Q25" s="73">
        <v>2.0</v>
      </c>
      <c r="R25" s="73">
        <v>1.0</v>
      </c>
      <c r="S25" s="73">
        <v>1.0</v>
      </c>
      <c r="T25" s="73">
        <v>1.0</v>
      </c>
      <c r="U25" s="73">
        <v>3.0</v>
      </c>
      <c r="V25" s="73">
        <v>2.0</v>
      </c>
      <c r="W25" s="73">
        <v>0.0</v>
      </c>
      <c r="X25" s="73">
        <v>0.0</v>
      </c>
      <c r="Y25" s="73">
        <v>1.0</v>
      </c>
      <c r="Z25" s="73">
        <v>4.0</v>
      </c>
      <c r="AA25" s="73">
        <v>0.0</v>
      </c>
      <c r="AB25" s="73">
        <v>1.0</v>
      </c>
      <c r="AC25" s="73">
        <v>0.0</v>
      </c>
      <c r="AD25" s="73">
        <v>4.0</v>
      </c>
      <c r="AE25" s="73">
        <v>2.0</v>
      </c>
      <c r="AF25" s="73">
        <v>1.0</v>
      </c>
      <c r="AG25" s="73">
        <v>2.0</v>
      </c>
      <c r="AH25" s="73">
        <v>9.0</v>
      </c>
      <c r="AI25" s="13">
        <f t="shared" si="3"/>
        <v>47</v>
      </c>
    </row>
    <row r="26" ht="12.75" customHeight="1">
      <c r="A26" s="33"/>
      <c r="B26" s="27"/>
      <c r="C26" s="34"/>
      <c r="D26" s="19" t="s">
        <v>12</v>
      </c>
      <c r="E26" s="73">
        <v>4.0</v>
      </c>
      <c r="F26" s="73">
        <v>1.0</v>
      </c>
      <c r="G26" s="73">
        <v>1.0</v>
      </c>
      <c r="H26" s="73">
        <v>4.0</v>
      </c>
      <c r="I26" s="73">
        <v>0.0</v>
      </c>
      <c r="J26" s="73">
        <v>1.0</v>
      </c>
      <c r="K26" s="73">
        <v>3.0</v>
      </c>
      <c r="L26" s="73">
        <v>0.0</v>
      </c>
      <c r="M26" s="73">
        <v>4.0</v>
      </c>
      <c r="N26" s="73">
        <v>1.0</v>
      </c>
      <c r="O26" s="73">
        <v>2.0</v>
      </c>
      <c r="P26" s="73">
        <v>1.0</v>
      </c>
      <c r="Q26" s="73">
        <v>2.0</v>
      </c>
      <c r="R26" s="73">
        <v>4.0</v>
      </c>
      <c r="S26" s="73">
        <v>5.0</v>
      </c>
      <c r="T26" s="73">
        <v>3.0</v>
      </c>
      <c r="U26" s="73">
        <v>7.0</v>
      </c>
      <c r="V26" s="73">
        <v>2.0</v>
      </c>
      <c r="W26" s="73">
        <v>2.0</v>
      </c>
      <c r="X26" s="73">
        <v>0.0</v>
      </c>
      <c r="Y26" s="73">
        <v>0.0</v>
      </c>
      <c r="Z26" s="73">
        <v>6.0</v>
      </c>
      <c r="AA26" s="73">
        <v>0.0</v>
      </c>
      <c r="AB26" s="73">
        <v>1.0</v>
      </c>
      <c r="AC26" s="73">
        <v>2.0</v>
      </c>
      <c r="AD26" s="73">
        <v>11.0</v>
      </c>
      <c r="AE26" s="73">
        <v>4.0</v>
      </c>
      <c r="AF26" s="73">
        <v>1.0</v>
      </c>
      <c r="AG26" s="73">
        <v>4.0</v>
      </c>
      <c r="AH26" s="73">
        <v>9.0</v>
      </c>
      <c r="AI26" s="13">
        <f t="shared" si="3"/>
        <v>85</v>
      </c>
    </row>
    <row r="27" ht="12.75" customHeight="1">
      <c r="A27" s="35"/>
      <c r="B27" s="28"/>
      <c r="C27" s="36"/>
      <c r="D27" s="13" t="s">
        <v>13</v>
      </c>
      <c r="E27" s="13">
        <f t="shared" ref="E27:AH27" si="6">SUM(E25:E26)</f>
        <v>4</v>
      </c>
      <c r="F27" s="13">
        <f t="shared" si="6"/>
        <v>1</v>
      </c>
      <c r="G27" s="13">
        <f t="shared" si="6"/>
        <v>2</v>
      </c>
      <c r="H27" s="13">
        <f t="shared" si="6"/>
        <v>5</v>
      </c>
      <c r="I27" s="13">
        <f t="shared" si="6"/>
        <v>0</v>
      </c>
      <c r="J27" s="13">
        <f t="shared" si="6"/>
        <v>1</v>
      </c>
      <c r="K27" s="13">
        <f t="shared" si="6"/>
        <v>4</v>
      </c>
      <c r="L27" s="13">
        <f t="shared" si="6"/>
        <v>0</v>
      </c>
      <c r="M27" s="13">
        <f t="shared" si="6"/>
        <v>5</v>
      </c>
      <c r="N27" s="13">
        <f t="shared" si="6"/>
        <v>3</v>
      </c>
      <c r="O27" s="13">
        <f t="shared" si="6"/>
        <v>6</v>
      </c>
      <c r="P27" s="13">
        <f t="shared" si="6"/>
        <v>4</v>
      </c>
      <c r="Q27" s="13">
        <f t="shared" si="6"/>
        <v>4</v>
      </c>
      <c r="R27" s="13">
        <f t="shared" si="6"/>
        <v>5</v>
      </c>
      <c r="S27" s="13">
        <f t="shared" si="6"/>
        <v>6</v>
      </c>
      <c r="T27" s="13">
        <f t="shared" si="6"/>
        <v>4</v>
      </c>
      <c r="U27" s="13">
        <f t="shared" si="6"/>
        <v>10</v>
      </c>
      <c r="V27" s="13">
        <f t="shared" si="6"/>
        <v>4</v>
      </c>
      <c r="W27" s="13">
        <f t="shared" si="6"/>
        <v>2</v>
      </c>
      <c r="X27" s="13">
        <f t="shared" si="6"/>
        <v>0</v>
      </c>
      <c r="Y27" s="13">
        <f t="shared" si="6"/>
        <v>1</v>
      </c>
      <c r="Z27" s="13">
        <f t="shared" si="6"/>
        <v>10</v>
      </c>
      <c r="AA27" s="13">
        <f t="shared" si="6"/>
        <v>0</v>
      </c>
      <c r="AB27" s="13">
        <f t="shared" si="6"/>
        <v>2</v>
      </c>
      <c r="AC27" s="13">
        <f t="shared" si="6"/>
        <v>2</v>
      </c>
      <c r="AD27" s="13">
        <f t="shared" si="6"/>
        <v>15</v>
      </c>
      <c r="AE27" s="13">
        <f t="shared" si="6"/>
        <v>6</v>
      </c>
      <c r="AF27" s="13">
        <f t="shared" si="6"/>
        <v>2</v>
      </c>
      <c r="AG27" s="13">
        <f t="shared" si="6"/>
        <v>6</v>
      </c>
      <c r="AH27" s="13">
        <f t="shared" si="6"/>
        <v>18</v>
      </c>
      <c r="AI27" s="13">
        <f t="shared" si="3"/>
        <v>132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H28" si="7">SUM(E19,E22,E25)</f>
        <v>84</v>
      </c>
      <c r="F28" s="13">
        <f t="shared" si="7"/>
        <v>65</v>
      </c>
      <c r="G28" s="13">
        <f t="shared" si="7"/>
        <v>96</v>
      </c>
      <c r="H28" s="13">
        <f t="shared" si="7"/>
        <v>95</v>
      </c>
      <c r="I28" s="13">
        <f t="shared" si="7"/>
        <v>99</v>
      </c>
      <c r="J28" s="13">
        <f t="shared" si="7"/>
        <v>96</v>
      </c>
      <c r="K28" s="13">
        <f t="shared" si="7"/>
        <v>111</v>
      </c>
      <c r="L28" s="13">
        <f t="shared" si="7"/>
        <v>84</v>
      </c>
      <c r="M28" s="13">
        <f t="shared" si="7"/>
        <v>88</v>
      </c>
      <c r="N28" s="13">
        <f t="shared" si="7"/>
        <v>98</v>
      </c>
      <c r="O28" s="13">
        <f t="shared" si="7"/>
        <v>80</v>
      </c>
      <c r="P28" s="13">
        <f t="shared" si="7"/>
        <v>99</v>
      </c>
      <c r="Q28" s="13">
        <f t="shared" si="7"/>
        <v>101</v>
      </c>
      <c r="R28" s="13">
        <f t="shared" si="7"/>
        <v>91</v>
      </c>
      <c r="S28" s="13">
        <f t="shared" si="7"/>
        <v>104</v>
      </c>
      <c r="T28" s="13">
        <f t="shared" si="7"/>
        <v>87</v>
      </c>
      <c r="U28" s="13">
        <f t="shared" si="7"/>
        <v>95</v>
      </c>
      <c r="V28" s="13">
        <f t="shared" si="7"/>
        <v>104</v>
      </c>
      <c r="W28" s="13">
        <f t="shared" si="7"/>
        <v>86</v>
      </c>
      <c r="X28" s="13">
        <f t="shared" si="7"/>
        <v>101</v>
      </c>
      <c r="Y28" s="13">
        <f t="shared" si="7"/>
        <v>86</v>
      </c>
      <c r="Z28" s="13">
        <f t="shared" si="7"/>
        <v>99</v>
      </c>
      <c r="AA28" s="13">
        <f t="shared" si="7"/>
        <v>102</v>
      </c>
      <c r="AB28" s="13">
        <f t="shared" si="7"/>
        <v>110</v>
      </c>
      <c r="AC28" s="13">
        <f t="shared" si="7"/>
        <v>83</v>
      </c>
      <c r="AD28" s="13">
        <f t="shared" si="7"/>
        <v>93</v>
      </c>
      <c r="AE28" s="13">
        <f t="shared" si="7"/>
        <v>119</v>
      </c>
      <c r="AF28" s="13">
        <f t="shared" si="7"/>
        <v>105</v>
      </c>
      <c r="AG28" s="13">
        <f t="shared" si="7"/>
        <v>93</v>
      </c>
      <c r="AH28" s="13">
        <f t="shared" si="7"/>
        <v>117</v>
      </c>
      <c r="AI28" s="13">
        <f t="shared" si="3"/>
        <v>2871</v>
      </c>
    </row>
    <row r="29" ht="12.75" customHeight="1">
      <c r="A29" s="35"/>
      <c r="B29" s="27"/>
      <c r="C29" s="34"/>
      <c r="D29" s="13" t="s">
        <v>12</v>
      </c>
      <c r="E29" s="13">
        <f t="shared" ref="E29:AH29" si="8">SUM(E20,E23,E26)</f>
        <v>98</v>
      </c>
      <c r="F29" s="13">
        <f t="shared" si="8"/>
        <v>62</v>
      </c>
      <c r="G29" s="13">
        <f t="shared" si="8"/>
        <v>113</v>
      </c>
      <c r="H29" s="13">
        <f t="shared" si="8"/>
        <v>108</v>
      </c>
      <c r="I29" s="13">
        <f t="shared" si="8"/>
        <v>111</v>
      </c>
      <c r="J29" s="13">
        <f t="shared" si="8"/>
        <v>109</v>
      </c>
      <c r="K29" s="13">
        <f t="shared" si="8"/>
        <v>124</v>
      </c>
      <c r="L29" s="13">
        <f t="shared" si="8"/>
        <v>114</v>
      </c>
      <c r="M29" s="13">
        <f t="shared" si="8"/>
        <v>110</v>
      </c>
      <c r="N29" s="13">
        <f t="shared" si="8"/>
        <v>103</v>
      </c>
      <c r="O29" s="13">
        <f t="shared" si="8"/>
        <v>97</v>
      </c>
      <c r="P29" s="13">
        <f t="shared" si="8"/>
        <v>99</v>
      </c>
      <c r="Q29" s="13">
        <f t="shared" si="8"/>
        <v>118</v>
      </c>
      <c r="R29" s="13">
        <f t="shared" si="8"/>
        <v>112</v>
      </c>
      <c r="S29" s="13">
        <f t="shared" si="8"/>
        <v>122</v>
      </c>
      <c r="T29" s="13">
        <f t="shared" si="8"/>
        <v>102</v>
      </c>
      <c r="U29" s="13">
        <f t="shared" si="8"/>
        <v>114</v>
      </c>
      <c r="V29" s="13">
        <f t="shared" si="8"/>
        <v>112</v>
      </c>
      <c r="W29" s="13">
        <f t="shared" si="8"/>
        <v>100</v>
      </c>
      <c r="X29" s="13">
        <f t="shared" si="8"/>
        <v>101</v>
      </c>
      <c r="Y29" s="13">
        <f t="shared" si="8"/>
        <v>104</v>
      </c>
      <c r="Z29" s="13">
        <f t="shared" si="8"/>
        <v>113</v>
      </c>
      <c r="AA29" s="13">
        <f t="shared" si="8"/>
        <v>104</v>
      </c>
      <c r="AB29" s="13">
        <f t="shared" si="8"/>
        <v>112</v>
      </c>
      <c r="AC29" s="13">
        <f t="shared" si="8"/>
        <v>104</v>
      </c>
      <c r="AD29" s="13">
        <f t="shared" si="8"/>
        <v>127</v>
      </c>
      <c r="AE29" s="13">
        <f t="shared" si="8"/>
        <v>124</v>
      </c>
      <c r="AF29" s="13">
        <f t="shared" si="8"/>
        <v>102</v>
      </c>
      <c r="AG29" s="13">
        <f t="shared" si="8"/>
        <v>126</v>
      </c>
      <c r="AH29" s="13">
        <f t="shared" si="8"/>
        <v>121</v>
      </c>
      <c r="AI29" s="13">
        <f t="shared" si="3"/>
        <v>3266</v>
      </c>
    </row>
    <row r="30" ht="12.75" customHeight="1">
      <c r="A30" s="35"/>
      <c r="B30" s="28"/>
      <c r="C30" s="36"/>
      <c r="D30" s="13" t="s">
        <v>13</v>
      </c>
      <c r="E30" s="13">
        <f t="shared" ref="E30:AH30" si="9">SUM(E28:E29)</f>
        <v>182</v>
      </c>
      <c r="F30" s="13">
        <f t="shared" si="9"/>
        <v>127</v>
      </c>
      <c r="G30" s="13">
        <f t="shared" si="9"/>
        <v>209</v>
      </c>
      <c r="H30" s="13">
        <f t="shared" si="9"/>
        <v>203</v>
      </c>
      <c r="I30" s="13">
        <f t="shared" si="9"/>
        <v>210</v>
      </c>
      <c r="J30" s="13">
        <f t="shared" si="9"/>
        <v>205</v>
      </c>
      <c r="K30" s="13">
        <f t="shared" si="9"/>
        <v>235</v>
      </c>
      <c r="L30" s="13">
        <f t="shared" si="9"/>
        <v>198</v>
      </c>
      <c r="M30" s="13">
        <f t="shared" si="9"/>
        <v>198</v>
      </c>
      <c r="N30" s="13">
        <f t="shared" si="9"/>
        <v>201</v>
      </c>
      <c r="O30" s="13">
        <f t="shared" si="9"/>
        <v>177</v>
      </c>
      <c r="P30" s="13">
        <f t="shared" si="9"/>
        <v>198</v>
      </c>
      <c r="Q30" s="13">
        <f t="shared" si="9"/>
        <v>219</v>
      </c>
      <c r="R30" s="13">
        <f t="shared" si="9"/>
        <v>203</v>
      </c>
      <c r="S30" s="13">
        <f t="shared" si="9"/>
        <v>226</v>
      </c>
      <c r="T30" s="13">
        <f t="shared" si="9"/>
        <v>189</v>
      </c>
      <c r="U30" s="13">
        <f t="shared" si="9"/>
        <v>209</v>
      </c>
      <c r="V30" s="13">
        <f t="shared" si="9"/>
        <v>216</v>
      </c>
      <c r="W30" s="13">
        <f t="shared" si="9"/>
        <v>186</v>
      </c>
      <c r="X30" s="13">
        <f t="shared" si="9"/>
        <v>202</v>
      </c>
      <c r="Y30" s="13">
        <f t="shared" si="9"/>
        <v>190</v>
      </c>
      <c r="Z30" s="13">
        <f t="shared" si="9"/>
        <v>212</v>
      </c>
      <c r="AA30" s="13">
        <f t="shared" si="9"/>
        <v>206</v>
      </c>
      <c r="AB30" s="13">
        <f t="shared" si="9"/>
        <v>222</v>
      </c>
      <c r="AC30" s="13">
        <f t="shared" si="9"/>
        <v>187</v>
      </c>
      <c r="AD30" s="13">
        <f t="shared" si="9"/>
        <v>220</v>
      </c>
      <c r="AE30" s="13">
        <f t="shared" si="9"/>
        <v>243</v>
      </c>
      <c r="AF30" s="13">
        <f t="shared" si="9"/>
        <v>207</v>
      </c>
      <c r="AG30" s="13">
        <f t="shared" si="9"/>
        <v>219</v>
      </c>
      <c r="AH30" s="13">
        <f t="shared" si="9"/>
        <v>238</v>
      </c>
      <c r="AI30" s="13">
        <f t="shared" si="3"/>
        <v>6137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5"/>
    </row>
    <row r="33" ht="12.75" customHeight="1">
      <c r="A33" s="19">
        <v>1.0</v>
      </c>
      <c r="B33" s="20" t="s">
        <v>26</v>
      </c>
      <c r="C33" s="15"/>
      <c r="D33" s="16"/>
      <c r="E33" s="73">
        <v>260.0</v>
      </c>
      <c r="F33" s="73">
        <v>186.0</v>
      </c>
      <c r="G33" s="73">
        <v>294.0</v>
      </c>
      <c r="H33" s="73">
        <v>289.0</v>
      </c>
      <c r="I33" s="73">
        <v>284.0</v>
      </c>
      <c r="J33" s="73">
        <v>281.0</v>
      </c>
      <c r="K33" s="73">
        <v>292.0</v>
      </c>
      <c r="L33" s="73">
        <v>285.0</v>
      </c>
      <c r="M33" s="73">
        <v>281.0</v>
      </c>
      <c r="N33" s="73">
        <v>282.0</v>
      </c>
      <c r="O33" s="73">
        <v>231.0</v>
      </c>
      <c r="P33" s="73">
        <v>280.0</v>
      </c>
      <c r="Q33" s="73">
        <v>262.0</v>
      </c>
      <c r="R33" s="73">
        <v>282.0</v>
      </c>
      <c r="S33" s="73">
        <v>306.0</v>
      </c>
      <c r="T33" s="73">
        <v>275.0</v>
      </c>
      <c r="U33" s="73">
        <v>283.0</v>
      </c>
      <c r="V33" s="73">
        <v>287.0</v>
      </c>
      <c r="W33" s="73">
        <v>265.0</v>
      </c>
      <c r="X33" s="73">
        <v>279.0</v>
      </c>
      <c r="Y33" s="73">
        <v>290.0</v>
      </c>
      <c r="Z33" s="73">
        <v>300.0</v>
      </c>
      <c r="AA33" s="73">
        <v>276.0</v>
      </c>
      <c r="AB33" s="73">
        <v>295.0</v>
      </c>
      <c r="AC33" s="73">
        <v>290.0</v>
      </c>
      <c r="AD33" s="73">
        <v>296.0</v>
      </c>
      <c r="AE33" s="73">
        <v>297.0</v>
      </c>
      <c r="AF33" s="73">
        <v>295.0</v>
      </c>
      <c r="AG33" s="73">
        <v>276.0</v>
      </c>
      <c r="AH33" s="73">
        <v>296.0</v>
      </c>
      <c r="AI33" s="13">
        <f t="shared" ref="AI33:AI36" si="10">SUM(E33:AH33)</f>
        <v>8395</v>
      </c>
    </row>
    <row r="34" ht="12.75" customHeight="1">
      <c r="A34" s="19">
        <v>2.0</v>
      </c>
      <c r="B34" s="20" t="s">
        <v>27</v>
      </c>
      <c r="C34" s="15"/>
      <c r="D34" s="16"/>
      <c r="E34" s="77">
        <v>182.0</v>
      </c>
      <c r="F34" s="77">
        <v>127.0</v>
      </c>
      <c r="G34" s="77">
        <v>209.0</v>
      </c>
      <c r="H34" s="77">
        <v>203.0</v>
      </c>
      <c r="I34" s="77">
        <v>210.0</v>
      </c>
      <c r="J34" s="77">
        <v>205.0</v>
      </c>
      <c r="K34" s="77">
        <v>235.0</v>
      </c>
      <c r="L34" s="77">
        <v>198.0</v>
      </c>
      <c r="M34" s="77">
        <v>198.0</v>
      </c>
      <c r="N34" s="77">
        <v>201.0</v>
      </c>
      <c r="O34" s="77">
        <v>177.0</v>
      </c>
      <c r="P34" s="77">
        <v>198.0</v>
      </c>
      <c r="Q34" s="77">
        <v>219.0</v>
      </c>
      <c r="R34" s="77">
        <v>203.0</v>
      </c>
      <c r="S34" s="77">
        <v>226.0</v>
      </c>
      <c r="T34" s="77">
        <v>189.0</v>
      </c>
      <c r="U34" s="77">
        <v>209.0</v>
      </c>
      <c r="V34" s="77">
        <v>216.0</v>
      </c>
      <c r="W34" s="77">
        <v>186.0</v>
      </c>
      <c r="X34" s="77">
        <v>202.0</v>
      </c>
      <c r="Y34" s="77">
        <v>190.0</v>
      </c>
      <c r="Z34" s="77">
        <v>212.0</v>
      </c>
      <c r="AA34" s="77">
        <v>206.0</v>
      </c>
      <c r="AB34" s="77">
        <v>222.0</v>
      </c>
      <c r="AC34" s="77">
        <v>187.0</v>
      </c>
      <c r="AD34" s="77">
        <v>220.0</v>
      </c>
      <c r="AE34" s="77">
        <v>243.0</v>
      </c>
      <c r="AF34" s="77">
        <v>207.0</v>
      </c>
      <c r="AG34" s="77">
        <v>219.0</v>
      </c>
      <c r="AH34" s="77">
        <v>238.0</v>
      </c>
      <c r="AI34" s="13">
        <f t="shared" si="10"/>
        <v>6137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1.0</v>
      </c>
      <c r="K35" s="73">
        <v>0.0</v>
      </c>
      <c r="L35" s="73">
        <v>0.0</v>
      </c>
      <c r="M35" s="73">
        <v>3.0</v>
      </c>
      <c r="N35" s="73">
        <v>0.0</v>
      </c>
      <c r="O35" s="73">
        <v>0.0</v>
      </c>
      <c r="P35" s="73">
        <v>0.0</v>
      </c>
      <c r="Q35" s="73">
        <v>0.0</v>
      </c>
      <c r="R35" s="73">
        <v>1.0</v>
      </c>
      <c r="S35" s="73">
        <v>2.0</v>
      </c>
      <c r="T35" s="73">
        <v>0.0</v>
      </c>
      <c r="U35" s="73">
        <v>0.0</v>
      </c>
      <c r="V35" s="73">
        <v>3.0</v>
      </c>
      <c r="W35" s="73">
        <v>0.0</v>
      </c>
      <c r="X35" s="73">
        <v>0.0</v>
      </c>
      <c r="Y35" s="73">
        <v>0.0</v>
      </c>
      <c r="Z35" s="73">
        <v>0.0</v>
      </c>
      <c r="AA35" s="73">
        <v>0.0</v>
      </c>
      <c r="AB35" s="73">
        <v>1.0</v>
      </c>
      <c r="AC35" s="73">
        <v>0.0</v>
      </c>
      <c r="AD35" s="73">
        <v>0.0</v>
      </c>
      <c r="AE35" s="73">
        <v>1.0</v>
      </c>
      <c r="AF35" s="73">
        <v>1.0</v>
      </c>
      <c r="AG35" s="73">
        <v>0.0</v>
      </c>
      <c r="AH35" s="73">
        <v>0.0</v>
      </c>
      <c r="AI35" s="13">
        <f t="shared" si="10"/>
        <v>13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H36" si="11">E33-(E34+E35)</f>
        <v>78</v>
      </c>
      <c r="F36" s="13">
        <f t="shared" si="11"/>
        <v>59</v>
      </c>
      <c r="G36" s="13">
        <f t="shared" si="11"/>
        <v>85</v>
      </c>
      <c r="H36" s="13">
        <f t="shared" si="11"/>
        <v>86</v>
      </c>
      <c r="I36" s="13">
        <f t="shared" si="11"/>
        <v>74</v>
      </c>
      <c r="J36" s="13">
        <f t="shared" si="11"/>
        <v>75</v>
      </c>
      <c r="K36" s="13">
        <f t="shared" si="11"/>
        <v>57</v>
      </c>
      <c r="L36" s="13">
        <f t="shared" si="11"/>
        <v>87</v>
      </c>
      <c r="M36" s="13">
        <f t="shared" si="11"/>
        <v>80</v>
      </c>
      <c r="N36" s="13">
        <f t="shared" si="11"/>
        <v>81</v>
      </c>
      <c r="O36" s="13">
        <f t="shared" si="11"/>
        <v>54</v>
      </c>
      <c r="P36" s="13">
        <f t="shared" si="11"/>
        <v>82</v>
      </c>
      <c r="Q36" s="13">
        <f t="shared" si="11"/>
        <v>43</v>
      </c>
      <c r="R36" s="13">
        <f t="shared" si="11"/>
        <v>78</v>
      </c>
      <c r="S36" s="13">
        <f t="shared" si="11"/>
        <v>78</v>
      </c>
      <c r="T36" s="13">
        <f t="shared" si="11"/>
        <v>86</v>
      </c>
      <c r="U36" s="13">
        <f t="shared" si="11"/>
        <v>74</v>
      </c>
      <c r="V36" s="13">
        <f t="shared" si="11"/>
        <v>68</v>
      </c>
      <c r="W36" s="13">
        <f t="shared" si="11"/>
        <v>79</v>
      </c>
      <c r="X36" s="13">
        <f t="shared" si="11"/>
        <v>77</v>
      </c>
      <c r="Y36" s="13">
        <f t="shared" si="11"/>
        <v>100</v>
      </c>
      <c r="Z36" s="13">
        <f t="shared" si="11"/>
        <v>88</v>
      </c>
      <c r="AA36" s="13">
        <f t="shared" si="11"/>
        <v>70</v>
      </c>
      <c r="AB36" s="13">
        <f t="shared" si="11"/>
        <v>72</v>
      </c>
      <c r="AC36" s="13">
        <f t="shared" si="11"/>
        <v>103</v>
      </c>
      <c r="AD36" s="13">
        <f t="shared" si="11"/>
        <v>76</v>
      </c>
      <c r="AE36" s="13">
        <f t="shared" si="11"/>
        <v>53</v>
      </c>
      <c r="AF36" s="13">
        <f t="shared" si="11"/>
        <v>87</v>
      </c>
      <c r="AG36" s="13">
        <f t="shared" si="11"/>
        <v>57</v>
      </c>
      <c r="AH36" s="13">
        <f t="shared" si="11"/>
        <v>58</v>
      </c>
      <c r="AI36" s="13">
        <f t="shared" si="10"/>
        <v>2245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5"/>
    </row>
    <row r="39" ht="12.75" customHeight="1">
      <c r="A39" s="30"/>
      <c r="B39" s="43" t="s">
        <v>32</v>
      </c>
      <c r="C39" s="23"/>
      <c r="D39" s="19" t="s">
        <v>11</v>
      </c>
      <c r="E39" s="73">
        <v>0.0</v>
      </c>
      <c r="F39" s="73">
        <v>0.0</v>
      </c>
      <c r="G39" s="73">
        <v>1.0</v>
      </c>
      <c r="H39" s="73">
        <v>0.0</v>
      </c>
      <c r="I39" s="73">
        <v>0.0</v>
      </c>
      <c r="J39" s="73">
        <v>1.0</v>
      </c>
      <c r="K39" s="73">
        <v>0.0</v>
      </c>
      <c r="L39" s="73">
        <v>1.0</v>
      </c>
      <c r="M39" s="73">
        <v>0.0</v>
      </c>
      <c r="N39" s="73">
        <v>0.0</v>
      </c>
      <c r="O39" s="73">
        <v>1.0</v>
      </c>
      <c r="P39" s="73">
        <v>0.0</v>
      </c>
      <c r="Q39" s="73">
        <v>1.0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1.0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0.0</v>
      </c>
      <c r="AD39" s="73">
        <v>0.0</v>
      </c>
      <c r="AE39" s="73">
        <v>0.0</v>
      </c>
      <c r="AF39" s="73">
        <v>0.0</v>
      </c>
      <c r="AG39" s="73">
        <v>1.0</v>
      </c>
      <c r="AH39" s="73">
        <v>0.0</v>
      </c>
      <c r="AI39" s="13">
        <f t="shared" ref="AI39:AI41" si="12">SUM(E39:AH39)</f>
        <v>7</v>
      </c>
    </row>
    <row r="40" ht="12.75" customHeight="1">
      <c r="A40" s="33"/>
      <c r="C40" s="27"/>
      <c r="D40" s="19" t="s">
        <v>12</v>
      </c>
      <c r="E40" s="73">
        <v>1.0</v>
      </c>
      <c r="F40" s="73">
        <v>2.0</v>
      </c>
      <c r="G40" s="73">
        <v>3.0</v>
      </c>
      <c r="H40" s="73">
        <v>1.0</v>
      </c>
      <c r="I40" s="73">
        <v>0.0</v>
      </c>
      <c r="J40" s="73">
        <v>0.0</v>
      </c>
      <c r="K40" s="73">
        <v>0.0</v>
      </c>
      <c r="L40" s="73">
        <v>1.0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2.0</v>
      </c>
      <c r="Z40" s="73">
        <v>0.0</v>
      </c>
      <c r="AA40" s="73">
        <v>0.0</v>
      </c>
      <c r="AB40" s="73">
        <v>0.0</v>
      </c>
      <c r="AC40" s="73">
        <v>0.0</v>
      </c>
      <c r="AD40" s="73">
        <v>0.0</v>
      </c>
      <c r="AE40" s="73">
        <v>0.0</v>
      </c>
      <c r="AF40" s="73">
        <v>0.0</v>
      </c>
      <c r="AG40" s="73">
        <v>0.0</v>
      </c>
      <c r="AH40" s="73">
        <v>0.0</v>
      </c>
      <c r="AI40" s="13">
        <f t="shared" si="12"/>
        <v>10</v>
      </c>
    </row>
    <row r="41" ht="12.75" customHeight="1">
      <c r="A41" s="41"/>
      <c r="B41" s="44"/>
      <c r="C41" s="28"/>
      <c r="D41" s="13" t="s">
        <v>13</v>
      </c>
      <c r="E41" s="13">
        <f t="shared" ref="E41:AH41" si="13">SUM(E39:E40)</f>
        <v>1</v>
      </c>
      <c r="F41" s="13">
        <f t="shared" si="13"/>
        <v>2</v>
      </c>
      <c r="G41" s="13">
        <f t="shared" si="13"/>
        <v>4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9"/>
      <c r="X42" s="74"/>
      <c r="Y42" s="74"/>
      <c r="Z42" s="19"/>
      <c r="AA42" s="74"/>
      <c r="AB42" s="19"/>
      <c r="AC42" s="74"/>
      <c r="AD42" s="19"/>
      <c r="AE42" s="74"/>
      <c r="AF42" s="19"/>
      <c r="AG42" s="74"/>
      <c r="AH42" s="19"/>
      <c r="AI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  <c r="X43" s="76"/>
      <c r="Y43" s="76"/>
      <c r="Z43" s="13"/>
      <c r="AA43" s="76"/>
      <c r="AB43" s="13"/>
      <c r="AC43" s="76"/>
      <c r="AD43" s="13"/>
      <c r="AE43" s="76"/>
      <c r="AF43" s="13"/>
      <c r="AG43" s="76"/>
      <c r="AH43" s="13"/>
      <c r="AI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9"/>
      <c r="X44" s="74"/>
      <c r="Y44" s="74"/>
      <c r="Z44" s="19"/>
      <c r="AA44" s="74"/>
      <c r="AB44" s="19"/>
      <c r="AC44" s="74"/>
      <c r="AD44" s="19"/>
      <c r="AE44" s="74"/>
      <c r="AF44" s="19"/>
      <c r="AG44" s="74"/>
      <c r="AH44" s="19"/>
      <c r="AI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4.0</v>
      </c>
      <c r="F45" s="73">
        <v>2.0</v>
      </c>
      <c r="G45" s="73">
        <v>6.0</v>
      </c>
      <c r="H45" s="73">
        <v>4.0</v>
      </c>
      <c r="I45" s="73">
        <v>5.0</v>
      </c>
      <c r="J45" s="73">
        <v>11.0</v>
      </c>
      <c r="K45" s="73">
        <v>7.0</v>
      </c>
      <c r="L45" s="73">
        <v>1.0</v>
      </c>
      <c r="M45" s="73">
        <v>4.0</v>
      </c>
      <c r="N45" s="73">
        <v>5.0</v>
      </c>
      <c r="O45" s="73">
        <v>5.0</v>
      </c>
      <c r="P45" s="73">
        <v>5.0</v>
      </c>
      <c r="Q45" s="73">
        <v>8.0</v>
      </c>
      <c r="R45" s="73">
        <v>2.0</v>
      </c>
      <c r="S45" s="73">
        <v>12.0</v>
      </c>
      <c r="T45" s="73">
        <v>6.0</v>
      </c>
      <c r="U45" s="73">
        <v>4.0</v>
      </c>
      <c r="V45" s="73">
        <v>3.0</v>
      </c>
      <c r="W45" s="73">
        <v>4.0</v>
      </c>
      <c r="X45" s="73">
        <v>5.0</v>
      </c>
      <c r="Y45" s="73">
        <v>3.0</v>
      </c>
      <c r="Z45" s="73">
        <v>4.0</v>
      </c>
      <c r="AA45" s="73">
        <v>2.0</v>
      </c>
      <c r="AB45" s="73">
        <v>3.0</v>
      </c>
      <c r="AC45" s="73">
        <v>4.0</v>
      </c>
      <c r="AD45" s="73">
        <v>2.0</v>
      </c>
      <c r="AE45" s="73">
        <v>5.0</v>
      </c>
      <c r="AF45" s="73">
        <v>10.0</v>
      </c>
      <c r="AG45" s="73">
        <v>5.0</v>
      </c>
      <c r="AH45" s="73">
        <v>3.0</v>
      </c>
      <c r="AI45" s="13">
        <f t="shared" ref="AI45:AI54" si="14">SUM(E45:AH45)</f>
        <v>144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9.0</v>
      </c>
      <c r="F46" s="73">
        <v>3.0</v>
      </c>
      <c r="G46" s="73">
        <v>14.0</v>
      </c>
      <c r="H46" s="73">
        <v>20.0</v>
      </c>
      <c r="I46" s="73">
        <v>15.0</v>
      </c>
      <c r="J46" s="73">
        <v>17.0</v>
      </c>
      <c r="K46" s="73">
        <v>30.0</v>
      </c>
      <c r="L46" s="73">
        <v>12.0</v>
      </c>
      <c r="M46" s="73">
        <v>14.0</v>
      </c>
      <c r="N46" s="73">
        <v>11.0</v>
      </c>
      <c r="O46" s="73">
        <v>10.0</v>
      </c>
      <c r="P46" s="73">
        <v>17.0</v>
      </c>
      <c r="Q46" s="73">
        <v>11.0</v>
      </c>
      <c r="R46" s="73">
        <v>9.0</v>
      </c>
      <c r="S46" s="73">
        <v>15.0</v>
      </c>
      <c r="T46" s="73">
        <v>29.0</v>
      </c>
      <c r="U46" s="73">
        <v>20.0</v>
      </c>
      <c r="V46" s="73">
        <v>23.0</v>
      </c>
      <c r="W46" s="73">
        <v>20.0</v>
      </c>
      <c r="X46" s="73">
        <v>9.0</v>
      </c>
      <c r="Y46" s="73">
        <v>13.0</v>
      </c>
      <c r="Z46" s="73">
        <v>10.0</v>
      </c>
      <c r="AA46" s="73">
        <v>11.0</v>
      </c>
      <c r="AB46" s="73">
        <v>17.0</v>
      </c>
      <c r="AC46" s="73">
        <v>21.0</v>
      </c>
      <c r="AD46" s="73">
        <v>18.0</v>
      </c>
      <c r="AE46" s="73">
        <v>9.0</v>
      </c>
      <c r="AF46" s="73">
        <v>12.0</v>
      </c>
      <c r="AG46" s="73">
        <v>7.0</v>
      </c>
      <c r="AH46" s="73">
        <v>6.0</v>
      </c>
      <c r="AI46" s="13">
        <f t="shared" si="14"/>
        <v>432</v>
      </c>
    </row>
    <row r="47" ht="12.75" customHeight="1">
      <c r="A47" s="18"/>
      <c r="B47" s="49"/>
      <c r="C47" s="50" t="s">
        <v>40</v>
      </c>
      <c r="D47" s="51"/>
      <c r="E47" s="73">
        <v>1.0</v>
      </c>
      <c r="F47" s="73">
        <v>1.0</v>
      </c>
      <c r="G47" s="73">
        <v>2.0</v>
      </c>
      <c r="H47" s="73">
        <v>1.0</v>
      </c>
      <c r="I47" s="73">
        <v>0.0</v>
      </c>
      <c r="J47" s="73">
        <v>1.0</v>
      </c>
      <c r="K47" s="73">
        <v>1.0</v>
      </c>
      <c r="L47" s="73">
        <v>1.0</v>
      </c>
      <c r="M47" s="73">
        <v>1.0</v>
      </c>
      <c r="N47" s="73">
        <v>1.0</v>
      </c>
      <c r="O47" s="73">
        <v>1.0</v>
      </c>
      <c r="P47" s="73">
        <v>0.0</v>
      </c>
      <c r="Q47" s="73">
        <v>0.0</v>
      </c>
      <c r="R47" s="73">
        <v>0.0</v>
      </c>
      <c r="S47" s="73">
        <v>0.0</v>
      </c>
      <c r="T47" s="73">
        <v>0.0</v>
      </c>
      <c r="U47" s="73">
        <v>0.0</v>
      </c>
      <c r="V47" s="73">
        <v>0.0</v>
      </c>
      <c r="W47" s="73">
        <v>0.0</v>
      </c>
      <c r="X47" s="73">
        <v>0.0</v>
      </c>
      <c r="Y47" s="73">
        <v>0.0</v>
      </c>
      <c r="Z47" s="73">
        <v>0.0</v>
      </c>
      <c r="AA47" s="73">
        <v>1.0</v>
      </c>
      <c r="AB47" s="73">
        <v>0.0</v>
      </c>
      <c r="AC47" s="73">
        <v>3.0</v>
      </c>
      <c r="AD47" s="73">
        <v>0.0</v>
      </c>
      <c r="AE47" s="73">
        <v>3.0</v>
      </c>
      <c r="AF47" s="73">
        <v>2.0</v>
      </c>
      <c r="AG47" s="73">
        <v>0.0</v>
      </c>
      <c r="AH47" s="73">
        <v>2.0</v>
      </c>
      <c r="AI47" s="13">
        <f t="shared" si="14"/>
        <v>22</v>
      </c>
    </row>
    <row r="48" ht="12.75" customHeight="1">
      <c r="A48" s="18"/>
      <c r="B48" s="49"/>
      <c r="C48" s="50" t="s">
        <v>41</v>
      </c>
      <c r="D48" s="51"/>
      <c r="E48" s="73">
        <v>1.0</v>
      </c>
      <c r="F48" s="73">
        <v>0.0</v>
      </c>
      <c r="G48" s="73">
        <v>0.0</v>
      </c>
      <c r="H48" s="73">
        <v>1.0</v>
      </c>
      <c r="I48" s="73">
        <v>0.0</v>
      </c>
      <c r="J48" s="73">
        <v>1.0</v>
      </c>
      <c r="K48" s="73">
        <v>2.0</v>
      </c>
      <c r="L48" s="73">
        <v>1.0</v>
      </c>
      <c r="M48" s="73">
        <v>0.0</v>
      </c>
      <c r="N48" s="73">
        <v>1.0</v>
      </c>
      <c r="O48" s="73">
        <v>0.0</v>
      </c>
      <c r="P48" s="73">
        <v>0.0</v>
      </c>
      <c r="Q48" s="73">
        <v>0.0</v>
      </c>
      <c r="R48" s="73">
        <v>0.0</v>
      </c>
      <c r="S48" s="73">
        <v>2.0</v>
      </c>
      <c r="T48" s="73">
        <v>1.0</v>
      </c>
      <c r="U48" s="73">
        <v>0.0</v>
      </c>
      <c r="V48" s="73">
        <v>0.0</v>
      </c>
      <c r="W48" s="73">
        <v>1.0</v>
      </c>
      <c r="X48" s="73">
        <v>0.0</v>
      </c>
      <c r="Y48" s="73">
        <v>0.0</v>
      </c>
      <c r="Z48" s="73">
        <v>2.0</v>
      </c>
      <c r="AA48" s="73">
        <v>1.0</v>
      </c>
      <c r="AB48" s="73">
        <v>0.0</v>
      </c>
      <c r="AC48" s="73">
        <v>1.0</v>
      </c>
      <c r="AD48" s="73">
        <v>0.0</v>
      </c>
      <c r="AE48" s="73">
        <v>0.0</v>
      </c>
      <c r="AF48" s="73">
        <v>1.0</v>
      </c>
      <c r="AG48" s="73">
        <v>0.0</v>
      </c>
      <c r="AH48" s="73">
        <v>1.0</v>
      </c>
      <c r="AI48" s="13">
        <f t="shared" si="14"/>
        <v>17</v>
      </c>
    </row>
    <row r="49" ht="12.75" customHeight="1">
      <c r="A49" s="18"/>
      <c r="B49" s="49"/>
      <c r="C49" s="50" t="s">
        <v>42</v>
      </c>
      <c r="D49" s="51"/>
      <c r="E49" s="73">
        <v>0.0</v>
      </c>
      <c r="F49" s="73">
        <v>1.0</v>
      </c>
      <c r="G49" s="73">
        <v>1.0</v>
      </c>
      <c r="H49" s="73">
        <v>1.0</v>
      </c>
      <c r="I49" s="73">
        <v>1.0</v>
      </c>
      <c r="J49" s="73">
        <v>2.0</v>
      </c>
      <c r="K49" s="73">
        <v>0.0</v>
      </c>
      <c r="L49" s="73">
        <v>0.0</v>
      </c>
      <c r="M49" s="73">
        <v>0.0</v>
      </c>
      <c r="N49" s="73">
        <v>1.0</v>
      </c>
      <c r="O49" s="73">
        <v>0.0</v>
      </c>
      <c r="P49" s="73">
        <v>2.0</v>
      </c>
      <c r="Q49" s="73">
        <v>1.0</v>
      </c>
      <c r="R49" s="73">
        <v>0.0</v>
      </c>
      <c r="S49" s="73">
        <v>0.0</v>
      </c>
      <c r="T49" s="73">
        <v>0.0</v>
      </c>
      <c r="U49" s="73">
        <v>0.0</v>
      </c>
      <c r="V49" s="73">
        <v>3.0</v>
      </c>
      <c r="W49" s="73">
        <v>2.0</v>
      </c>
      <c r="X49" s="73">
        <v>1.0</v>
      </c>
      <c r="Y49" s="73">
        <v>0.0</v>
      </c>
      <c r="Z49" s="73">
        <v>0.0</v>
      </c>
      <c r="AA49" s="73">
        <v>0.0</v>
      </c>
      <c r="AB49" s="73">
        <v>0.0</v>
      </c>
      <c r="AC49" s="73">
        <v>1.0</v>
      </c>
      <c r="AD49" s="73">
        <v>1.0</v>
      </c>
      <c r="AE49" s="73">
        <v>1.0</v>
      </c>
      <c r="AF49" s="73">
        <v>1.0</v>
      </c>
      <c r="AG49" s="73">
        <v>0.0</v>
      </c>
      <c r="AH49" s="73">
        <v>1.0</v>
      </c>
      <c r="AI49" s="13">
        <f t="shared" si="14"/>
        <v>21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1.0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1.0</v>
      </c>
      <c r="R50" s="73">
        <v>0.0</v>
      </c>
      <c r="S50" s="73">
        <v>1.0</v>
      </c>
      <c r="T50" s="73">
        <v>0.0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0.0</v>
      </c>
      <c r="AA50" s="73">
        <v>1.0</v>
      </c>
      <c r="AB50" s="73">
        <v>0.0</v>
      </c>
      <c r="AC50" s="73">
        <v>0.0</v>
      </c>
      <c r="AD50" s="73">
        <v>2.0</v>
      </c>
      <c r="AE50" s="73">
        <v>2.0</v>
      </c>
      <c r="AF50" s="73">
        <v>0.0</v>
      </c>
      <c r="AG50" s="73">
        <v>0.0</v>
      </c>
      <c r="AH50" s="73">
        <v>0.0</v>
      </c>
      <c r="AI50" s="13">
        <f t="shared" si="14"/>
        <v>8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0.0</v>
      </c>
      <c r="H51" s="73">
        <v>1.0</v>
      </c>
      <c r="I51" s="73">
        <v>2.0</v>
      </c>
      <c r="J51" s="73">
        <v>0.0</v>
      </c>
      <c r="K51" s="73">
        <v>0.0</v>
      </c>
      <c r="L51" s="73">
        <v>0.0</v>
      </c>
      <c r="M51" s="73">
        <v>1.0</v>
      </c>
      <c r="N51" s="73">
        <v>0.0</v>
      </c>
      <c r="O51" s="73">
        <v>1.0</v>
      </c>
      <c r="P51" s="73">
        <v>2.0</v>
      </c>
      <c r="Q51" s="73">
        <v>0.0</v>
      </c>
      <c r="R51" s="73">
        <v>0.0</v>
      </c>
      <c r="S51" s="73">
        <v>1.0</v>
      </c>
      <c r="T51" s="73">
        <v>2.0</v>
      </c>
      <c r="U51" s="73">
        <v>0.0</v>
      </c>
      <c r="V51" s="73">
        <v>0.0</v>
      </c>
      <c r="W51" s="73">
        <v>0.0</v>
      </c>
      <c r="X51" s="73">
        <v>0.0</v>
      </c>
      <c r="Y51" s="73">
        <v>0.0</v>
      </c>
      <c r="Z51" s="73">
        <v>1.0</v>
      </c>
      <c r="AA51" s="73">
        <v>1.0</v>
      </c>
      <c r="AB51" s="73">
        <v>0.0</v>
      </c>
      <c r="AC51" s="73">
        <v>0.0</v>
      </c>
      <c r="AD51" s="73">
        <v>0.0</v>
      </c>
      <c r="AE51" s="73">
        <v>1.0</v>
      </c>
      <c r="AF51" s="73">
        <v>2.0</v>
      </c>
      <c r="AG51" s="73">
        <v>0.0</v>
      </c>
      <c r="AH51" s="73">
        <v>0.0</v>
      </c>
      <c r="AI51" s="13">
        <f t="shared" si="14"/>
        <v>15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1.0</v>
      </c>
      <c r="G52" s="80">
        <v>1.0</v>
      </c>
      <c r="H52" s="80">
        <v>0.0</v>
      </c>
      <c r="I52" s="80">
        <v>1.0</v>
      </c>
      <c r="J52" s="80">
        <v>0.0</v>
      </c>
      <c r="K52" s="80">
        <v>0.0</v>
      </c>
      <c r="L52" s="80">
        <v>0.0</v>
      </c>
      <c r="M52" s="80">
        <v>0.0</v>
      </c>
      <c r="N52" s="80">
        <v>1.0</v>
      </c>
      <c r="O52" s="80">
        <v>1.0</v>
      </c>
      <c r="P52" s="80">
        <v>1.0</v>
      </c>
      <c r="Q52" s="80">
        <v>0.0</v>
      </c>
      <c r="R52" s="80">
        <v>0.0</v>
      </c>
      <c r="S52" s="80">
        <v>0.0</v>
      </c>
      <c r="T52" s="80">
        <v>0.0</v>
      </c>
      <c r="U52" s="80">
        <v>0.0</v>
      </c>
      <c r="V52" s="80">
        <v>1.0</v>
      </c>
      <c r="W52" s="80">
        <v>0.0</v>
      </c>
      <c r="X52" s="80">
        <v>0.0</v>
      </c>
      <c r="Y52" s="80">
        <v>0.0</v>
      </c>
      <c r="Z52" s="80">
        <v>1.0</v>
      </c>
      <c r="AA52" s="80">
        <v>0.0</v>
      </c>
      <c r="AB52" s="80">
        <v>1.0</v>
      </c>
      <c r="AC52" s="80">
        <v>1.0</v>
      </c>
      <c r="AD52" s="80">
        <v>0.0</v>
      </c>
      <c r="AE52" s="80">
        <v>0.0</v>
      </c>
      <c r="AF52" s="80">
        <v>0.0</v>
      </c>
      <c r="AG52" s="80">
        <v>0.0</v>
      </c>
      <c r="AH52" s="80">
        <v>0.0</v>
      </c>
      <c r="AI52" s="13">
        <f t="shared" si="14"/>
        <v>10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0.0</v>
      </c>
      <c r="N53" s="80">
        <v>0.0</v>
      </c>
      <c r="O53" s="80">
        <v>0.0</v>
      </c>
      <c r="P53" s="80">
        <v>0.0</v>
      </c>
      <c r="Q53" s="80">
        <v>0.0</v>
      </c>
      <c r="R53" s="80">
        <v>0.0</v>
      </c>
      <c r="S53" s="80">
        <v>0.0</v>
      </c>
      <c r="T53" s="80">
        <v>0.0</v>
      </c>
      <c r="U53" s="80">
        <v>0.0</v>
      </c>
      <c r="V53" s="80">
        <v>0.0</v>
      </c>
      <c r="W53" s="80">
        <v>0.0</v>
      </c>
      <c r="X53" s="80">
        <v>0.0</v>
      </c>
      <c r="Y53" s="80">
        <v>0.0</v>
      </c>
      <c r="Z53" s="80">
        <v>0.0</v>
      </c>
      <c r="AA53" s="80">
        <v>0.0</v>
      </c>
      <c r="AB53" s="80">
        <v>0.0</v>
      </c>
      <c r="AC53" s="80">
        <v>0.0</v>
      </c>
      <c r="AD53" s="80">
        <v>0.0</v>
      </c>
      <c r="AE53" s="80">
        <v>0.0</v>
      </c>
      <c r="AF53" s="80">
        <v>0.0</v>
      </c>
      <c r="AG53" s="80">
        <v>0.0</v>
      </c>
      <c r="AH53" s="80">
        <v>0.0</v>
      </c>
      <c r="AI53" s="13">
        <f t="shared" si="14"/>
        <v>0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1.0</v>
      </c>
      <c r="H54" s="80">
        <v>0.0</v>
      </c>
      <c r="I54" s="80">
        <v>0.0</v>
      </c>
      <c r="J54" s="80">
        <v>0.0</v>
      </c>
      <c r="K54" s="80">
        <v>0.0</v>
      </c>
      <c r="L54" s="80">
        <v>0.0</v>
      </c>
      <c r="M54" s="80">
        <v>0.0</v>
      </c>
      <c r="N54" s="80">
        <v>0.0</v>
      </c>
      <c r="O54" s="80">
        <v>0.0</v>
      </c>
      <c r="P54" s="80">
        <v>1.0</v>
      </c>
      <c r="Q54" s="80">
        <v>0.0</v>
      </c>
      <c r="R54" s="80">
        <v>0.0</v>
      </c>
      <c r="S54" s="80">
        <v>0.0</v>
      </c>
      <c r="T54" s="80">
        <v>0.0</v>
      </c>
      <c r="U54" s="80">
        <v>0.0</v>
      </c>
      <c r="V54" s="80">
        <v>1.0</v>
      </c>
      <c r="W54" s="80">
        <v>0.0</v>
      </c>
      <c r="X54" s="80">
        <v>0.0</v>
      </c>
      <c r="Y54" s="80">
        <v>0.0</v>
      </c>
      <c r="Z54" s="80">
        <v>0.0</v>
      </c>
      <c r="AA54" s="80">
        <v>0.0</v>
      </c>
      <c r="AB54" s="80">
        <v>0.0</v>
      </c>
      <c r="AC54" s="80">
        <v>0.0</v>
      </c>
      <c r="AD54" s="80">
        <v>0.0</v>
      </c>
      <c r="AE54" s="80">
        <v>0.0</v>
      </c>
      <c r="AF54" s="80">
        <v>0.0</v>
      </c>
      <c r="AG54" s="80">
        <v>0.0</v>
      </c>
      <c r="AH54" s="80">
        <v>1.0</v>
      </c>
      <c r="AI54" s="13">
        <f t="shared" si="14"/>
        <v>4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AI55" si="15">SUM(E45:E54)</f>
        <v>15</v>
      </c>
      <c r="F55" s="13">
        <f t="shared" si="15"/>
        <v>8</v>
      </c>
      <c r="G55" s="13">
        <f t="shared" si="15"/>
        <v>25</v>
      </c>
      <c r="H55" s="13">
        <f t="shared" si="15"/>
        <v>28</v>
      </c>
      <c r="I55" s="13">
        <f t="shared" si="15"/>
        <v>25</v>
      </c>
      <c r="J55" s="13">
        <f t="shared" si="15"/>
        <v>32</v>
      </c>
      <c r="K55" s="13">
        <f t="shared" si="15"/>
        <v>40</v>
      </c>
      <c r="L55" s="13">
        <f t="shared" si="15"/>
        <v>15</v>
      </c>
      <c r="M55" s="13">
        <f t="shared" si="15"/>
        <v>20</v>
      </c>
      <c r="N55" s="13">
        <f t="shared" si="15"/>
        <v>20</v>
      </c>
      <c r="O55" s="13">
        <f t="shared" si="15"/>
        <v>18</v>
      </c>
      <c r="P55" s="13">
        <f t="shared" si="15"/>
        <v>28</v>
      </c>
      <c r="Q55" s="13">
        <f t="shared" si="15"/>
        <v>21</v>
      </c>
      <c r="R55" s="13">
        <f t="shared" si="15"/>
        <v>11</v>
      </c>
      <c r="S55" s="13">
        <f t="shared" si="15"/>
        <v>31</v>
      </c>
      <c r="T55" s="13">
        <f t="shared" si="15"/>
        <v>38</v>
      </c>
      <c r="U55" s="13">
        <f t="shared" si="15"/>
        <v>24</v>
      </c>
      <c r="V55" s="13">
        <f t="shared" si="15"/>
        <v>31</v>
      </c>
      <c r="W55" s="13">
        <f t="shared" si="15"/>
        <v>27</v>
      </c>
      <c r="X55" s="13">
        <f t="shared" si="15"/>
        <v>15</v>
      </c>
      <c r="Y55" s="13">
        <f t="shared" si="15"/>
        <v>16</v>
      </c>
      <c r="Z55" s="13">
        <f t="shared" si="15"/>
        <v>18</v>
      </c>
      <c r="AA55" s="13">
        <f t="shared" si="15"/>
        <v>17</v>
      </c>
      <c r="AB55" s="13">
        <f t="shared" si="15"/>
        <v>21</v>
      </c>
      <c r="AC55" s="13">
        <f t="shared" si="15"/>
        <v>31</v>
      </c>
      <c r="AD55" s="13">
        <f t="shared" si="15"/>
        <v>23</v>
      </c>
      <c r="AE55" s="13">
        <f t="shared" si="15"/>
        <v>21</v>
      </c>
      <c r="AF55" s="13">
        <f t="shared" si="15"/>
        <v>28</v>
      </c>
      <c r="AG55" s="13">
        <f t="shared" si="15"/>
        <v>12</v>
      </c>
      <c r="AH55" s="13">
        <f t="shared" si="15"/>
        <v>14</v>
      </c>
      <c r="AI55" s="13">
        <f t="shared" si="15"/>
        <v>673</v>
      </c>
    </row>
    <row r="56" ht="12.75" customHeight="1">
      <c r="A56" s="45"/>
      <c r="B56" s="44"/>
      <c r="C56" s="44"/>
      <c r="D56" s="44"/>
      <c r="E56" s="44"/>
      <c r="AI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8.0</v>
      </c>
      <c r="F57" s="73">
        <v>8.0</v>
      </c>
      <c r="G57" s="73">
        <v>17.0</v>
      </c>
      <c r="H57" s="73">
        <v>10.0</v>
      </c>
      <c r="I57" s="73">
        <v>12.0</v>
      </c>
      <c r="J57" s="73">
        <v>21.0</v>
      </c>
      <c r="K57" s="73">
        <v>24.0</v>
      </c>
      <c r="L57" s="73">
        <v>5.0</v>
      </c>
      <c r="M57" s="73">
        <v>8.0</v>
      </c>
      <c r="N57" s="73">
        <v>14.0</v>
      </c>
      <c r="O57" s="73">
        <v>12.0</v>
      </c>
      <c r="P57" s="73">
        <v>7.0</v>
      </c>
      <c r="Q57" s="73">
        <v>19.0</v>
      </c>
      <c r="R57" s="73">
        <v>14.0</v>
      </c>
      <c r="S57" s="73">
        <v>15.0</v>
      </c>
      <c r="T57" s="73">
        <v>13.0</v>
      </c>
      <c r="U57" s="73">
        <v>7.0</v>
      </c>
      <c r="V57" s="73">
        <v>11.0</v>
      </c>
      <c r="W57" s="73">
        <v>13.0</v>
      </c>
      <c r="X57" s="73">
        <v>19.0</v>
      </c>
      <c r="Y57" s="73">
        <v>18.0</v>
      </c>
      <c r="Z57" s="73">
        <v>14.0</v>
      </c>
      <c r="AA57" s="73">
        <v>13.0</v>
      </c>
      <c r="AB57" s="73">
        <v>11.0</v>
      </c>
      <c r="AC57" s="73">
        <v>11.0</v>
      </c>
      <c r="AD57" s="73">
        <v>8.0</v>
      </c>
      <c r="AE57" s="73">
        <v>11.0</v>
      </c>
      <c r="AF57" s="73">
        <v>8.0</v>
      </c>
      <c r="AG57" s="73">
        <v>10.0</v>
      </c>
      <c r="AH57" s="73">
        <v>6.0</v>
      </c>
      <c r="AI57" s="13">
        <f t="shared" ref="AI57:AI66" si="16">SUM(E57:AH57)</f>
        <v>367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6.0</v>
      </c>
      <c r="F58" s="73">
        <v>2.0</v>
      </c>
      <c r="G58" s="73">
        <v>9.0</v>
      </c>
      <c r="H58" s="73">
        <v>9.0</v>
      </c>
      <c r="I58" s="73">
        <v>8.0</v>
      </c>
      <c r="J58" s="73">
        <v>7.0</v>
      </c>
      <c r="K58" s="73">
        <v>9.0</v>
      </c>
      <c r="L58" s="73">
        <v>67.0</v>
      </c>
      <c r="M58" s="73">
        <v>13.0</v>
      </c>
      <c r="N58" s="73">
        <v>12.0</v>
      </c>
      <c r="O58" s="73">
        <v>9.0</v>
      </c>
      <c r="P58" s="73">
        <v>15.0</v>
      </c>
      <c r="Q58" s="73">
        <v>11.0</v>
      </c>
      <c r="R58" s="73">
        <v>8.0</v>
      </c>
      <c r="S58" s="73">
        <v>11.0</v>
      </c>
      <c r="T58" s="73">
        <v>8.0</v>
      </c>
      <c r="U58" s="73">
        <v>11.0</v>
      </c>
      <c r="V58" s="73">
        <v>15.0</v>
      </c>
      <c r="W58" s="73">
        <v>5.0</v>
      </c>
      <c r="X58" s="73">
        <v>6.0</v>
      </c>
      <c r="Y58" s="73">
        <v>6.0</v>
      </c>
      <c r="Z58" s="73">
        <v>6.0</v>
      </c>
      <c r="AA58" s="73">
        <v>4.0</v>
      </c>
      <c r="AB58" s="73">
        <v>13.0</v>
      </c>
      <c r="AC58" s="73">
        <v>12.0</v>
      </c>
      <c r="AD58" s="73">
        <v>9.0</v>
      </c>
      <c r="AE58" s="73">
        <v>17.0</v>
      </c>
      <c r="AF58" s="73">
        <v>6.0</v>
      </c>
      <c r="AG58" s="73">
        <v>6.0</v>
      </c>
      <c r="AH58" s="73">
        <v>15.0</v>
      </c>
      <c r="AI58" s="13">
        <f t="shared" si="16"/>
        <v>335</v>
      </c>
    </row>
    <row r="59" ht="12.75" customHeight="1">
      <c r="A59" s="18"/>
      <c r="B59" s="49"/>
      <c r="C59" s="50" t="s">
        <v>51</v>
      </c>
      <c r="D59" s="51"/>
      <c r="E59" s="73">
        <v>17.0</v>
      </c>
      <c r="F59" s="73">
        <v>8.0</v>
      </c>
      <c r="G59" s="73">
        <v>2.0</v>
      </c>
      <c r="H59" s="73">
        <v>6.0</v>
      </c>
      <c r="I59" s="73">
        <v>7.0</v>
      </c>
      <c r="J59" s="73">
        <v>4.0</v>
      </c>
      <c r="K59" s="73">
        <v>5.0</v>
      </c>
      <c r="L59" s="73">
        <v>4.0</v>
      </c>
      <c r="M59" s="73">
        <v>11.0</v>
      </c>
      <c r="N59" s="73">
        <v>10.0</v>
      </c>
      <c r="O59" s="73">
        <v>10.0</v>
      </c>
      <c r="P59" s="73">
        <v>8.0</v>
      </c>
      <c r="Q59" s="73">
        <v>2.0</v>
      </c>
      <c r="R59" s="73">
        <v>6.0</v>
      </c>
      <c r="S59" s="73">
        <v>17.0</v>
      </c>
      <c r="T59" s="73">
        <v>9.0</v>
      </c>
      <c r="U59" s="73">
        <v>6.0</v>
      </c>
      <c r="V59" s="73">
        <v>5.0</v>
      </c>
      <c r="W59" s="73">
        <v>7.0</v>
      </c>
      <c r="X59" s="73">
        <v>7.0</v>
      </c>
      <c r="Y59" s="73">
        <v>10.0</v>
      </c>
      <c r="Z59" s="73">
        <v>5.0</v>
      </c>
      <c r="AA59" s="73">
        <v>4.0</v>
      </c>
      <c r="AB59" s="73">
        <v>5.0</v>
      </c>
      <c r="AC59" s="73">
        <v>11.0</v>
      </c>
      <c r="AD59" s="73">
        <v>9.0</v>
      </c>
      <c r="AE59" s="73">
        <v>8.0</v>
      </c>
      <c r="AF59" s="73">
        <v>1.0</v>
      </c>
      <c r="AG59" s="73">
        <v>9.0</v>
      </c>
      <c r="AH59" s="73">
        <v>56.0</v>
      </c>
      <c r="AI59" s="13">
        <f t="shared" si="16"/>
        <v>269</v>
      </c>
    </row>
    <row r="60" ht="12.75" customHeight="1">
      <c r="A60" s="18"/>
      <c r="B60" s="49"/>
      <c r="C60" s="50" t="s">
        <v>52</v>
      </c>
      <c r="D60" s="51"/>
      <c r="E60" s="73">
        <v>3.0</v>
      </c>
      <c r="F60" s="73">
        <v>6.0</v>
      </c>
      <c r="G60" s="73">
        <v>3.0</v>
      </c>
      <c r="H60" s="73">
        <v>3.0</v>
      </c>
      <c r="I60" s="73">
        <v>2.0</v>
      </c>
      <c r="J60" s="73">
        <v>2.0</v>
      </c>
      <c r="K60" s="73">
        <v>10.0</v>
      </c>
      <c r="L60" s="73">
        <v>0.0</v>
      </c>
      <c r="M60" s="73">
        <v>1.0</v>
      </c>
      <c r="N60" s="73">
        <v>10.0</v>
      </c>
      <c r="O60" s="73">
        <v>6.0</v>
      </c>
      <c r="P60" s="73">
        <v>5.0</v>
      </c>
      <c r="Q60" s="73">
        <v>0.0</v>
      </c>
      <c r="R60" s="73">
        <v>2.0</v>
      </c>
      <c r="S60" s="73">
        <v>3.0</v>
      </c>
      <c r="T60" s="73">
        <v>3.0</v>
      </c>
      <c r="U60" s="73">
        <v>0.0</v>
      </c>
      <c r="V60" s="73">
        <v>0.0</v>
      </c>
      <c r="W60" s="73">
        <v>4.0</v>
      </c>
      <c r="X60" s="73">
        <v>3.0</v>
      </c>
      <c r="Y60" s="73">
        <v>2.0</v>
      </c>
      <c r="Z60" s="73">
        <v>3.0</v>
      </c>
      <c r="AA60" s="73">
        <v>1.0</v>
      </c>
      <c r="AB60" s="73">
        <v>3.0</v>
      </c>
      <c r="AC60" s="73">
        <v>2.0</v>
      </c>
      <c r="AD60" s="73">
        <v>5.0</v>
      </c>
      <c r="AE60" s="73">
        <v>7.0</v>
      </c>
      <c r="AF60" s="73">
        <v>2.0</v>
      </c>
      <c r="AG60" s="73">
        <v>8.0</v>
      </c>
      <c r="AH60" s="73">
        <v>3.0</v>
      </c>
      <c r="AI60" s="13">
        <f t="shared" si="16"/>
        <v>102</v>
      </c>
    </row>
    <row r="61" ht="12.75" customHeight="1">
      <c r="A61" s="18"/>
      <c r="B61" s="49"/>
      <c r="C61" s="50" t="s">
        <v>53</v>
      </c>
      <c r="D61" s="51"/>
      <c r="E61" s="73">
        <v>2.0</v>
      </c>
      <c r="F61" s="73">
        <v>3.0</v>
      </c>
      <c r="G61" s="73">
        <v>2.0</v>
      </c>
      <c r="H61" s="73">
        <v>1.0</v>
      </c>
      <c r="I61" s="73">
        <v>5.0</v>
      </c>
      <c r="J61" s="73">
        <v>4.0</v>
      </c>
      <c r="K61" s="73">
        <v>1.0</v>
      </c>
      <c r="L61" s="73">
        <v>0.0</v>
      </c>
      <c r="M61" s="73">
        <v>2.0</v>
      </c>
      <c r="N61" s="73">
        <v>3.0</v>
      </c>
      <c r="O61" s="73">
        <v>8.0</v>
      </c>
      <c r="P61" s="73">
        <v>1.0</v>
      </c>
      <c r="Q61" s="73">
        <v>1.0</v>
      </c>
      <c r="R61" s="73">
        <v>4.0</v>
      </c>
      <c r="S61" s="73">
        <v>1.0</v>
      </c>
      <c r="T61" s="73">
        <v>0.0</v>
      </c>
      <c r="U61" s="73">
        <v>3.0</v>
      </c>
      <c r="V61" s="73">
        <v>5.0</v>
      </c>
      <c r="W61" s="73">
        <v>0.0</v>
      </c>
      <c r="X61" s="73">
        <v>0.0</v>
      </c>
      <c r="Y61" s="73">
        <v>5.0</v>
      </c>
      <c r="Z61" s="73">
        <v>1.0</v>
      </c>
      <c r="AA61" s="73">
        <v>1.0</v>
      </c>
      <c r="AB61" s="73">
        <v>2.0</v>
      </c>
      <c r="AC61" s="73">
        <v>1.0</v>
      </c>
      <c r="AD61" s="73">
        <v>7.0</v>
      </c>
      <c r="AE61" s="73">
        <v>3.0</v>
      </c>
      <c r="AF61" s="73">
        <v>2.0</v>
      </c>
      <c r="AG61" s="73">
        <v>5.0</v>
      </c>
      <c r="AH61" s="73">
        <v>4.0</v>
      </c>
      <c r="AI61" s="13">
        <f t="shared" si="16"/>
        <v>77</v>
      </c>
    </row>
    <row r="62" ht="12.75" customHeight="1">
      <c r="A62" s="18"/>
      <c r="B62" s="49"/>
      <c r="C62" s="50" t="s">
        <v>54</v>
      </c>
      <c r="D62" s="51"/>
      <c r="E62" s="73">
        <v>1.0</v>
      </c>
      <c r="F62" s="73">
        <v>1.0</v>
      </c>
      <c r="G62" s="73">
        <v>1.0</v>
      </c>
      <c r="H62" s="73">
        <v>1.0</v>
      </c>
      <c r="I62" s="73">
        <v>2.0</v>
      </c>
      <c r="J62" s="73">
        <v>1.0</v>
      </c>
      <c r="K62" s="73">
        <v>3.0</v>
      </c>
      <c r="L62" s="73">
        <v>0.0</v>
      </c>
      <c r="M62" s="73">
        <v>1.0</v>
      </c>
      <c r="N62" s="73">
        <v>4.0</v>
      </c>
      <c r="O62" s="73">
        <v>3.0</v>
      </c>
      <c r="P62" s="73">
        <v>3.0</v>
      </c>
      <c r="Q62" s="73">
        <v>1.0</v>
      </c>
      <c r="R62" s="73">
        <v>0.0</v>
      </c>
      <c r="S62" s="73">
        <v>1.0</v>
      </c>
      <c r="T62" s="73">
        <v>3.0</v>
      </c>
      <c r="U62" s="73">
        <v>0.0</v>
      </c>
      <c r="V62" s="73">
        <v>1.0</v>
      </c>
      <c r="W62" s="73">
        <v>0.0</v>
      </c>
      <c r="X62" s="73">
        <v>0.0</v>
      </c>
      <c r="Y62" s="73">
        <v>1.0</v>
      </c>
      <c r="Z62" s="73">
        <v>3.0</v>
      </c>
      <c r="AA62" s="73">
        <v>0.0</v>
      </c>
      <c r="AB62" s="73">
        <v>2.0</v>
      </c>
      <c r="AC62" s="73">
        <v>2.0</v>
      </c>
      <c r="AD62" s="73">
        <v>0.0</v>
      </c>
      <c r="AE62" s="73">
        <v>0.0</v>
      </c>
      <c r="AF62" s="73">
        <v>1.0</v>
      </c>
      <c r="AG62" s="73">
        <v>3.0</v>
      </c>
      <c r="AH62" s="73">
        <v>5.0</v>
      </c>
      <c r="AI62" s="13">
        <f t="shared" si="16"/>
        <v>44</v>
      </c>
    </row>
    <row r="63" ht="12.75" customHeight="1">
      <c r="A63" s="18"/>
      <c r="B63" s="49"/>
      <c r="C63" s="50" t="s">
        <v>55</v>
      </c>
      <c r="D63" s="51"/>
      <c r="E63" s="73">
        <v>1.0</v>
      </c>
      <c r="F63" s="73">
        <v>0.0</v>
      </c>
      <c r="G63" s="73">
        <v>2.0</v>
      </c>
      <c r="H63" s="73">
        <v>0.0</v>
      </c>
      <c r="I63" s="73">
        <v>1.0</v>
      </c>
      <c r="J63" s="73">
        <v>1.0</v>
      </c>
      <c r="K63" s="73">
        <v>0.0</v>
      </c>
      <c r="L63" s="73">
        <v>2.0</v>
      </c>
      <c r="M63" s="73">
        <v>1.0</v>
      </c>
      <c r="N63" s="73">
        <v>0.0</v>
      </c>
      <c r="O63" s="73">
        <v>1.0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1.0</v>
      </c>
      <c r="X63" s="73">
        <v>0.0</v>
      </c>
      <c r="Y63" s="73">
        <v>2.0</v>
      </c>
      <c r="Z63" s="73">
        <v>3.0</v>
      </c>
      <c r="AA63" s="73">
        <v>0.0</v>
      </c>
      <c r="AB63" s="73">
        <v>1.0</v>
      </c>
      <c r="AC63" s="73">
        <v>0.0</v>
      </c>
      <c r="AD63" s="73">
        <v>1.0</v>
      </c>
      <c r="AE63" s="73">
        <v>1.0</v>
      </c>
      <c r="AF63" s="73">
        <v>1.0</v>
      </c>
      <c r="AG63" s="73">
        <v>0.0</v>
      </c>
      <c r="AH63" s="73">
        <v>0.0</v>
      </c>
      <c r="AI63" s="13">
        <f t="shared" si="16"/>
        <v>19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0.0</v>
      </c>
      <c r="G64" s="80">
        <v>1.0</v>
      </c>
      <c r="H64" s="80">
        <v>1.0</v>
      </c>
      <c r="I64" s="80">
        <v>1.0</v>
      </c>
      <c r="J64" s="80">
        <v>1.0</v>
      </c>
      <c r="K64" s="80">
        <v>0.0</v>
      </c>
      <c r="L64" s="80">
        <v>1.0</v>
      </c>
      <c r="M64" s="80">
        <v>0.0</v>
      </c>
      <c r="N64" s="80">
        <v>0.0</v>
      </c>
      <c r="O64" s="80">
        <v>1.0</v>
      </c>
      <c r="P64" s="80">
        <v>0.0</v>
      </c>
      <c r="Q64" s="80">
        <v>0.0</v>
      </c>
      <c r="R64" s="80">
        <v>0.0</v>
      </c>
      <c r="S64" s="80">
        <v>1.0</v>
      </c>
      <c r="T64" s="80">
        <v>0.0</v>
      </c>
      <c r="U64" s="80">
        <v>0.0</v>
      </c>
      <c r="V64" s="80">
        <v>0.0</v>
      </c>
      <c r="W64" s="80">
        <v>2.0</v>
      </c>
      <c r="X64" s="80">
        <v>1.0</v>
      </c>
      <c r="Y64" s="80">
        <v>0.0</v>
      </c>
      <c r="Z64" s="80">
        <v>0.0</v>
      </c>
      <c r="AA64" s="80">
        <v>0.0</v>
      </c>
      <c r="AB64" s="80">
        <v>2.0</v>
      </c>
      <c r="AC64" s="80">
        <v>2.0</v>
      </c>
      <c r="AD64" s="80">
        <v>0.0</v>
      </c>
      <c r="AE64" s="80">
        <v>0.0</v>
      </c>
      <c r="AF64" s="80">
        <v>1.0</v>
      </c>
      <c r="AG64" s="80">
        <v>1.0</v>
      </c>
      <c r="AH64" s="80">
        <v>1.0</v>
      </c>
      <c r="AI64" s="13">
        <f t="shared" si="16"/>
        <v>17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0.0</v>
      </c>
      <c r="H65" s="80">
        <v>0.0</v>
      </c>
      <c r="I65" s="80">
        <v>0.0</v>
      </c>
      <c r="J65" s="80">
        <v>0.0</v>
      </c>
      <c r="K65" s="80">
        <v>1.0</v>
      </c>
      <c r="L65" s="80">
        <v>0.0</v>
      </c>
      <c r="M65" s="80">
        <v>0.0</v>
      </c>
      <c r="N65" s="80">
        <v>0.0</v>
      </c>
      <c r="O65" s="80">
        <v>0.0</v>
      </c>
      <c r="P65" s="80">
        <v>0.0</v>
      </c>
      <c r="Q65" s="80">
        <v>0.0</v>
      </c>
      <c r="R65" s="80">
        <v>0.0</v>
      </c>
      <c r="S65" s="80">
        <v>1.0</v>
      </c>
      <c r="T65" s="80">
        <v>1.0</v>
      </c>
      <c r="U65" s="80">
        <v>0.0</v>
      </c>
      <c r="V65" s="80">
        <v>1.0</v>
      </c>
      <c r="W65" s="80">
        <v>0.0</v>
      </c>
      <c r="X65" s="80">
        <v>0.0</v>
      </c>
      <c r="Y65" s="80">
        <v>0.0</v>
      </c>
      <c r="Z65" s="80">
        <v>0.0</v>
      </c>
      <c r="AA65" s="80">
        <v>0.0</v>
      </c>
      <c r="AB65" s="80">
        <v>1.0</v>
      </c>
      <c r="AC65" s="80">
        <v>0.0</v>
      </c>
      <c r="AD65" s="80">
        <v>1.0</v>
      </c>
      <c r="AE65" s="80">
        <v>0.0</v>
      </c>
      <c r="AF65" s="80">
        <v>0.0</v>
      </c>
      <c r="AG65" s="80">
        <v>1.0</v>
      </c>
      <c r="AH65" s="80">
        <v>0.0</v>
      </c>
      <c r="AI65" s="13">
        <f t="shared" si="16"/>
        <v>7</v>
      </c>
    </row>
    <row r="66" ht="12.75" customHeight="1">
      <c r="A66" s="79"/>
      <c r="B66" s="49"/>
      <c r="C66" s="50" t="s">
        <v>58</v>
      </c>
      <c r="D66" s="51"/>
      <c r="E66" s="80">
        <v>0.0</v>
      </c>
      <c r="F66" s="80">
        <v>1.0</v>
      </c>
      <c r="G66" s="80">
        <v>0.0</v>
      </c>
      <c r="H66" s="80">
        <v>0.0</v>
      </c>
      <c r="I66" s="80">
        <v>0.0</v>
      </c>
      <c r="J66" s="80">
        <v>0.0</v>
      </c>
      <c r="K66" s="80">
        <v>1.0</v>
      </c>
      <c r="L66" s="80">
        <v>1.0</v>
      </c>
      <c r="M66" s="80">
        <v>2.0</v>
      </c>
      <c r="N66" s="80">
        <v>1.0</v>
      </c>
      <c r="O66" s="80">
        <v>0.0</v>
      </c>
      <c r="P66" s="80">
        <v>0.0</v>
      </c>
      <c r="Q66" s="80">
        <v>1.0</v>
      </c>
      <c r="R66" s="80">
        <v>0.0</v>
      </c>
      <c r="S66" s="80">
        <v>0.0</v>
      </c>
      <c r="T66" s="80">
        <v>1.0</v>
      </c>
      <c r="U66" s="80">
        <v>0.0</v>
      </c>
      <c r="V66" s="80">
        <v>0.0</v>
      </c>
      <c r="W66" s="80">
        <v>0.0</v>
      </c>
      <c r="X66" s="80">
        <v>2.0</v>
      </c>
      <c r="Y66" s="80">
        <v>0.0</v>
      </c>
      <c r="Z66" s="80">
        <v>1.0</v>
      </c>
      <c r="AA66" s="80">
        <v>0.0</v>
      </c>
      <c r="AB66" s="80">
        <v>0.0</v>
      </c>
      <c r="AC66" s="80">
        <v>0.0</v>
      </c>
      <c r="AD66" s="80">
        <v>1.0</v>
      </c>
      <c r="AE66" s="80">
        <v>0.0</v>
      </c>
      <c r="AF66" s="80">
        <v>0.0</v>
      </c>
      <c r="AG66" s="80">
        <v>1.0</v>
      </c>
      <c r="AH66" s="80">
        <v>0.0</v>
      </c>
      <c r="AI66" s="13">
        <f t="shared" si="16"/>
        <v>13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AI67" si="17">SUM(E57:E66)</f>
        <v>38</v>
      </c>
      <c r="F67" s="13">
        <f t="shared" si="17"/>
        <v>29</v>
      </c>
      <c r="G67" s="13">
        <f t="shared" si="17"/>
        <v>37</v>
      </c>
      <c r="H67" s="13">
        <f t="shared" si="17"/>
        <v>31</v>
      </c>
      <c r="I67" s="13">
        <f t="shared" si="17"/>
        <v>38</v>
      </c>
      <c r="J67" s="13">
        <f t="shared" si="17"/>
        <v>41</v>
      </c>
      <c r="K67" s="13">
        <f t="shared" si="17"/>
        <v>54</v>
      </c>
      <c r="L67" s="13">
        <f t="shared" si="17"/>
        <v>80</v>
      </c>
      <c r="M67" s="13">
        <f t="shared" si="17"/>
        <v>39</v>
      </c>
      <c r="N67" s="13">
        <f t="shared" si="17"/>
        <v>54</v>
      </c>
      <c r="O67" s="13">
        <f t="shared" si="17"/>
        <v>50</v>
      </c>
      <c r="P67" s="13">
        <f t="shared" si="17"/>
        <v>39</v>
      </c>
      <c r="Q67" s="13">
        <f t="shared" si="17"/>
        <v>35</v>
      </c>
      <c r="R67" s="13">
        <f t="shared" si="17"/>
        <v>34</v>
      </c>
      <c r="S67" s="13">
        <f t="shared" si="17"/>
        <v>50</v>
      </c>
      <c r="T67" s="13">
        <f t="shared" si="17"/>
        <v>38</v>
      </c>
      <c r="U67" s="13">
        <f t="shared" si="17"/>
        <v>27</v>
      </c>
      <c r="V67" s="13">
        <f t="shared" si="17"/>
        <v>38</v>
      </c>
      <c r="W67" s="13">
        <f t="shared" si="17"/>
        <v>32</v>
      </c>
      <c r="X67" s="13">
        <f t="shared" si="17"/>
        <v>38</v>
      </c>
      <c r="Y67" s="13">
        <f t="shared" si="17"/>
        <v>44</v>
      </c>
      <c r="Z67" s="13">
        <f t="shared" si="17"/>
        <v>36</v>
      </c>
      <c r="AA67" s="13">
        <f t="shared" si="17"/>
        <v>23</v>
      </c>
      <c r="AB67" s="13">
        <f t="shared" si="17"/>
        <v>40</v>
      </c>
      <c r="AC67" s="13">
        <f t="shared" si="17"/>
        <v>41</v>
      </c>
      <c r="AD67" s="13">
        <f t="shared" si="17"/>
        <v>41</v>
      </c>
      <c r="AE67" s="13">
        <f t="shared" si="17"/>
        <v>47</v>
      </c>
      <c r="AF67" s="13">
        <f t="shared" si="17"/>
        <v>22</v>
      </c>
      <c r="AG67" s="13">
        <f t="shared" si="17"/>
        <v>44</v>
      </c>
      <c r="AH67" s="13">
        <f t="shared" si="17"/>
        <v>90</v>
      </c>
      <c r="AI67" s="13">
        <f t="shared" si="17"/>
        <v>1250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7.0</v>
      </c>
      <c r="F69" s="73">
        <v>10.0</v>
      </c>
      <c r="G69" s="73">
        <v>16.0</v>
      </c>
      <c r="H69" s="73">
        <v>3.0</v>
      </c>
      <c r="I69" s="73">
        <v>9.0</v>
      </c>
      <c r="J69" s="73">
        <v>5.0</v>
      </c>
      <c r="K69" s="73">
        <v>5.0</v>
      </c>
      <c r="L69" s="73">
        <v>16.0</v>
      </c>
      <c r="M69" s="73">
        <v>9.0</v>
      </c>
      <c r="N69" s="73">
        <v>10.0</v>
      </c>
      <c r="O69" s="73">
        <v>4.0</v>
      </c>
      <c r="P69" s="73">
        <v>3.0</v>
      </c>
      <c r="Q69" s="73">
        <v>13.0</v>
      </c>
      <c r="R69" s="73">
        <v>8.0</v>
      </c>
      <c r="S69" s="73">
        <v>9.0</v>
      </c>
      <c r="T69" s="73">
        <v>5.0</v>
      </c>
      <c r="U69" s="73">
        <v>14.0</v>
      </c>
      <c r="V69" s="73">
        <v>6.0</v>
      </c>
      <c r="W69" s="73">
        <v>14.0</v>
      </c>
      <c r="X69" s="73">
        <v>21.0</v>
      </c>
      <c r="Y69" s="73">
        <v>18.0</v>
      </c>
      <c r="Z69" s="73">
        <v>12.0</v>
      </c>
      <c r="AA69" s="73">
        <v>15.0</v>
      </c>
      <c r="AB69" s="73">
        <v>5.0</v>
      </c>
      <c r="AC69" s="73">
        <v>14.0</v>
      </c>
      <c r="AD69" s="73">
        <v>10.0</v>
      </c>
      <c r="AE69" s="73">
        <v>28.0</v>
      </c>
      <c r="AF69" s="73">
        <v>23.0</v>
      </c>
      <c r="AG69" s="73">
        <v>20.0</v>
      </c>
      <c r="AH69" s="73">
        <v>14.0</v>
      </c>
      <c r="AI69" s="13">
        <f t="shared" ref="AI69:AI78" si="18">SUM(E69:AH69)</f>
        <v>346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3.0</v>
      </c>
      <c r="F70" s="73">
        <v>2.0</v>
      </c>
      <c r="G70" s="73">
        <v>4.0</v>
      </c>
      <c r="H70" s="73">
        <v>3.0</v>
      </c>
      <c r="I70" s="73">
        <v>9.0</v>
      </c>
      <c r="J70" s="73">
        <v>3.0</v>
      </c>
      <c r="K70" s="73">
        <v>2.0</v>
      </c>
      <c r="L70" s="73">
        <v>2.0</v>
      </c>
      <c r="M70" s="73">
        <v>1.0</v>
      </c>
      <c r="N70" s="73">
        <v>5.0</v>
      </c>
      <c r="O70" s="73">
        <v>0.0</v>
      </c>
      <c r="P70" s="73">
        <v>3.0</v>
      </c>
      <c r="Q70" s="73">
        <v>6.0</v>
      </c>
      <c r="R70" s="73">
        <v>1.0</v>
      </c>
      <c r="S70" s="73">
        <v>4.0</v>
      </c>
      <c r="T70" s="73">
        <v>2.0</v>
      </c>
      <c r="U70" s="73">
        <v>2.0</v>
      </c>
      <c r="V70" s="73">
        <v>3.0</v>
      </c>
      <c r="W70" s="73">
        <v>10.0</v>
      </c>
      <c r="X70" s="73">
        <v>13.0</v>
      </c>
      <c r="Y70" s="73">
        <v>10.0</v>
      </c>
      <c r="Z70" s="73">
        <v>2.0</v>
      </c>
      <c r="AA70" s="73">
        <v>3.0</v>
      </c>
      <c r="AB70" s="73">
        <v>5.0</v>
      </c>
      <c r="AC70" s="73">
        <v>2.0</v>
      </c>
      <c r="AD70" s="73">
        <v>9.0</v>
      </c>
      <c r="AE70" s="73">
        <v>6.0</v>
      </c>
      <c r="AF70" s="73">
        <v>12.0</v>
      </c>
      <c r="AG70" s="73">
        <v>7.0</v>
      </c>
      <c r="AH70" s="73">
        <v>4.0</v>
      </c>
      <c r="AI70" s="13">
        <f t="shared" si="18"/>
        <v>138</v>
      </c>
    </row>
    <row r="71" ht="12.75" customHeight="1">
      <c r="A71" s="18"/>
      <c r="B71" s="49"/>
      <c r="C71" s="50" t="s">
        <v>61</v>
      </c>
      <c r="D71" s="51"/>
      <c r="E71" s="73">
        <v>17.0</v>
      </c>
      <c r="F71" s="73">
        <v>5.0</v>
      </c>
      <c r="G71" s="73">
        <v>8.0</v>
      </c>
      <c r="H71" s="73">
        <v>14.0</v>
      </c>
      <c r="I71" s="73">
        <v>9.0</v>
      </c>
      <c r="J71" s="73">
        <v>9.0</v>
      </c>
      <c r="K71" s="73">
        <v>18.0</v>
      </c>
      <c r="L71" s="73">
        <v>4.0</v>
      </c>
      <c r="M71" s="73">
        <v>19.0</v>
      </c>
      <c r="N71" s="73">
        <v>12.0</v>
      </c>
      <c r="O71" s="73">
        <v>18.0</v>
      </c>
      <c r="P71" s="73">
        <v>5.0</v>
      </c>
      <c r="Q71" s="73">
        <v>28.0</v>
      </c>
      <c r="R71" s="73">
        <v>41.0</v>
      </c>
      <c r="S71" s="73">
        <v>25.0</v>
      </c>
      <c r="T71" s="73">
        <v>17.0</v>
      </c>
      <c r="U71" s="73">
        <v>24.0</v>
      </c>
      <c r="V71" s="73">
        <v>33.0</v>
      </c>
      <c r="W71" s="73">
        <v>19.0</v>
      </c>
      <c r="X71" s="73">
        <v>8.0</v>
      </c>
      <c r="Y71" s="73">
        <v>10.0</v>
      </c>
      <c r="Z71" s="73">
        <v>19.0</v>
      </c>
      <c r="AA71" s="73">
        <v>47.0</v>
      </c>
      <c r="AB71" s="73">
        <v>33.0</v>
      </c>
      <c r="AC71" s="73">
        <v>19.0</v>
      </c>
      <c r="AD71" s="73">
        <v>12.0</v>
      </c>
      <c r="AE71" s="73">
        <v>18.0</v>
      </c>
      <c r="AF71" s="73">
        <v>7.0</v>
      </c>
      <c r="AG71" s="73">
        <v>6.0</v>
      </c>
      <c r="AH71" s="73">
        <v>9.0</v>
      </c>
      <c r="AI71" s="13">
        <f t="shared" si="18"/>
        <v>513</v>
      </c>
    </row>
    <row r="72" ht="12.75" customHeight="1">
      <c r="A72" s="18"/>
      <c r="B72" s="49"/>
      <c r="C72" s="50" t="s">
        <v>62</v>
      </c>
      <c r="D72" s="51"/>
      <c r="E72" s="73">
        <v>0.0</v>
      </c>
      <c r="F72" s="73">
        <v>2.0</v>
      </c>
      <c r="G72" s="73">
        <v>2.0</v>
      </c>
      <c r="H72" s="73">
        <v>5.0</v>
      </c>
      <c r="I72" s="73">
        <v>1.0</v>
      </c>
      <c r="J72" s="73">
        <v>3.0</v>
      </c>
      <c r="K72" s="73">
        <v>1.0</v>
      </c>
      <c r="L72" s="73">
        <v>1.0</v>
      </c>
      <c r="M72" s="73">
        <v>2.0</v>
      </c>
      <c r="N72" s="73">
        <v>1.0</v>
      </c>
      <c r="O72" s="73">
        <v>1.0</v>
      </c>
      <c r="P72" s="73">
        <v>5.0</v>
      </c>
      <c r="Q72" s="73">
        <v>2.0</v>
      </c>
      <c r="R72" s="73">
        <v>2.0</v>
      </c>
      <c r="S72" s="73">
        <v>3.0</v>
      </c>
      <c r="T72" s="73">
        <v>3.0</v>
      </c>
      <c r="U72" s="73">
        <v>0.0</v>
      </c>
      <c r="V72" s="73">
        <v>2.0</v>
      </c>
      <c r="W72" s="73">
        <v>1.0</v>
      </c>
      <c r="X72" s="73">
        <v>7.0</v>
      </c>
      <c r="Y72" s="73">
        <v>6.0</v>
      </c>
      <c r="Z72" s="73">
        <v>4.0</v>
      </c>
      <c r="AA72" s="73">
        <v>4.0</v>
      </c>
      <c r="AB72" s="73">
        <v>4.0</v>
      </c>
      <c r="AC72" s="73">
        <v>5.0</v>
      </c>
      <c r="AD72" s="73">
        <v>5.0</v>
      </c>
      <c r="AE72" s="73">
        <v>7.0</v>
      </c>
      <c r="AF72" s="73">
        <v>9.0</v>
      </c>
      <c r="AG72" s="73">
        <v>11.0</v>
      </c>
      <c r="AH72" s="73">
        <v>4.0</v>
      </c>
      <c r="AI72" s="13">
        <f t="shared" si="18"/>
        <v>103</v>
      </c>
    </row>
    <row r="73" ht="12.75" customHeight="1">
      <c r="A73" s="18"/>
      <c r="B73" s="49"/>
      <c r="C73" s="50" t="s">
        <v>63</v>
      </c>
      <c r="D73" s="51"/>
      <c r="E73" s="73">
        <v>2.0</v>
      </c>
      <c r="F73" s="73">
        <v>0.0</v>
      </c>
      <c r="G73" s="73">
        <v>2.0</v>
      </c>
      <c r="H73" s="73">
        <v>2.0</v>
      </c>
      <c r="I73" s="73">
        <v>0.0</v>
      </c>
      <c r="J73" s="73">
        <v>2.0</v>
      </c>
      <c r="K73" s="73">
        <v>1.0</v>
      </c>
      <c r="L73" s="73">
        <v>0.0</v>
      </c>
      <c r="M73" s="73">
        <v>1.0</v>
      </c>
      <c r="N73" s="73">
        <v>6.0</v>
      </c>
      <c r="O73" s="73">
        <v>3.0</v>
      </c>
      <c r="P73" s="73">
        <v>2.0</v>
      </c>
      <c r="Q73" s="73">
        <v>1.0</v>
      </c>
      <c r="R73" s="73">
        <v>4.0</v>
      </c>
      <c r="S73" s="73">
        <v>3.0</v>
      </c>
      <c r="T73" s="73">
        <v>1.0</v>
      </c>
      <c r="U73" s="73">
        <v>4.0</v>
      </c>
      <c r="V73" s="73">
        <v>0.0</v>
      </c>
      <c r="W73" s="73">
        <v>0.0</v>
      </c>
      <c r="X73" s="73">
        <v>2.0</v>
      </c>
      <c r="Y73" s="73">
        <v>4.0</v>
      </c>
      <c r="Z73" s="73">
        <v>4.0</v>
      </c>
      <c r="AA73" s="73">
        <v>0.0</v>
      </c>
      <c r="AB73" s="73">
        <v>0.0</v>
      </c>
      <c r="AC73" s="73">
        <v>3.0</v>
      </c>
      <c r="AD73" s="73">
        <v>19.0</v>
      </c>
      <c r="AE73" s="73">
        <v>16.0</v>
      </c>
      <c r="AF73" s="73">
        <v>14.0</v>
      </c>
      <c r="AG73" s="73">
        <v>33.0</v>
      </c>
      <c r="AH73" s="73">
        <v>11.0</v>
      </c>
      <c r="AI73" s="13">
        <f t="shared" si="18"/>
        <v>140</v>
      </c>
    </row>
    <row r="74" ht="12.75" customHeight="1">
      <c r="A74" s="18"/>
      <c r="B74" s="49"/>
      <c r="C74" s="50" t="s">
        <v>64</v>
      </c>
      <c r="D74" s="51"/>
      <c r="E74" s="73">
        <v>0.0</v>
      </c>
      <c r="F74" s="73">
        <v>2.0</v>
      </c>
      <c r="G74" s="73">
        <v>2.0</v>
      </c>
      <c r="H74" s="73">
        <v>1.0</v>
      </c>
      <c r="I74" s="73">
        <v>1.0</v>
      </c>
      <c r="J74" s="73">
        <v>2.0</v>
      </c>
      <c r="K74" s="73">
        <v>0.0</v>
      </c>
      <c r="L74" s="73">
        <v>0.0</v>
      </c>
      <c r="M74" s="73">
        <v>0.0</v>
      </c>
      <c r="N74" s="73">
        <v>1.0</v>
      </c>
      <c r="O74" s="73">
        <v>2.0</v>
      </c>
      <c r="P74" s="73">
        <v>0.0</v>
      </c>
      <c r="Q74" s="73">
        <v>1.0</v>
      </c>
      <c r="R74" s="73">
        <v>1.0</v>
      </c>
      <c r="S74" s="73">
        <v>0.0</v>
      </c>
      <c r="T74" s="73">
        <v>2.0</v>
      </c>
      <c r="U74" s="73">
        <v>3.0</v>
      </c>
      <c r="V74" s="73">
        <v>1.0</v>
      </c>
      <c r="W74" s="73">
        <v>0.0</v>
      </c>
      <c r="X74" s="73">
        <v>1.0</v>
      </c>
      <c r="Y74" s="73">
        <v>3.0</v>
      </c>
      <c r="Z74" s="73">
        <v>2.0</v>
      </c>
      <c r="AA74" s="73">
        <v>2.0</v>
      </c>
      <c r="AB74" s="73">
        <v>3.0</v>
      </c>
      <c r="AC74" s="73">
        <v>2.0</v>
      </c>
      <c r="AD74" s="73">
        <v>8.0</v>
      </c>
      <c r="AE74" s="73">
        <v>11.0</v>
      </c>
      <c r="AF74" s="73">
        <v>8.0</v>
      </c>
      <c r="AG74" s="73">
        <v>4.0</v>
      </c>
      <c r="AH74" s="73">
        <v>9.0</v>
      </c>
      <c r="AI74" s="13">
        <f t="shared" si="18"/>
        <v>72</v>
      </c>
    </row>
    <row r="75" ht="12.75" customHeight="1">
      <c r="A75" s="18"/>
      <c r="B75" s="49"/>
      <c r="C75" s="50" t="s">
        <v>65</v>
      </c>
      <c r="D75" s="51"/>
      <c r="E75" s="73">
        <v>1.0</v>
      </c>
      <c r="F75" s="73">
        <v>0.0</v>
      </c>
      <c r="G75" s="73">
        <v>1.0</v>
      </c>
      <c r="H75" s="73">
        <v>0.0</v>
      </c>
      <c r="I75" s="73">
        <v>1.0</v>
      </c>
      <c r="J75" s="73">
        <v>0.0</v>
      </c>
      <c r="K75" s="73">
        <v>1.0</v>
      </c>
      <c r="L75" s="73">
        <v>0.0</v>
      </c>
      <c r="M75" s="73">
        <v>0.0</v>
      </c>
      <c r="N75" s="73">
        <v>4.0</v>
      </c>
      <c r="O75" s="73">
        <v>0.0</v>
      </c>
      <c r="P75" s="73">
        <v>2.0</v>
      </c>
      <c r="Q75" s="73">
        <v>0.0</v>
      </c>
      <c r="R75" s="73">
        <v>1.0</v>
      </c>
      <c r="S75" s="73">
        <v>0.0</v>
      </c>
      <c r="T75" s="73">
        <v>0.0</v>
      </c>
      <c r="U75" s="73">
        <v>1.0</v>
      </c>
      <c r="V75" s="73">
        <v>0.0</v>
      </c>
      <c r="W75" s="73">
        <v>1.0</v>
      </c>
      <c r="X75" s="73">
        <v>1.0</v>
      </c>
      <c r="Y75" s="73">
        <v>3.0</v>
      </c>
      <c r="Z75" s="73">
        <v>3.0</v>
      </c>
      <c r="AA75" s="73">
        <v>0.0</v>
      </c>
      <c r="AB75" s="73">
        <v>1.0</v>
      </c>
      <c r="AC75" s="73">
        <v>2.0</v>
      </c>
      <c r="AD75" s="73">
        <v>2.0</v>
      </c>
      <c r="AE75" s="73">
        <v>1.0</v>
      </c>
      <c r="AF75" s="73">
        <v>1.0</v>
      </c>
      <c r="AG75" s="73">
        <v>3.0</v>
      </c>
      <c r="AH75" s="73">
        <v>2.0</v>
      </c>
      <c r="AI75" s="13">
        <f t="shared" si="18"/>
        <v>32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1.0</v>
      </c>
      <c r="G76" s="80">
        <v>0.0</v>
      </c>
      <c r="H76" s="80">
        <v>1.0</v>
      </c>
      <c r="I76" s="80">
        <v>0.0</v>
      </c>
      <c r="J76" s="80">
        <v>0.0</v>
      </c>
      <c r="K76" s="80">
        <v>0.0</v>
      </c>
      <c r="L76" s="80">
        <v>0.0</v>
      </c>
      <c r="M76" s="80">
        <v>1.0</v>
      </c>
      <c r="N76" s="80">
        <v>0.0</v>
      </c>
      <c r="O76" s="80">
        <v>0.0</v>
      </c>
      <c r="P76" s="80">
        <v>0.0</v>
      </c>
      <c r="Q76" s="80">
        <v>1.0</v>
      </c>
      <c r="R76" s="80">
        <v>0.0</v>
      </c>
      <c r="S76" s="80">
        <v>0.0</v>
      </c>
      <c r="T76" s="80">
        <v>0.0</v>
      </c>
      <c r="U76" s="80">
        <v>0.0</v>
      </c>
      <c r="V76" s="80">
        <v>0.0</v>
      </c>
      <c r="W76" s="80">
        <v>0.0</v>
      </c>
      <c r="X76" s="80">
        <v>1.0</v>
      </c>
      <c r="Y76" s="80">
        <v>0.0</v>
      </c>
      <c r="Z76" s="80">
        <v>0.0</v>
      </c>
      <c r="AA76" s="80">
        <v>0.0</v>
      </c>
      <c r="AB76" s="80">
        <v>0.0</v>
      </c>
      <c r="AC76" s="80">
        <v>1.0</v>
      </c>
      <c r="AD76" s="80">
        <v>0.0</v>
      </c>
      <c r="AE76" s="80">
        <v>0.0</v>
      </c>
      <c r="AF76" s="80">
        <v>0.0</v>
      </c>
      <c r="AG76" s="80">
        <v>0.0</v>
      </c>
      <c r="AH76" s="80">
        <v>0.0</v>
      </c>
      <c r="AI76" s="13">
        <f t="shared" si="18"/>
        <v>6</v>
      </c>
    </row>
    <row r="77" ht="12.75" customHeight="1">
      <c r="A77" s="79"/>
      <c r="B77" s="49"/>
      <c r="C77" s="50" t="s">
        <v>67</v>
      </c>
      <c r="D77" s="51"/>
      <c r="E77" s="80">
        <v>1.0</v>
      </c>
      <c r="F77" s="80">
        <v>0.0</v>
      </c>
      <c r="G77" s="80">
        <v>0.0</v>
      </c>
      <c r="H77" s="80">
        <v>0.0</v>
      </c>
      <c r="I77" s="80">
        <v>0.0</v>
      </c>
      <c r="J77" s="80">
        <v>0.0</v>
      </c>
      <c r="K77" s="80">
        <v>1.0</v>
      </c>
      <c r="L77" s="80">
        <v>0.0</v>
      </c>
      <c r="M77" s="80">
        <v>1.0</v>
      </c>
      <c r="N77" s="80">
        <v>2.0</v>
      </c>
      <c r="O77" s="80">
        <v>0.0</v>
      </c>
      <c r="P77" s="80">
        <v>0.0</v>
      </c>
      <c r="Q77" s="80">
        <v>0.0</v>
      </c>
      <c r="R77" s="80">
        <v>0.0</v>
      </c>
      <c r="S77" s="80">
        <v>0.0</v>
      </c>
      <c r="T77" s="80">
        <v>0.0</v>
      </c>
      <c r="U77" s="80">
        <v>0.0</v>
      </c>
      <c r="V77" s="80">
        <v>0.0</v>
      </c>
      <c r="W77" s="80">
        <v>0.0</v>
      </c>
      <c r="X77" s="80">
        <v>1.0</v>
      </c>
      <c r="Y77" s="80">
        <v>0.0</v>
      </c>
      <c r="Z77" s="80">
        <v>0.0</v>
      </c>
      <c r="AA77" s="80">
        <v>0.0</v>
      </c>
      <c r="AB77" s="80">
        <v>0.0</v>
      </c>
      <c r="AC77" s="80">
        <v>0.0</v>
      </c>
      <c r="AD77" s="80">
        <v>0.0</v>
      </c>
      <c r="AE77" s="80">
        <v>0.0</v>
      </c>
      <c r="AF77" s="80">
        <v>2.0</v>
      </c>
      <c r="AG77" s="80">
        <v>6.0</v>
      </c>
      <c r="AH77" s="80">
        <v>1.0</v>
      </c>
      <c r="AI77" s="13">
        <f t="shared" si="18"/>
        <v>15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1.0</v>
      </c>
      <c r="G78" s="80">
        <v>0.0</v>
      </c>
      <c r="H78" s="80">
        <v>0.0</v>
      </c>
      <c r="I78" s="80">
        <v>1.0</v>
      </c>
      <c r="J78" s="80">
        <v>0.0</v>
      </c>
      <c r="K78" s="80">
        <v>1.0</v>
      </c>
      <c r="L78" s="80">
        <v>1.0</v>
      </c>
      <c r="M78" s="80">
        <v>0.0</v>
      </c>
      <c r="N78" s="80">
        <v>0.0</v>
      </c>
      <c r="O78" s="80">
        <v>0.0</v>
      </c>
      <c r="P78" s="80">
        <v>0.0</v>
      </c>
      <c r="Q78" s="80">
        <v>1.0</v>
      </c>
      <c r="R78" s="80">
        <v>1.0</v>
      </c>
      <c r="S78" s="80">
        <v>0.0</v>
      </c>
      <c r="T78" s="80">
        <v>0.0</v>
      </c>
      <c r="U78" s="80">
        <v>0.0</v>
      </c>
      <c r="V78" s="80">
        <v>0.0</v>
      </c>
      <c r="W78" s="80">
        <v>1.0</v>
      </c>
      <c r="X78" s="80">
        <v>1.0</v>
      </c>
      <c r="Y78" s="80">
        <v>0.0</v>
      </c>
      <c r="Z78" s="80">
        <v>2.0</v>
      </c>
      <c r="AA78" s="80">
        <v>0.0</v>
      </c>
      <c r="AB78" s="80">
        <v>0.0</v>
      </c>
      <c r="AC78" s="80">
        <v>1.0</v>
      </c>
      <c r="AD78" s="80">
        <v>0.0</v>
      </c>
      <c r="AE78" s="80">
        <v>1.0</v>
      </c>
      <c r="AF78" s="80">
        <v>2.0</v>
      </c>
      <c r="AG78" s="80">
        <v>0.0</v>
      </c>
      <c r="AH78" s="80">
        <v>1.0</v>
      </c>
      <c r="AI78" s="13">
        <f t="shared" si="18"/>
        <v>15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AI79" si="19">SUM(E69:E78)</f>
        <v>31</v>
      </c>
      <c r="F79" s="13">
        <f t="shared" si="19"/>
        <v>23</v>
      </c>
      <c r="G79" s="13">
        <f t="shared" si="19"/>
        <v>35</v>
      </c>
      <c r="H79" s="13">
        <f t="shared" si="19"/>
        <v>29</v>
      </c>
      <c r="I79" s="13">
        <f t="shared" si="19"/>
        <v>31</v>
      </c>
      <c r="J79" s="13">
        <f t="shared" si="19"/>
        <v>24</v>
      </c>
      <c r="K79" s="13">
        <f t="shared" si="19"/>
        <v>30</v>
      </c>
      <c r="L79" s="13">
        <f t="shared" si="19"/>
        <v>24</v>
      </c>
      <c r="M79" s="13">
        <f t="shared" si="19"/>
        <v>34</v>
      </c>
      <c r="N79" s="13">
        <f t="shared" si="19"/>
        <v>41</v>
      </c>
      <c r="O79" s="13">
        <f t="shared" si="19"/>
        <v>28</v>
      </c>
      <c r="P79" s="13">
        <f t="shared" si="19"/>
        <v>20</v>
      </c>
      <c r="Q79" s="13">
        <f t="shared" si="19"/>
        <v>53</v>
      </c>
      <c r="R79" s="13">
        <f t="shared" si="19"/>
        <v>59</v>
      </c>
      <c r="S79" s="13">
        <f t="shared" si="19"/>
        <v>44</v>
      </c>
      <c r="T79" s="13">
        <f t="shared" si="19"/>
        <v>30</v>
      </c>
      <c r="U79" s="13">
        <f t="shared" si="19"/>
        <v>48</v>
      </c>
      <c r="V79" s="13">
        <f t="shared" si="19"/>
        <v>45</v>
      </c>
      <c r="W79" s="13">
        <f t="shared" si="19"/>
        <v>46</v>
      </c>
      <c r="X79" s="13">
        <f t="shared" si="19"/>
        <v>56</v>
      </c>
      <c r="Y79" s="13">
        <f t="shared" si="19"/>
        <v>54</v>
      </c>
      <c r="Z79" s="13">
        <f t="shared" si="19"/>
        <v>48</v>
      </c>
      <c r="AA79" s="13">
        <f t="shared" si="19"/>
        <v>71</v>
      </c>
      <c r="AB79" s="13">
        <f t="shared" si="19"/>
        <v>51</v>
      </c>
      <c r="AC79" s="13">
        <f t="shared" si="19"/>
        <v>49</v>
      </c>
      <c r="AD79" s="13">
        <f t="shared" si="19"/>
        <v>65</v>
      </c>
      <c r="AE79" s="13">
        <f t="shared" si="19"/>
        <v>88</v>
      </c>
      <c r="AF79" s="13">
        <f t="shared" si="19"/>
        <v>78</v>
      </c>
      <c r="AG79" s="13">
        <f t="shared" si="19"/>
        <v>90</v>
      </c>
      <c r="AH79" s="13">
        <f t="shared" si="19"/>
        <v>55</v>
      </c>
      <c r="AI79" s="13">
        <f t="shared" si="19"/>
        <v>1380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9.0</v>
      </c>
      <c r="F81" s="73">
        <v>9.0</v>
      </c>
      <c r="G81" s="73">
        <v>6.0</v>
      </c>
      <c r="H81" s="73">
        <v>2.0</v>
      </c>
      <c r="I81" s="73">
        <v>10.0</v>
      </c>
      <c r="J81" s="73">
        <v>5.0</v>
      </c>
      <c r="K81" s="73">
        <v>5.0</v>
      </c>
      <c r="L81" s="73">
        <v>3.0</v>
      </c>
      <c r="M81" s="73">
        <v>0.0</v>
      </c>
      <c r="N81" s="73">
        <v>1.0</v>
      </c>
      <c r="O81" s="73">
        <v>2.0</v>
      </c>
      <c r="P81" s="73">
        <v>3.0</v>
      </c>
      <c r="Q81" s="73">
        <v>2.0</v>
      </c>
      <c r="R81" s="73">
        <v>3.0</v>
      </c>
      <c r="S81" s="73">
        <v>4.0</v>
      </c>
      <c r="T81" s="73">
        <v>3.0</v>
      </c>
      <c r="U81" s="73">
        <v>1.0</v>
      </c>
      <c r="V81" s="73">
        <v>2.0</v>
      </c>
      <c r="W81" s="73">
        <v>3.0</v>
      </c>
      <c r="X81" s="73">
        <v>1.0</v>
      </c>
      <c r="Y81" s="73">
        <v>4.0</v>
      </c>
      <c r="Z81" s="73">
        <v>0.0</v>
      </c>
      <c r="AA81" s="73">
        <v>4.0</v>
      </c>
      <c r="AB81" s="73">
        <v>2.0</v>
      </c>
      <c r="AC81" s="73">
        <v>2.0</v>
      </c>
      <c r="AD81" s="73">
        <v>3.0</v>
      </c>
      <c r="AE81" s="73">
        <v>2.0</v>
      </c>
      <c r="AF81" s="73">
        <v>1.0</v>
      </c>
      <c r="AG81" s="73">
        <v>0.0</v>
      </c>
      <c r="AH81" s="73">
        <v>3.0</v>
      </c>
      <c r="AI81" s="13">
        <f t="shared" ref="AI81:AI90" si="20">SUM(E81:AH81)</f>
        <v>95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6.0</v>
      </c>
      <c r="F82" s="73">
        <v>2.0</v>
      </c>
      <c r="G82" s="73">
        <v>5.0</v>
      </c>
      <c r="H82" s="73">
        <v>4.0</v>
      </c>
      <c r="I82" s="73">
        <v>2.0</v>
      </c>
      <c r="J82" s="73">
        <v>1.0</v>
      </c>
      <c r="K82" s="73">
        <v>2.0</v>
      </c>
      <c r="L82" s="73">
        <v>4.0</v>
      </c>
      <c r="M82" s="73">
        <v>0.0</v>
      </c>
      <c r="N82" s="73">
        <v>2.0</v>
      </c>
      <c r="O82" s="73">
        <v>6.0</v>
      </c>
      <c r="P82" s="73">
        <v>1.0</v>
      </c>
      <c r="Q82" s="73">
        <v>3.0</v>
      </c>
      <c r="R82" s="73">
        <v>1.0</v>
      </c>
      <c r="S82" s="73">
        <v>0.0</v>
      </c>
      <c r="T82" s="73">
        <v>4.0</v>
      </c>
      <c r="U82" s="73">
        <v>1.0</v>
      </c>
      <c r="V82" s="73">
        <v>0.0</v>
      </c>
      <c r="W82" s="73">
        <v>1.0</v>
      </c>
      <c r="X82" s="73">
        <v>1.0</v>
      </c>
      <c r="Y82" s="73">
        <v>1.0</v>
      </c>
      <c r="Z82" s="73">
        <v>0.0</v>
      </c>
      <c r="AA82" s="73">
        <v>0.0</v>
      </c>
      <c r="AB82" s="73">
        <v>4.0</v>
      </c>
      <c r="AC82" s="73">
        <v>1.0</v>
      </c>
      <c r="AD82" s="73">
        <v>1.0</v>
      </c>
      <c r="AE82" s="73">
        <v>0.0</v>
      </c>
      <c r="AF82" s="73">
        <v>0.0</v>
      </c>
      <c r="AG82" s="73">
        <v>0.0</v>
      </c>
      <c r="AH82" s="73">
        <v>3.0</v>
      </c>
      <c r="AI82" s="13">
        <f t="shared" si="20"/>
        <v>56</v>
      </c>
    </row>
    <row r="83" ht="12.75" customHeight="1">
      <c r="A83" s="18"/>
      <c r="B83" s="49"/>
      <c r="C83" s="50" t="s">
        <v>71</v>
      </c>
      <c r="D83" s="51"/>
      <c r="E83" s="73">
        <v>1.0</v>
      </c>
      <c r="F83" s="73">
        <v>1.0</v>
      </c>
      <c r="G83" s="73">
        <v>4.0</v>
      </c>
      <c r="H83" s="73">
        <v>2.0</v>
      </c>
      <c r="I83" s="73">
        <v>2.0</v>
      </c>
      <c r="J83" s="73">
        <v>1.0</v>
      </c>
      <c r="K83" s="73">
        <v>2.0</v>
      </c>
      <c r="L83" s="73">
        <v>1.0</v>
      </c>
      <c r="M83" s="73">
        <v>0.0</v>
      </c>
      <c r="N83" s="73">
        <v>0.0</v>
      </c>
      <c r="O83" s="73">
        <v>2.0</v>
      </c>
      <c r="P83" s="73">
        <v>0.0</v>
      </c>
      <c r="Q83" s="73">
        <v>1.0</v>
      </c>
      <c r="R83" s="73">
        <v>1.0</v>
      </c>
      <c r="S83" s="73">
        <v>0.0</v>
      </c>
      <c r="T83" s="73">
        <v>1.0</v>
      </c>
      <c r="U83" s="73">
        <v>2.0</v>
      </c>
      <c r="V83" s="73">
        <v>0.0</v>
      </c>
      <c r="W83" s="73">
        <v>0.0</v>
      </c>
      <c r="X83" s="73">
        <v>0.0</v>
      </c>
      <c r="Y83" s="73">
        <v>0.0</v>
      </c>
      <c r="Z83" s="73">
        <v>0.0</v>
      </c>
      <c r="AA83" s="73">
        <v>0.0</v>
      </c>
      <c r="AB83" s="73">
        <v>4.0</v>
      </c>
      <c r="AC83" s="73">
        <v>0.0</v>
      </c>
      <c r="AD83" s="73">
        <v>0.0</v>
      </c>
      <c r="AE83" s="73">
        <v>0.0</v>
      </c>
      <c r="AF83" s="73">
        <v>1.0</v>
      </c>
      <c r="AG83" s="73">
        <v>1.0</v>
      </c>
      <c r="AH83" s="73">
        <v>1.0</v>
      </c>
      <c r="AI83" s="13">
        <f t="shared" si="20"/>
        <v>28</v>
      </c>
    </row>
    <row r="84" ht="12.75" customHeight="1">
      <c r="A84" s="18"/>
      <c r="B84" s="49"/>
      <c r="C84" s="50" t="s">
        <v>72</v>
      </c>
      <c r="D84" s="51"/>
      <c r="E84" s="73">
        <v>2.0</v>
      </c>
      <c r="F84" s="73">
        <v>0.0</v>
      </c>
      <c r="G84" s="73">
        <v>1.0</v>
      </c>
      <c r="H84" s="73">
        <v>0.0</v>
      </c>
      <c r="I84" s="73">
        <v>1.0</v>
      </c>
      <c r="J84" s="73">
        <v>0.0</v>
      </c>
      <c r="K84" s="73">
        <v>2.0</v>
      </c>
      <c r="L84" s="73">
        <v>2.0</v>
      </c>
      <c r="M84" s="73">
        <v>1.0</v>
      </c>
      <c r="N84" s="73">
        <v>0.0</v>
      </c>
      <c r="O84" s="73">
        <v>0.0</v>
      </c>
      <c r="P84" s="73">
        <v>0.0</v>
      </c>
      <c r="Q84" s="73">
        <v>0.0</v>
      </c>
      <c r="R84" s="73">
        <v>0.0</v>
      </c>
      <c r="S84" s="73">
        <v>1.0</v>
      </c>
      <c r="T84" s="73">
        <v>1.0</v>
      </c>
      <c r="U84" s="73">
        <v>1.0</v>
      </c>
      <c r="V84" s="73">
        <v>0.0</v>
      </c>
      <c r="W84" s="73">
        <v>0.0</v>
      </c>
      <c r="X84" s="73">
        <v>0.0</v>
      </c>
      <c r="Y84" s="73">
        <v>1.0</v>
      </c>
      <c r="Z84" s="73">
        <v>0.0</v>
      </c>
      <c r="AA84" s="73">
        <v>0.0</v>
      </c>
      <c r="AB84" s="73">
        <v>2.0</v>
      </c>
      <c r="AC84" s="73">
        <v>1.0</v>
      </c>
      <c r="AD84" s="73">
        <v>1.0</v>
      </c>
      <c r="AE84" s="73">
        <v>0.0</v>
      </c>
      <c r="AF84" s="73">
        <v>2.0</v>
      </c>
      <c r="AG84" s="73">
        <v>3.0</v>
      </c>
      <c r="AH84" s="73">
        <v>1.0</v>
      </c>
      <c r="AI84" s="13">
        <f t="shared" si="20"/>
        <v>23</v>
      </c>
    </row>
    <row r="85" ht="12.75" customHeight="1">
      <c r="A85" s="18"/>
      <c r="B85" s="49"/>
      <c r="C85" s="50" t="s">
        <v>73</v>
      </c>
      <c r="D85" s="51"/>
      <c r="E85" s="73">
        <v>0.0</v>
      </c>
      <c r="F85" s="73">
        <v>0.0</v>
      </c>
      <c r="G85" s="73">
        <v>0.0</v>
      </c>
      <c r="H85" s="73">
        <v>3.0</v>
      </c>
      <c r="I85" s="73">
        <v>3.0</v>
      </c>
      <c r="J85" s="73">
        <v>0.0</v>
      </c>
      <c r="K85" s="73">
        <v>2.0</v>
      </c>
      <c r="L85" s="73">
        <v>0.0</v>
      </c>
      <c r="M85" s="73">
        <v>0.0</v>
      </c>
      <c r="N85" s="73">
        <v>0.0</v>
      </c>
      <c r="O85" s="73">
        <v>0.0</v>
      </c>
      <c r="P85" s="73">
        <v>0.0</v>
      </c>
      <c r="Q85" s="73">
        <v>0.0</v>
      </c>
      <c r="R85" s="73">
        <v>1.0</v>
      </c>
      <c r="S85" s="73">
        <v>0.0</v>
      </c>
      <c r="T85" s="73">
        <v>1.0</v>
      </c>
      <c r="U85" s="73">
        <v>6.0</v>
      </c>
      <c r="V85" s="73">
        <v>0.0</v>
      </c>
      <c r="W85" s="73">
        <v>2.0</v>
      </c>
      <c r="X85" s="73">
        <v>0.0</v>
      </c>
      <c r="Y85" s="73">
        <v>0.0</v>
      </c>
      <c r="Z85" s="73">
        <v>0.0</v>
      </c>
      <c r="AA85" s="73">
        <v>1.0</v>
      </c>
      <c r="AB85" s="73">
        <v>4.0</v>
      </c>
      <c r="AC85" s="73">
        <v>1.0</v>
      </c>
      <c r="AD85" s="73">
        <v>2.0</v>
      </c>
      <c r="AE85" s="73">
        <v>0.0</v>
      </c>
      <c r="AF85" s="73">
        <v>1.0</v>
      </c>
      <c r="AG85" s="73">
        <v>2.0</v>
      </c>
      <c r="AH85" s="73">
        <v>0.0</v>
      </c>
      <c r="AI85" s="13">
        <f t="shared" si="20"/>
        <v>29</v>
      </c>
    </row>
    <row r="86" ht="12.75" customHeight="1">
      <c r="A86" s="18"/>
      <c r="B86" s="49"/>
      <c r="C86" s="50" t="s">
        <v>74</v>
      </c>
      <c r="D86" s="51"/>
      <c r="E86" s="73">
        <v>0.0</v>
      </c>
      <c r="F86" s="73">
        <v>0.0</v>
      </c>
      <c r="G86" s="73">
        <v>1.0</v>
      </c>
      <c r="H86" s="73">
        <v>1.0</v>
      </c>
      <c r="I86" s="73">
        <v>0.0</v>
      </c>
      <c r="J86" s="73">
        <v>2.0</v>
      </c>
      <c r="K86" s="73">
        <v>2.0</v>
      </c>
      <c r="L86" s="73">
        <v>1.0</v>
      </c>
      <c r="M86" s="73">
        <v>2.0</v>
      </c>
      <c r="N86" s="73">
        <v>0.0</v>
      </c>
      <c r="O86" s="73">
        <v>0.0</v>
      </c>
      <c r="P86" s="73">
        <v>0.0</v>
      </c>
      <c r="Q86" s="73">
        <v>2.0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1.0</v>
      </c>
      <c r="Y86" s="73">
        <v>0.0</v>
      </c>
      <c r="Z86" s="73">
        <v>0.0</v>
      </c>
      <c r="AA86" s="73">
        <v>0.0</v>
      </c>
      <c r="AB86" s="73">
        <v>0.0</v>
      </c>
      <c r="AC86" s="73">
        <v>0.0</v>
      </c>
      <c r="AD86" s="73">
        <v>0.0</v>
      </c>
      <c r="AE86" s="73">
        <v>1.0</v>
      </c>
      <c r="AF86" s="73">
        <v>0.0</v>
      </c>
      <c r="AG86" s="73">
        <v>0.0</v>
      </c>
      <c r="AH86" s="73">
        <v>1.0</v>
      </c>
      <c r="AI86" s="13">
        <f t="shared" si="20"/>
        <v>14</v>
      </c>
    </row>
    <row r="87" ht="12.75" customHeight="1">
      <c r="A87" s="18"/>
      <c r="B87" s="49"/>
      <c r="C87" s="50" t="s">
        <v>75</v>
      </c>
      <c r="D87" s="51"/>
      <c r="E87" s="73">
        <v>1.0</v>
      </c>
      <c r="F87" s="73">
        <v>0.0</v>
      </c>
      <c r="G87" s="73">
        <v>0.0</v>
      </c>
      <c r="H87" s="73">
        <v>1.0</v>
      </c>
      <c r="I87" s="73">
        <v>0.0</v>
      </c>
      <c r="J87" s="73">
        <v>1.0</v>
      </c>
      <c r="K87" s="73">
        <v>0.0</v>
      </c>
      <c r="L87" s="73">
        <v>0.0</v>
      </c>
      <c r="M87" s="73">
        <v>0.0</v>
      </c>
      <c r="N87" s="73">
        <v>2.0</v>
      </c>
      <c r="O87" s="73">
        <v>0.0</v>
      </c>
      <c r="P87" s="73">
        <v>2.0</v>
      </c>
      <c r="Q87" s="73">
        <v>0.0</v>
      </c>
      <c r="R87" s="73">
        <v>0.0</v>
      </c>
      <c r="S87" s="73">
        <v>0.0</v>
      </c>
      <c r="T87" s="73">
        <v>1.0</v>
      </c>
      <c r="U87" s="73">
        <v>0.0</v>
      </c>
      <c r="V87" s="73">
        <v>0.0</v>
      </c>
      <c r="W87" s="73">
        <v>1.0</v>
      </c>
      <c r="X87" s="73">
        <v>0.0</v>
      </c>
      <c r="Y87" s="73">
        <v>0.0</v>
      </c>
      <c r="Z87" s="73">
        <v>0.0</v>
      </c>
      <c r="AA87" s="73">
        <v>1.0</v>
      </c>
      <c r="AB87" s="73">
        <v>0.0</v>
      </c>
      <c r="AC87" s="73">
        <v>0.0</v>
      </c>
      <c r="AD87" s="73">
        <v>0.0</v>
      </c>
      <c r="AE87" s="73">
        <v>1.0</v>
      </c>
      <c r="AF87" s="73">
        <v>1.0</v>
      </c>
      <c r="AG87" s="73">
        <v>0.0</v>
      </c>
      <c r="AH87" s="73">
        <v>0.0</v>
      </c>
      <c r="AI87" s="13">
        <f t="shared" si="20"/>
        <v>12</v>
      </c>
    </row>
    <row r="88" ht="12.75" customHeight="1">
      <c r="A88" s="79"/>
      <c r="B88" s="49"/>
      <c r="C88" s="50" t="s">
        <v>76</v>
      </c>
      <c r="D88" s="51"/>
      <c r="E88" s="80">
        <v>1.0</v>
      </c>
      <c r="F88" s="80">
        <v>0.0</v>
      </c>
      <c r="G88" s="80">
        <v>0.0</v>
      </c>
      <c r="H88" s="80">
        <v>1.0</v>
      </c>
      <c r="I88" s="80">
        <v>0.0</v>
      </c>
      <c r="J88" s="80">
        <v>0.0</v>
      </c>
      <c r="K88" s="80">
        <v>0.0</v>
      </c>
      <c r="L88" s="80">
        <v>1.0</v>
      </c>
      <c r="M88" s="80">
        <v>0.0</v>
      </c>
      <c r="N88" s="80">
        <v>0.0</v>
      </c>
      <c r="O88" s="80">
        <v>0.0</v>
      </c>
      <c r="P88" s="80">
        <v>0.0</v>
      </c>
      <c r="Q88" s="80">
        <v>0.0</v>
      </c>
      <c r="R88" s="80">
        <v>0.0</v>
      </c>
      <c r="S88" s="80">
        <v>1.0</v>
      </c>
      <c r="T88" s="80">
        <v>0.0</v>
      </c>
      <c r="U88" s="80">
        <v>0.0</v>
      </c>
      <c r="V88" s="80">
        <v>0.0</v>
      </c>
      <c r="W88" s="80">
        <v>0.0</v>
      </c>
      <c r="X88" s="80">
        <v>0.0</v>
      </c>
      <c r="Y88" s="80">
        <v>0.0</v>
      </c>
      <c r="Z88" s="80">
        <v>0.0</v>
      </c>
      <c r="AA88" s="80">
        <v>0.0</v>
      </c>
      <c r="AB88" s="80">
        <v>0.0</v>
      </c>
      <c r="AC88" s="80">
        <v>0.0</v>
      </c>
      <c r="AD88" s="80">
        <v>1.0</v>
      </c>
      <c r="AE88" s="80">
        <v>0.0</v>
      </c>
      <c r="AF88" s="80">
        <v>0.0</v>
      </c>
      <c r="AG88" s="80">
        <v>0.0</v>
      </c>
      <c r="AH88" s="80">
        <v>0.0</v>
      </c>
      <c r="AI88" s="13">
        <f t="shared" si="20"/>
        <v>5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0.0</v>
      </c>
      <c r="N89" s="80">
        <v>0.0</v>
      </c>
      <c r="O89" s="80">
        <v>0.0</v>
      </c>
      <c r="P89" s="80">
        <v>1.0</v>
      </c>
      <c r="Q89" s="80">
        <v>0.0</v>
      </c>
      <c r="R89" s="80">
        <v>0.0</v>
      </c>
      <c r="S89" s="80">
        <v>0.0</v>
      </c>
      <c r="T89" s="80">
        <v>0.0</v>
      </c>
      <c r="U89" s="80">
        <v>0.0</v>
      </c>
      <c r="V89" s="80">
        <v>0.0</v>
      </c>
      <c r="W89" s="80">
        <v>0.0</v>
      </c>
      <c r="X89" s="80">
        <v>0.0</v>
      </c>
      <c r="Y89" s="80">
        <v>0.0</v>
      </c>
      <c r="Z89" s="80">
        <v>0.0</v>
      </c>
      <c r="AA89" s="80">
        <v>0.0</v>
      </c>
      <c r="AB89" s="80">
        <v>0.0</v>
      </c>
      <c r="AC89" s="80">
        <v>0.0</v>
      </c>
      <c r="AD89" s="80">
        <v>0.0</v>
      </c>
      <c r="AE89" s="80">
        <v>0.0</v>
      </c>
      <c r="AF89" s="80">
        <v>0.0</v>
      </c>
      <c r="AG89" s="80">
        <v>0.0</v>
      </c>
      <c r="AH89" s="80">
        <v>0.0</v>
      </c>
      <c r="AI89" s="13">
        <f t="shared" si="20"/>
        <v>1</v>
      </c>
    </row>
    <row r="90" ht="12.75" customHeight="1">
      <c r="A90" s="79"/>
      <c r="B90" s="49"/>
      <c r="C90" s="50" t="s">
        <v>78</v>
      </c>
      <c r="D90" s="51"/>
      <c r="E90" s="80">
        <v>0.0</v>
      </c>
      <c r="F90" s="80">
        <v>2.0</v>
      </c>
      <c r="G90" s="80">
        <v>1.0</v>
      </c>
      <c r="H90" s="80">
        <v>0.0</v>
      </c>
      <c r="I90" s="80">
        <v>0.0</v>
      </c>
      <c r="J90" s="80">
        <v>0.0</v>
      </c>
      <c r="K90" s="80">
        <v>0.0</v>
      </c>
      <c r="L90" s="80">
        <v>1.0</v>
      </c>
      <c r="M90" s="80">
        <v>0.0</v>
      </c>
      <c r="N90" s="80">
        <v>0.0</v>
      </c>
      <c r="O90" s="80">
        <v>0.0</v>
      </c>
      <c r="P90" s="80">
        <v>0.0</v>
      </c>
      <c r="Q90" s="80">
        <v>0.0</v>
      </c>
      <c r="R90" s="80">
        <v>1.0</v>
      </c>
      <c r="S90" s="80">
        <v>0.0</v>
      </c>
      <c r="T90" s="80">
        <v>0.0</v>
      </c>
      <c r="U90" s="80">
        <v>0.0</v>
      </c>
      <c r="V90" s="80">
        <v>0.0</v>
      </c>
      <c r="W90" s="80">
        <v>0.0</v>
      </c>
      <c r="X90" s="80">
        <v>0.0</v>
      </c>
      <c r="Y90" s="80">
        <v>0.0</v>
      </c>
      <c r="Z90" s="80">
        <v>0.0</v>
      </c>
      <c r="AA90" s="80">
        <v>1.0</v>
      </c>
      <c r="AB90" s="80">
        <v>0.0</v>
      </c>
      <c r="AC90" s="80">
        <v>0.0</v>
      </c>
      <c r="AD90" s="80">
        <v>0.0</v>
      </c>
      <c r="AE90" s="80">
        <v>0.0</v>
      </c>
      <c r="AF90" s="80">
        <v>0.0</v>
      </c>
      <c r="AG90" s="80">
        <v>0.0</v>
      </c>
      <c r="AH90" s="80">
        <v>1.0</v>
      </c>
      <c r="AI90" s="13">
        <f t="shared" si="20"/>
        <v>7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AI91" si="21">SUM(E81:E90)</f>
        <v>20</v>
      </c>
      <c r="F91" s="13">
        <f t="shared" si="21"/>
        <v>14</v>
      </c>
      <c r="G91" s="13">
        <f t="shared" si="21"/>
        <v>18</v>
      </c>
      <c r="H91" s="13">
        <f t="shared" si="21"/>
        <v>14</v>
      </c>
      <c r="I91" s="13">
        <f t="shared" si="21"/>
        <v>18</v>
      </c>
      <c r="J91" s="13">
        <f t="shared" si="21"/>
        <v>10</v>
      </c>
      <c r="K91" s="13">
        <f t="shared" si="21"/>
        <v>15</v>
      </c>
      <c r="L91" s="13">
        <f t="shared" si="21"/>
        <v>13</v>
      </c>
      <c r="M91" s="13">
        <f t="shared" si="21"/>
        <v>3</v>
      </c>
      <c r="N91" s="13">
        <f t="shared" si="21"/>
        <v>5</v>
      </c>
      <c r="O91" s="13">
        <f t="shared" si="21"/>
        <v>10</v>
      </c>
      <c r="P91" s="13">
        <f t="shared" si="21"/>
        <v>7</v>
      </c>
      <c r="Q91" s="13">
        <f t="shared" si="21"/>
        <v>8</v>
      </c>
      <c r="R91" s="13">
        <f t="shared" si="21"/>
        <v>7</v>
      </c>
      <c r="S91" s="13">
        <f t="shared" si="21"/>
        <v>6</v>
      </c>
      <c r="T91" s="13">
        <f t="shared" si="21"/>
        <v>11</v>
      </c>
      <c r="U91" s="13">
        <f t="shared" si="21"/>
        <v>11</v>
      </c>
      <c r="V91" s="13">
        <f t="shared" si="21"/>
        <v>2</v>
      </c>
      <c r="W91" s="13">
        <f t="shared" si="21"/>
        <v>7</v>
      </c>
      <c r="X91" s="13">
        <f t="shared" si="21"/>
        <v>3</v>
      </c>
      <c r="Y91" s="13">
        <f t="shared" si="21"/>
        <v>6</v>
      </c>
      <c r="Z91" s="13">
        <f t="shared" si="21"/>
        <v>0</v>
      </c>
      <c r="AA91" s="13">
        <f t="shared" si="21"/>
        <v>7</v>
      </c>
      <c r="AB91" s="13">
        <f t="shared" si="21"/>
        <v>16</v>
      </c>
      <c r="AC91" s="13">
        <f t="shared" si="21"/>
        <v>5</v>
      </c>
      <c r="AD91" s="13">
        <f t="shared" si="21"/>
        <v>8</v>
      </c>
      <c r="AE91" s="13">
        <f t="shared" si="21"/>
        <v>4</v>
      </c>
      <c r="AF91" s="13">
        <f t="shared" si="21"/>
        <v>6</v>
      </c>
      <c r="AG91" s="13">
        <f t="shared" si="21"/>
        <v>6</v>
      </c>
      <c r="AH91" s="13">
        <f t="shared" si="21"/>
        <v>10</v>
      </c>
      <c r="AI91" s="13">
        <f t="shared" si="21"/>
        <v>270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3.0</v>
      </c>
      <c r="F93" s="73">
        <v>0.0</v>
      </c>
      <c r="G93" s="73">
        <v>2.0</v>
      </c>
      <c r="H93" s="73">
        <v>1.0</v>
      </c>
      <c r="I93" s="73">
        <v>1.0</v>
      </c>
      <c r="J93" s="73">
        <v>2.0</v>
      </c>
      <c r="K93" s="73">
        <v>3.0</v>
      </c>
      <c r="L93" s="73">
        <v>1.0</v>
      </c>
      <c r="M93" s="73">
        <v>0.0</v>
      </c>
      <c r="N93" s="73">
        <v>0.0</v>
      </c>
      <c r="O93" s="73">
        <v>1.0</v>
      </c>
      <c r="P93" s="73">
        <v>0.0</v>
      </c>
      <c r="Q93" s="73">
        <v>3.0</v>
      </c>
      <c r="R93" s="73">
        <v>1.0</v>
      </c>
      <c r="S93" s="73">
        <v>0.0</v>
      </c>
      <c r="T93" s="73">
        <v>0.0</v>
      </c>
      <c r="U93" s="73">
        <v>3.0</v>
      </c>
      <c r="V93" s="73">
        <v>2.0</v>
      </c>
      <c r="W93" s="73">
        <v>1.0</v>
      </c>
      <c r="X93" s="73">
        <v>1.0</v>
      </c>
      <c r="Y93" s="73">
        <v>0.0</v>
      </c>
      <c r="Z93" s="73">
        <v>0.0</v>
      </c>
      <c r="AA93" s="73">
        <v>2.0</v>
      </c>
      <c r="AB93" s="73">
        <v>2.0</v>
      </c>
      <c r="AC93" s="73">
        <v>3.0</v>
      </c>
      <c r="AD93" s="73">
        <v>4.0</v>
      </c>
      <c r="AE93" s="73">
        <v>6.0</v>
      </c>
      <c r="AF93" s="73">
        <v>6.0</v>
      </c>
      <c r="AG93" s="73">
        <v>4.0</v>
      </c>
      <c r="AH93" s="73">
        <v>3.0</v>
      </c>
      <c r="AI93" s="13">
        <f t="shared" ref="AI93:AI102" si="22">SUM(E93:AH93)</f>
        <v>55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1.0</v>
      </c>
      <c r="F94" s="73">
        <v>0.0</v>
      </c>
      <c r="G94" s="73">
        <v>0.0</v>
      </c>
      <c r="H94" s="73">
        <v>0.0</v>
      </c>
      <c r="I94" s="73">
        <v>1.0</v>
      </c>
      <c r="J94" s="73">
        <v>1.0</v>
      </c>
      <c r="K94" s="73">
        <v>4.0</v>
      </c>
      <c r="L94" s="73">
        <v>1.0</v>
      </c>
      <c r="M94" s="73">
        <v>0.0</v>
      </c>
      <c r="N94" s="73">
        <v>0.0</v>
      </c>
      <c r="O94" s="73">
        <v>0.0</v>
      </c>
      <c r="P94" s="73">
        <v>1.0</v>
      </c>
      <c r="Q94" s="73">
        <v>3.0</v>
      </c>
      <c r="R94" s="73">
        <v>0.0</v>
      </c>
      <c r="S94" s="73">
        <v>5.0</v>
      </c>
      <c r="T94" s="73">
        <v>3.0</v>
      </c>
      <c r="U94" s="73">
        <v>1.0</v>
      </c>
      <c r="V94" s="73">
        <v>1.0</v>
      </c>
      <c r="W94" s="73">
        <v>0.0</v>
      </c>
      <c r="X94" s="73">
        <v>3.0</v>
      </c>
      <c r="Y94" s="73">
        <v>1.0</v>
      </c>
      <c r="Z94" s="73">
        <v>2.0</v>
      </c>
      <c r="AA94" s="73">
        <v>2.0</v>
      </c>
      <c r="AB94" s="73">
        <v>2.0</v>
      </c>
      <c r="AC94" s="73">
        <v>0.0</v>
      </c>
      <c r="AD94" s="73">
        <v>1.0</v>
      </c>
      <c r="AE94" s="73">
        <v>0.0</v>
      </c>
      <c r="AF94" s="73">
        <v>1.0</v>
      </c>
      <c r="AG94" s="73">
        <v>0.0</v>
      </c>
      <c r="AH94" s="73">
        <v>1.0</v>
      </c>
      <c r="AI94" s="13">
        <f t="shared" si="22"/>
        <v>35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1.0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73">
        <v>0.0</v>
      </c>
      <c r="V95" s="73">
        <v>0.0</v>
      </c>
      <c r="W95" s="73">
        <v>0.0</v>
      </c>
      <c r="X95" s="73">
        <v>1.0</v>
      </c>
      <c r="Y95" s="73">
        <v>0.0</v>
      </c>
      <c r="Z95" s="73">
        <v>0.0</v>
      </c>
      <c r="AA95" s="73">
        <v>1.0</v>
      </c>
      <c r="AB95" s="73">
        <v>0.0</v>
      </c>
      <c r="AC95" s="73">
        <v>0.0</v>
      </c>
      <c r="AD95" s="73">
        <v>0.0</v>
      </c>
      <c r="AE95" s="73">
        <v>0.0</v>
      </c>
      <c r="AF95" s="73">
        <v>0.0</v>
      </c>
      <c r="AG95" s="73">
        <v>1.0</v>
      </c>
      <c r="AH95" s="73">
        <v>0.0</v>
      </c>
      <c r="AI95" s="13">
        <f t="shared" si="22"/>
        <v>4</v>
      </c>
    </row>
    <row r="96" ht="12.75" customHeight="1">
      <c r="A96" s="18"/>
      <c r="B96" s="49"/>
      <c r="C96" s="50" t="s">
        <v>83</v>
      </c>
      <c r="D96" s="56"/>
      <c r="E96" s="73">
        <v>1.0</v>
      </c>
      <c r="F96" s="73">
        <v>0.0</v>
      </c>
      <c r="G96" s="73">
        <v>0.0</v>
      </c>
      <c r="H96" s="73">
        <v>0.0</v>
      </c>
      <c r="I96" s="73">
        <v>0.0</v>
      </c>
      <c r="J96" s="73">
        <v>1.0</v>
      </c>
      <c r="K96" s="73">
        <v>0.0</v>
      </c>
      <c r="L96" s="73">
        <v>0.0</v>
      </c>
      <c r="M96" s="73">
        <v>0.0</v>
      </c>
      <c r="N96" s="73">
        <v>0.0</v>
      </c>
      <c r="O96" s="73">
        <v>1.0</v>
      </c>
      <c r="P96" s="73">
        <v>0.0</v>
      </c>
      <c r="Q96" s="73">
        <v>1.0</v>
      </c>
      <c r="R96" s="73">
        <v>0.0</v>
      </c>
      <c r="S96" s="73">
        <v>0.0</v>
      </c>
      <c r="T96" s="73">
        <v>0.0</v>
      </c>
      <c r="U96" s="73">
        <v>1.0</v>
      </c>
      <c r="V96" s="73">
        <v>0.0</v>
      </c>
      <c r="W96" s="73">
        <v>0.0</v>
      </c>
      <c r="X96" s="73">
        <v>1.0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1.0</v>
      </c>
      <c r="AE96" s="73">
        <v>1.0</v>
      </c>
      <c r="AF96" s="73">
        <v>0.0</v>
      </c>
      <c r="AG96" s="73">
        <v>0.0</v>
      </c>
      <c r="AH96" s="73">
        <v>0.0</v>
      </c>
      <c r="AI96" s="13">
        <f t="shared" si="22"/>
        <v>8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0.0</v>
      </c>
      <c r="AA97" s="73">
        <v>0.0</v>
      </c>
      <c r="AB97" s="73">
        <v>1.0</v>
      </c>
      <c r="AC97" s="73">
        <v>0.0</v>
      </c>
      <c r="AD97" s="73">
        <v>0.0</v>
      </c>
      <c r="AE97" s="73">
        <v>0.0</v>
      </c>
      <c r="AF97" s="73">
        <v>0.0</v>
      </c>
      <c r="AG97" s="73">
        <v>2.0</v>
      </c>
      <c r="AH97" s="73">
        <v>1.0</v>
      </c>
      <c r="AI97" s="13">
        <f t="shared" si="22"/>
        <v>4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1.0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1.0</v>
      </c>
      <c r="AA98" s="73">
        <v>0.0</v>
      </c>
      <c r="AB98" s="73">
        <v>0.0</v>
      </c>
      <c r="AC98" s="73">
        <v>0.0</v>
      </c>
      <c r="AD98" s="73">
        <v>1.0</v>
      </c>
      <c r="AE98" s="73">
        <v>0.0</v>
      </c>
      <c r="AF98" s="73">
        <v>0.0</v>
      </c>
      <c r="AG98" s="73">
        <v>0.0</v>
      </c>
      <c r="AH98" s="73">
        <v>0.0</v>
      </c>
      <c r="AI98" s="13">
        <f t="shared" si="22"/>
        <v>3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1.0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1.0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73">
        <v>0.0</v>
      </c>
      <c r="AE99" s="73">
        <v>0.0</v>
      </c>
      <c r="AF99" s="73">
        <v>0.0</v>
      </c>
      <c r="AG99" s="73">
        <v>0.0</v>
      </c>
      <c r="AH99" s="73">
        <v>0.0</v>
      </c>
      <c r="AI99" s="13">
        <f t="shared" si="22"/>
        <v>2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0.0</v>
      </c>
      <c r="T100" s="80">
        <v>0.0</v>
      </c>
      <c r="U100" s="80">
        <v>0.0</v>
      </c>
      <c r="V100" s="80">
        <v>0.0</v>
      </c>
      <c r="W100" s="80">
        <v>0.0</v>
      </c>
      <c r="X100" s="80">
        <v>0.0</v>
      </c>
      <c r="Y100" s="80">
        <v>0.0</v>
      </c>
      <c r="Z100" s="80">
        <v>0.0</v>
      </c>
      <c r="AA100" s="80">
        <v>0.0</v>
      </c>
      <c r="AB100" s="80">
        <v>0.0</v>
      </c>
      <c r="AC100" s="80">
        <v>0.0</v>
      </c>
      <c r="AD100" s="80">
        <v>0.0</v>
      </c>
      <c r="AE100" s="80">
        <v>0.0</v>
      </c>
      <c r="AF100" s="80">
        <v>0.0</v>
      </c>
      <c r="AG100" s="80">
        <v>0.0</v>
      </c>
      <c r="AH100" s="80">
        <v>0.0</v>
      </c>
      <c r="AI100" s="13">
        <f t="shared" si="22"/>
        <v>0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1.0</v>
      </c>
      <c r="J101" s="80">
        <v>0.0</v>
      </c>
      <c r="K101" s="80">
        <v>0.0</v>
      </c>
      <c r="L101" s="80">
        <v>0.0</v>
      </c>
      <c r="M101" s="80">
        <v>1.0</v>
      </c>
      <c r="N101" s="80">
        <v>0.0</v>
      </c>
      <c r="O101" s="80">
        <v>0.0</v>
      </c>
      <c r="P101" s="80">
        <v>0.0</v>
      </c>
      <c r="Q101" s="80">
        <v>1.0</v>
      </c>
      <c r="R101" s="80">
        <v>0.0</v>
      </c>
      <c r="S101" s="80">
        <v>0.0</v>
      </c>
      <c r="T101" s="80">
        <v>0.0</v>
      </c>
      <c r="U101" s="80">
        <v>0.0</v>
      </c>
      <c r="V101" s="80">
        <v>0.0</v>
      </c>
      <c r="W101" s="80">
        <v>0.0</v>
      </c>
      <c r="X101" s="80">
        <v>0.0</v>
      </c>
      <c r="Y101" s="80">
        <v>0.0</v>
      </c>
      <c r="Z101" s="80">
        <v>0.0</v>
      </c>
      <c r="AA101" s="80">
        <v>0.0</v>
      </c>
      <c r="AB101" s="80">
        <v>1.0</v>
      </c>
      <c r="AC101" s="80">
        <v>0.0</v>
      </c>
      <c r="AD101" s="80">
        <v>0.0</v>
      </c>
      <c r="AE101" s="80">
        <v>0.0</v>
      </c>
      <c r="AF101" s="80">
        <v>0.0</v>
      </c>
      <c r="AG101" s="80">
        <v>0.0</v>
      </c>
      <c r="AH101" s="80">
        <v>1.0</v>
      </c>
      <c r="AI101" s="13">
        <f t="shared" si="22"/>
        <v>5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80">
        <v>0.0</v>
      </c>
      <c r="V102" s="80">
        <v>0.0</v>
      </c>
      <c r="W102" s="80">
        <v>0.0</v>
      </c>
      <c r="X102" s="80">
        <v>0.0</v>
      </c>
      <c r="Y102" s="80">
        <v>0.0</v>
      </c>
      <c r="Z102" s="80">
        <v>0.0</v>
      </c>
      <c r="AA102" s="80">
        <v>0.0</v>
      </c>
      <c r="AB102" s="80">
        <v>0.0</v>
      </c>
      <c r="AC102" s="80">
        <v>0.0</v>
      </c>
      <c r="AD102" s="80">
        <v>0.0</v>
      </c>
      <c r="AE102" s="80">
        <v>0.0</v>
      </c>
      <c r="AF102" s="80">
        <v>0.0</v>
      </c>
      <c r="AG102" s="80">
        <v>0.0</v>
      </c>
      <c r="AH102" s="80">
        <v>0.0</v>
      </c>
      <c r="AI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AI103" si="23">SUM(E93:E102)</f>
        <v>5</v>
      </c>
      <c r="F103" s="13">
        <f t="shared" si="23"/>
        <v>0</v>
      </c>
      <c r="G103" s="13">
        <f t="shared" si="23"/>
        <v>2</v>
      </c>
      <c r="H103" s="13">
        <f t="shared" si="23"/>
        <v>2</v>
      </c>
      <c r="I103" s="13">
        <f t="shared" si="23"/>
        <v>3</v>
      </c>
      <c r="J103" s="13">
        <f t="shared" si="23"/>
        <v>4</v>
      </c>
      <c r="K103" s="13">
        <f t="shared" si="23"/>
        <v>8</v>
      </c>
      <c r="L103" s="13">
        <f t="shared" si="23"/>
        <v>3</v>
      </c>
      <c r="M103" s="13">
        <f t="shared" si="23"/>
        <v>1</v>
      </c>
      <c r="N103" s="13">
        <f t="shared" si="23"/>
        <v>0</v>
      </c>
      <c r="O103" s="13">
        <f t="shared" si="23"/>
        <v>2</v>
      </c>
      <c r="P103" s="13">
        <f t="shared" si="23"/>
        <v>1</v>
      </c>
      <c r="Q103" s="13">
        <f t="shared" si="23"/>
        <v>8</v>
      </c>
      <c r="R103" s="13">
        <f t="shared" si="23"/>
        <v>1</v>
      </c>
      <c r="S103" s="13">
        <f t="shared" si="23"/>
        <v>5</v>
      </c>
      <c r="T103" s="13">
        <f t="shared" si="23"/>
        <v>3</v>
      </c>
      <c r="U103" s="13">
        <f t="shared" si="23"/>
        <v>5</v>
      </c>
      <c r="V103" s="13">
        <f t="shared" si="23"/>
        <v>3</v>
      </c>
      <c r="W103" s="13">
        <f t="shared" si="23"/>
        <v>1</v>
      </c>
      <c r="X103" s="13">
        <f t="shared" si="23"/>
        <v>7</v>
      </c>
      <c r="Y103" s="13">
        <f t="shared" si="23"/>
        <v>1</v>
      </c>
      <c r="Z103" s="13">
        <f t="shared" si="23"/>
        <v>3</v>
      </c>
      <c r="AA103" s="13">
        <f t="shared" si="23"/>
        <v>5</v>
      </c>
      <c r="AB103" s="13">
        <f t="shared" si="23"/>
        <v>6</v>
      </c>
      <c r="AC103" s="13">
        <f t="shared" si="23"/>
        <v>3</v>
      </c>
      <c r="AD103" s="13">
        <f t="shared" si="23"/>
        <v>7</v>
      </c>
      <c r="AE103" s="13">
        <f t="shared" si="23"/>
        <v>7</v>
      </c>
      <c r="AF103" s="13">
        <f t="shared" si="23"/>
        <v>7</v>
      </c>
      <c r="AG103" s="13">
        <f t="shared" si="23"/>
        <v>7</v>
      </c>
      <c r="AH103" s="13">
        <f t="shared" si="23"/>
        <v>6</v>
      </c>
      <c r="AI103" s="13">
        <f t="shared" si="23"/>
        <v>116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1.0</v>
      </c>
      <c r="J105" s="73">
        <v>2.0</v>
      </c>
      <c r="K105" s="73">
        <v>2.0</v>
      </c>
      <c r="L105" s="73">
        <v>0.0</v>
      </c>
      <c r="M105" s="73">
        <v>0.0</v>
      </c>
      <c r="N105" s="73">
        <v>4.0</v>
      </c>
      <c r="O105" s="73">
        <v>3.0</v>
      </c>
      <c r="P105" s="73">
        <v>0.0</v>
      </c>
      <c r="Q105" s="73">
        <v>0.0</v>
      </c>
      <c r="R105" s="73">
        <v>1.0</v>
      </c>
      <c r="S105" s="73">
        <v>2.0</v>
      </c>
      <c r="T105" s="73">
        <v>0.0</v>
      </c>
      <c r="U105" s="73">
        <v>0.0</v>
      </c>
      <c r="V105" s="73">
        <v>1.0</v>
      </c>
      <c r="W105" s="73">
        <v>0.0</v>
      </c>
      <c r="X105" s="73">
        <v>3.0</v>
      </c>
      <c r="Y105" s="73">
        <v>0.0</v>
      </c>
      <c r="Z105" s="73">
        <v>0.0</v>
      </c>
      <c r="AA105" s="73">
        <v>0.0</v>
      </c>
      <c r="AB105" s="73">
        <v>1.0</v>
      </c>
      <c r="AC105" s="73">
        <v>0.0</v>
      </c>
      <c r="AD105" s="73">
        <v>0.0</v>
      </c>
      <c r="AE105" s="73">
        <v>0.0</v>
      </c>
      <c r="AF105" s="73">
        <v>1.0</v>
      </c>
      <c r="AG105" s="73">
        <v>1.0</v>
      </c>
      <c r="AH105" s="73">
        <v>0.0</v>
      </c>
      <c r="AI105" s="13">
        <f t="shared" ref="AI105:AI114" si="24">SUM(E105:AH105)</f>
        <v>22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1.0</v>
      </c>
      <c r="K106" s="73">
        <v>0.0</v>
      </c>
      <c r="L106" s="73">
        <v>0.0</v>
      </c>
      <c r="M106" s="73">
        <v>1.0</v>
      </c>
      <c r="N106" s="73">
        <v>1.0</v>
      </c>
      <c r="O106" s="73">
        <v>2.0</v>
      </c>
      <c r="P106" s="73">
        <v>1.0</v>
      </c>
      <c r="Q106" s="73">
        <v>0.0</v>
      </c>
      <c r="R106" s="73">
        <v>1.0</v>
      </c>
      <c r="S106" s="73">
        <v>1.0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0.0</v>
      </c>
      <c r="AC106" s="73">
        <v>0.0</v>
      </c>
      <c r="AD106" s="73">
        <v>0.0</v>
      </c>
      <c r="AE106" s="73">
        <v>0.0</v>
      </c>
      <c r="AF106" s="73">
        <v>0.0</v>
      </c>
      <c r="AG106" s="73">
        <v>0.0</v>
      </c>
      <c r="AH106" s="73">
        <v>1.0</v>
      </c>
      <c r="AI106" s="13">
        <f t="shared" si="24"/>
        <v>9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0.0</v>
      </c>
      <c r="I107" s="80">
        <v>0.0</v>
      </c>
      <c r="J107" s="80">
        <v>0.0</v>
      </c>
      <c r="K107" s="80">
        <v>3.0</v>
      </c>
      <c r="L107" s="80">
        <v>0.0</v>
      </c>
      <c r="M107" s="80">
        <v>1.0</v>
      </c>
      <c r="N107" s="80">
        <v>0.0</v>
      </c>
      <c r="O107" s="80">
        <v>0.0</v>
      </c>
      <c r="P107" s="80">
        <v>1.0</v>
      </c>
      <c r="Q107" s="80">
        <v>0.0</v>
      </c>
      <c r="R107" s="80">
        <v>1.0</v>
      </c>
      <c r="S107" s="80">
        <v>1.0</v>
      </c>
      <c r="T107" s="80">
        <v>0.0</v>
      </c>
      <c r="U107" s="80">
        <v>0.0</v>
      </c>
      <c r="V107" s="80">
        <v>1.0</v>
      </c>
      <c r="W107" s="80">
        <v>0.0</v>
      </c>
      <c r="X107" s="80">
        <v>0.0</v>
      </c>
      <c r="Y107" s="80">
        <v>0.0</v>
      </c>
      <c r="Z107" s="80">
        <v>0.0</v>
      </c>
      <c r="AA107" s="80">
        <v>0.0</v>
      </c>
      <c r="AB107" s="80">
        <v>0.0</v>
      </c>
      <c r="AC107" s="80">
        <v>1.0</v>
      </c>
      <c r="AD107" s="80">
        <v>1.0</v>
      </c>
      <c r="AE107" s="80">
        <v>0.0</v>
      </c>
      <c r="AF107" s="80">
        <v>0.0</v>
      </c>
      <c r="AG107" s="80">
        <v>0.0</v>
      </c>
      <c r="AH107" s="80">
        <v>0.0</v>
      </c>
      <c r="AI107" s="13">
        <f t="shared" si="24"/>
        <v>10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AI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3</v>
      </c>
      <c r="K115" s="13">
        <f t="shared" si="25"/>
        <v>5</v>
      </c>
      <c r="L115" s="13">
        <f t="shared" si="25"/>
        <v>0</v>
      </c>
      <c r="M115" s="13">
        <f t="shared" si="25"/>
        <v>2</v>
      </c>
      <c r="N115" s="13">
        <f t="shared" si="25"/>
        <v>5</v>
      </c>
      <c r="O115" s="13">
        <f t="shared" si="25"/>
        <v>5</v>
      </c>
      <c r="P115" s="13">
        <f t="shared" si="25"/>
        <v>2</v>
      </c>
      <c r="Q115" s="13">
        <f t="shared" si="25"/>
        <v>0</v>
      </c>
      <c r="R115" s="13">
        <f t="shared" si="25"/>
        <v>3</v>
      </c>
      <c r="S115" s="13">
        <f t="shared" si="25"/>
        <v>4</v>
      </c>
      <c r="T115" s="13">
        <f t="shared" si="25"/>
        <v>0</v>
      </c>
      <c r="U115" s="13">
        <f t="shared" si="25"/>
        <v>0</v>
      </c>
      <c r="V115" s="13">
        <f t="shared" si="25"/>
        <v>2</v>
      </c>
      <c r="W115" s="13">
        <f t="shared" si="25"/>
        <v>0</v>
      </c>
      <c r="X115" s="13">
        <f t="shared" si="25"/>
        <v>3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1</v>
      </c>
      <c r="AC115" s="13">
        <f t="shared" si="25"/>
        <v>1</v>
      </c>
      <c r="AD115" s="13">
        <f t="shared" si="25"/>
        <v>1</v>
      </c>
      <c r="AE115" s="13">
        <f t="shared" si="25"/>
        <v>0</v>
      </c>
      <c r="AF115" s="13">
        <f t="shared" si="25"/>
        <v>1</v>
      </c>
      <c r="AG115" s="13">
        <f t="shared" si="25"/>
        <v>1</v>
      </c>
      <c r="AH115" s="13">
        <f t="shared" si="25"/>
        <v>1</v>
      </c>
      <c r="AI115" s="13">
        <f t="shared" si="25"/>
        <v>41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Y116" s="81"/>
      <c r="Z116" s="81"/>
      <c r="AA116" s="81"/>
      <c r="AB116" s="81"/>
      <c r="AC116" s="81"/>
      <c r="AD116" s="81"/>
      <c r="AE116" s="81"/>
      <c r="AI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4.0</v>
      </c>
      <c r="J117" s="73">
        <v>1.0</v>
      </c>
      <c r="K117" s="73">
        <v>1.0</v>
      </c>
      <c r="L117" s="73">
        <v>1.0</v>
      </c>
      <c r="M117" s="73">
        <v>0.0</v>
      </c>
      <c r="N117" s="73">
        <v>1.0</v>
      </c>
      <c r="O117" s="73">
        <v>0.0</v>
      </c>
      <c r="P117" s="73">
        <v>0.0</v>
      </c>
      <c r="Q117" s="73">
        <v>0.0</v>
      </c>
      <c r="R117" s="73">
        <v>0.0</v>
      </c>
      <c r="S117" s="73">
        <v>1.0</v>
      </c>
      <c r="T117" s="73">
        <v>0.0</v>
      </c>
      <c r="U117" s="73">
        <v>2.0</v>
      </c>
      <c r="V117" s="73">
        <v>0.0</v>
      </c>
      <c r="W117" s="73">
        <v>0.0</v>
      </c>
      <c r="X117" s="73">
        <v>2.0</v>
      </c>
      <c r="Y117" s="73">
        <v>0.0</v>
      </c>
      <c r="Z117" s="73">
        <v>1.0</v>
      </c>
      <c r="AA117" s="73">
        <v>0.0</v>
      </c>
      <c r="AB117" s="73">
        <v>1.0</v>
      </c>
      <c r="AC117" s="73">
        <v>1.0</v>
      </c>
      <c r="AD117" s="73">
        <v>0.0</v>
      </c>
      <c r="AE117" s="73">
        <v>0.0</v>
      </c>
      <c r="AF117" s="73">
        <v>1.0</v>
      </c>
      <c r="AG117" s="73">
        <v>0.0</v>
      </c>
      <c r="AH117" s="73">
        <v>1.0</v>
      </c>
      <c r="AI117" s="13">
        <f t="shared" ref="AI117:AI126" si="26">SUM(E117:AH117)</f>
        <v>18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5.0</v>
      </c>
      <c r="J118" s="73">
        <v>1.0</v>
      </c>
      <c r="K118" s="73">
        <v>0.0</v>
      </c>
      <c r="L118" s="73">
        <v>0.0</v>
      </c>
      <c r="M118" s="73">
        <v>0.0</v>
      </c>
      <c r="N118" s="73">
        <v>0.0</v>
      </c>
      <c r="O118" s="73">
        <v>0.0</v>
      </c>
      <c r="P118" s="73">
        <v>1.0</v>
      </c>
      <c r="Q118" s="73">
        <v>0.0</v>
      </c>
      <c r="R118" s="73">
        <v>0.0</v>
      </c>
      <c r="S118" s="73">
        <v>0.0</v>
      </c>
      <c r="T118" s="73">
        <v>0.0</v>
      </c>
      <c r="U118" s="73">
        <v>1.0</v>
      </c>
      <c r="V118" s="73">
        <v>2.0</v>
      </c>
      <c r="W118" s="73">
        <v>1.0</v>
      </c>
      <c r="X118" s="73">
        <v>0.0</v>
      </c>
      <c r="Y118" s="73">
        <v>1.0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73">
        <v>0.0</v>
      </c>
      <c r="AF118" s="73">
        <v>0.0</v>
      </c>
      <c r="AG118" s="73">
        <v>0.0</v>
      </c>
      <c r="AH118" s="73">
        <v>0.0</v>
      </c>
      <c r="AI118" s="13">
        <f t="shared" si="26"/>
        <v>12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1.0</v>
      </c>
      <c r="I119" s="73">
        <v>1.0</v>
      </c>
      <c r="J119" s="73">
        <v>2.0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1.0</v>
      </c>
      <c r="W119" s="73">
        <v>1.0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73">
        <v>1.0</v>
      </c>
      <c r="AE119" s="73">
        <v>0.0</v>
      </c>
      <c r="AF119" s="73">
        <v>0.0</v>
      </c>
      <c r="AG119" s="73">
        <v>0.0</v>
      </c>
      <c r="AH119" s="73">
        <v>0.0</v>
      </c>
      <c r="AI119" s="13">
        <f t="shared" si="26"/>
        <v>7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1.0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73">
        <v>0.0</v>
      </c>
      <c r="AE120" s="73">
        <v>0.0</v>
      </c>
      <c r="AF120" s="73">
        <v>0.0</v>
      </c>
      <c r="AG120" s="73">
        <v>0.0</v>
      </c>
      <c r="AH120" s="73">
        <v>0.0</v>
      </c>
      <c r="AI120" s="13">
        <f t="shared" si="26"/>
        <v>1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1.0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80">
        <v>0.0</v>
      </c>
      <c r="U121" s="80">
        <v>0.0</v>
      </c>
      <c r="V121" s="80">
        <v>0.0</v>
      </c>
      <c r="W121" s="80">
        <v>0.0</v>
      </c>
      <c r="X121" s="80">
        <v>0.0</v>
      </c>
      <c r="Y121" s="80">
        <v>0.0</v>
      </c>
      <c r="Z121" s="80">
        <v>1.0</v>
      </c>
      <c r="AA121" s="80">
        <v>0.0</v>
      </c>
      <c r="AB121" s="80">
        <v>0.0</v>
      </c>
      <c r="AC121" s="80">
        <v>1.0</v>
      </c>
      <c r="AD121" s="80">
        <v>0.0</v>
      </c>
      <c r="AE121" s="80">
        <v>1.0</v>
      </c>
      <c r="AF121" s="80">
        <v>0.0</v>
      </c>
      <c r="AG121" s="80">
        <v>0.0</v>
      </c>
      <c r="AH121" s="80">
        <v>0.0</v>
      </c>
      <c r="AI121" s="13">
        <f t="shared" si="26"/>
        <v>4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0.0</v>
      </c>
      <c r="R122" s="80">
        <v>0.0</v>
      </c>
      <c r="S122" s="80">
        <v>1.0</v>
      </c>
      <c r="T122" s="80">
        <v>0.0</v>
      </c>
      <c r="U122" s="80">
        <v>0.0</v>
      </c>
      <c r="V122" s="80">
        <v>2.0</v>
      </c>
      <c r="W122" s="80">
        <v>0.0</v>
      </c>
      <c r="X122" s="80">
        <v>0.0</v>
      </c>
      <c r="Y122" s="80">
        <v>1.0</v>
      </c>
      <c r="Z122" s="80">
        <v>0.0</v>
      </c>
      <c r="AA122" s="80">
        <v>0.0</v>
      </c>
      <c r="AB122" s="80">
        <v>1.0</v>
      </c>
      <c r="AC122" s="80">
        <v>0.0</v>
      </c>
      <c r="AD122" s="80">
        <v>0.0</v>
      </c>
      <c r="AE122" s="80">
        <v>0.0</v>
      </c>
      <c r="AF122" s="80">
        <v>0.0</v>
      </c>
      <c r="AG122" s="80">
        <v>0.0</v>
      </c>
      <c r="AH122" s="80">
        <v>0.0</v>
      </c>
      <c r="AI122" s="13">
        <f t="shared" si="26"/>
        <v>5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AI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10</v>
      </c>
      <c r="J127" s="13">
        <f t="shared" si="27"/>
        <v>4</v>
      </c>
      <c r="K127" s="13">
        <f t="shared" si="27"/>
        <v>2</v>
      </c>
      <c r="L127" s="13">
        <f t="shared" si="27"/>
        <v>1</v>
      </c>
      <c r="M127" s="13">
        <f t="shared" si="27"/>
        <v>0</v>
      </c>
      <c r="N127" s="13">
        <f t="shared" si="27"/>
        <v>1</v>
      </c>
      <c r="O127" s="13">
        <f t="shared" si="27"/>
        <v>0</v>
      </c>
      <c r="P127" s="13">
        <f t="shared" si="27"/>
        <v>1</v>
      </c>
      <c r="Q127" s="13">
        <f t="shared" si="27"/>
        <v>0</v>
      </c>
      <c r="R127" s="13">
        <f t="shared" si="27"/>
        <v>0</v>
      </c>
      <c r="S127" s="13">
        <f t="shared" si="27"/>
        <v>2</v>
      </c>
      <c r="T127" s="13">
        <f t="shared" si="27"/>
        <v>0</v>
      </c>
      <c r="U127" s="13">
        <f t="shared" si="27"/>
        <v>3</v>
      </c>
      <c r="V127" s="13">
        <f t="shared" si="27"/>
        <v>6</v>
      </c>
      <c r="W127" s="13">
        <f t="shared" si="27"/>
        <v>2</v>
      </c>
      <c r="X127" s="13">
        <f t="shared" si="27"/>
        <v>2</v>
      </c>
      <c r="Y127" s="13">
        <f t="shared" si="27"/>
        <v>2</v>
      </c>
      <c r="Z127" s="13">
        <f t="shared" si="27"/>
        <v>2</v>
      </c>
      <c r="AA127" s="13">
        <f t="shared" si="27"/>
        <v>0</v>
      </c>
      <c r="AB127" s="13">
        <f t="shared" si="27"/>
        <v>2</v>
      </c>
      <c r="AC127" s="13">
        <f t="shared" si="27"/>
        <v>2</v>
      </c>
      <c r="AD127" s="13">
        <f t="shared" si="27"/>
        <v>1</v>
      </c>
      <c r="AE127" s="13">
        <f t="shared" si="27"/>
        <v>1</v>
      </c>
      <c r="AF127" s="13">
        <f t="shared" si="27"/>
        <v>1</v>
      </c>
      <c r="AG127" s="13">
        <f t="shared" si="27"/>
        <v>0</v>
      </c>
      <c r="AH127" s="13">
        <f t="shared" si="27"/>
        <v>1</v>
      </c>
      <c r="AI127" s="13">
        <f t="shared" si="27"/>
        <v>47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2.0</v>
      </c>
      <c r="F129" s="73">
        <v>0.0</v>
      </c>
      <c r="G129" s="73">
        <v>0.0</v>
      </c>
      <c r="H129" s="73">
        <v>4.0</v>
      </c>
      <c r="I129" s="73">
        <v>2.0</v>
      </c>
      <c r="J129" s="73">
        <v>5.0</v>
      </c>
      <c r="K129" s="73">
        <v>0.0</v>
      </c>
      <c r="L129" s="73">
        <v>0.0</v>
      </c>
      <c r="M129" s="73">
        <v>0.0</v>
      </c>
      <c r="N129" s="73">
        <v>3.0</v>
      </c>
      <c r="O129" s="73">
        <v>0.0</v>
      </c>
      <c r="P129" s="73">
        <v>1.0</v>
      </c>
      <c r="Q129" s="73">
        <v>1.0</v>
      </c>
      <c r="R129" s="73">
        <v>1.0</v>
      </c>
      <c r="S129" s="73">
        <v>8.0</v>
      </c>
      <c r="T129" s="73">
        <v>5.0</v>
      </c>
      <c r="U129" s="73">
        <v>0.0</v>
      </c>
      <c r="V129" s="73">
        <v>1.0</v>
      </c>
      <c r="W129" s="73">
        <v>1.0</v>
      </c>
      <c r="X129" s="73">
        <v>1.0</v>
      </c>
      <c r="Y129" s="73">
        <v>3.0</v>
      </c>
      <c r="Z129" s="73">
        <v>1.0</v>
      </c>
      <c r="AA129" s="73">
        <v>1.0</v>
      </c>
      <c r="AB129" s="73">
        <v>5.0</v>
      </c>
      <c r="AC129" s="73">
        <v>2.0</v>
      </c>
      <c r="AD129" s="73">
        <v>1.0</v>
      </c>
      <c r="AE129" s="73">
        <v>2.0</v>
      </c>
      <c r="AF129" s="73">
        <v>1.0</v>
      </c>
      <c r="AG129" s="73">
        <v>1.0</v>
      </c>
      <c r="AH129" s="73">
        <v>0.0</v>
      </c>
      <c r="AI129" s="13">
        <f t="shared" ref="AI129:AI138" si="28">SUM(E129:AH129)</f>
        <v>52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0.0</v>
      </c>
      <c r="F130" s="73">
        <v>2.0</v>
      </c>
      <c r="G130" s="73">
        <v>3.0</v>
      </c>
      <c r="H130" s="73">
        <v>1.0</v>
      </c>
      <c r="I130" s="73">
        <v>2.0</v>
      </c>
      <c r="J130" s="73">
        <v>5.0</v>
      </c>
      <c r="K130" s="73">
        <v>4.0</v>
      </c>
      <c r="L130" s="73">
        <v>0.0</v>
      </c>
      <c r="M130" s="73">
        <v>4.0</v>
      </c>
      <c r="N130" s="73">
        <v>1.0</v>
      </c>
      <c r="O130" s="73">
        <v>3.0</v>
      </c>
      <c r="P130" s="73">
        <v>3.0</v>
      </c>
      <c r="Q130" s="73">
        <v>0.0</v>
      </c>
      <c r="R130" s="73">
        <v>0.0</v>
      </c>
      <c r="S130" s="73">
        <v>7.0</v>
      </c>
      <c r="T130" s="73">
        <v>5.0</v>
      </c>
      <c r="U130" s="73">
        <v>3.0</v>
      </c>
      <c r="V130" s="73">
        <v>0.0</v>
      </c>
      <c r="W130" s="73">
        <v>1.0</v>
      </c>
      <c r="X130" s="73">
        <v>1.0</v>
      </c>
      <c r="Y130" s="73">
        <v>1.0</v>
      </c>
      <c r="Z130" s="73">
        <v>3.0</v>
      </c>
      <c r="AA130" s="73">
        <v>2.0</v>
      </c>
      <c r="AB130" s="73">
        <v>3.0</v>
      </c>
      <c r="AC130" s="73">
        <v>4.0</v>
      </c>
      <c r="AD130" s="73">
        <v>2.0</v>
      </c>
      <c r="AE130" s="73">
        <v>0.0</v>
      </c>
      <c r="AF130" s="73">
        <v>1.0</v>
      </c>
      <c r="AG130" s="73">
        <v>0.0</v>
      </c>
      <c r="AH130" s="73">
        <v>3.0</v>
      </c>
      <c r="AI130" s="13">
        <f t="shared" si="28"/>
        <v>64</v>
      </c>
    </row>
    <row r="131" ht="12.75" customHeight="1">
      <c r="A131" s="18"/>
      <c r="B131" s="49"/>
      <c r="C131" s="50" t="s">
        <v>104</v>
      </c>
      <c r="D131" s="51"/>
      <c r="E131" s="73">
        <v>0.0</v>
      </c>
      <c r="F131" s="73">
        <v>1.0</v>
      </c>
      <c r="G131" s="73">
        <v>1.0</v>
      </c>
      <c r="H131" s="73">
        <v>0.0</v>
      </c>
      <c r="I131" s="73">
        <v>1.0</v>
      </c>
      <c r="J131" s="73">
        <v>0.0</v>
      </c>
      <c r="K131" s="73">
        <v>0.0</v>
      </c>
      <c r="L131" s="73">
        <v>0.0</v>
      </c>
      <c r="M131" s="73">
        <v>0.0</v>
      </c>
      <c r="N131" s="73">
        <v>0.0</v>
      </c>
      <c r="O131" s="73">
        <v>1.0</v>
      </c>
      <c r="P131" s="73">
        <v>0.0</v>
      </c>
      <c r="Q131" s="73">
        <v>0.0</v>
      </c>
      <c r="R131" s="73">
        <v>0.0</v>
      </c>
      <c r="S131" s="73">
        <v>0.0</v>
      </c>
      <c r="T131" s="73">
        <v>2.0</v>
      </c>
      <c r="U131" s="73">
        <v>0.0</v>
      </c>
      <c r="V131" s="73">
        <v>0.0</v>
      </c>
      <c r="W131" s="73">
        <v>0.0</v>
      </c>
      <c r="X131" s="73">
        <v>0.0</v>
      </c>
      <c r="Y131" s="73">
        <v>0.0</v>
      </c>
      <c r="Z131" s="73">
        <v>0.0</v>
      </c>
      <c r="AA131" s="73">
        <v>0.0</v>
      </c>
      <c r="AB131" s="73">
        <v>1.0</v>
      </c>
      <c r="AC131" s="73">
        <v>1.0</v>
      </c>
      <c r="AD131" s="73">
        <v>0.0</v>
      </c>
      <c r="AE131" s="73">
        <v>0.0</v>
      </c>
      <c r="AF131" s="73">
        <v>2.0</v>
      </c>
      <c r="AG131" s="73">
        <v>0.0</v>
      </c>
      <c r="AH131" s="73">
        <v>3.0</v>
      </c>
      <c r="AI131" s="13">
        <f t="shared" si="28"/>
        <v>13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1.0</v>
      </c>
      <c r="M132" s="73">
        <v>1.0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1.0</v>
      </c>
      <c r="V132" s="73">
        <v>1.0</v>
      </c>
      <c r="W132" s="73">
        <v>0.0</v>
      </c>
      <c r="X132" s="73">
        <v>0.0</v>
      </c>
      <c r="Y132" s="73">
        <v>0.0</v>
      </c>
      <c r="Z132" s="73">
        <v>1.0</v>
      </c>
      <c r="AA132" s="73">
        <v>0.0</v>
      </c>
      <c r="AB132" s="73">
        <v>0.0</v>
      </c>
      <c r="AC132" s="73">
        <v>0.0</v>
      </c>
      <c r="AD132" s="73">
        <v>0.0</v>
      </c>
      <c r="AE132" s="73">
        <v>1.0</v>
      </c>
      <c r="AF132" s="73">
        <v>1.0</v>
      </c>
      <c r="AG132" s="73">
        <v>0.0</v>
      </c>
      <c r="AH132" s="73">
        <v>0.0</v>
      </c>
      <c r="AI132" s="13">
        <f t="shared" si="28"/>
        <v>7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1.0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1.0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0.0</v>
      </c>
      <c r="AB133" s="73">
        <v>0.0</v>
      </c>
      <c r="AC133" s="73">
        <v>0.0</v>
      </c>
      <c r="AD133" s="73">
        <v>0.0</v>
      </c>
      <c r="AE133" s="73">
        <v>0.0</v>
      </c>
      <c r="AF133" s="73">
        <v>0.0</v>
      </c>
      <c r="AG133" s="73">
        <v>0.0</v>
      </c>
      <c r="AH133" s="73">
        <v>0.0</v>
      </c>
      <c r="AI133" s="13">
        <f t="shared" si="28"/>
        <v>2</v>
      </c>
    </row>
    <row r="134" ht="12.75" customHeight="1">
      <c r="A134" s="18"/>
      <c r="B134" s="49"/>
      <c r="C134" s="50" t="s">
        <v>107</v>
      </c>
      <c r="D134" s="51"/>
      <c r="E134" s="73">
        <v>0.0</v>
      </c>
      <c r="F134" s="73">
        <v>0.0</v>
      </c>
      <c r="G134" s="73">
        <v>0.0</v>
      </c>
      <c r="H134" s="73">
        <v>3.0</v>
      </c>
      <c r="I134" s="73">
        <v>1.0</v>
      </c>
      <c r="J134" s="73">
        <v>1.0</v>
      </c>
      <c r="K134" s="73">
        <v>1.0</v>
      </c>
      <c r="L134" s="73">
        <v>0.0</v>
      </c>
      <c r="M134" s="73">
        <v>1.0</v>
      </c>
      <c r="N134" s="73">
        <v>2.0</v>
      </c>
      <c r="O134" s="73">
        <v>0.0</v>
      </c>
      <c r="P134" s="73">
        <v>0.0</v>
      </c>
      <c r="Q134" s="73">
        <v>1.0</v>
      </c>
      <c r="R134" s="73">
        <v>1.0</v>
      </c>
      <c r="S134" s="73">
        <v>2.0</v>
      </c>
      <c r="T134" s="73">
        <v>0.0</v>
      </c>
      <c r="U134" s="73">
        <v>1.0</v>
      </c>
      <c r="V134" s="73">
        <v>0.0</v>
      </c>
      <c r="W134" s="73">
        <v>0.0</v>
      </c>
      <c r="X134" s="73">
        <v>0.0</v>
      </c>
      <c r="Y134" s="73">
        <v>0.0</v>
      </c>
      <c r="Z134" s="73">
        <v>2.0</v>
      </c>
      <c r="AA134" s="73">
        <v>2.0</v>
      </c>
      <c r="AB134" s="73">
        <v>4.0</v>
      </c>
      <c r="AC134" s="73">
        <v>0.0</v>
      </c>
      <c r="AD134" s="73">
        <v>1.0</v>
      </c>
      <c r="AE134" s="73">
        <v>0.0</v>
      </c>
      <c r="AF134" s="73">
        <v>0.0</v>
      </c>
      <c r="AG134" s="73">
        <v>0.0</v>
      </c>
      <c r="AH134" s="73">
        <v>0.0</v>
      </c>
      <c r="AI134" s="13">
        <f t="shared" si="28"/>
        <v>23</v>
      </c>
    </row>
    <row r="135" ht="12.75" customHeight="1">
      <c r="A135" s="18"/>
      <c r="B135" s="49"/>
      <c r="C135" s="50" t="s">
        <v>108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0.0</v>
      </c>
      <c r="N135" s="73">
        <v>0.0</v>
      </c>
      <c r="O135" s="73">
        <v>1.0</v>
      </c>
      <c r="P135" s="73">
        <v>0.0</v>
      </c>
      <c r="Q135" s="73">
        <v>0.0</v>
      </c>
      <c r="R135" s="73">
        <v>1.0</v>
      </c>
      <c r="S135" s="73">
        <v>0.0</v>
      </c>
      <c r="T135" s="73">
        <v>0.0</v>
      </c>
      <c r="U135" s="73">
        <v>0.0</v>
      </c>
      <c r="V135" s="73">
        <v>0.0</v>
      </c>
      <c r="W135" s="73">
        <v>1.0</v>
      </c>
      <c r="X135" s="73">
        <v>0.0</v>
      </c>
      <c r="Y135" s="73">
        <v>0.0</v>
      </c>
      <c r="Z135" s="73">
        <v>0.0</v>
      </c>
      <c r="AA135" s="73">
        <v>2.0</v>
      </c>
      <c r="AB135" s="73">
        <v>2.0</v>
      </c>
      <c r="AC135" s="73">
        <v>0.0</v>
      </c>
      <c r="AD135" s="73">
        <v>0.0</v>
      </c>
      <c r="AE135" s="73">
        <v>0.0</v>
      </c>
      <c r="AF135" s="73">
        <v>0.0</v>
      </c>
      <c r="AG135" s="73">
        <v>0.0</v>
      </c>
      <c r="AH135" s="73">
        <v>0.0</v>
      </c>
      <c r="AI135" s="13">
        <f t="shared" si="28"/>
        <v>7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0.0</v>
      </c>
      <c r="I136" s="80">
        <v>0.0</v>
      </c>
      <c r="J136" s="80">
        <v>0.0</v>
      </c>
      <c r="K136" s="80">
        <v>0.0</v>
      </c>
      <c r="L136" s="80">
        <v>0.0</v>
      </c>
      <c r="M136" s="80">
        <v>0.0</v>
      </c>
      <c r="N136" s="80">
        <v>0.0</v>
      </c>
      <c r="O136" s="80">
        <v>0.0</v>
      </c>
      <c r="P136" s="80">
        <v>0.0</v>
      </c>
      <c r="Q136" s="80">
        <v>0.0</v>
      </c>
      <c r="R136" s="80">
        <v>0.0</v>
      </c>
      <c r="S136" s="80">
        <v>1.0</v>
      </c>
      <c r="T136" s="80">
        <v>0.0</v>
      </c>
      <c r="U136" s="80">
        <v>0.0</v>
      </c>
      <c r="V136" s="80">
        <v>0.0</v>
      </c>
      <c r="W136" s="80">
        <v>0.0</v>
      </c>
      <c r="X136" s="80">
        <v>0.0</v>
      </c>
      <c r="Y136" s="80">
        <v>0.0</v>
      </c>
      <c r="Z136" s="80">
        <v>0.0</v>
      </c>
      <c r="AA136" s="80">
        <v>0.0</v>
      </c>
      <c r="AB136" s="80">
        <v>0.0</v>
      </c>
      <c r="AC136" s="80">
        <v>0.0</v>
      </c>
      <c r="AD136" s="80">
        <v>0.0</v>
      </c>
      <c r="AE136" s="80">
        <v>0.0</v>
      </c>
      <c r="AF136" s="80">
        <v>0.0</v>
      </c>
      <c r="AG136" s="80">
        <v>0.0</v>
      </c>
      <c r="AH136" s="80">
        <v>0.0</v>
      </c>
      <c r="AI136" s="13">
        <f t="shared" si="28"/>
        <v>1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0.0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80">
        <v>1.0</v>
      </c>
      <c r="N137" s="80">
        <v>0.0</v>
      </c>
      <c r="O137" s="80">
        <v>1.0</v>
      </c>
      <c r="P137" s="80">
        <v>0.0</v>
      </c>
      <c r="Q137" s="80">
        <v>0.0</v>
      </c>
      <c r="R137" s="80">
        <v>0.0</v>
      </c>
      <c r="S137" s="80">
        <v>0.0</v>
      </c>
      <c r="T137" s="80">
        <v>0.0</v>
      </c>
      <c r="U137" s="80">
        <v>0.0</v>
      </c>
      <c r="V137" s="80">
        <v>0.0</v>
      </c>
      <c r="W137" s="80">
        <v>0.0</v>
      </c>
      <c r="X137" s="80">
        <v>0.0</v>
      </c>
      <c r="Y137" s="80">
        <v>1.0</v>
      </c>
      <c r="Z137" s="80">
        <v>0.0</v>
      </c>
      <c r="AA137" s="80">
        <v>0.0</v>
      </c>
      <c r="AB137" s="80">
        <v>0.0</v>
      </c>
      <c r="AC137" s="80">
        <v>0.0</v>
      </c>
      <c r="AD137" s="80">
        <v>0.0</v>
      </c>
      <c r="AE137" s="80">
        <v>1.0</v>
      </c>
      <c r="AF137" s="80">
        <v>0.0</v>
      </c>
      <c r="AG137" s="80">
        <v>0.0</v>
      </c>
      <c r="AH137" s="80">
        <v>0.0</v>
      </c>
      <c r="AI137" s="13">
        <f t="shared" si="28"/>
        <v>4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1.0</v>
      </c>
      <c r="I138" s="80">
        <v>0.0</v>
      </c>
      <c r="J138" s="80">
        <v>1.0</v>
      </c>
      <c r="K138" s="80">
        <v>0.0</v>
      </c>
      <c r="L138" s="80">
        <v>0.0</v>
      </c>
      <c r="M138" s="80">
        <v>0.0</v>
      </c>
      <c r="N138" s="80">
        <v>0.0</v>
      </c>
      <c r="O138" s="80">
        <v>0.0</v>
      </c>
      <c r="P138" s="80">
        <v>0.0</v>
      </c>
      <c r="Q138" s="80">
        <v>0.0</v>
      </c>
      <c r="R138" s="80">
        <v>0.0</v>
      </c>
      <c r="S138" s="80">
        <v>0.0</v>
      </c>
      <c r="T138" s="80">
        <v>0.0</v>
      </c>
      <c r="U138" s="80">
        <v>0.0</v>
      </c>
      <c r="V138" s="80">
        <v>0.0</v>
      </c>
      <c r="W138" s="80">
        <v>0.0</v>
      </c>
      <c r="X138" s="80">
        <v>0.0</v>
      </c>
      <c r="Y138" s="80">
        <v>0.0</v>
      </c>
      <c r="Z138" s="80">
        <v>0.0</v>
      </c>
      <c r="AA138" s="80">
        <v>0.0</v>
      </c>
      <c r="AB138" s="80">
        <v>0.0</v>
      </c>
      <c r="AC138" s="80">
        <v>0.0</v>
      </c>
      <c r="AD138" s="80">
        <v>0.0</v>
      </c>
      <c r="AE138" s="80">
        <v>0.0</v>
      </c>
      <c r="AF138" s="80">
        <v>0.0</v>
      </c>
      <c r="AG138" s="80">
        <v>0.0</v>
      </c>
      <c r="AH138" s="80">
        <v>0.0</v>
      </c>
      <c r="AI138" s="13">
        <f t="shared" si="28"/>
        <v>2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AI139" si="29">SUM(E129:E138)</f>
        <v>2</v>
      </c>
      <c r="F139" s="13">
        <f t="shared" si="29"/>
        <v>3</v>
      </c>
      <c r="G139" s="13">
        <f t="shared" si="29"/>
        <v>5</v>
      </c>
      <c r="H139" s="13">
        <f t="shared" si="29"/>
        <v>9</v>
      </c>
      <c r="I139" s="13">
        <f t="shared" si="29"/>
        <v>6</v>
      </c>
      <c r="J139" s="13">
        <f t="shared" si="29"/>
        <v>12</v>
      </c>
      <c r="K139" s="13">
        <f t="shared" si="29"/>
        <v>5</v>
      </c>
      <c r="L139" s="13">
        <f t="shared" si="29"/>
        <v>1</v>
      </c>
      <c r="M139" s="13">
        <f t="shared" si="29"/>
        <v>7</v>
      </c>
      <c r="N139" s="13">
        <f t="shared" si="29"/>
        <v>6</v>
      </c>
      <c r="O139" s="13">
        <f t="shared" si="29"/>
        <v>7</v>
      </c>
      <c r="P139" s="13">
        <f t="shared" si="29"/>
        <v>4</v>
      </c>
      <c r="Q139" s="13">
        <f t="shared" si="29"/>
        <v>2</v>
      </c>
      <c r="R139" s="13">
        <f t="shared" si="29"/>
        <v>3</v>
      </c>
      <c r="S139" s="13">
        <f t="shared" si="29"/>
        <v>18</v>
      </c>
      <c r="T139" s="13">
        <f t="shared" si="29"/>
        <v>12</v>
      </c>
      <c r="U139" s="13">
        <f t="shared" si="29"/>
        <v>5</v>
      </c>
      <c r="V139" s="13">
        <f t="shared" si="29"/>
        <v>2</v>
      </c>
      <c r="W139" s="13">
        <f t="shared" si="29"/>
        <v>3</v>
      </c>
      <c r="X139" s="13">
        <f t="shared" si="29"/>
        <v>2</v>
      </c>
      <c r="Y139" s="13">
        <f t="shared" si="29"/>
        <v>5</v>
      </c>
      <c r="Z139" s="13">
        <f t="shared" si="29"/>
        <v>7</v>
      </c>
      <c r="AA139" s="13">
        <f t="shared" si="29"/>
        <v>7</v>
      </c>
      <c r="AB139" s="13">
        <f t="shared" si="29"/>
        <v>15</v>
      </c>
      <c r="AC139" s="13">
        <f t="shared" si="29"/>
        <v>7</v>
      </c>
      <c r="AD139" s="13">
        <f t="shared" si="29"/>
        <v>4</v>
      </c>
      <c r="AE139" s="13">
        <f t="shared" si="29"/>
        <v>4</v>
      </c>
      <c r="AF139" s="13">
        <f t="shared" si="29"/>
        <v>5</v>
      </c>
      <c r="AG139" s="13">
        <f t="shared" si="29"/>
        <v>1</v>
      </c>
      <c r="AH139" s="13">
        <f t="shared" si="29"/>
        <v>6</v>
      </c>
      <c r="AI139" s="13">
        <f t="shared" si="29"/>
        <v>175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73">
        <v>0.0</v>
      </c>
      <c r="AF141" s="73">
        <v>0.0</v>
      </c>
      <c r="AG141" s="73">
        <v>0.0</v>
      </c>
      <c r="AH141" s="73">
        <v>0.0</v>
      </c>
      <c r="AI141" s="13">
        <f t="shared" ref="AI141:AI150" si="30">SUM(E141:AH141)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73">
        <v>0.0</v>
      </c>
      <c r="AF142" s="73">
        <v>0.0</v>
      </c>
      <c r="AG142" s="73">
        <v>0.0</v>
      </c>
      <c r="AH142" s="73">
        <v>1.0</v>
      </c>
      <c r="AI142" s="13">
        <f t="shared" si="30"/>
        <v>1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80">
        <v>0.0</v>
      </c>
      <c r="U143" s="80">
        <v>0.0</v>
      </c>
      <c r="V143" s="80">
        <v>0.0</v>
      </c>
      <c r="W143" s="80">
        <v>0.0</v>
      </c>
      <c r="X143" s="80">
        <v>0.0</v>
      </c>
      <c r="Y143" s="80">
        <v>0.0</v>
      </c>
      <c r="Z143" s="80">
        <v>0.0</v>
      </c>
      <c r="AA143" s="80">
        <v>0.0</v>
      </c>
      <c r="AB143" s="80">
        <v>0.0</v>
      </c>
      <c r="AC143" s="80">
        <v>0.0</v>
      </c>
      <c r="AD143" s="80">
        <v>0.0</v>
      </c>
      <c r="AE143" s="80">
        <v>0.0</v>
      </c>
      <c r="AF143" s="80">
        <v>0.0</v>
      </c>
      <c r="AG143" s="80">
        <v>0.0</v>
      </c>
      <c r="AH143" s="80">
        <v>0.0</v>
      </c>
      <c r="AI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1.0</v>
      </c>
      <c r="N144" s="80">
        <v>0.0</v>
      </c>
      <c r="O144" s="80">
        <v>0.0</v>
      </c>
      <c r="P144" s="80">
        <v>0.0</v>
      </c>
      <c r="Q144" s="80">
        <v>0.0</v>
      </c>
      <c r="R144" s="80">
        <v>1.0</v>
      </c>
      <c r="S144" s="80">
        <v>0.0</v>
      </c>
      <c r="T144" s="80">
        <v>0.0</v>
      </c>
      <c r="U144" s="80">
        <v>0.0</v>
      </c>
      <c r="V144" s="80">
        <v>0.0</v>
      </c>
      <c r="W144" s="80">
        <v>0.0</v>
      </c>
      <c r="X144" s="80">
        <v>0.0</v>
      </c>
      <c r="Y144" s="80">
        <v>0.0</v>
      </c>
      <c r="Z144" s="80">
        <v>0.0</v>
      </c>
      <c r="AA144" s="80">
        <v>0.0</v>
      </c>
      <c r="AB144" s="80">
        <v>0.0</v>
      </c>
      <c r="AC144" s="80">
        <v>0.0</v>
      </c>
      <c r="AD144" s="80">
        <v>0.0</v>
      </c>
      <c r="AE144" s="80">
        <v>0.0</v>
      </c>
      <c r="AF144" s="80">
        <v>0.0</v>
      </c>
      <c r="AG144" s="80">
        <v>0.0</v>
      </c>
      <c r="AH144" s="80">
        <v>0.0</v>
      </c>
      <c r="AI144" s="13">
        <f t="shared" si="30"/>
        <v>2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AI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1</v>
      </c>
      <c r="AI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1.0</v>
      </c>
      <c r="F153" s="73">
        <v>0.0</v>
      </c>
      <c r="G153" s="73">
        <v>0.0</v>
      </c>
      <c r="H153" s="73">
        <v>0.0</v>
      </c>
      <c r="I153" s="73">
        <v>0.0</v>
      </c>
      <c r="J153" s="73">
        <v>2.0</v>
      </c>
      <c r="K153" s="73">
        <v>2.0</v>
      </c>
      <c r="L153" s="73">
        <v>0.0</v>
      </c>
      <c r="M153" s="73">
        <v>0.0</v>
      </c>
      <c r="N153" s="73">
        <v>1.0</v>
      </c>
      <c r="O153" s="73">
        <v>0.0</v>
      </c>
      <c r="P153" s="73">
        <v>4.0</v>
      </c>
      <c r="Q153" s="73">
        <v>4.0</v>
      </c>
      <c r="R153" s="73">
        <v>0.0</v>
      </c>
      <c r="S153" s="73">
        <v>1.0</v>
      </c>
      <c r="T153" s="73">
        <v>1.0</v>
      </c>
      <c r="U153" s="73">
        <v>0.0</v>
      </c>
      <c r="V153" s="73">
        <v>0.0</v>
      </c>
      <c r="W153" s="73">
        <v>0.0</v>
      </c>
      <c r="X153" s="73">
        <v>0.0</v>
      </c>
      <c r="Y153" s="73">
        <v>0.0</v>
      </c>
      <c r="Z153" s="73">
        <v>0.0</v>
      </c>
      <c r="AA153" s="73">
        <v>1.0</v>
      </c>
      <c r="AB153" s="73">
        <v>0.0</v>
      </c>
      <c r="AC153" s="73">
        <v>0.0</v>
      </c>
      <c r="AD153" s="73">
        <v>1.0</v>
      </c>
      <c r="AE153" s="73">
        <v>0.0</v>
      </c>
      <c r="AF153" s="73">
        <v>1.0</v>
      </c>
      <c r="AG153" s="73">
        <v>0.0</v>
      </c>
      <c r="AH153" s="73">
        <v>0.0</v>
      </c>
      <c r="AI153" s="13">
        <f t="shared" ref="AI153:AI162" si="32">SUM(E153:AH153)</f>
        <v>19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1.0</v>
      </c>
      <c r="F154" s="73">
        <v>2.0</v>
      </c>
      <c r="G154" s="73">
        <v>1.0</v>
      </c>
      <c r="H154" s="73">
        <v>0.0</v>
      </c>
      <c r="I154" s="73">
        <v>0.0</v>
      </c>
      <c r="J154" s="73">
        <v>0.0</v>
      </c>
      <c r="K154" s="73">
        <v>3.0</v>
      </c>
      <c r="L154" s="73">
        <v>2.0</v>
      </c>
      <c r="M154" s="73">
        <v>0.0</v>
      </c>
      <c r="N154" s="73">
        <v>0.0</v>
      </c>
      <c r="O154" s="73">
        <v>1.0</v>
      </c>
      <c r="P154" s="73">
        <v>3.0</v>
      </c>
      <c r="Q154" s="73">
        <v>2.0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73">
        <v>0.0</v>
      </c>
      <c r="Y154" s="73">
        <v>0.0</v>
      </c>
      <c r="Z154" s="73">
        <v>1.0</v>
      </c>
      <c r="AA154" s="73">
        <v>0.0</v>
      </c>
      <c r="AB154" s="73">
        <v>0.0</v>
      </c>
      <c r="AC154" s="73">
        <v>0.0</v>
      </c>
      <c r="AD154" s="73">
        <v>1.0</v>
      </c>
      <c r="AE154" s="73">
        <v>1.0</v>
      </c>
      <c r="AF154" s="73">
        <v>0.0</v>
      </c>
      <c r="AG154" s="73">
        <v>0.0</v>
      </c>
      <c r="AH154" s="73">
        <v>0.0</v>
      </c>
      <c r="AI154" s="13">
        <f t="shared" si="32"/>
        <v>18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1.0</v>
      </c>
      <c r="Q155" s="73">
        <v>1.0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73">
        <v>1.0</v>
      </c>
      <c r="Y155" s="73">
        <v>0.0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73">
        <v>0.0</v>
      </c>
      <c r="AF155" s="73">
        <v>0.0</v>
      </c>
      <c r="AG155" s="73">
        <v>0.0</v>
      </c>
      <c r="AH155" s="73">
        <v>0.0</v>
      </c>
      <c r="AI155" s="13">
        <f t="shared" si="32"/>
        <v>3</v>
      </c>
    </row>
    <row r="156" ht="12.75" customHeight="1">
      <c r="A156" s="18"/>
      <c r="B156" s="49"/>
      <c r="C156" s="50" t="s">
        <v>121</v>
      </c>
      <c r="D156" s="51"/>
      <c r="E156" s="83">
        <v>1.0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2.0</v>
      </c>
      <c r="M156" s="73">
        <v>0.0</v>
      </c>
      <c r="N156" s="73">
        <v>1.0</v>
      </c>
      <c r="O156" s="73">
        <v>0.0</v>
      </c>
      <c r="P156" s="73">
        <v>1.0</v>
      </c>
      <c r="Q156" s="73">
        <v>1.0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73">
        <v>0.0</v>
      </c>
      <c r="AF156" s="73">
        <v>1.0</v>
      </c>
      <c r="AG156" s="73">
        <v>0.0</v>
      </c>
      <c r="AH156" s="73">
        <v>0.0</v>
      </c>
      <c r="AI156" s="13">
        <f t="shared" si="32"/>
        <v>7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1.0</v>
      </c>
      <c r="L157" s="73">
        <v>0.0</v>
      </c>
      <c r="M157" s="73">
        <v>0.0</v>
      </c>
      <c r="N157" s="73">
        <v>0.0</v>
      </c>
      <c r="O157" s="73">
        <v>0.0</v>
      </c>
      <c r="P157" s="73">
        <v>2.0</v>
      </c>
      <c r="Q157" s="73">
        <v>1.0</v>
      </c>
      <c r="R157" s="73">
        <v>0.0</v>
      </c>
      <c r="S157" s="73">
        <v>0.0</v>
      </c>
      <c r="T157" s="73">
        <v>2.0</v>
      </c>
      <c r="U157" s="73">
        <v>1.0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73">
        <v>0.0</v>
      </c>
      <c r="AF157" s="73">
        <v>0.0</v>
      </c>
      <c r="AG157" s="73">
        <v>0.0</v>
      </c>
      <c r="AH157" s="73">
        <v>0.0</v>
      </c>
      <c r="AI157" s="13">
        <f t="shared" si="32"/>
        <v>7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1.0</v>
      </c>
      <c r="N158" s="80">
        <v>0.0</v>
      </c>
      <c r="O158" s="80">
        <v>1.0</v>
      </c>
      <c r="P158" s="73">
        <v>2.0</v>
      </c>
      <c r="Q158" s="80">
        <v>3.0</v>
      </c>
      <c r="R158" s="80">
        <v>0.0</v>
      </c>
      <c r="S158" s="80">
        <v>2.0</v>
      </c>
      <c r="T158" s="80">
        <v>1.0</v>
      </c>
      <c r="U158" s="80">
        <v>0.0</v>
      </c>
      <c r="V158" s="80">
        <v>0.0</v>
      </c>
      <c r="W158" s="80">
        <v>0.0</v>
      </c>
      <c r="X158" s="80">
        <v>0.0</v>
      </c>
      <c r="Y158" s="80">
        <v>0.0</v>
      </c>
      <c r="Z158" s="80">
        <v>0.0</v>
      </c>
      <c r="AA158" s="80">
        <v>0.0</v>
      </c>
      <c r="AB158" s="80">
        <v>0.0</v>
      </c>
      <c r="AC158" s="80">
        <v>0.0</v>
      </c>
      <c r="AD158" s="80">
        <v>0.0</v>
      </c>
      <c r="AE158" s="80">
        <v>0.0</v>
      </c>
      <c r="AF158" s="80">
        <v>1.0</v>
      </c>
      <c r="AG158" s="80">
        <v>0.0</v>
      </c>
      <c r="AH158" s="80">
        <v>0.0</v>
      </c>
      <c r="AI158" s="13">
        <f t="shared" si="32"/>
        <v>11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1.0</v>
      </c>
      <c r="L159" s="80">
        <v>0.0</v>
      </c>
      <c r="M159" s="80">
        <v>0.0</v>
      </c>
      <c r="N159" s="80">
        <v>0.0</v>
      </c>
      <c r="O159" s="80">
        <v>1.0</v>
      </c>
      <c r="P159" s="73">
        <v>1.0</v>
      </c>
      <c r="Q159" s="80">
        <v>0.0</v>
      </c>
      <c r="R159" s="80">
        <v>0.0</v>
      </c>
      <c r="S159" s="80">
        <v>0.0</v>
      </c>
      <c r="T159" s="80">
        <v>0.0</v>
      </c>
      <c r="U159" s="80">
        <v>0.0</v>
      </c>
      <c r="V159" s="80">
        <v>0.0</v>
      </c>
      <c r="W159" s="80">
        <v>0.0</v>
      </c>
      <c r="X159" s="80">
        <v>0.0</v>
      </c>
      <c r="Y159" s="80">
        <v>0.0</v>
      </c>
      <c r="Z159" s="80">
        <v>0.0</v>
      </c>
      <c r="AA159" s="80">
        <v>0.0</v>
      </c>
      <c r="AB159" s="80">
        <v>1.0</v>
      </c>
      <c r="AC159" s="80">
        <v>0.0</v>
      </c>
      <c r="AD159" s="80">
        <v>0.0</v>
      </c>
      <c r="AE159" s="80">
        <v>0.0</v>
      </c>
      <c r="AF159" s="80">
        <v>0.0</v>
      </c>
      <c r="AG159" s="80">
        <v>0.0</v>
      </c>
      <c r="AH159" s="80">
        <v>0.0</v>
      </c>
      <c r="AI159" s="13">
        <f t="shared" si="32"/>
        <v>4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1.0</v>
      </c>
      <c r="J160" s="80">
        <v>0.0</v>
      </c>
      <c r="K160" s="80">
        <v>1.0</v>
      </c>
      <c r="L160" s="80">
        <v>1.0</v>
      </c>
      <c r="M160" s="80">
        <v>0.0</v>
      </c>
      <c r="N160" s="80">
        <v>0.0</v>
      </c>
      <c r="O160" s="80">
        <v>0.0</v>
      </c>
      <c r="P160" s="80">
        <v>1.0</v>
      </c>
      <c r="Q160" s="80">
        <v>0.0</v>
      </c>
      <c r="R160" s="80">
        <v>0.0</v>
      </c>
      <c r="S160" s="80">
        <v>0.0</v>
      </c>
      <c r="T160" s="80">
        <v>0.0</v>
      </c>
      <c r="U160" s="80">
        <v>0.0</v>
      </c>
      <c r="V160" s="80">
        <v>0.0</v>
      </c>
      <c r="W160" s="80">
        <v>0.0</v>
      </c>
      <c r="X160" s="80">
        <v>0.0</v>
      </c>
      <c r="Y160" s="80">
        <v>0.0</v>
      </c>
      <c r="Z160" s="80">
        <v>0.0</v>
      </c>
      <c r="AA160" s="80">
        <v>0.0</v>
      </c>
      <c r="AB160" s="80">
        <v>0.0</v>
      </c>
      <c r="AC160" s="80">
        <v>0.0</v>
      </c>
      <c r="AD160" s="80">
        <v>0.0</v>
      </c>
      <c r="AE160" s="80">
        <v>0.0</v>
      </c>
      <c r="AF160" s="80">
        <v>0.0</v>
      </c>
      <c r="AG160" s="80">
        <v>0.0</v>
      </c>
      <c r="AH160" s="80">
        <v>0.0</v>
      </c>
      <c r="AI160" s="13">
        <f t="shared" si="32"/>
        <v>4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AI163" si="33">SUM(E153:E162)</f>
        <v>3</v>
      </c>
      <c r="F163" s="13">
        <f t="shared" si="33"/>
        <v>2</v>
      </c>
      <c r="G163" s="13">
        <f t="shared" si="33"/>
        <v>1</v>
      </c>
      <c r="H163" s="13">
        <f t="shared" si="33"/>
        <v>0</v>
      </c>
      <c r="I163" s="13">
        <f t="shared" si="33"/>
        <v>1</v>
      </c>
      <c r="J163" s="13">
        <f t="shared" si="33"/>
        <v>2</v>
      </c>
      <c r="K163" s="13">
        <f t="shared" si="33"/>
        <v>8</v>
      </c>
      <c r="L163" s="13">
        <f t="shared" si="33"/>
        <v>5</v>
      </c>
      <c r="M163" s="13">
        <f t="shared" si="33"/>
        <v>1</v>
      </c>
      <c r="N163" s="13">
        <f t="shared" si="33"/>
        <v>2</v>
      </c>
      <c r="O163" s="13">
        <f t="shared" si="33"/>
        <v>3</v>
      </c>
      <c r="P163" s="13">
        <f t="shared" si="33"/>
        <v>15</v>
      </c>
      <c r="Q163" s="13">
        <f t="shared" si="33"/>
        <v>12</v>
      </c>
      <c r="R163" s="13">
        <f t="shared" si="33"/>
        <v>0</v>
      </c>
      <c r="S163" s="13">
        <f t="shared" si="33"/>
        <v>3</v>
      </c>
      <c r="T163" s="13">
        <f t="shared" si="33"/>
        <v>4</v>
      </c>
      <c r="U163" s="13">
        <f t="shared" si="33"/>
        <v>1</v>
      </c>
      <c r="V163" s="13">
        <f t="shared" si="33"/>
        <v>0</v>
      </c>
      <c r="W163" s="13">
        <f t="shared" si="33"/>
        <v>0</v>
      </c>
      <c r="X163" s="13">
        <f t="shared" si="33"/>
        <v>1</v>
      </c>
      <c r="Y163" s="13">
        <f t="shared" si="33"/>
        <v>0</v>
      </c>
      <c r="Z163" s="13">
        <f t="shared" si="33"/>
        <v>1</v>
      </c>
      <c r="AA163" s="13">
        <f t="shared" si="33"/>
        <v>1</v>
      </c>
      <c r="AB163" s="13">
        <f t="shared" si="33"/>
        <v>1</v>
      </c>
      <c r="AC163" s="13">
        <f t="shared" si="33"/>
        <v>0</v>
      </c>
      <c r="AD163" s="13">
        <f t="shared" si="33"/>
        <v>2</v>
      </c>
      <c r="AE163" s="13">
        <f t="shared" si="33"/>
        <v>1</v>
      </c>
      <c r="AF163" s="13">
        <f t="shared" si="33"/>
        <v>3</v>
      </c>
      <c r="AG163" s="13">
        <f t="shared" si="33"/>
        <v>0</v>
      </c>
      <c r="AH163" s="13">
        <f t="shared" si="33"/>
        <v>0</v>
      </c>
      <c r="AI163" s="13">
        <f t="shared" si="33"/>
        <v>73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1.0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1.0</v>
      </c>
      <c r="Q165" s="73">
        <v>1.0</v>
      </c>
      <c r="R165" s="73">
        <v>0.0</v>
      </c>
      <c r="S165" s="73">
        <v>1.0</v>
      </c>
      <c r="T165" s="73">
        <v>0.0</v>
      </c>
      <c r="U165" s="73">
        <v>0.0</v>
      </c>
      <c r="V165" s="73">
        <v>1.0</v>
      </c>
      <c r="W165" s="73">
        <v>0.0</v>
      </c>
      <c r="X165" s="73">
        <v>0.0</v>
      </c>
      <c r="Y165" s="73">
        <v>2.0</v>
      </c>
      <c r="Z165" s="73">
        <v>0.0</v>
      </c>
      <c r="AA165" s="73">
        <v>0.0</v>
      </c>
      <c r="AB165" s="73">
        <v>0.0</v>
      </c>
      <c r="AC165" s="73">
        <v>0.0</v>
      </c>
      <c r="AD165" s="73">
        <v>0.0</v>
      </c>
      <c r="AE165" s="73">
        <v>1.0</v>
      </c>
      <c r="AF165" s="73">
        <v>0.0</v>
      </c>
      <c r="AG165" s="73">
        <v>1.0</v>
      </c>
      <c r="AH165" s="73">
        <v>1.0</v>
      </c>
      <c r="AI165" s="13">
        <f t="shared" ref="AI165:AI174" si="34">SUM(E165:AH165)</f>
        <v>10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0.0</v>
      </c>
      <c r="F166" s="80">
        <v>0.0</v>
      </c>
      <c r="G166" s="80">
        <v>0.0</v>
      </c>
      <c r="H166" s="80">
        <v>0.0</v>
      </c>
      <c r="I166" s="80">
        <v>0.0</v>
      </c>
      <c r="J166" s="80">
        <v>0.0</v>
      </c>
      <c r="K166" s="80">
        <v>0.0</v>
      </c>
      <c r="L166" s="80">
        <v>0.0</v>
      </c>
      <c r="M166" s="80">
        <v>1.0</v>
      </c>
      <c r="N166" s="80">
        <v>0.0</v>
      </c>
      <c r="O166" s="80">
        <v>1.0</v>
      </c>
      <c r="P166" s="80">
        <v>0.0</v>
      </c>
      <c r="Q166" s="80">
        <v>0.0</v>
      </c>
      <c r="R166" s="80">
        <v>0.0</v>
      </c>
      <c r="S166" s="80">
        <v>2.0</v>
      </c>
      <c r="T166" s="80">
        <v>0.0</v>
      </c>
      <c r="U166" s="80">
        <v>0.0</v>
      </c>
      <c r="V166" s="80">
        <v>0.0</v>
      </c>
      <c r="W166" s="80">
        <v>1.0</v>
      </c>
      <c r="X166" s="80">
        <v>0.0</v>
      </c>
      <c r="Y166" s="80">
        <v>1.0</v>
      </c>
      <c r="Z166" s="80">
        <v>0.0</v>
      </c>
      <c r="AA166" s="80">
        <v>0.0</v>
      </c>
      <c r="AB166" s="80">
        <v>0.0</v>
      </c>
      <c r="AC166" s="80">
        <v>0.0</v>
      </c>
      <c r="AD166" s="80">
        <v>0.0</v>
      </c>
      <c r="AE166" s="80">
        <v>0.0</v>
      </c>
      <c r="AF166" s="80">
        <v>0.0</v>
      </c>
      <c r="AG166" s="80">
        <v>0.0</v>
      </c>
      <c r="AH166" s="80">
        <v>0.0</v>
      </c>
      <c r="AI166" s="13">
        <f t="shared" si="34"/>
        <v>6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AI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1</v>
      </c>
      <c r="P175" s="13">
        <f t="shared" si="35"/>
        <v>1</v>
      </c>
      <c r="Q175" s="13">
        <f t="shared" si="35"/>
        <v>1</v>
      </c>
      <c r="R175" s="13">
        <f t="shared" si="35"/>
        <v>0</v>
      </c>
      <c r="S175" s="13">
        <f t="shared" si="35"/>
        <v>3</v>
      </c>
      <c r="T175" s="13">
        <f t="shared" si="35"/>
        <v>0</v>
      </c>
      <c r="U175" s="13">
        <f t="shared" si="35"/>
        <v>0</v>
      </c>
      <c r="V175" s="13">
        <f t="shared" si="35"/>
        <v>1</v>
      </c>
      <c r="W175" s="13">
        <f t="shared" si="35"/>
        <v>1</v>
      </c>
      <c r="X175" s="13">
        <f t="shared" si="35"/>
        <v>0</v>
      </c>
      <c r="Y175" s="13">
        <f t="shared" si="35"/>
        <v>3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0</v>
      </c>
      <c r="AE175" s="13">
        <f t="shared" si="35"/>
        <v>1</v>
      </c>
      <c r="AF175" s="13">
        <f t="shared" si="35"/>
        <v>0</v>
      </c>
      <c r="AG175" s="13">
        <f t="shared" si="35"/>
        <v>1</v>
      </c>
      <c r="AH175" s="13">
        <f t="shared" si="35"/>
        <v>1</v>
      </c>
      <c r="AI175" s="13">
        <f t="shared" si="35"/>
        <v>16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1.0</v>
      </c>
      <c r="F177" s="73">
        <v>0.0</v>
      </c>
      <c r="G177" s="73">
        <v>1.0</v>
      </c>
      <c r="H177" s="73">
        <v>0.0</v>
      </c>
      <c r="I177" s="73">
        <v>2.0</v>
      </c>
      <c r="J177" s="73">
        <v>0.0</v>
      </c>
      <c r="K177" s="73">
        <v>4.0</v>
      </c>
      <c r="L177" s="73">
        <v>1.0</v>
      </c>
      <c r="M177" s="73">
        <v>2.0</v>
      </c>
      <c r="N177" s="73">
        <v>0.0</v>
      </c>
      <c r="O177" s="73">
        <v>1.0</v>
      </c>
      <c r="P177" s="73">
        <v>0.0</v>
      </c>
      <c r="Q177" s="73">
        <v>1.0</v>
      </c>
      <c r="R177" s="73">
        <v>1.0</v>
      </c>
      <c r="S177" s="73">
        <v>1.0</v>
      </c>
      <c r="T177" s="73">
        <v>0.0</v>
      </c>
      <c r="U177" s="73">
        <v>1.0</v>
      </c>
      <c r="V177" s="73">
        <v>0.0</v>
      </c>
      <c r="W177" s="73">
        <v>0.0</v>
      </c>
      <c r="X177" s="73">
        <v>1.0</v>
      </c>
      <c r="Y177" s="73">
        <v>1.0</v>
      </c>
      <c r="Z177" s="73">
        <v>2.0</v>
      </c>
      <c r="AA177" s="73">
        <v>0.0</v>
      </c>
      <c r="AB177" s="73">
        <v>3.0</v>
      </c>
      <c r="AC177" s="73">
        <v>1.0</v>
      </c>
      <c r="AD177" s="73">
        <v>1.0</v>
      </c>
      <c r="AE177" s="73">
        <v>1.0</v>
      </c>
      <c r="AF177" s="73">
        <v>0.0</v>
      </c>
      <c r="AG177" s="73">
        <v>0.0</v>
      </c>
      <c r="AH177" s="73">
        <v>1.0</v>
      </c>
      <c r="AI177" s="13">
        <f t="shared" ref="AI177:AI186" si="36">SUM(E177:AH177)</f>
        <v>27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2.0</v>
      </c>
      <c r="F178" s="73">
        <v>1.0</v>
      </c>
      <c r="G178" s="73">
        <v>0.0</v>
      </c>
      <c r="H178" s="73">
        <v>1.0</v>
      </c>
      <c r="I178" s="73">
        <v>0.0</v>
      </c>
      <c r="J178" s="73">
        <v>1.0</v>
      </c>
      <c r="K178" s="73">
        <v>1.0</v>
      </c>
      <c r="L178" s="73">
        <v>0.0</v>
      </c>
      <c r="M178" s="73">
        <v>0.0</v>
      </c>
      <c r="N178" s="73">
        <v>0.0</v>
      </c>
      <c r="O178" s="73">
        <v>0.0</v>
      </c>
      <c r="P178" s="73">
        <v>0.0</v>
      </c>
      <c r="Q178" s="73">
        <v>1.0</v>
      </c>
      <c r="R178" s="73">
        <v>0.0</v>
      </c>
      <c r="S178" s="73">
        <v>3.0</v>
      </c>
      <c r="T178" s="73">
        <v>3.0</v>
      </c>
      <c r="U178" s="73">
        <v>1.0</v>
      </c>
      <c r="V178" s="73">
        <v>3.0</v>
      </c>
      <c r="W178" s="73">
        <v>2.0</v>
      </c>
      <c r="X178" s="73">
        <v>3.0</v>
      </c>
      <c r="Y178" s="73">
        <v>1.0</v>
      </c>
      <c r="Z178" s="73">
        <v>2.0</v>
      </c>
      <c r="AA178" s="73">
        <v>0.0</v>
      </c>
      <c r="AB178" s="73">
        <v>0.0</v>
      </c>
      <c r="AC178" s="73">
        <v>2.0</v>
      </c>
      <c r="AD178" s="73">
        <v>1.0</v>
      </c>
      <c r="AE178" s="73">
        <v>0.0</v>
      </c>
      <c r="AF178" s="73">
        <v>0.0</v>
      </c>
      <c r="AG178" s="73">
        <v>0.0</v>
      </c>
      <c r="AH178" s="73">
        <v>1.0</v>
      </c>
      <c r="AI178" s="13">
        <f t="shared" si="36"/>
        <v>29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1.0</v>
      </c>
      <c r="M179" s="73">
        <v>1.0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3.0</v>
      </c>
      <c r="T179" s="73">
        <v>0.0</v>
      </c>
      <c r="U179" s="73">
        <v>1.0</v>
      </c>
      <c r="V179" s="73">
        <v>0.0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2.0</v>
      </c>
      <c r="AC179" s="73">
        <v>0.0</v>
      </c>
      <c r="AD179" s="73">
        <v>0.0</v>
      </c>
      <c r="AE179" s="73">
        <v>0.0</v>
      </c>
      <c r="AF179" s="73">
        <v>0.0</v>
      </c>
      <c r="AG179" s="73">
        <v>0.0</v>
      </c>
      <c r="AH179" s="73">
        <v>0.0</v>
      </c>
      <c r="AI179" s="13">
        <f t="shared" si="36"/>
        <v>8</v>
      </c>
    </row>
    <row r="180" ht="12.75" customHeight="1">
      <c r="A180" s="18"/>
      <c r="B180" s="49"/>
      <c r="C180" s="50" t="s">
        <v>133</v>
      </c>
      <c r="D180" s="51"/>
      <c r="E180" s="73">
        <v>0.0</v>
      </c>
      <c r="F180" s="73">
        <v>0.0</v>
      </c>
      <c r="G180" s="73">
        <v>0.0</v>
      </c>
      <c r="H180" s="73">
        <v>3.0</v>
      </c>
      <c r="I180" s="73">
        <v>0.0</v>
      </c>
      <c r="J180" s="73">
        <v>0.0</v>
      </c>
      <c r="K180" s="73">
        <v>0.0</v>
      </c>
      <c r="L180" s="73">
        <v>0.0</v>
      </c>
      <c r="M180" s="73">
        <v>1.0</v>
      </c>
      <c r="N180" s="73">
        <v>0.0</v>
      </c>
      <c r="O180" s="73">
        <v>0.0</v>
      </c>
      <c r="P180" s="73">
        <v>0.0</v>
      </c>
      <c r="Q180" s="73">
        <v>1.0</v>
      </c>
      <c r="R180" s="73">
        <v>0.0</v>
      </c>
      <c r="S180" s="73">
        <v>0.0</v>
      </c>
      <c r="T180" s="73">
        <v>0.0</v>
      </c>
      <c r="U180" s="73">
        <v>1.0</v>
      </c>
      <c r="V180" s="73">
        <v>0.0</v>
      </c>
      <c r="W180" s="73">
        <v>0.0</v>
      </c>
      <c r="X180" s="73">
        <v>0.0</v>
      </c>
      <c r="Y180" s="73">
        <v>0.0</v>
      </c>
      <c r="Z180" s="73">
        <v>0.0</v>
      </c>
      <c r="AA180" s="73">
        <v>1.0</v>
      </c>
      <c r="AB180" s="73">
        <v>0.0</v>
      </c>
      <c r="AC180" s="73">
        <v>0.0</v>
      </c>
      <c r="AD180" s="73">
        <v>0.0</v>
      </c>
      <c r="AE180" s="73">
        <v>0.0</v>
      </c>
      <c r="AF180" s="73">
        <v>0.0</v>
      </c>
      <c r="AG180" s="73">
        <v>0.0</v>
      </c>
      <c r="AH180" s="73">
        <v>1.0</v>
      </c>
      <c r="AI180" s="13">
        <f t="shared" si="36"/>
        <v>8</v>
      </c>
    </row>
    <row r="181" ht="12.75" customHeight="1">
      <c r="A181" s="18"/>
      <c r="B181" s="49"/>
      <c r="C181" s="50" t="s">
        <v>134</v>
      </c>
      <c r="D181" s="51"/>
      <c r="E181" s="73">
        <v>3.0</v>
      </c>
      <c r="F181" s="73">
        <v>0.0</v>
      </c>
      <c r="G181" s="73">
        <v>0.0</v>
      </c>
      <c r="H181" s="73">
        <v>0.0</v>
      </c>
      <c r="I181" s="73">
        <v>0.0</v>
      </c>
      <c r="J181" s="73">
        <v>1.0</v>
      </c>
      <c r="K181" s="73">
        <v>0.0</v>
      </c>
      <c r="L181" s="73">
        <v>0.0</v>
      </c>
      <c r="M181" s="73">
        <v>0.0</v>
      </c>
      <c r="N181" s="73">
        <v>1.0</v>
      </c>
      <c r="O181" s="73">
        <v>0.0</v>
      </c>
      <c r="P181" s="73">
        <v>1.0</v>
      </c>
      <c r="Q181" s="73">
        <v>0.0</v>
      </c>
      <c r="R181" s="73">
        <v>0.0</v>
      </c>
      <c r="S181" s="73">
        <v>0.0</v>
      </c>
      <c r="T181" s="73">
        <v>1.0</v>
      </c>
      <c r="U181" s="73">
        <v>0.0</v>
      </c>
      <c r="V181" s="73">
        <v>1.0</v>
      </c>
      <c r="W181" s="73">
        <v>0.0</v>
      </c>
      <c r="X181" s="73">
        <v>0.0</v>
      </c>
      <c r="Y181" s="73">
        <v>1.0</v>
      </c>
      <c r="Z181" s="73">
        <v>1.0</v>
      </c>
      <c r="AA181" s="73">
        <v>0.0</v>
      </c>
      <c r="AB181" s="73">
        <v>1.0</v>
      </c>
      <c r="AC181" s="73">
        <v>1.0</v>
      </c>
      <c r="AD181" s="73">
        <v>1.0</v>
      </c>
      <c r="AE181" s="73">
        <v>0.0</v>
      </c>
      <c r="AF181" s="73">
        <v>0.0</v>
      </c>
      <c r="AG181" s="73">
        <v>0.0</v>
      </c>
      <c r="AH181" s="73">
        <v>1.0</v>
      </c>
      <c r="AI181" s="13">
        <f t="shared" si="36"/>
        <v>14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2.0</v>
      </c>
      <c r="H182" s="73">
        <v>0.0</v>
      </c>
      <c r="I182" s="73">
        <v>0.0</v>
      </c>
      <c r="J182" s="73">
        <v>1.0</v>
      </c>
      <c r="K182" s="73">
        <v>1.0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1.0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0.0</v>
      </c>
      <c r="AD182" s="73">
        <v>0.0</v>
      </c>
      <c r="AE182" s="73">
        <v>0.0</v>
      </c>
      <c r="AF182" s="73">
        <v>0.0</v>
      </c>
      <c r="AG182" s="73">
        <v>0.0</v>
      </c>
      <c r="AH182" s="73">
        <v>1.0</v>
      </c>
      <c r="AI182" s="13">
        <f t="shared" si="36"/>
        <v>6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1.0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73">
        <v>0.0</v>
      </c>
      <c r="AF183" s="73">
        <v>0.0</v>
      </c>
      <c r="AG183" s="73">
        <v>0.0</v>
      </c>
      <c r="AH183" s="73">
        <v>0.0</v>
      </c>
      <c r="AI183" s="13">
        <f t="shared" si="36"/>
        <v>1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1.0</v>
      </c>
      <c r="I184" s="80">
        <v>0.0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80">
        <v>0.0</v>
      </c>
      <c r="T184" s="80">
        <v>0.0</v>
      </c>
      <c r="U184" s="80">
        <v>0.0</v>
      </c>
      <c r="V184" s="80">
        <v>0.0</v>
      </c>
      <c r="W184" s="80">
        <v>0.0</v>
      </c>
      <c r="X184" s="80">
        <v>0.0</v>
      </c>
      <c r="Y184" s="80">
        <v>0.0</v>
      </c>
      <c r="Z184" s="80">
        <v>0.0</v>
      </c>
      <c r="AA184" s="80">
        <v>0.0</v>
      </c>
      <c r="AB184" s="80">
        <v>0.0</v>
      </c>
      <c r="AC184" s="80">
        <v>0.0</v>
      </c>
      <c r="AD184" s="80">
        <v>0.0</v>
      </c>
      <c r="AE184" s="80">
        <v>0.0</v>
      </c>
      <c r="AF184" s="80">
        <v>0.0</v>
      </c>
      <c r="AG184" s="80">
        <v>0.0</v>
      </c>
      <c r="AH184" s="80">
        <v>0.0</v>
      </c>
      <c r="AI184" s="13">
        <f t="shared" si="36"/>
        <v>1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0.0</v>
      </c>
      <c r="G185" s="80">
        <v>1.0</v>
      </c>
      <c r="H185" s="80">
        <v>0.0</v>
      </c>
      <c r="I185" s="80">
        <v>1.0</v>
      </c>
      <c r="J185" s="80">
        <v>0.0</v>
      </c>
      <c r="K185" s="80">
        <v>0.0</v>
      </c>
      <c r="L185" s="80">
        <v>0.0</v>
      </c>
      <c r="M185" s="80">
        <v>0.0</v>
      </c>
      <c r="N185" s="80">
        <v>0.0</v>
      </c>
      <c r="O185" s="80">
        <v>0.0</v>
      </c>
      <c r="P185" s="80">
        <v>0.0</v>
      </c>
      <c r="Q185" s="80">
        <v>0.0</v>
      </c>
      <c r="R185" s="80">
        <v>0.0</v>
      </c>
      <c r="S185" s="80">
        <v>0.0</v>
      </c>
      <c r="T185" s="80">
        <v>1.0</v>
      </c>
      <c r="U185" s="80">
        <v>0.0</v>
      </c>
      <c r="V185" s="80">
        <v>0.0</v>
      </c>
      <c r="W185" s="80">
        <v>1.0</v>
      </c>
      <c r="X185" s="80">
        <v>0.0</v>
      </c>
      <c r="Y185" s="80">
        <v>0.0</v>
      </c>
      <c r="Z185" s="80">
        <v>0.0</v>
      </c>
      <c r="AA185" s="80">
        <v>0.0</v>
      </c>
      <c r="AB185" s="80">
        <v>0.0</v>
      </c>
      <c r="AC185" s="80">
        <v>1.0</v>
      </c>
      <c r="AD185" s="80">
        <v>0.0</v>
      </c>
      <c r="AE185" s="80">
        <v>0.0</v>
      </c>
      <c r="AF185" s="80">
        <v>0.0</v>
      </c>
      <c r="AG185" s="80">
        <v>0.0</v>
      </c>
      <c r="AH185" s="80">
        <v>0.0</v>
      </c>
      <c r="AI185" s="13">
        <f t="shared" si="36"/>
        <v>5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0.0</v>
      </c>
      <c r="Q186" s="80">
        <v>0.0</v>
      </c>
      <c r="R186" s="80">
        <v>0.0</v>
      </c>
      <c r="S186" s="80">
        <v>0.0</v>
      </c>
      <c r="T186" s="80">
        <v>0.0</v>
      </c>
      <c r="U186" s="80">
        <v>0.0</v>
      </c>
      <c r="V186" s="80">
        <v>0.0</v>
      </c>
      <c r="W186" s="80">
        <v>0.0</v>
      </c>
      <c r="X186" s="80">
        <v>0.0</v>
      </c>
      <c r="Y186" s="80">
        <v>1.0</v>
      </c>
      <c r="Z186" s="80">
        <v>0.0</v>
      </c>
      <c r="AA186" s="80">
        <v>0.0</v>
      </c>
      <c r="AB186" s="80">
        <v>0.0</v>
      </c>
      <c r="AC186" s="80">
        <v>0.0</v>
      </c>
      <c r="AD186" s="80">
        <v>0.0</v>
      </c>
      <c r="AE186" s="80">
        <v>0.0</v>
      </c>
      <c r="AF186" s="80">
        <v>0.0</v>
      </c>
      <c r="AG186" s="80">
        <v>0.0</v>
      </c>
      <c r="AH186" s="80">
        <v>0.0</v>
      </c>
      <c r="AI186" s="13">
        <f t="shared" si="36"/>
        <v>1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AI187" si="37">SUM(E177:E186)</f>
        <v>6</v>
      </c>
      <c r="F187" s="13">
        <f t="shared" si="37"/>
        <v>1</v>
      </c>
      <c r="G187" s="13">
        <f t="shared" si="37"/>
        <v>4</v>
      </c>
      <c r="H187" s="13">
        <f t="shared" si="37"/>
        <v>5</v>
      </c>
      <c r="I187" s="13">
        <f t="shared" si="37"/>
        <v>3</v>
      </c>
      <c r="J187" s="13">
        <f t="shared" si="37"/>
        <v>3</v>
      </c>
      <c r="K187" s="13">
        <f t="shared" si="37"/>
        <v>6</v>
      </c>
      <c r="L187" s="13">
        <f t="shared" si="37"/>
        <v>2</v>
      </c>
      <c r="M187" s="13">
        <f t="shared" si="37"/>
        <v>4</v>
      </c>
      <c r="N187" s="13">
        <f t="shared" si="37"/>
        <v>1</v>
      </c>
      <c r="O187" s="13">
        <f t="shared" si="37"/>
        <v>1</v>
      </c>
      <c r="P187" s="13">
        <f t="shared" si="37"/>
        <v>1</v>
      </c>
      <c r="Q187" s="13">
        <f t="shared" si="37"/>
        <v>4</v>
      </c>
      <c r="R187" s="13">
        <f t="shared" si="37"/>
        <v>1</v>
      </c>
      <c r="S187" s="13">
        <f t="shared" si="37"/>
        <v>8</v>
      </c>
      <c r="T187" s="13">
        <f t="shared" si="37"/>
        <v>5</v>
      </c>
      <c r="U187" s="13">
        <f t="shared" si="37"/>
        <v>4</v>
      </c>
      <c r="V187" s="13">
        <f t="shared" si="37"/>
        <v>4</v>
      </c>
      <c r="W187" s="13">
        <f t="shared" si="37"/>
        <v>3</v>
      </c>
      <c r="X187" s="13">
        <f t="shared" si="37"/>
        <v>4</v>
      </c>
      <c r="Y187" s="13">
        <f t="shared" si="37"/>
        <v>4</v>
      </c>
      <c r="Z187" s="13">
        <f t="shared" si="37"/>
        <v>5</v>
      </c>
      <c r="AA187" s="13">
        <f t="shared" si="37"/>
        <v>1</v>
      </c>
      <c r="AB187" s="13">
        <f t="shared" si="37"/>
        <v>6</v>
      </c>
      <c r="AC187" s="13">
        <f t="shared" si="37"/>
        <v>5</v>
      </c>
      <c r="AD187" s="13">
        <f t="shared" si="37"/>
        <v>3</v>
      </c>
      <c r="AE187" s="13">
        <f t="shared" si="37"/>
        <v>1</v>
      </c>
      <c r="AF187" s="13">
        <f t="shared" si="37"/>
        <v>0</v>
      </c>
      <c r="AG187" s="13">
        <f t="shared" si="37"/>
        <v>0</v>
      </c>
      <c r="AH187" s="13">
        <f t="shared" si="37"/>
        <v>5</v>
      </c>
      <c r="AI187" s="13">
        <f t="shared" si="37"/>
        <v>100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AI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3.0</v>
      </c>
      <c r="N189" s="73">
        <v>0.0</v>
      </c>
      <c r="O189" s="73">
        <v>1.0</v>
      </c>
      <c r="P189" s="73">
        <v>0.0</v>
      </c>
      <c r="Q189" s="73">
        <v>0.0</v>
      </c>
      <c r="R189" s="73">
        <v>0.0</v>
      </c>
      <c r="S189" s="73">
        <v>2.0</v>
      </c>
      <c r="T189" s="73">
        <v>0.0</v>
      </c>
      <c r="U189" s="73">
        <v>0.0</v>
      </c>
      <c r="V189" s="73">
        <v>0.0</v>
      </c>
      <c r="W189" s="73">
        <v>2.0</v>
      </c>
      <c r="X189" s="73">
        <v>0.0</v>
      </c>
      <c r="Y189" s="73">
        <v>0.0</v>
      </c>
      <c r="Z189" s="73">
        <v>5.0</v>
      </c>
      <c r="AA189" s="73">
        <v>0.0</v>
      </c>
      <c r="AB189" s="73">
        <v>1.0</v>
      </c>
      <c r="AC189" s="73">
        <v>0.0</v>
      </c>
      <c r="AD189" s="73">
        <v>0.0</v>
      </c>
      <c r="AE189" s="73">
        <v>0.0</v>
      </c>
      <c r="AF189" s="73">
        <v>0.0</v>
      </c>
      <c r="AG189" s="73">
        <v>0.0</v>
      </c>
      <c r="AH189" s="73">
        <v>0.0</v>
      </c>
      <c r="AI189" s="13">
        <f t="shared" ref="AI189:AI198" si="38">SUM(E189:AH189)</f>
        <v>14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3.0</v>
      </c>
      <c r="N190" s="73">
        <v>0.0</v>
      </c>
      <c r="O190" s="73">
        <v>2.0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2.0</v>
      </c>
      <c r="X190" s="73">
        <v>0.0</v>
      </c>
      <c r="Y190" s="73">
        <v>0.0</v>
      </c>
      <c r="Z190" s="73">
        <v>2.0</v>
      </c>
      <c r="AA190" s="73">
        <v>1.0</v>
      </c>
      <c r="AB190" s="73">
        <v>0.0</v>
      </c>
      <c r="AC190" s="73">
        <v>0.0</v>
      </c>
      <c r="AD190" s="73">
        <v>0.0</v>
      </c>
      <c r="AE190" s="73">
        <v>0.0</v>
      </c>
      <c r="AF190" s="73">
        <v>0.0</v>
      </c>
      <c r="AG190" s="73">
        <v>0.0</v>
      </c>
      <c r="AH190" s="73">
        <v>0.0</v>
      </c>
      <c r="AI190" s="13">
        <f t="shared" si="38"/>
        <v>10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1.0</v>
      </c>
      <c r="X191" s="73">
        <v>0.0</v>
      </c>
      <c r="Y191" s="73">
        <v>0.0</v>
      </c>
      <c r="Z191" s="73">
        <v>1.0</v>
      </c>
      <c r="AA191" s="73">
        <v>0.0</v>
      </c>
      <c r="AB191" s="73">
        <v>0.0</v>
      </c>
      <c r="AC191" s="73">
        <v>0.0</v>
      </c>
      <c r="AD191" s="73">
        <v>0.0</v>
      </c>
      <c r="AE191" s="73">
        <v>0.0</v>
      </c>
      <c r="AF191" s="73">
        <v>0.0</v>
      </c>
      <c r="AG191" s="73">
        <v>0.0</v>
      </c>
      <c r="AH191" s="73">
        <v>0.0</v>
      </c>
      <c r="AI191" s="13">
        <f t="shared" si="38"/>
        <v>2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1.0</v>
      </c>
      <c r="N192" s="73">
        <v>2.0</v>
      </c>
      <c r="O192" s="73">
        <v>0.0</v>
      </c>
      <c r="P192" s="73">
        <v>0.0</v>
      </c>
      <c r="Q192" s="73">
        <v>0.0</v>
      </c>
      <c r="R192" s="73">
        <v>0.0</v>
      </c>
      <c r="S192" s="73">
        <v>1.0</v>
      </c>
      <c r="T192" s="73">
        <v>0.0</v>
      </c>
      <c r="U192" s="73">
        <v>1.0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1.0</v>
      </c>
      <c r="AC192" s="73">
        <v>0.0</v>
      </c>
      <c r="AD192" s="73">
        <v>0.0</v>
      </c>
      <c r="AE192" s="73">
        <v>0.0</v>
      </c>
      <c r="AF192" s="73">
        <v>0.0</v>
      </c>
      <c r="AG192" s="73">
        <v>0.0</v>
      </c>
      <c r="AH192" s="73">
        <v>0.0</v>
      </c>
      <c r="AI192" s="13">
        <f t="shared" si="38"/>
        <v>6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1.0</v>
      </c>
      <c r="N193" s="73">
        <v>0.0</v>
      </c>
      <c r="O193" s="73">
        <v>1.0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1.0</v>
      </c>
      <c r="AA193" s="73">
        <v>0.0</v>
      </c>
      <c r="AB193" s="73">
        <v>0.0</v>
      </c>
      <c r="AC193" s="73">
        <v>0.0</v>
      </c>
      <c r="AD193" s="73">
        <v>0.0</v>
      </c>
      <c r="AE193" s="73">
        <v>0.0</v>
      </c>
      <c r="AF193" s="73">
        <v>0.0</v>
      </c>
      <c r="AG193" s="73">
        <v>1.0</v>
      </c>
      <c r="AH193" s="73">
        <v>0.0</v>
      </c>
      <c r="AI193" s="13">
        <f t="shared" si="38"/>
        <v>4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1.0</v>
      </c>
      <c r="N194" s="73">
        <v>1.0</v>
      </c>
      <c r="O194" s="73">
        <v>1.0</v>
      </c>
      <c r="P194" s="73">
        <v>0.0</v>
      </c>
      <c r="Q194" s="73">
        <v>0.0</v>
      </c>
      <c r="R194" s="73">
        <v>0.0</v>
      </c>
      <c r="S194" s="73">
        <v>1.0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1.0</v>
      </c>
      <c r="AD194" s="73">
        <v>0.0</v>
      </c>
      <c r="AE194" s="73">
        <v>0.0</v>
      </c>
      <c r="AF194" s="73">
        <v>0.0</v>
      </c>
      <c r="AG194" s="73">
        <v>0.0</v>
      </c>
      <c r="AH194" s="73">
        <v>0.0</v>
      </c>
      <c r="AI194" s="13">
        <f t="shared" si="38"/>
        <v>5</v>
      </c>
    </row>
    <row r="195" ht="12.75" customHeight="1">
      <c r="A195" s="18"/>
      <c r="B195" s="49"/>
      <c r="C195" s="50" t="s">
        <v>147</v>
      </c>
      <c r="D195" s="51"/>
      <c r="E195" s="73">
        <v>1.0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1.0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73">
        <v>0.0</v>
      </c>
      <c r="AF195" s="73">
        <v>0.0</v>
      </c>
      <c r="AG195" s="73">
        <v>0.0</v>
      </c>
      <c r="AH195" s="73">
        <v>0.0</v>
      </c>
      <c r="AI195" s="13">
        <f t="shared" si="38"/>
        <v>2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0.0</v>
      </c>
      <c r="S196" s="80">
        <v>0.0</v>
      </c>
      <c r="T196" s="80">
        <v>0.0</v>
      </c>
      <c r="U196" s="80">
        <v>0.0</v>
      </c>
      <c r="V196" s="80">
        <v>0.0</v>
      </c>
      <c r="W196" s="80">
        <v>0.0</v>
      </c>
      <c r="X196" s="80">
        <v>0.0</v>
      </c>
      <c r="Y196" s="80">
        <v>0.0</v>
      </c>
      <c r="Z196" s="80">
        <v>0.0</v>
      </c>
      <c r="AA196" s="80">
        <v>0.0</v>
      </c>
      <c r="AB196" s="80">
        <v>0.0</v>
      </c>
      <c r="AC196" s="80">
        <v>0.0</v>
      </c>
      <c r="AD196" s="80">
        <v>0.0</v>
      </c>
      <c r="AE196" s="80">
        <v>0.0</v>
      </c>
      <c r="AF196" s="80">
        <v>1.0</v>
      </c>
      <c r="AG196" s="80">
        <v>0.0</v>
      </c>
      <c r="AH196" s="80">
        <v>0.0</v>
      </c>
      <c r="AI196" s="13">
        <f t="shared" si="38"/>
        <v>1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0">
        <v>0.0</v>
      </c>
      <c r="U197" s="80">
        <v>0.0</v>
      </c>
      <c r="V197" s="80">
        <v>0.0</v>
      </c>
      <c r="W197" s="80">
        <v>0.0</v>
      </c>
      <c r="X197" s="80">
        <v>0.0</v>
      </c>
      <c r="Y197" s="80">
        <v>0.0</v>
      </c>
      <c r="Z197" s="80">
        <v>0.0</v>
      </c>
      <c r="AA197" s="80">
        <v>0.0</v>
      </c>
      <c r="AB197" s="80">
        <v>0.0</v>
      </c>
      <c r="AC197" s="80">
        <v>0.0</v>
      </c>
      <c r="AD197" s="80">
        <v>0.0</v>
      </c>
      <c r="AE197" s="80">
        <v>0.0</v>
      </c>
      <c r="AF197" s="80">
        <v>0.0</v>
      </c>
      <c r="AG197" s="80">
        <v>0.0</v>
      </c>
      <c r="AH197" s="80">
        <v>0.0</v>
      </c>
      <c r="AI197" s="13">
        <f t="shared" si="38"/>
        <v>0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80">
        <v>0.0</v>
      </c>
      <c r="V198" s="80">
        <v>0.0</v>
      </c>
      <c r="W198" s="80">
        <v>0.0</v>
      </c>
      <c r="X198" s="80">
        <v>0.0</v>
      </c>
      <c r="Y198" s="80">
        <v>0.0</v>
      </c>
      <c r="Z198" s="80">
        <v>1.0</v>
      </c>
      <c r="AA198" s="80">
        <v>0.0</v>
      </c>
      <c r="AB198" s="80">
        <v>0.0</v>
      </c>
      <c r="AC198" s="80">
        <v>0.0</v>
      </c>
      <c r="AD198" s="80">
        <v>0.0</v>
      </c>
      <c r="AE198" s="80">
        <v>0.0</v>
      </c>
      <c r="AF198" s="80">
        <v>0.0</v>
      </c>
      <c r="AG198" s="80">
        <v>0.0</v>
      </c>
      <c r="AH198" s="80">
        <v>0.0</v>
      </c>
      <c r="AI198" s="13">
        <f t="shared" si="38"/>
        <v>1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AI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9</v>
      </c>
      <c r="N199" s="13">
        <f t="shared" si="39"/>
        <v>3</v>
      </c>
      <c r="O199" s="13">
        <f t="shared" si="39"/>
        <v>5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4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6</v>
      </c>
      <c r="X199" s="13">
        <f t="shared" si="39"/>
        <v>0</v>
      </c>
      <c r="Y199" s="13">
        <f t="shared" si="39"/>
        <v>0</v>
      </c>
      <c r="Z199" s="13">
        <f t="shared" si="39"/>
        <v>10</v>
      </c>
      <c r="AA199" s="13">
        <f t="shared" si="39"/>
        <v>1</v>
      </c>
      <c r="AB199" s="13">
        <f t="shared" si="39"/>
        <v>2</v>
      </c>
      <c r="AC199" s="13">
        <f t="shared" si="39"/>
        <v>1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1</v>
      </c>
      <c r="AH199" s="13">
        <f t="shared" si="39"/>
        <v>0</v>
      </c>
      <c r="AI199" s="13">
        <f t="shared" si="39"/>
        <v>45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2.0</v>
      </c>
      <c r="F201" s="73">
        <v>1.0</v>
      </c>
      <c r="G201" s="73">
        <v>3.0</v>
      </c>
      <c r="H201" s="73">
        <v>6.0</v>
      </c>
      <c r="I201" s="73">
        <v>10.0</v>
      </c>
      <c r="J201" s="73">
        <v>3.0</v>
      </c>
      <c r="K201" s="73">
        <v>1.0</v>
      </c>
      <c r="L201" s="73">
        <v>2.0</v>
      </c>
      <c r="M201" s="73">
        <v>4.0</v>
      </c>
      <c r="N201" s="73">
        <v>3.0</v>
      </c>
      <c r="O201" s="73">
        <v>1.0</v>
      </c>
      <c r="P201" s="73">
        <v>5.0</v>
      </c>
      <c r="Q201" s="73">
        <v>1.0</v>
      </c>
      <c r="R201" s="73">
        <v>5.0</v>
      </c>
      <c r="S201" s="73">
        <v>6.0</v>
      </c>
      <c r="T201" s="73">
        <v>5.0</v>
      </c>
      <c r="U201" s="73">
        <v>7.0</v>
      </c>
      <c r="V201" s="73">
        <v>8.0</v>
      </c>
      <c r="W201" s="73">
        <v>11.0</v>
      </c>
      <c r="X201" s="73">
        <v>2.0</v>
      </c>
      <c r="Y201" s="73">
        <v>6.0</v>
      </c>
      <c r="Z201" s="73">
        <v>11.0</v>
      </c>
      <c r="AA201" s="73">
        <v>6.0</v>
      </c>
      <c r="AB201" s="73">
        <v>7.0</v>
      </c>
      <c r="AC201" s="73">
        <v>2.0</v>
      </c>
      <c r="AD201" s="73">
        <v>4.0</v>
      </c>
      <c r="AE201" s="73">
        <v>1.0</v>
      </c>
      <c r="AF201" s="73">
        <v>1.0</v>
      </c>
      <c r="AG201" s="73">
        <v>1.0</v>
      </c>
      <c r="AH201" s="73">
        <v>1.0</v>
      </c>
      <c r="AI201" s="13">
        <f t="shared" ref="AI201:AI210" si="40">SUM(E201:AH201)</f>
        <v>126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2.0</v>
      </c>
      <c r="F202" s="73">
        <v>2.0</v>
      </c>
      <c r="G202" s="73">
        <v>19.0</v>
      </c>
      <c r="H202" s="73">
        <v>28.0</v>
      </c>
      <c r="I202" s="73">
        <v>4.0</v>
      </c>
      <c r="J202" s="73">
        <v>4.0</v>
      </c>
      <c r="K202" s="73">
        <v>3.0</v>
      </c>
      <c r="L202" s="73">
        <v>2.0</v>
      </c>
      <c r="M202" s="73">
        <v>11.0</v>
      </c>
      <c r="N202" s="73">
        <v>5.0</v>
      </c>
      <c r="O202" s="73">
        <v>14.0</v>
      </c>
      <c r="P202" s="73">
        <v>12.0</v>
      </c>
      <c r="Q202" s="73">
        <v>5.0</v>
      </c>
      <c r="R202" s="73">
        <v>10.0</v>
      </c>
      <c r="S202" s="73">
        <v>6.0</v>
      </c>
      <c r="T202" s="73">
        <v>13.0</v>
      </c>
      <c r="U202" s="73">
        <v>21.0</v>
      </c>
      <c r="V202" s="73">
        <v>2.0</v>
      </c>
      <c r="W202" s="73">
        <v>7.0</v>
      </c>
      <c r="X202" s="73">
        <v>16.0</v>
      </c>
      <c r="Y202" s="73">
        <v>7.0</v>
      </c>
      <c r="Z202" s="73">
        <v>5.0</v>
      </c>
      <c r="AA202" s="73">
        <v>3.0</v>
      </c>
      <c r="AB202" s="73">
        <v>3.0</v>
      </c>
      <c r="AC202" s="73">
        <v>3.0</v>
      </c>
      <c r="AD202" s="73">
        <v>5.0</v>
      </c>
      <c r="AE202" s="73">
        <v>4.0</v>
      </c>
      <c r="AF202" s="73">
        <v>5.0</v>
      </c>
      <c r="AG202" s="73">
        <v>2.0</v>
      </c>
      <c r="AH202" s="73">
        <v>5.0</v>
      </c>
      <c r="AI202" s="13">
        <f t="shared" si="40"/>
        <v>228</v>
      </c>
    </row>
    <row r="203" ht="12.75" customHeight="1">
      <c r="A203" s="18"/>
      <c r="B203" s="49"/>
      <c r="C203" s="50" t="s">
        <v>154</v>
      </c>
      <c r="D203" s="51"/>
      <c r="E203" s="73">
        <v>1.0</v>
      </c>
      <c r="F203" s="73">
        <v>3.0</v>
      </c>
      <c r="G203" s="73">
        <v>1.0</v>
      </c>
      <c r="H203" s="73">
        <v>2.0</v>
      </c>
      <c r="I203" s="73">
        <v>1.0</v>
      </c>
      <c r="J203" s="73">
        <v>7.0</v>
      </c>
      <c r="K203" s="73">
        <v>8.0</v>
      </c>
      <c r="L203" s="73">
        <v>2.0</v>
      </c>
      <c r="M203" s="73">
        <v>0.0</v>
      </c>
      <c r="N203" s="73">
        <v>5.0</v>
      </c>
      <c r="O203" s="73">
        <v>4.0</v>
      </c>
      <c r="P203" s="73">
        <v>2.0</v>
      </c>
      <c r="Q203" s="73">
        <v>2.0</v>
      </c>
      <c r="R203" s="73">
        <v>3.0</v>
      </c>
      <c r="S203" s="73">
        <v>0.0</v>
      </c>
      <c r="T203" s="73">
        <v>3.0</v>
      </c>
      <c r="U203" s="73">
        <v>0.0</v>
      </c>
      <c r="V203" s="73">
        <v>0.0</v>
      </c>
      <c r="W203" s="73">
        <v>3.0</v>
      </c>
      <c r="X203" s="73">
        <v>2.0</v>
      </c>
      <c r="Y203" s="73">
        <v>1.0</v>
      </c>
      <c r="Z203" s="73">
        <v>4.0</v>
      </c>
      <c r="AA203" s="73">
        <v>0.0</v>
      </c>
      <c r="AB203" s="73">
        <v>2.0</v>
      </c>
      <c r="AC203" s="73">
        <v>2.0</v>
      </c>
      <c r="AD203" s="73">
        <v>5.0</v>
      </c>
      <c r="AE203" s="73">
        <v>0.0</v>
      </c>
      <c r="AF203" s="73">
        <v>1.0</v>
      </c>
      <c r="AG203" s="73">
        <v>0.0</v>
      </c>
      <c r="AH203" s="73">
        <v>1.0</v>
      </c>
      <c r="AI203" s="13">
        <f t="shared" si="40"/>
        <v>65</v>
      </c>
    </row>
    <row r="204" ht="12.75" customHeight="1">
      <c r="A204" s="18"/>
      <c r="B204" s="49"/>
      <c r="C204" s="50" t="s">
        <v>155</v>
      </c>
      <c r="D204" s="51"/>
      <c r="E204" s="73">
        <v>2.0</v>
      </c>
      <c r="F204" s="73">
        <v>1.0</v>
      </c>
      <c r="G204" s="73">
        <v>0.0</v>
      </c>
      <c r="H204" s="73">
        <v>2.0</v>
      </c>
      <c r="I204" s="73">
        <v>1.0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1.0</v>
      </c>
      <c r="P204" s="73">
        <v>2.0</v>
      </c>
      <c r="Q204" s="73">
        <v>1.0</v>
      </c>
      <c r="R204" s="73">
        <v>3.0</v>
      </c>
      <c r="S204" s="73">
        <v>0.0</v>
      </c>
      <c r="T204" s="73">
        <v>1.0</v>
      </c>
      <c r="U204" s="73">
        <v>0.0</v>
      </c>
      <c r="V204" s="73">
        <v>0.0</v>
      </c>
      <c r="W204" s="73">
        <v>2.0</v>
      </c>
      <c r="X204" s="73">
        <v>1.0</v>
      </c>
      <c r="Y204" s="73">
        <v>1.0</v>
      </c>
      <c r="Z204" s="73">
        <v>2.0</v>
      </c>
      <c r="AA204" s="73">
        <v>1.0</v>
      </c>
      <c r="AB204" s="73">
        <v>0.0</v>
      </c>
      <c r="AC204" s="73">
        <v>0.0</v>
      </c>
      <c r="AD204" s="73">
        <v>1.0</v>
      </c>
      <c r="AE204" s="73">
        <v>1.0</v>
      </c>
      <c r="AF204" s="73">
        <v>0.0</v>
      </c>
      <c r="AG204" s="73">
        <v>1.0</v>
      </c>
      <c r="AH204" s="73">
        <v>0.0</v>
      </c>
      <c r="AI204" s="13">
        <f t="shared" si="40"/>
        <v>24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0.0</v>
      </c>
      <c r="G205" s="73">
        <v>0.0</v>
      </c>
      <c r="H205" s="73">
        <v>2.0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2.0</v>
      </c>
      <c r="S205" s="73">
        <v>1.0</v>
      </c>
      <c r="T205" s="73">
        <v>1.0</v>
      </c>
      <c r="U205" s="73">
        <v>0.0</v>
      </c>
      <c r="V205" s="73">
        <v>0.0</v>
      </c>
      <c r="W205" s="73">
        <v>0.0</v>
      </c>
      <c r="X205" s="73">
        <v>1.0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0.0</v>
      </c>
      <c r="AE205" s="73">
        <v>0.0</v>
      </c>
      <c r="AF205" s="73">
        <v>0.0</v>
      </c>
      <c r="AG205" s="73">
        <v>1.0</v>
      </c>
      <c r="AH205" s="73">
        <v>0.0</v>
      </c>
      <c r="AI205" s="13">
        <f t="shared" si="40"/>
        <v>8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1.0</v>
      </c>
      <c r="K206" s="73">
        <v>0.0</v>
      </c>
      <c r="L206" s="73">
        <v>0.0</v>
      </c>
      <c r="M206" s="73">
        <v>0.0</v>
      </c>
      <c r="N206" s="73">
        <v>1.0</v>
      </c>
      <c r="O206" s="73">
        <v>1.0</v>
      </c>
      <c r="P206" s="73">
        <v>0.0</v>
      </c>
      <c r="Q206" s="73">
        <v>0.0</v>
      </c>
      <c r="R206" s="73">
        <v>0.0</v>
      </c>
      <c r="S206" s="73">
        <v>1.0</v>
      </c>
      <c r="T206" s="73">
        <v>1.0</v>
      </c>
      <c r="U206" s="73">
        <v>0.0</v>
      </c>
      <c r="V206" s="73">
        <v>0.0</v>
      </c>
      <c r="W206" s="73">
        <v>0.0</v>
      </c>
      <c r="X206" s="73">
        <v>0.0</v>
      </c>
      <c r="Y206" s="73">
        <v>1.0</v>
      </c>
      <c r="Z206" s="73">
        <v>1.0</v>
      </c>
      <c r="AA206" s="73">
        <v>0.0</v>
      </c>
      <c r="AB206" s="73">
        <v>0.0</v>
      </c>
      <c r="AC206" s="73">
        <v>0.0</v>
      </c>
      <c r="AD206" s="73">
        <v>0.0</v>
      </c>
      <c r="AE206" s="73">
        <v>0.0</v>
      </c>
      <c r="AF206" s="73">
        <v>0.0</v>
      </c>
      <c r="AG206" s="73">
        <v>0.0</v>
      </c>
      <c r="AH206" s="73">
        <v>0.0</v>
      </c>
      <c r="AI206" s="13">
        <f t="shared" si="40"/>
        <v>7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1.0</v>
      </c>
      <c r="Q207" s="73">
        <v>0.0</v>
      </c>
      <c r="R207" s="73">
        <v>1.0</v>
      </c>
      <c r="S207" s="73">
        <v>0.0</v>
      </c>
      <c r="T207" s="73">
        <v>0.0</v>
      </c>
      <c r="U207" s="73">
        <v>1.0</v>
      </c>
      <c r="V207" s="73">
        <v>1.0</v>
      </c>
      <c r="W207" s="73">
        <v>0.0</v>
      </c>
      <c r="X207" s="73">
        <v>0.0</v>
      </c>
      <c r="Y207" s="73">
        <v>0.0</v>
      </c>
      <c r="Z207" s="73">
        <v>0.0</v>
      </c>
      <c r="AA207" s="73">
        <v>1.0</v>
      </c>
      <c r="AB207" s="73">
        <v>0.0</v>
      </c>
      <c r="AC207" s="73">
        <v>0.0</v>
      </c>
      <c r="AD207" s="73">
        <v>0.0</v>
      </c>
      <c r="AE207" s="73">
        <v>0.0</v>
      </c>
      <c r="AF207" s="73">
        <v>0.0</v>
      </c>
      <c r="AG207" s="73">
        <v>0.0</v>
      </c>
      <c r="AH207" s="73">
        <v>1.0</v>
      </c>
      <c r="AI207" s="13">
        <f t="shared" si="40"/>
        <v>6</v>
      </c>
    </row>
    <row r="208" ht="12.75" customHeight="1">
      <c r="A208" s="79"/>
      <c r="B208" s="49"/>
      <c r="C208" s="50" t="s">
        <v>159</v>
      </c>
      <c r="D208" s="51"/>
      <c r="E208" s="80">
        <v>0.0</v>
      </c>
      <c r="F208" s="80">
        <v>1.0</v>
      </c>
      <c r="G208" s="80">
        <v>3.0</v>
      </c>
      <c r="H208" s="80">
        <v>1.0</v>
      </c>
      <c r="I208" s="80">
        <v>1.0</v>
      </c>
      <c r="J208" s="80">
        <v>0.0</v>
      </c>
      <c r="K208" s="80">
        <v>0.0</v>
      </c>
      <c r="L208" s="80">
        <v>0.0</v>
      </c>
      <c r="M208" s="80">
        <v>0.0</v>
      </c>
      <c r="N208" s="80">
        <v>1.0</v>
      </c>
      <c r="O208" s="80">
        <v>0.0</v>
      </c>
      <c r="P208" s="80">
        <v>1.0</v>
      </c>
      <c r="Q208" s="80">
        <v>1.0</v>
      </c>
      <c r="R208" s="80">
        <v>2.0</v>
      </c>
      <c r="S208" s="80">
        <v>0.0</v>
      </c>
      <c r="T208" s="80">
        <v>2.0</v>
      </c>
      <c r="U208" s="80">
        <v>0.0</v>
      </c>
      <c r="V208" s="80">
        <v>0.0</v>
      </c>
      <c r="W208" s="80">
        <v>0.0</v>
      </c>
      <c r="X208" s="80">
        <v>0.0</v>
      </c>
      <c r="Y208" s="80">
        <v>2.0</v>
      </c>
      <c r="Z208" s="80">
        <v>0.0</v>
      </c>
      <c r="AA208" s="80">
        <v>1.0</v>
      </c>
      <c r="AB208" s="80">
        <v>1.0</v>
      </c>
      <c r="AC208" s="80">
        <v>0.0</v>
      </c>
      <c r="AD208" s="80">
        <v>1.0</v>
      </c>
      <c r="AE208" s="80">
        <v>1.0</v>
      </c>
      <c r="AF208" s="80">
        <v>2.0</v>
      </c>
      <c r="AG208" s="80">
        <v>1.0</v>
      </c>
      <c r="AH208" s="80">
        <v>0.0</v>
      </c>
      <c r="AI208" s="13">
        <f t="shared" si="40"/>
        <v>22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0.0</v>
      </c>
      <c r="T209" s="80">
        <v>0.0</v>
      </c>
      <c r="U209" s="80">
        <v>0.0</v>
      </c>
      <c r="V209" s="80">
        <v>0.0</v>
      </c>
      <c r="W209" s="80">
        <v>0.0</v>
      </c>
      <c r="X209" s="80">
        <v>0.0</v>
      </c>
      <c r="Y209" s="80">
        <v>0.0</v>
      </c>
      <c r="Z209" s="80">
        <v>0.0</v>
      </c>
      <c r="AA209" s="80">
        <v>0.0</v>
      </c>
      <c r="AB209" s="80">
        <v>0.0</v>
      </c>
      <c r="AC209" s="80">
        <v>0.0</v>
      </c>
      <c r="AD209" s="80">
        <v>0.0</v>
      </c>
      <c r="AE209" s="80">
        <v>0.0</v>
      </c>
      <c r="AF209" s="80">
        <v>0.0</v>
      </c>
      <c r="AG209" s="80">
        <v>0.0</v>
      </c>
      <c r="AH209" s="80">
        <v>0.0</v>
      </c>
      <c r="AI209" s="13">
        <f t="shared" si="40"/>
        <v>0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1.0</v>
      </c>
      <c r="H210" s="80">
        <v>0.0</v>
      </c>
      <c r="I210" s="80">
        <v>0.0</v>
      </c>
      <c r="J210" s="80">
        <v>0.0</v>
      </c>
      <c r="K210" s="80">
        <v>0.0</v>
      </c>
      <c r="L210" s="80">
        <v>0.0</v>
      </c>
      <c r="M210" s="80">
        <v>0.0</v>
      </c>
      <c r="N210" s="80">
        <v>0.0</v>
      </c>
      <c r="O210" s="80">
        <v>0.0</v>
      </c>
      <c r="P210" s="80">
        <v>0.0</v>
      </c>
      <c r="Q210" s="80">
        <v>0.0</v>
      </c>
      <c r="R210" s="80">
        <v>1.0</v>
      </c>
      <c r="S210" s="80">
        <v>0.0</v>
      </c>
      <c r="T210" s="80">
        <v>0.0</v>
      </c>
      <c r="U210" s="80">
        <v>0.0</v>
      </c>
      <c r="V210" s="80">
        <v>0.0</v>
      </c>
      <c r="W210" s="80">
        <v>0.0</v>
      </c>
      <c r="X210" s="80">
        <v>0.0</v>
      </c>
      <c r="Y210" s="80">
        <v>1.0</v>
      </c>
      <c r="Z210" s="80">
        <v>0.0</v>
      </c>
      <c r="AA210" s="80">
        <v>1.0</v>
      </c>
      <c r="AB210" s="80">
        <v>0.0</v>
      </c>
      <c r="AC210" s="80">
        <v>0.0</v>
      </c>
      <c r="AD210" s="80">
        <v>0.0</v>
      </c>
      <c r="AE210" s="80">
        <v>0.0</v>
      </c>
      <c r="AF210" s="80">
        <v>0.0</v>
      </c>
      <c r="AG210" s="80">
        <v>0.0</v>
      </c>
      <c r="AH210" s="80">
        <v>0.0</v>
      </c>
      <c r="AI210" s="13">
        <f t="shared" si="40"/>
        <v>4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AI211" si="41">SUM(E201:E210)</f>
        <v>7</v>
      </c>
      <c r="F211" s="13">
        <f t="shared" si="41"/>
        <v>8</v>
      </c>
      <c r="G211" s="13">
        <f t="shared" si="41"/>
        <v>27</v>
      </c>
      <c r="H211" s="13">
        <f t="shared" si="41"/>
        <v>41</v>
      </c>
      <c r="I211" s="13">
        <f t="shared" si="41"/>
        <v>17</v>
      </c>
      <c r="J211" s="13">
        <f t="shared" si="41"/>
        <v>15</v>
      </c>
      <c r="K211" s="13">
        <f t="shared" si="41"/>
        <v>12</v>
      </c>
      <c r="L211" s="13">
        <f t="shared" si="41"/>
        <v>6</v>
      </c>
      <c r="M211" s="13">
        <f t="shared" si="41"/>
        <v>15</v>
      </c>
      <c r="N211" s="13">
        <f t="shared" si="41"/>
        <v>15</v>
      </c>
      <c r="O211" s="13">
        <f t="shared" si="41"/>
        <v>21</v>
      </c>
      <c r="P211" s="13">
        <f t="shared" si="41"/>
        <v>23</v>
      </c>
      <c r="Q211" s="13">
        <f t="shared" si="41"/>
        <v>10</v>
      </c>
      <c r="R211" s="13">
        <f t="shared" si="41"/>
        <v>27</v>
      </c>
      <c r="S211" s="13">
        <f t="shared" si="41"/>
        <v>14</v>
      </c>
      <c r="T211" s="13">
        <f t="shared" si="41"/>
        <v>26</v>
      </c>
      <c r="U211" s="13">
        <f t="shared" si="41"/>
        <v>29</v>
      </c>
      <c r="V211" s="13">
        <f t="shared" si="41"/>
        <v>11</v>
      </c>
      <c r="W211" s="13">
        <f t="shared" si="41"/>
        <v>23</v>
      </c>
      <c r="X211" s="13">
        <f t="shared" si="41"/>
        <v>22</v>
      </c>
      <c r="Y211" s="13">
        <f t="shared" si="41"/>
        <v>19</v>
      </c>
      <c r="Z211" s="13">
        <f t="shared" si="41"/>
        <v>23</v>
      </c>
      <c r="AA211" s="13">
        <f t="shared" si="41"/>
        <v>13</v>
      </c>
      <c r="AB211" s="13">
        <f t="shared" si="41"/>
        <v>13</v>
      </c>
      <c r="AC211" s="13">
        <f t="shared" si="41"/>
        <v>7</v>
      </c>
      <c r="AD211" s="13">
        <f t="shared" si="41"/>
        <v>16</v>
      </c>
      <c r="AE211" s="13">
        <f t="shared" si="41"/>
        <v>7</v>
      </c>
      <c r="AF211" s="13">
        <f t="shared" si="41"/>
        <v>9</v>
      </c>
      <c r="AG211" s="13">
        <f t="shared" si="41"/>
        <v>6</v>
      </c>
      <c r="AH211" s="13">
        <f t="shared" si="41"/>
        <v>8</v>
      </c>
      <c r="AI211" s="13">
        <f t="shared" si="41"/>
        <v>490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1.0</v>
      </c>
      <c r="F213" s="73">
        <v>1.0</v>
      </c>
      <c r="G213" s="73">
        <v>5.0</v>
      </c>
      <c r="H213" s="73">
        <v>3.0</v>
      </c>
      <c r="I213" s="73">
        <v>3.0</v>
      </c>
      <c r="J213" s="73">
        <v>4.0</v>
      </c>
      <c r="K213" s="73">
        <v>4.0</v>
      </c>
      <c r="L213" s="73">
        <v>1.0</v>
      </c>
      <c r="M213" s="73">
        <v>2.0</v>
      </c>
      <c r="N213" s="73">
        <v>1.0</v>
      </c>
      <c r="O213" s="73">
        <v>2.0</v>
      </c>
      <c r="P213" s="73">
        <v>5.0</v>
      </c>
      <c r="Q213" s="73">
        <v>5.0</v>
      </c>
      <c r="R213" s="73">
        <v>3.0</v>
      </c>
      <c r="S213" s="73">
        <v>2.0</v>
      </c>
      <c r="T213" s="73">
        <v>0.0</v>
      </c>
      <c r="U213" s="73">
        <v>1.0</v>
      </c>
      <c r="V213" s="73">
        <v>1.0</v>
      </c>
      <c r="W213" s="73">
        <v>3.0</v>
      </c>
      <c r="X213" s="73">
        <v>2.0</v>
      </c>
      <c r="Y213" s="73">
        <v>1.0</v>
      </c>
      <c r="Z213" s="73">
        <v>0.0</v>
      </c>
      <c r="AA213" s="73">
        <v>2.0</v>
      </c>
      <c r="AB213" s="73">
        <v>3.0</v>
      </c>
      <c r="AC213" s="73">
        <v>0.0</v>
      </c>
      <c r="AD213" s="73">
        <v>2.0</v>
      </c>
      <c r="AE213" s="73">
        <v>1.0</v>
      </c>
      <c r="AF213" s="73">
        <v>0.0</v>
      </c>
      <c r="AG213" s="73">
        <v>1.0</v>
      </c>
      <c r="AH213" s="73">
        <v>4.0</v>
      </c>
      <c r="AI213" s="13">
        <f t="shared" ref="AI213:AI222" si="42">SUM(E213:AH213)</f>
        <v>63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1.0</v>
      </c>
      <c r="F214" s="73">
        <v>0.0</v>
      </c>
      <c r="G214" s="73">
        <v>1.0</v>
      </c>
      <c r="H214" s="73">
        <v>2.0</v>
      </c>
      <c r="I214" s="73">
        <v>1.0</v>
      </c>
      <c r="J214" s="73">
        <v>3.0</v>
      </c>
      <c r="K214" s="73">
        <v>1.0</v>
      </c>
      <c r="L214" s="73">
        <v>1.0</v>
      </c>
      <c r="M214" s="73">
        <v>1.0</v>
      </c>
      <c r="N214" s="73">
        <v>1.0</v>
      </c>
      <c r="O214" s="73">
        <v>0.0</v>
      </c>
      <c r="P214" s="73">
        <v>1.0</v>
      </c>
      <c r="Q214" s="73">
        <v>2.0</v>
      </c>
      <c r="R214" s="73">
        <v>0.0</v>
      </c>
      <c r="S214" s="73">
        <v>0.0</v>
      </c>
      <c r="T214" s="73">
        <v>1.0</v>
      </c>
      <c r="U214" s="73">
        <v>0.0</v>
      </c>
      <c r="V214" s="73">
        <v>1.0</v>
      </c>
      <c r="W214" s="73">
        <v>0.0</v>
      </c>
      <c r="X214" s="73">
        <v>1.0</v>
      </c>
      <c r="Y214" s="73">
        <v>0.0</v>
      </c>
      <c r="Z214" s="73">
        <v>1.0</v>
      </c>
      <c r="AA214" s="73">
        <v>0.0</v>
      </c>
      <c r="AB214" s="73">
        <v>0.0</v>
      </c>
      <c r="AC214" s="73">
        <v>0.0</v>
      </c>
      <c r="AD214" s="73">
        <v>0.0</v>
      </c>
      <c r="AE214" s="73">
        <v>0.0</v>
      </c>
      <c r="AF214" s="73">
        <v>2.0</v>
      </c>
      <c r="AG214" s="73">
        <v>0.0</v>
      </c>
      <c r="AH214" s="73">
        <v>4.0</v>
      </c>
      <c r="AI214" s="13">
        <f t="shared" si="42"/>
        <v>25</v>
      </c>
    </row>
    <row r="215" ht="12.75" customHeight="1">
      <c r="A215" s="18"/>
      <c r="B215" s="49"/>
      <c r="C215" s="50" t="s">
        <v>165</v>
      </c>
      <c r="D215" s="51"/>
      <c r="E215" s="73">
        <v>2.0</v>
      </c>
      <c r="F215" s="73">
        <v>1.0</v>
      </c>
      <c r="G215" s="73">
        <v>2.0</v>
      </c>
      <c r="H215" s="73">
        <v>2.0</v>
      </c>
      <c r="I215" s="73">
        <v>5.0</v>
      </c>
      <c r="J215" s="73">
        <v>1.0</v>
      </c>
      <c r="K215" s="73">
        <v>3.0</v>
      </c>
      <c r="L215" s="73">
        <v>0.0</v>
      </c>
      <c r="M215" s="73">
        <v>1.0</v>
      </c>
      <c r="N215" s="73">
        <v>2.0</v>
      </c>
      <c r="O215" s="73">
        <v>1.0</v>
      </c>
      <c r="P215" s="73">
        <v>0.0</v>
      </c>
      <c r="Q215" s="73">
        <v>0.0</v>
      </c>
      <c r="R215" s="73">
        <v>1.0</v>
      </c>
      <c r="S215" s="73">
        <v>3.0</v>
      </c>
      <c r="T215" s="73">
        <v>1.0</v>
      </c>
      <c r="U215" s="73">
        <v>3.0</v>
      </c>
      <c r="V215" s="73">
        <v>1.0</v>
      </c>
      <c r="W215" s="73">
        <v>1.0</v>
      </c>
      <c r="X215" s="73">
        <v>1.0</v>
      </c>
      <c r="Y215" s="73">
        <v>0.0</v>
      </c>
      <c r="Z215" s="73">
        <v>1.0</v>
      </c>
      <c r="AA215" s="73">
        <v>1.0</v>
      </c>
      <c r="AB215" s="73">
        <v>2.0</v>
      </c>
      <c r="AC215" s="73">
        <v>3.0</v>
      </c>
      <c r="AD215" s="73">
        <v>2.0</v>
      </c>
      <c r="AE215" s="73">
        <v>2.0</v>
      </c>
      <c r="AF215" s="73">
        <v>1.0</v>
      </c>
      <c r="AG215" s="73">
        <v>1.0</v>
      </c>
      <c r="AH215" s="73">
        <v>0.0</v>
      </c>
      <c r="AI215" s="13">
        <f t="shared" si="42"/>
        <v>44</v>
      </c>
    </row>
    <row r="216" ht="12.75" customHeight="1">
      <c r="A216" s="18"/>
      <c r="B216" s="49"/>
      <c r="C216" s="50" t="s">
        <v>166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1.0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0.0</v>
      </c>
      <c r="V216" s="73">
        <v>0.0</v>
      </c>
      <c r="W216" s="73">
        <v>1.0</v>
      </c>
      <c r="X216" s="73">
        <v>0.0</v>
      </c>
      <c r="Y216" s="73">
        <v>2.0</v>
      </c>
      <c r="Z216" s="73">
        <v>1.0</v>
      </c>
      <c r="AA216" s="73">
        <v>1.0</v>
      </c>
      <c r="AB216" s="73">
        <v>0.0</v>
      </c>
      <c r="AC216" s="73">
        <v>0.0</v>
      </c>
      <c r="AD216" s="73">
        <v>1.0</v>
      </c>
      <c r="AE216" s="73">
        <v>1.0</v>
      </c>
      <c r="AF216" s="73">
        <v>0.0</v>
      </c>
      <c r="AG216" s="73">
        <v>0.0</v>
      </c>
      <c r="AH216" s="73">
        <v>0.0</v>
      </c>
      <c r="AI216" s="13">
        <f t="shared" si="42"/>
        <v>8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AI223" si="43">SUM(E213:E222)</f>
        <v>4</v>
      </c>
      <c r="F223" s="13">
        <f t="shared" si="43"/>
        <v>2</v>
      </c>
      <c r="G223" s="13">
        <f t="shared" si="43"/>
        <v>8</v>
      </c>
      <c r="H223" s="13">
        <f t="shared" si="43"/>
        <v>7</v>
      </c>
      <c r="I223" s="13">
        <f t="shared" si="43"/>
        <v>9</v>
      </c>
      <c r="J223" s="13">
        <f t="shared" si="43"/>
        <v>8</v>
      </c>
      <c r="K223" s="13">
        <f t="shared" si="43"/>
        <v>9</v>
      </c>
      <c r="L223" s="13">
        <f t="shared" si="43"/>
        <v>2</v>
      </c>
      <c r="M223" s="13">
        <f t="shared" si="43"/>
        <v>4</v>
      </c>
      <c r="N223" s="13">
        <f t="shared" si="43"/>
        <v>4</v>
      </c>
      <c r="O223" s="13">
        <f t="shared" si="43"/>
        <v>3</v>
      </c>
      <c r="P223" s="13">
        <f t="shared" si="43"/>
        <v>6</v>
      </c>
      <c r="Q223" s="13">
        <f t="shared" si="43"/>
        <v>7</v>
      </c>
      <c r="R223" s="13">
        <f t="shared" si="43"/>
        <v>4</v>
      </c>
      <c r="S223" s="13">
        <f t="shared" si="43"/>
        <v>5</v>
      </c>
      <c r="T223" s="13">
        <f t="shared" si="43"/>
        <v>2</v>
      </c>
      <c r="U223" s="13">
        <f t="shared" si="43"/>
        <v>4</v>
      </c>
      <c r="V223" s="13">
        <f t="shared" si="43"/>
        <v>3</v>
      </c>
      <c r="W223" s="13">
        <f t="shared" si="43"/>
        <v>5</v>
      </c>
      <c r="X223" s="13">
        <f t="shared" si="43"/>
        <v>4</v>
      </c>
      <c r="Y223" s="13">
        <f t="shared" si="43"/>
        <v>3</v>
      </c>
      <c r="Z223" s="13">
        <f t="shared" si="43"/>
        <v>3</v>
      </c>
      <c r="AA223" s="13">
        <f t="shared" si="43"/>
        <v>4</v>
      </c>
      <c r="AB223" s="13">
        <f t="shared" si="43"/>
        <v>5</v>
      </c>
      <c r="AC223" s="13">
        <f t="shared" si="43"/>
        <v>3</v>
      </c>
      <c r="AD223" s="13">
        <f t="shared" si="43"/>
        <v>5</v>
      </c>
      <c r="AE223" s="13">
        <f t="shared" si="43"/>
        <v>4</v>
      </c>
      <c r="AF223" s="13">
        <f t="shared" si="43"/>
        <v>3</v>
      </c>
      <c r="AG223" s="13">
        <f t="shared" si="43"/>
        <v>2</v>
      </c>
      <c r="AH223" s="13">
        <f t="shared" si="43"/>
        <v>8</v>
      </c>
      <c r="AI223" s="13">
        <f t="shared" si="43"/>
        <v>140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1.0</v>
      </c>
      <c r="F225" s="73">
        <v>0.0</v>
      </c>
      <c r="G225" s="73">
        <v>1.0</v>
      </c>
      <c r="H225" s="73">
        <v>1.0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2.0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0.0</v>
      </c>
      <c r="W225" s="73">
        <v>1.0</v>
      </c>
      <c r="X225" s="73">
        <v>1.0</v>
      </c>
      <c r="Y225" s="73">
        <v>2.0</v>
      </c>
      <c r="Z225" s="73">
        <v>1.0</v>
      </c>
      <c r="AA225" s="73">
        <v>0.0</v>
      </c>
      <c r="AB225" s="73">
        <v>0.0</v>
      </c>
      <c r="AC225" s="73">
        <v>0.0</v>
      </c>
      <c r="AD225" s="73">
        <v>0.0</v>
      </c>
      <c r="AE225" s="73">
        <v>0.0</v>
      </c>
      <c r="AF225" s="73">
        <v>0.0</v>
      </c>
      <c r="AG225" s="73">
        <v>0.0</v>
      </c>
      <c r="AH225" s="73">
        <v>0.0</v>
      </c>
      <c r="AI225" s="13">
        <f t="shared" ref="AI225:AI234" si="44">SUM(E225:AH225)</f>
        <v>11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2.0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1.0</v>
      </c>
      <c r="M226" s="73">
        <v>1.0</v>
      </c>
      <c r="N226" s="73">
        <v>0.0</v>
      </c>
      <c r="O226" s="73">
        <v>0.0</v>
      </c>
      <c r="P226" s="73">
        <v>3.0</v>
      </c>
      <c r="Q226" s="73">
        <v>0.0</v>
      </c>
      <c r="R226" s="73">
        <v>0.0</v>
      </c>
      <c r="S226" s="73">
        <v>1.0</v>
      </c>
      <c r="T226" s="73">
        <v>0.0</v>
      </c>
      <c r="U226" s="73">
        <v>0.0</v>
      </c>
      <c r="V226" s="73">
        <v>0.0</v>
      </c>
      <c r="W226" s="73">
        <v>0.0</v>
      </c>
      <c r="X226" s="73">
        <v>4.0</v>
      </c>
      <c r="Y226" s="73">
        <v>0.0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0.0</v>
      </c>
      <c r="AE226" s="73">
        <v>0.0</v>
      </c>
      <c r="AF226" s="73">
        <v>0.0</v>
      </c>
      <c r="AG226" s="73">
        <v>0.0</v>
      </c>
      <c r="AH226" s="73">
        <v>0.0</v>
      </c>
      <c r="AI226" s="13">
        <f t="shared" si="44"/>
        <v>12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1.0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0.0</v>
      </c>
      <c r="AC227" s="73">
        <v>0.0</v>
      </c>
      <c r="AD227" s="73">
        <v>0.0</v>
      </c>
      <c r="AE227" s="73">
        <v>1.0</v>
      </c>
      <c r="AF227" s="73">
        <v>0.0</v>
      </c>
      <c r="AG227" s="73">
        <v>0.0</v>
      </c>
      <c r="AH227" s="73">
        <v>0.0</v>
      </c>
      <c r="AI227" s="13">
        <f t="shared" si="44"/>
        <v>2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1.0</v>
      </c>
      <c r="AB228" s="73">
        <v>0.0</v>
      </c>
      <c r="AC228" s="73">
        <v>0.0</v>
      </c>
      <c r="AD228" s="73">
        <v>0.0</v>
      </c>
      <c r="AE228" s="73">
        <v>0.0</v>
      </c>
      <c r="AF228" s="73">
        <v>0.0</v>
      </c>
      <c r="AG228" s="73">
        <v>0.0</v>
      </c>
      <c r="AH228" s="73">
        <v>0.0</v>
      </c>
      <c r="AI228" s="13">
        <f t="shared" si="44"/>
        <v>1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3.0</v>
      </c>
      <c r="M229" s="73">
        <v>0.0</v>
      </c>
      <c r="N229" s="73">
        <v>2.0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1.0</v>
      </c>
      <c r="Z229" s="73">
        <v>0.0</v>
      </c>
      <c r="AA229" s="73">
        <v>0.0</v>
      </c>
      <c r="AB229" s="73">
        <v>1.0</v>
      </c>
      <c r="AC229" s="73">
        <v>0.0</v>
      </c>
      <c r="AD229" s="73">
        <v>0.0</v>
      </c>
      <c r="AE229" s="73">
        <v>0.0</v>
      </c>
      <c r="AF229" s="73">
        <v>0.0</v>
      </c>
      <c r="AG229" s="73">
        <v>0.0</v>
      </c>
      <c r="AH229" s="73">
        <v>0.0</v>
      </c>
      <c r="AI229" s="13">
        <f t="shared" si="44"/>
        <v>7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AI235" si="45">SUM(E225:E234)</f>
        <v>3</v>
      </c>
      <c r="F235" s="13">
        <f t="shared" si="45"/>
        <v>0</v>
      </c>
      <c r="G235" s="13">
        <f t="shared" si="45"/>
        <v>1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4</v>
      </c>
      <c r="M235" s="13">
        <f t="shared" si="45"/>
        <v>1</v>
      </c>
      <c r="N235" s="13">
        <f t="shared" si="45"/>
        <v>2</v>
      </c>
      <c r="O235" s="13">
        <f t="shared" si="45"/>
        <v>0</v>
      </c>
      <c r="P235" s="13">
        <f t="shared" si="45"/>
        <v>5</v>
      </c>
      <c r="Q235" s="13">
        <f t="shared" si="45"/>
        <v>0</v>
      </c>
      <c r="R235" s="13">
        <f t="shared" si="45"/>
        <v>1</v>
      </c>
      <c r="S235" s="13">
        <f t="shared" si="45"/>
        <v>1</v>
      </c>
      <c r="T235" s="13">
        <f t="shared" si="45"/>
        <v>1</v>
      </c>
      <c r="U235" s="13">
        <f t="shared" si="45"/>
        <v>0</v>
      </c>
      <c r="V235" s="13">
        <f t="shared" si="45"/>
        <v>0</v>
      </c>
      <c r="W235" s="13">
        <f t="shared" si="45"/>
        <v>1</v>
      </c>
      <c r="X235" s="13">
        <f t="shared" si="45"/>
        <v>5</v>
      </c>
      <c r="Y235" s="13">
        <f t="shared" si="45"/>
        <v>3</v>
      </c>
      <c r="Z235" s="13">
        <f t="shared" si="45"/>
        <v>1</v>
      </c>
      <c r="AA235" s="13">
        <f t="shared" si="45"/>
        <v>1</v>
      </c>
      <c r="AB235" s="13">
        <f t="shared" si="45"/>
        <v>1</v>
      </c>
      <c r="AC235" s="13">
        <f t="shared" si="45"/>
        <v>0</v>
      </c>
      <c r="AD235" s="13">
        <f t="shared" si="45"/>
        <v>0</v>
      </c>
      <c r="AE235" s="13">
        <f t="shared" si="45"/>
        <v>1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33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1.0</v>
      </c>
      <c r="F237" s="73">
        <v>0.0</v>
      </c>
      <c r="G237" s="73">
        <v>2.0</v>
      </c>
      <c r="H237" s="73">
        <v>0.0</v>
      </c>
      <c r="I237" s="73">
        <v>0.0</v>
      </c>
      <c r="J237" s="73">
        <v>1.0</v>
      </c>
      <c r="K237" s="73">
        <v>0.0</v>
      </c>
      <c r="L237" s="73">
        <v>2.0</v>
      </c>
      <c r="M237" s="73">
        <v>1.0</v>
      </c>
      <c r="N237" s="73">
        <v>1.0</v>
      </c>
      <c r="O237" s="73">
        <v>1.0</v>
      </c>
      <c r="P237" s="73">
        <v>0.0</v>
      </c>
      <c r="Q237" s="73">
        <v>1.0</v>
      </c>
      <c r="R237" s="73">
        <v>1.0</v>
      </c>
      <c r="S237" s="73">
        <v>0.0</v>
      </c>
      <c r="T237" s="73">
        <v>1.0</v>
      </c>
      <c r="U237" s="73">
        <v>2.0</v>
      </c>
      <c r="V237" s="73">
        <v>2.0</v>
      </c>
      <c r="W237" s="73">
        <v>0.0</v>
      </c>
      <c r="X237" s="73">
        <v>1.0</v>
      </c>
      <c r="Y237" s="73">
        <v>0.0</v>
      </c>
      <c r="Z237" s="73">
        <v>0.0</v>
      </c>
      <c r="AA237" s="73">
        <v>4.0</v>
      </c>
      <c r="AB237" s="73">
        <v>0.0</v>
      </c>
      <c r="AC237" s="73">
        <v>0.0</v>
      </c>
      <c r="AD237" s="73">
        <v>0.0</v>
      </c>
      <c r="AE237" s="73">
        <v>2.0</v>
      </c>
      <c r="AF237" s="73">
        <v>1.0</v>
      </c>
      <c r="AG237" s="73">
        <v>0.0</v>
      </c>
      <c r="AH237" s="73">
        <v>0.0</v>
      </c>
      <c r="AI237" s="13">
        <f t="shared" ref="AI237:AI246" si="46">SUM(E237:AH237)</f>
        <v>24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0.0</v>
      </c>
      <c r="F238" s="73">
        <v>0.0</v>
      </c>
      <c r="G238" s="73">
        <v>2.0</v>
      </c>
      <c r="H238" s="73">
        <v>1.0</v>
      </c>
      <c r="I238" s="73">
        <v>0.0</v>
      </c>
      <c r="J238" s="73">
        <v>2.0</v>
      </c>
      <c r="K238" s="73">
        <v>0.0</v>
      </c>
      <c r="L238" s="73">
        <v>1.0</v>
      </c>
      <c r="M238" s="73">
        <v>0.0</v>
      </c>
      <c r="N238" s="73">
        <v>0.0</v>
      </c>
      <c r="O238" s="73">
        <v>0.0</v>
      </c>
      <c r="P238" s="73">
        <v>2.0</v>
      </c>
      <c r="Q238" s="73">
        <v>0.0</v>
      </c>
      <c r="R238" s="73">
        <v>0.0</v>
      </c>
      <c r="S238" s="73">
        <v>0.0</v>
      </c>
      <c r="T238" s="73">
        <v>0.0</v>
      </c>
      <c r="U238" s="73">
        <v>1.0</v>
      </c>
      <c r="V238" s="73">
        <v>0.0</v>
      </c>
      <c r="W238" s="73">
        <v>1.0</v>
      </c>
      <c r="X238" s="73">
        <v>2.0</v>
      </c>
      <c r="Y238" s="73">
        <v>0.0</v>
      </c>
      <c r="Z238" s="73">
        <v>1.0</v>
      </c>
      <c r="AA238" s="73">
        <v>0.0</v>
      </c>
      <c r="AB238" s="73">
        <v>0.0</v>
      </c>
      <c r="AC238" s="73">
        <v>0.0</v>
      </c>
      <c r="AD238" s="73">
        <v>0.0</v>
      </c>
      <c r="AE238" s="73">
        <v>0.0</v>
      </c>
      <c r="AF238" s="73">
        <v>1.0</v>
      </c>
      <c r="AG238" s="73">
        <v>2.0</v>
      </c>
      <c r="AH238" s="73">
        <v>1.0</v>
      </c>
      <c r="AI238" s="13">
        <f t="shared" si="46"/>
        <v>17</v>
      </c>
    </row>
    <row r="239" ht="12.75" customHeight="1">
      <c r="A239" s="18"/>
      <c r="B239" s="49"/>
      <c r="C239" s="50" t="s">
        <v>176</v>
      </c>
      <c r="D239" s="51"/>
      <c r="E239" s="73">
        <v>7.0</v>
      </c>
      <c r="F239" s="73">
        <v>1.0</v>
      </c>
      <c r="G239" s="73">
        <v>9.0</v>
      </c>
      <c r="H239" s="73">
        <v>3.0</v>
      </c>
      <c r="I239" s="73">
        <v>10.0</v>
      </c>
      <c r="J239" s="73">
        <v>12.0</v>
      </c>
      <c r="K239" s="73">
        <v>1.0</v>
      </c>
      <c r="L239" s="73">
        <v>12.0</v>
      </c>
      <c r="M239" s="73">
        <v>18.0</v>
      </c>
      <c r="N239" s="73">
        <v>3.0</v>
      </c>
      <c r="O239" s="73">
        <v>0.0</v>
      </c>
      <c r="P239" s="73">
        <v>14.0</v>
      </c>
      <c r="Q239" s="73">
        <v>11.0</v>
      </c>
      <c r="R239" s="73">
        <v>16.0</v>
      </c>
      <c r="S239" s="73">
        <v>4.0</v>
      </c>
      <c r="T239" s="73">
        <v>0.0</v>
      </c>
      <c r="U239" s="73">
        <v>16.0</v>
      </c>
      <c r="V239" s="73">
        <v>32.0</v>
      </c>
      <c r="W239" s="73">
        <v>4.0</v>
      </c>
      <c r="X239" s="73">
        <v>4.0</v>
      </c>
      <c r="Y239" s="73">
        <v>0.0</v>
      </c>
      <c r="Z239" s="73">
        <v>2.0</v>
      </c>
      <c r="AA239" s="73">
        <v>8.0</v>
      </c>
      <c r="AB239" s="73">
        <v>11.0</v>
      </c>
      <c r="AC239" s="73">
        <v>0.0</v>
      </c>
      <c r="AD239" s="73">
        <v>0.0</v>
      </c>
      <c r="AE239" s="73">
        <v>4.0</v>
      </c>
      <c r="AF239" s="73">
        <v>8.0</v>
      </c>
      <c r="AG239" s="73">
        <v>1.0</v>
      </c>
      <c r="AH239" s="73">
        <v>2.0</v>
      </c>
      <c r="AI239" s="13">
        <f t="shared" si="46"/>
        <v>213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2.0</v>
      </c>
      <c r="K240" s="73">
        <v>0.0</v>
      </c>
      <c r="L240" s="73">
        <v>1.0</v>
      </c>
      <c r="M240" s="73">
        <v>1.0</v>
      </c>
      <c r="N240" s="73">
        <v>1.0</v>
      </c>
      <c r="O240" s="73">
        <v>2.0</v>
      </c>
      <c r="P240" s="73">
        <v>0.0</v>
      </c>
      <c r="Q240" s="73">
        <v>2.0</v>
      </c>
      <c r="R240" s="73">
        <v>1.0</v>
      </c>
      <c r="S240" s="73">
        <v>2.0</v>
      </c>
      <c r="T240" s="73">
        <v>0.0</v>
      </c>
      <c r="U240" s="73">
        <v>2.0</v>
      </c>
      <c r="V240" s="73">
        <v>1.0</v>
      </c>
      <c r="W240" s="73">
        <v>1.0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1.0</v>
      </c>
      <c r="AC240" s="73">
        <v>0.0</v>
      </c>
      <c r="AD240" s="73">
        <v>0.0</v>
      </c>
      <c r="AE240" s="73">
        <v>0.0</v>
      </c>
      <c r="AF240" s="73">
        <v>1.0</v>
      </c>
      <c r="AG240" s="73">
        <v>0.0</v>
      </c>
      <c r="AH240" s="73">
        <v>0.0</v>
      </c>
      <c r="AI240" s="13">
        <f t="shared" si="46"/>
        <v>18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0.0</v>
      </c>
      <c r="AD241" s="73">
        <v>0.0</v>
      </c>
      <c r="AE241" s="73">
        <v>0.0</v>
      </c>
      <c r="AF241" s="73">
        <v>0.0</v>
      </c>
      <c r="AG241" s="73">
        <v>0.0</v>
      </c>
      <c r="AH241" s="73">
        <v>0.0</v>
      </c>
      <c r="AI241" s="13">
        <f t="shared" si="46"/>
        <v>0</v>
      </c>
    </row>
    <row r="242" ht="12.75" customHeight="1">
      <c r="A242" s="18"/>
      <c r="B242" s="49"/>
      <c r="C242" s="50" t="s">
        <v>179</v>
      </c>
      <c r="D242" s="51"/>
      <c r="E242" s="73">
        <v>1.0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2.0</v>
      </c>
      <c r="O242" s="73">
        <v>0.0</v>
      </c>
      <c r="P242" s="73">
        <v>3.0</v>
      </c>
      <c r="Q242" s="73">
        <v>0.0</v>
      </c>
      <c r="R242" s="73">
        <v>1.0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73">
        <v>1.0</v>
      </c>
      <c r="Y242" s="73">
        <v>0.0</v>
      </c>
      <c r="Z242" s="73">
        <v>0.0</v>
      </c>
      <c r="AA242" s="73">
        <v>0.0</v>
      </c>
      <c r="AB242" s="73">
        <v>1.0</v>
      </c>
      <c r="AC242" s="73">
        <v>0.0</v>
      </c>
      <c r="AD242" s="73">
        <v>0.0</v>
      </c>
      <c r="AE242" s="73">
        <v>0.0</v>
      </c>
      <c r="AF242" s="73">
        <v>0.0</v>
      </c>
      <c r="AG242" s="73">
        <v>0.0</v>
      </c>
      <c r="AH242" s="73">
        <v>1.0</v>
      </c>
      <c r="AI242" s="13">
        <f t="shared" si="46"/>
        <v>10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1.0</v>
      </c>
      <c r="R243" s="73">
        <v>0.0</v>
      </c>
      <c r="S243" s="73">
        <v>0.0</v>
      </c>
      <c r="T243" s="73">
        <v>0.0</v>
      </c>
      <c r="U243" s="73">
        <v>0.0</v>
      </c>
      <c r="V243" s="73">
        <v>1.0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1.0</v>
      </c>
      <c r="AD243" s="73">
        <v>0.0</v>
      </c>
      <c r="AE243" s="73">
        <v>0.0</v>
      </c>
      <c r="AF243" s="73">
        <v>0.0</v>
      </c>
      <c r="AG243" s="73">
        <v>0.0</v>
      </c>
      <c r="AH243" s="73">
        <v>1.0</v>
      </c>
      <c r="AI243" s="13">
        <f t="shared" si="46"/>
        <v>4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80">
        <v>0.0</v>
      </c>
      <c r="T244" s="80">
        <v>0.0</v>
      </c>
      <c r="U244" s="80">
        <v>0.0</v>
      </c>
      <c r="V244" s="80">
        <v>0.0</v>
      </c>
      <c r="W244" s="80">
        <v>0.0</v>
      </c>
      <c r="X244" s="80">
        <v>0.0</v>
      </c>
      <c r="Y244" s="80">
        <v>0.0</v>
      </c>
      <c r="Z244" s="80">
        <v>2.0</v>
      </c>
      <c r="AA244" s="80">
        <v>0.0</v>
      </c>
      <c r="AB244" s="80">
        <v>0.0</v>
      </c>
      <c r="AC244" s="80">
        <v>0.0</v>
      </c>
      <c r="AD244" s="80">
        <v>0.0</v>
      </c>
      <c r="AE244" s="80">
        <v>0.0</v>
      </c>
      <c r="AF244" s="80">
        <v>0.0</v>
      </c>
      <c r="AG244" s="80">
        <v>0.0</v>
      </c>
      <c r="AH244" s="80">
        <v>0.0</v>
      </c>
      <c r="AI244" s="13">
        <f t="shared" si="46"/>
        <v>2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80">
        <v>0.0</v>
      </c>
      <c r="S245" s="80">
        <v>0.0</v>
      </c>
      <c r="T245" s="80">
        <v>0.0</v>
      </c>
      <c r="U245" s="80">
        <v>0.0</v>
      </c>
      <c r="V245" s="80">
        <v>0.0</v>
      </c>
      <c r="W245" s="80">
        <v>0.0</v>
      </c>
      <c r="X245" s="80">
        <v>0.0</v>
      </c>
      <c r="Y245" s="80">
        <v>0.0</v>
      </c>
      <c r="Z245" s="80">
        <v>0.0</v>
      </c>
      <c r="AA245" s="80">
        <v>0.0</v>
      </c>
      <c r="AB245" s="80">
        <v>0.0</v>
      </c>
      <c r="AC245" s="80">
        <v>0.0</v>
      </c>
      <c r="AD245" s="80">
        <v>0.0</v>
      </c>
      <c r="AE245" s="80">
        <v>0.0</v>
      </c>
      <c r="AF245" s="80">
        <v>0.0</v>
      </c>
      <c r="AG245" s="80">
        <v>0.0</v>
      </c>
      <c r="AH245" s="80">
        <v>0.0</v>
      </c>
      <c r="AI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0.0</v>
      </c>
      <c r="I246" s="80">
        <v>0.0</v>
      </c>
      <c r="J246" s="80">
        <v>0.0</v>
      </c>
      <c r="K246" s="80">
        <v>0.0</v>
      </c>
      <c r="L246" s="80">
        <v>3.0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0.0</v>
      </c>
      <c r="T246" s="80">
        <v>0.0</v>
      </c>
      <c r="U246" s="80">
        <v>0.0</v>
      </c>
      <c r="V246" s="80">
        <v>0.0</v>
      </c>
      <c r="W246" s="80">
        <v>0.0</v>
      </c>
      <c r="X246" s="80">
        <v>0.0</v>
      </c>
      <c r="Y246" s="80">
        <v>0.0</v>
      </c>
      <c r="Z246" s="80">
        <v>0.0</v>
      </c>
      <c r="AA246" s="80">
        <v>0.0</v>
      </c>
      <c r="AB246" s="80">
        <v>0.0</v>
      </c>
      <c r="AC246" s="80">
        <v>0.0</v>
      </c>
      <c r="AD246" s="80">
        <v>0.0</v>
      </c>
      <c r="AE246" s="80">
        <v>0.0</v>
      </c>
      <c r="AF246" s="80">
        <v>0.0</v>
      </c>
      <c r="AG246" s="80">
        <v>0.0</v>
      </c>
      <c r="AH246" s="80">
        <v>1.0</v>
      </c>
      <c r="AI246" s="13">
        <f t="shared" si="46"/>
        <v>4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AI247" si="47">SUM(E237:E246)</f>
        <v>9</v>
      </c>
      <c r="F247" s="13">
        <f t="shared" si="47"/>
        <v>1</v>
      </c>
      <c r="G247" s="13">
        <f t="shared" si="47"/>
        <v>13</v>
      </c>
      <c r="H247" s="13">
        <f t="shared" si="47"/>
        <v>4</v>
      </c>
      <c r="I247" s="13">
        <f t="shared" si="47"/>
        <v>10</v>
      </c>
      <c r="J247" s="13">
        <f t="shared" si="47"/>
        <v>17</v>
      </c>
      <c r="K247" s="13">
        <f t="shared" si="47"/>
        <v>1</v>
      </c>
      <c r="L247" s="13">
        <f t="shared" si="47"/>
        <v>19</v>
      </c>
      <c r="M247" s="13">
        <f t="shared" si="47"/>
        <v>20</v>
      </c>
      <c r="N247" s="13">
        <f t="shared" si="47"/>
        <v>7</v>
      </c>
      <c r="O247" s="13">
        <f t="shared" si="47"/>
        <v>3</v>
      </c>
      <c r="P247" s="13">
        <f t="shared" si="47"/>
        <v>19</v>
      </c>
      <c r="Q247" s="13">
        <f t="shared" si="47"/>
        <v>15</v>
      </c>
      <c r="R247" s="13">
        <f t="shared" si="47"/>
        <v>19</v>
      </c>
      <c r="S247" s="13">
        <f t="shared" si="47"/>
        <v>6</v>
      </c>
      <c r="T247" s="13">
        <f t="shared" si="47"/>
        <v>1</v>
      </c>
      <c r="U247" s="13">
        <f t="shared" si="47"/>
        <v>21</v>
      </c>
      <c r="V247" s="13">
        <f t="shared" si="47"/>
        <v>36</v>
      </c>
      <c r="W247" s="13">
        <f t="shared" si="47"/>
        <v>6</v>
      </c>
      <c r="X247" s="13">
        <f t="shared" si="47"/>
        <v>8</v>
      </c>
      <c r="Y247" s="13">
        <f t="shared" si="47"/>
        <v>0</v>
      </c>
      <c r="Z247" s="13">
        <f t="shared" si="47"/>
        <v>5</v>
      </c>
      <c r="AA247" s="13">
        <f t="shared" si="47"/>
        <v>12</v>
      </c>
      <c r="AB247" s="13">
        <f t="shared" si="47"/>
        <v>13</v>
      </c>
      <c r="AC247" s="13">
        <f t="shared" si="47"/>
        <v>1</v>
      </c>
      <c r="AD247" s="13">
        <f t="shared" si="47"/>
        <v>0</v>
      </c>
      <c r="AE247" s="13">
        <f t="shared" si="47"/>
        <v>6</v>
      </c>
      <c r="AF247" s="13">
        <f t="shared" si="47"/>
        <v>11</v>
      </c>
      <c r="AG247" s="13">
        <f t="shared" si="47"/>
        <v>3</v>
      </c>
      <c r="AH247" s="13">
        <f t="shared" si="47"/>
        <v>6</v>
      </c>
      <c r="AI247" s="13">
        <f t="shared" si="47"/>
        <v>292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1.0</v>
      </c>
      <c r="G249" s="73">
        <v>0.0</v>
      </c>
      <c r="H249" s="73">
        <v>0.0</v>
      </c>
      <c r="I249" s="73">
        <v>1.0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1.0</v>
      </c>
      <c r="R249" s="73">
        <v>0.0</v>
      </c>
      <c r="S249" s="73">
        <v>0.0</v>
      </c>
      <c r="T249" s="73">
        <v>0.0</v>
      </c>
      <c r="U249" s="73">
        <v>0.0</v>
      </c>
      <c r="V249" s="73">
        <v>2.0</v>
      </c>
      <c r="W249" s="73">
        <v>0.0</v>
      </c>
      <c r="X249" s="73">
        <v>0.0</v>
      </c>
      <c r="Y249" s="73">
        <v>1.0</v>
      </c>
      <c r="Z249" s="73">
        <v>1.0</v>
      </c>
      <c r="AA249" s="73">
        <v>0.0</v>
      </c>
      <c r="AB249" s="73">
        <v>1.0</v>
      </c>
      <c r="AC249" s="73">
        <v>0.0</v>
      </c>
      <c r="AD249" s="73">
        <v>0.0</v>
      </c>
      <c r="AE249" s="73">
        <v>0.0</v>
      </c>
      <c r="AF249" s="73">
        <v>0.0</v>
      </c>
      <c r="AG249" s="73">
        <v>0.0</v>
      </c>
      <c r="AH249" s="73">
        <v>0.0</v>
      </c>
      <c r="AI249" s="13">
        <f t="shared" ref="AI249:AI258" si="48">SUM(E249:AH249)</f>
        <v>8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0.0</v>
      </c>
      <c r="G250" s="73">
        <v>1.0</v>
      </c>
      <c r="H250" s="73">
        <v>3.0</v>
      </c>
      <c r="I250" s="73">
        <v>0.0</v>
      </c>
      <c r="J250" s="73">
        <v>0.0</v>
      </c>
      <c r="K250" s="73">
        <v>0.0</v>
      </c>
      <c r="L250" s="73">
        <v>0.0</v>
      </c>
      <c r="M250" s="73">
        <v>1.0</v>
      </c>
      <c r="N250" s="73">
        <v>0.0</v>
      </c>
      <c r="O250" s="73">
        <v>2.0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1.0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0.0</v>
      </c>
      <c r="AC250" s="73">
        <v>0.0</v>
      </c>
      <c r="AD250" s="73">
        <v>0.0</v>
      </c>
      <c r="AE250" s="73">
        <v>0.0</v>
      </c>
      <c r="AF250" s="73">
        <v>0.0</v>
      </c>
      <c r="AG250" s="73">
        <v>1.0</v>
      </c>
      <c r="AH250" s="73">
        <v>0.0</v>
      </c>
      <c r="AI250" s="13">
        <f t="shared" si="48"/>
        <v>9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1.0</v>
      </c>
      <c r="I251" s="73">
        <v>0.0</v>
      </c>
      <c r="J251" s="73">
        <v>0.0</v>
      </c>
      <c r="K251" s="73">
        <v>0.0</v>
      </c>
      <c r="L251" s="73">
        <v>0.0</v>
      </c>
      <c r="M251" s="73">
        <v>1.0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73">
        <v>0.0</v>
      </c>
      <c r="AF251" s="73">
        <v>0.0</v>
      </c>
      <c r="AG251" s="73">
        <v>0.0</v>
      </c>
      <c r="AH251" s="73">
        <v>0.0</v>
      </c>
      <c r="AI251" s="13">
        <f t="shared" si="48"/>
        <v>2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1.0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73">
        <v>0.0</v>
      </c>
      <c r="AE252" s="73">
        <v>0.0</v>
      </c>
      <c r="AF252" s="73">
        <v>0.0</v>
      </c>
      <c r="AG252" s="73">
        <v>0.0</v>
      </c>
      <c r="AH252" s="73">
        <v>0.0</v>
      </c>
      <c r="AI252" s="13">
        <f t="shared" si="48"/>
        <v>1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AI259" si="49">SUM(E249:E258)</f>
        <v>0</v>
      </c>
      <c r="F259" s="13">
        <f t="shared" si="49"/>
        <v>1</v>
      </c>
      <c r="G259" s="13">
        <f t="shared" si="49"/>
        <v>1</v>
      </c>
      <c r="H259" s="13">
        <f t="shared" si="49"/>
        <v>4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2</v>
      </c>
      <c r="N259" s="13">
        <f t="shared" si="49"/>
        <v>0</v>
      </c>
      <c r="O259" s="13">
        <f t="shared" si="49"/>
        <v>2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3</v>
      </c>
      <c r="W259" s="13">
        <f t="shared" si="49"/>
        <v>0</v>
      </c>
      <c r="X259" s="13">
        <f t="shared" si="49"/>
        <v>1</v>
      </c>
      <c r="Y259" s="13">
        <f t="shared" si="49"/>
        <v>1</v>
      </c>
      <c r="Z259" s="13">
        <f t="shared" si="49"/>
        <v>1</v>
      </c>
      <c r="AA259" s="13">
        <f t="shared" si="49"/>
        <v>0</v>
      </c>
      <c r="AB259" s="13">
        <f t="shared" si="49"/>
        <v>1</v>
      </c>
      <c r="AC259" s="13">
        <f t="shared" si="49"/>
        <v>0</v>
      </c>
      <c r="AD259" s="13">
        <f t="shared" si="49"/>
        <v>0</v>
      </c>
      <c r="AE259" s="13">
        <f t="shared" si="49"/>
        <v>0</v>
      </c>
      <c r="AF259" s="13">
        <f t="shared" si="49"/>
        <v>0</v>
      </c>
      <c r="AG259" s="13">
        <f t="shared" si="49"/>
        <v>1</v>
      </c>
      <c r="AH259" s="13">
        <f t="shared" si="49"/>
        <v>0</v>
      </c>
      <c r="AI259" s="13">
        <f t="shared" si="49"/>
        <v>20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AH262" si="50">E55+E67+E79+E91+E103+E115+E127+E139+E151+E163+E175+E187+E199+E211+E223+E235+E247+E259</f>
        <v>144</v>
      </c>
      <c r="F262" s="19">
        <f t="shared" si="50"/>
        <v>92</v>
      </c>
      <c r="G262" s="19">
        <f t="shared" si="50"/>
        <v>177</v>
      </c>
      <c r="H262" s="19">
        <f t="shared" si="50"/>
        <v>176</v>
      </c>
      <c r="I262" s="19">
        <f t="shared" si="50"/>
        <v>173</v>
      </c>
      <c r="J262" s="19">
        <f t="shared" si="50"/>
        <v>176</v>
      </c>
      <c r="K262" s="19">
        <f t="shared" si="50"/>
        <v>195</v>
      </c>
      <c r="L262" s="19">
        <f t="shared" si="50"/>
        <v>175</v>
      </c>
      <c r="M262" s="19">
        <f t="shared" si="50"/>
        <v>164</v>
      </c>
      <c r="N262" s="19">
        <f t="shared" si="50"/>
        <v>166</v>
      </c>
      <c r="O262" s="19">
        <f t="shared" si="50"/>
        <v>159</v>
      </c>
      <c r="P262" s="19">
        <f t="shared" si="50"/>
        <v>172</v>
      </c>
      <c r="Q262" s="19">
        <f t="shared" si="50"/>
        <v>177</v>
      </c>
      <c r="R262" s="19">
        <f t="shared" si="50"/>
        <v>171</v>
      </c>
      <c r="S262" s="19">
        <f t="shared" si="50"/>
        <v>204</v>
      </c>
      <c r="T262" s="19">
        <f t="shared" si="50"/>
        <v>171</v>
      </c>
      <c r="U262" s="19">
        <f t="shared" si="50"/>
        <v>183</v>
      </c>
      <c r="V262" s="19">
        <f t="shared" si="50"/>
        <v>187</v>
      </c>
      <c r="W262" s="19">
        <f t="shared" si="50"/>
        <v>163</v>
      </c>
      <c r="X262" s="19">
        <f t="shared" si="50"/>
        <v>171</v>
      </c>
      <c r="Y262" s="19">
        <f t="shared" si="50"/>
        <v>161</v>
      </c>
      <c r="Z262" s="19">
        <f t="shared" si="50"/>
        <v>163</v>
      </c>
      <c r="AA262" s="19">
        <f t="shared" si="50"/>
        <v>163</v>
      </c>
      <c r="AB262" s="19">
        <f t="shared" si="50"/>
        <v>194</v>
      </c>
      <c r="AC262" s="19">
        <f t="shared" si="50"/>
        <v>156</v>
      </c>
      <c r="AD262" s="19">
        <f t="shared" si="50"/>
        <v>176</v>
      </c>
      <c r="AE262" s="19">
        <f t="shared" si="50"/>
        <v>193</v>
      </c>
      <c r="AF262" s="19">
        <f t="shared" si="50"/>
        <v>175</v>
      </c>
      <c r="AG262" s="19">
        <f t="shared" si="50"/>
        <v>175</v>
      </c>
      <c r="AH262" s="19">
        <f t="shared" si="50"/>
        <v>212</v>
      </c>
      <c r="AI262" s="13">
        <f t="shared" ref="AI262:AI264" si="51">SUM(E262:AH262)</f>
        <v>5164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38.0</v>
      </c>
      <c r="F263" s="73">
        <v>35.0</v>
      </c>
      <c r="G263" s="73">
        <v>32.0</v>
      </c>
      <c r="H263" s="73">
        <v>27.0</v>
      </c>
      <c r="I263" s="73">
        <v>37.0</v>
      </c>
      <c r="J263" s="73">
        <v>29.0</v>
      </c>
      <c r="K263" s="73">
        <v>40.0</v>
      </c>
      <c r="L263" s="73">
        <v>23.0</v>
      </c>
      <c r="M263" s="73">
        <v>34.0</v>
      </c>
      <c r="N263" s="73">
        <v>35.0</v>
      </c>
      <c r="O263" s="73">
        <v>18.0</v>
      </c>
      <c r="P263" s="73">
        <v>26.0</v>
      </c>
      <c r="Q263" s="73">
        <v>42.0</v>
      </c>
      <c r="R263" s="73">
        <v>32.0</v>
      </c>
      <c r="S263" s="73">
        <v>22.0</v>
      </c>
      <c r="T263" s="73">
        <v>18.0</v>
      </c>
      <c r="U263" s="73">
        <v>26.0</v>
      </c>
      <c r="V263" s="73">
        <v>29.0</v>
      </c>
      <c r="W263" s="73">
        <v>23.0</v>
      </c>
      <c r="X263" s="73">
        <v>31.0</v>
      </c>
      <c r="Y263" s="73">
        <v>29.0</v>
      </c>
      <c r="Z263" s="73">
        <v>49.0</v>
      </c>
      <c r="AA263" s="73">
        <v>43.0</v>
      </c>
      <c r="AB263" s="73">
        <v>28.0</v>
      </c>
      <c r="AC263" s="73">
        <v>31.0</v>
      </c>
      <c r="AD263" s="73">
        <v>44.0</v>
      </c>
      <c r="AE263" s="73">
        <v>50.0</v>
      </c>
      <c r="AF263" s="73">
        <v>32.0</v>
      </c>
      <c r="AG263" s="73">
        <v>44.0</v>
      </c>
      <c r="AH263" s="73">
        <v>26.0</v>
      </c>
      <c r="AI263" s="13">
        <f t="shared" si="51"/>
        <v>973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AH264" si="52">SUM(E262:E263)</f>
        <v>182</v>
      </c>
      <c r="F264" s="13">
        <f t="shared" si="52"/>
        <v>127</v>
      </c>
      <c r="G264" s="13">
        <f t="shared" si="52"/>
        <v>209</v>
      </c>
      <c r="H264" s="13">
        <f t="shared" si="52"/>
        <v>203</v>
      </c>
      <c r="I264" s="13">
        <f t="shared" si="52"/>
        <v>210</v>
      </c>
      <c r="J264" s="13">
        <f t="shared" si="52"/>
        <v>205</v>
      </c>
      <c r="K264" s="13">
        <f t="shared" si="52"/>
        <v>235</v>
      </c>
      <c r="L264" s="13">
        <f t="shared" si="52"/>
        <v>198</v>
      </c>
      <c r="M264" s="13">
        <f t="shared" si="52"/>
        <v>198</v>
      </c>
      <c r="N264" s="13">
        <f t="shared" si="52"/>
        <v>201</v>
      </c>
      <c r="O264" s="13">
        <f t="shared" si="52"/>
        <v>177</v>
      </c>
      <c r="P264" s="13">
        <f t="shared" si="52"/>
        <v>198</v>
      </c>
      <c r="Q264" s="13">
        <f t="shared" si="52"/>
        <v>219</v>
      </c>
      <c r="R264" s="13">
        <f t="shared" si="52"/>
        <v>203</v>
      </c>
      <c r="S264" s="13">
        <f t="shared" si="52"/>
        <v>226</v>
      </c>
      <c r="T264" s="13">
        <f t="shared" si="52"/>
        <v>189</v>
      </c>
      <c r="U264" s="13">
        <f t="shared" si="52"/>
        <v>209</v>
      </c>
      <c r="V264" s="13">
        <f t="shared" si="52"/>
        <v>216</v>
      </c>
      <c r="W264" s="13">
        <f t="shared" si="52"/>
        <v>186</v>
      </c>
      <c r="X264" s="13">
        <f t="shared" si="52"/>
        <v>202</v>
      </c>
      <c r="Y264" s="13">
        <f t="shared" si="52"/>
        <v>190</v>
      </c>
      <c r="Z264" s="13">
        <f t="shared" si="52"/>
        <v>212</v>
      </c>
      <c r="AA264" s="13">
        <f t="shared" si="52"/>
        <v>206</v>
      </c>
      <c r="AB264" s="13">
        <f t="shared" si="52"/>
        <v>222</v>
      </c>
      <c r="AC264" s="13">
        <f t="shared" si="52"/>
        <v>187</v>
      </c>
      <c r="AD264" s="13">
        <f t="shared" si="52"/>
        <v>220</v>
      </c>
      <c r="AE264" s="13">
        <f t="shared" si="52"/>
        <v>243</v>
      </c>
      <c r="AF264" s="13">
        <f t="shared" si="52"/>
        <v>207</v>
      </c>
      <c r="AG264" s="13">
        <f t="shared" si="52"/>
        <v>219</v>
      </c>
      <c r="AH264" s="13">
        <f t="shared" si="52"/>
        <v>238</v>
      </c>
      <c r="AI264" s="13">
        <f t="shared" si="51"/>
        <v>6137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H12"/>
    <mergeCell ref="AI12:AI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 Y34:AC34">
    <cfRule type="expression" dxfId="0" priority="1">
      <formula>E34&lt;&gt;E64</formula>
    </cfRule>
  </conditionalFormatting>
  <conditionalFormatting sqref="E14:AH15">
    <cfRule type="containsBlanks" dxfId="1" priority="2">
      <formula>LEN(TRIM(E14))=0</formula>
    </cfRule>
  </conditionalFormatting>
  <conditionalFormatting sqref="E19:AH20">
    <cfRule type="containsBlanks" dxfId="1" priority="3">
      <formula>LEN(TRIM(E19))=0</formula>
    </cfRule>
  </conditionalFormatting>
  <conditionalFormatting sqref="E22:AH23 E25:AH26 E33:AH33 E35:AH35 E39:AH40">
    <cfRule type="containsBlanks" dxfId="1" priority="4">
      <formula>LEN(TRIM(E22))=0</formula>
    </cfRule>
  </conditionalFormatting>
  <conditionalFormatting sqref="E30:AH30">
    <cfRule type="expression" dxfId="0" priority="5">
      <formula>E30&lt;&gt;E47</formula>
    </cfRule>
  </conditionalFormatting>
  <conditionalFormatting sqref="E30:AH30">
    <cfRule type="expression" dxfId="0" priority="6">
      <formula>E30&lt;&gt;E34</formula>
    </cfRule>
  </conditionalFormatting>
  <conditionalFormatting sqref="E34:AH34">
    <cfRule type="expression" dxfId="2" priority="7">
      <formula>E30&lt;&gt;E34</formula>
    </cfRule>
  </conditionalFormatting>
  <conditionalFormatting sqref="E34:AH34">
    <cfRule type="expression" dxfId="3" priority="8">
      <formula>E30=E34</formula>
    </cfRule>
  </conditionalFormatting>
  <conditionalFormatting sqref="E34:AH34">
    <cfRule type="expression" dxfId="0" priority="9">
      <formula>E34&lt;&gt;E30</formula>
    </cfRule>
  </conditionalFormatting>
  <conditionalFormatting sqref="E45:AH54">
    <cfRule type="containsBlanks" dxfId="1" priority="10">
      <formula>LEN(TRIM(E45))=0</formula>
    </cfRule>
  </conditionalFormatting>
  <conditionalFormatting sqref="E57:AH66">
    <cfRule type="containsBlanks" dxfId="1" priority="11">
      <formula>LEN(TRIM(E57))=0</formula>
    </cfRule>
  </conditionalFormatting>
  <conditionalFormatting sqref="E69:AH78">
    <cfRule type="containsBlanks" dxfId="1" priority="12">
      <formula>LEN(TRIM(E69))=0</formula>
    </cfRule>
  </conditionalFormatting>
  <conditionalFormatting sqref="E81:AH90">
    <cfRule type="containsBlanks" dxfId="1" priority="13">
      <formula>LEN(TRIM(E81))=0</formula>
    </cfRule>
  </conditionalFormatting>
  <conditionalFormatting sqref="E93:AH102">
    <cfRule type="containsBlanks" dxfId="1" priority="14">
      <formula>LEN(TRIM(E93))=0</formula>
    </cfRule>
  </conditionalFormatting>
  <conditionalFormatting sqref="E105:AH114">
    <cfRule type="containsBlanks" dxfId="1" priority="15">
      <formula>LEN(TRIM(E105))=0</formula>
    </cfRule>
  </conditionalFormatting>
  <conditionalFormatting sqref="E117:AH126">
    <cfRule type="containsBlanks" dxfId="1" priority="16">
      <formula>LEN(TRIM(E117))=0</formula>
    </cfRule>
  </conditionalFormatting>
  <conditionalFormatting sqref="E129:AH138">
    <cfRule type="containsBlanks" dxfId="1" priority="17">
      <formula>LEN(TRIM(E129))=0</formula>
    </cfRule>
  </conditionalFormatting>
  <conditionalFormatting sqref="E141:AH150">
    <cfRule type="containsBlanks" dxfId="1" priority="18">
      <formula>LEN(TRIM(E141))=0</formula>
    </cfRule>
  </conditionalFormatting>
  <conditionalFormatting sqref="E153:AH162">
    <cfRule type="containsBlanks" dxfId="1" priority="19">
      <formula>LEN(TRIM(E153))=0</formula>
    </cfRule>
  </conditionalFormatting>
  <conditionalFormatting sqref="E165:AH174">
    <cfRule type="containsBlanks" dxfId="1" priority="20">
      <formula>LEN(TRIM(E165))=0</formula>
    </cfRule>
  </conditionalFormatting>
  <conditionalFormatting sqref="E177:AH186">
    <cfRule type="containsBlanks" dxfId="1" priority="21">
      <formula>LEN(TRIM(E177))=0</formula>
    </cfRule>
  </conditionalFormatting>
  <conditionalFormatting sqref="E189:AH198">
    <cfRule type="containsBlanks" dxfId="1" priority="22">
      <formula>LEN(TRIM(E189))=0</formula>
    </cfRule>
  </conditionalFormatting>
  <conditionalFormatting sqref="E201:AH210">
    <cfRule type="containsBlanks" dxfId="1" priority="23">
      <formula>LEN(TRIM(E201))=0</formula>
    </cfRule>
  </conditionalFormatting>
  <conditionalFormatting sqref="E213:AH222">
    <cfRule type="containsBlanks" dxfId="1" priority="24">
      <formula>LEN(TRIM(E213))=0</formula>
    </cfRule>
  </conditionalFormatting>
  <conditionalFormatting sqref="E225:AH234">
    <cfRule type="containsBlanks" dxfId="1" priority="25">
      <formula>LEN(TRIM(E225))=0</formula>
    </cfRule>
  </conditionalFormatting>
  <conditionalFormatting sqref="E237:AH246">
    <cfRule type="containsBlanks" dxfId="1" priority="26">
      <formula>LEN(TRIM(E237))=0</formula>
    </cfRule>
  </conditionalFormatting>
  <conditionalFormatting sqref="E249:AH258">
    <cfRule type="containsBlanks" dxfId="1" priority="27">
      <formula>LEN(TRIM(E249))=0</formula>
    </cfRule>
  </conditionalFormatting>
  <conditionalFormatting sqref="E262:AH263">
    <cfRule type="containsBlanks" dxfId="1" priority="28">
      <formula>LEN(TRIM(E262))=0</formula>
    </cfRule>
  </conditionalFormatting>
  <conditionalFormatting sqref="U34:X34">
    <cfRule type="expression" dxfId="0" priority="29">
      <formula>U34&lt;&gt;U47</formula>
    </cfRule>
  </conditionalFormatting>
  <conditionalFormatting sqref="AD34:AH34">
    <cfRule type="expression" dxfId="0" priority="30">
      <formula>AD34&lt;&gt;AD47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36"/>
    </row>
    <row r="14" ht="12.75" customHeight="1">
      <c r="A14" s="18"/>
      <c r="B14" s="22" t="s">
        <v>10</v>
      </c>
      <c r="C14" s="23"/>
      <c r="D14" s="19" t="s">
        <v>11</v>
      </c>
      <c r="E14" s="73">
        <v>99.0</v>
      </c>
      <c r="F14" s="73">
        <v>85.0</v>
      </c>
      <c r="G14" s="73">
        <v>115.0</v>
      </c>
      <c r="H14" s="73">
        <v>126.0</v>
      </c>
      <c r="I14" s="73">
        <v>128.0</v>
      </c>
      <c r="J14" s="73">
        <v>122.0</v>
      </c>
      <c r="K14" s="73">
        <v>134.0</v>
      </c>
      <c r="L14" s="73">
        <v>141.0</v>
      </c>
      <c r="M14" s="73">
        <v>129.0</v>
      </c>
      <c r="N14" s="73">
        <v>99.0</v>
      </c>
      <c r="O14" s="73">
        <v>72.0</v>
      </c>
      <c r="P14" s="73">
        <v>132.0</v>
      </c>
      <c r="Q14" s="73">
        <v>136.0</v>
      </c>
      <c r="R14" s="73">
        <v>131.0</v>
      </c>
      <c r="S14" s="13">
        <f t="shared" ref="S14:S16" si="1">SUM(E14:R14)</f>
        <v>1649</v>
      </c>
    </row>
    <row r="15" ht="12.75" customHeight="1">
      <c r="A15" s="18"/>
      <c r="B15" s="26"/>
      <c r="C15" s="27"/>
      <c r="D15" s="19" t="s">
        <v>12</v>
      </c>
      <c r="E15" s="73">
        <v>104.0</v>
      </c>
      <c r="F15" s="73">
        <v>87.0</v>
      </c>
      <c r="G15" s="73">
        <v>106.0</v>
      </c>
      <c r="H15" s="73">
        <v>148.0</v>
      </c>
      <c r="I15" s="73">
        <v>147.0</v>
      </c>
      <c r="J15" s="73">
        <v>148.0</v>
      </c>
      <c r="K15" s="73">
        <v>162.0</v>
      </c>
      <c r="L15" s="73">
        <v>152.0</v>
      </c>
      <c r="M15" s="73">
        <v>122.0</v>
      </c>
      <c r="N15" s="73">
        <v>106.0</v>
      </c>
      <c r="O15" s="73">
        <v>75.0</v>
      </c>
      <c r="P15" s="73">
        <v>131.0</v>
      </c>
      <c r="Q15" s="73">
        <v>141.0</v>
      </c>
      <c r="R15" s="73">
        <v>140.0</v>
      </c>
      <c r="S15" s="13">
        <f t="shared" si="1"/>
        <v>1769</v>
      </c>
    </row>
    <row r="16" ht="12.75" customHeight="1">
      <c r="A16" s="25"/>
      <c r="B16" s="21"/>
      <c r="C16" s="28"/>
      <c r="D16" s="13" t="s">
        <v>13</v>
      </c>
      <c r="E16" s="13">
        <f t="shared" ref="E16:R16" si="2">SUM(E14:E15)</f>
        <v>203</v>
      </c>
      <c r="F16" s="13">
        <f t="shared" si="2"/>
        <v>172</v>
      </c>
      <c r="G16" s="13">
        <f t="shared" si="2"/>
        <v>221</v>
      </c>
      <c r="H16" s="13">
        <f t="shared" si="2"/>
        <v>274</v>
      </c>
      <c r="I16" s="13">
        <f t="shared" si="2"/>
        <v>275</v>
      </c>
      <c r="J16" s="13">
        <f t="shared" si="2"/>
        <v>270</v>
      </c>
      <c r="K16" s="13">
        <f t="shared" si="2"/>
        <v>296</v>
      </c>
      <c r="L16" s="13">
        <f t="shared" si="2"/>
        <v>293</v>
      </c>
      <c r="M16" s="13">
        <f t="shared" si="2"/>
        <v>251</v>
      </c>
      <c r="N16" s="13">
        <f t="shared" si="2"/>
        <v>205</v>
      </c>
      <c r="O16" s="13">
        <f t="shared" si="2"/>
        <v>147</v>
      </c>
      <c r="P16" s="13">
        <f t="shared" si="2"/>
        <v>263</v>
      </c>
      <c r="Q16" s="13">
        <f t="shared" si="2"/>
        <v>277</v>
      </c>
      <c r="R16" s="13">
        <f t="shared" si="2"/>
        <v>271</v>
      </c>
      <c r="S16" s="13">
        <f t="shared" si="1"/>
        <v>3418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69.0</v>
      </c>
      <c r="F19" s="73">
        <v>61.0</v>
      </c>
      <c r="G19" s="73">
        <v>73.0</v>
      </c>
      <c r="H19" s="73">
        <v>116.0</v>
      </c>
      <c r="I19" s="73">
        <v>84.0</v>
      </c>
      <c r="J19" s="73">
        <v>111.0</v>
      </c>
      <c r="K19" s="73">
        <v>90.0</v>
      </c>
      <c r="L19" s="73">
        <v>105.0</v>
      </c>
      <c r="M19" s="73">
        <v>78.0</v>
      </c>
      <c r="N19" s="73">
        <v>64.0</v>
      </c>
      <c r="O19" s="73">
        <v>51.0</v>
      </c>
      <c r="P19" s="73">
        <v>91.0</v>
      </c>
      <c r="Q19" s="73">
        <v>96.0</v>
      </c>
      <c r="R19" s="73">
        <v>90.0</v>
      </c>
      <c r="S19" s="13">
        <f t="shared" ref="S19:S30" si="3">SUM(E19:R19)</f>
        <v>1179</v>
      </c>
    </row>
    <row r="20" ht="12.75" customHeight="1">
      <c r="A20" s="33"/>
      <c r="B20" s="27"/>
      <c r="C20" s="34"/>
      <c r="D20" s="19" t="s">
        <v>12</v>
      </c>
      <c r="E20" s="73">
        <v>81.0</v>
      </c>
      <c r="F20" s="73">
        <v>66.0</v>
      </c>
      <c r="G20" s="73">
        <v>82.0</v>
      </c>
      <c r="H20" s="73">
        <v>95.0</v>
      </c>
      <c r="I20" s="73">
        <v>114.0</v>
      </c>
      <c r="J20" s="73">
        <v>85.0</v>
      </c>
      <c r="K20" s="73">
        <v>126.0</v>
      </c>
      <c r="L20" s="73">
        <v>117.0</v>
      </c>
      <c r="M20" s="73">
        <v>88.0</v>
      </c>
      <c r="N20" s="73">
        <v>76.0</v>
      </c>
      <c r="O20" s="73">
        <v>54.0</v>
      </c>
      <c r="P20" s="73">
        <v>103.0</v>
      </c>
      <c r="Q20" s="73">
        <v>117.0</v>
      </c>
      <c r="R20" s="73">
        <v>100.0</v>
      </c>
      <c r="S20" s="13">
        <f t="shared" si="3"/>
        <v>1304</v>
      </c>
    </row>
    <row r="21" ht="12.75" customHeight="1">
      <c r="A21" s="35"/>
      <c r="B21" s="28"/>
      <c r="C21" s="36"/>
      <c r="D21" s="13" t="s">
        <v>13</v>
      </c>
      <c r="E21" s="13">
        <f t="shared" ref="E21:R21" si="4">SUM(E19:E20)</f>
        <v>150</v>
      </c>
      <c r="F21" s="13">
        <f t="shared" si="4"/>
        <v>127</v>
      </c>
      <c r="G21" s="13">
        <f t="shared" si="4"/>
        <v>155</v>
      </c>
      <c r="H21" s="13">
        <f t="shared" si="4"/>
        <v>211</v>
      </c>
      <c r="I21" s="13">
        <f t="shared" si="4"/>
        <v>198</v>
      </c>
      <c r="J21" s="13">
        <f t="shared" si="4"/>
        <v>196</v>
      </c>
      <c r="K21" s="13">
        <f t="shared" si="4"/>
        <v>216</v>
      </c>
      <c r="L21" s="13">
        <f t="shared" si="4"/>
        <v>222</v>
      </c>
      <c r="M21" s="13">
        <f t="shared" si="4"/>
        <v>166</v>
      </c>
      <c r="N21" s="13">
        <f t="shared" si="4"/>
        <v>140</v>
      </c>
      <c r="O21" s="13">
        <f t="shared" si="4"/>
        <v>105</v>
      </c>
      <c r="P21" s="13">
        <f t="shared" si="4"/>
        <v>194</v>
      </c>
      <c r="Q21" s="13">
        <f t="shared" si="4"/>
        <v>213</v>
      </c>
      <c r="R21" s="13">
        <f t="shared" si="4"/>
        <v>190</v>
      </c>
      <c r="S21" s="13">
        <f t="shared" si="3"/>
        <v>2483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1.0</v>
      </c>
      <c r="J22" s="73">
        <v>1.0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1.0</v>
      </c>
      <c r="Q22" s="73">
        <v>0.0</v>
      </c>
      <c r="R22" s="73">
        <v>0.0</v>
      </c>
      <c r="S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1.0</v>
      </c>
      <c r="J23" s="73">
        <v>1.0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13">
        <f t="shared" si="3"/>
        <v>2</v>
      </c>
    </row>
    <row r="24" ht="12.75" customHeight="1">
      <c r="A24" s="35"/>
      <c r="B24" s="28"/>
      <c r="C24" s="36"/>
      <c r="D24" s="13" t="s">
        <v>13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3"/>
        <v>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0.0</v>
      </c>
      <c r="F25" s="73">
        <v>4.0</v>
      </c>
      <c r="G25" s="73">
        <v>3.0</v>
      </c>
      <c r="H25" s="73">
        <v>0.0</v>
      </c>
      <c r="I25" s="73">
        <v>0.0</v>
      </c>
      <c r="J25" s="73">
        <v>0.0</v>
      </c>
      <c r="K25" s="73">
        <v>3.0</v>
      </c>
      <c r="L25" s="73">
        <v>4.0</v>
      </c>
      <c r="M25" s="73">
        <v>0.0</v>
      </c>
      <c r="N25" s="73">
        <v>2.0</v>
      </c>
      <c r="O25" s="73">
        <v>1.0</v>
      </c>
      <c r="P25" s="73">
        <v>2.0</v>
      </c>
      <c r="Q25" s="73">
        <v>0.0</v>
      </c>
      <c r="R25" s="73">
        <v>0.0</v>
      </c>
      <c r="S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73">
        <v>1.0</v>
      </c>
      <c r="F26" s="73">
        <v>2.0</v>
      </c>
      <c r="G26" s="73">
        <v>3.0</v>
      </c>
      <c r="H26" s="73">
        <v>0.0</v>
      </c>
      <c r="I26" s="73">
        <v>0.0</v>
      </c>
      <c r="J26" s="73">
        <v>1.0</v>
      </c>
      <c r="K26" s="73">
        <v>3.0</v>
      </c>
      <c r="L26" s="73">
        <v>3.0</v>
      </c>
      <c r="M26" s="73">
        <v>0.0</v>
      </c>
      <c r="N26" s="73">
        <v>6.0</v>
      </c>
      <c r="O26" s="73">
        <v>0.0</v>
      </c>
      <c r="P26" s="73">
        <v>1.0</v>
      </c>
      <c r="Q26" s="73">
        <v>0.0</v>
      </c>
      <c r="R26" s="73">
        <v>1.0</v>
      </c>
      <c r="S26" s="13">
        <f t="shared" si="3"/>
        <v>21</v>
      </c>
    </row>
    <row r="27" ht="12.75" customHeight="1">
      <c r="A27" s="35"/>
      <c r="B27" s="28"/>
      <c r="C27" s="36"/>
      <c r="D27" s="13" t="s">
        <v>13</v>
      </c>
      <c r="E27" s="13">
        <f t="shared" ref="E27:R27" si="6">SUM(E25:E26)</f>
        <v>1</v>
      </c>
      <c r="F27" s="13">
        <f t="shared" si="6"/>
        <v>6</v>
      </c>
      <c r="G27" s="13">
        <f t="shared" si="6"/>
        <v>6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6</v>
      </c>
      <c r="L27" s="13">
        <f t="shared" si="6"/>
        <v>7</v>
      </c>
      <c r="M27" s="13">
        <f t="shared" si="6"/>
        <v>0</v>
      </c>
      <c r="N27" s="13">
        <f t="shared" si="6"/>
        <v>8</v>
      </c>
      <c r="O27" s="13">
        <f t="shared" si="6"/>
        <v>1</v>
      </c>
      <c r="P27" s="13">
        <f t="shared" si="6"/>
        <v>3</v>
      </c>
      <c r="Q27" s="13">
        <f t="shared" si="6"/>
        <v>0</v>
      </c>
      <c r="R27" s="13">
        <f t="shared" si="6"/>
        <v>1</v>
      </c>
      <c r="S27" s="13">
        <f t="shared" si="3"/>
        <v>40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R28" si="7">SUM(E19,E22,E25)</f>
        <v>69</v>
      </c>
      <c r="F28" s="13">
        <f t="shared" si="7"/>
        <v>65</v>
      </c>
      <c r="G28" s="13">
        <f t="shared" si="7"/>
        <v>76</v>
      </c>
      <c r="H28" s="13">
        <f t="shared" si="7"/>
        <v>116</v>
      </c>
      <c r="I28" s="13">
        <f t="shared" si="7"/>
        <v>85</v>
      </c>
      <c r="J28" s="13">
        <f t="shared" si="7"/>
        <v>112</v>
      </c>
      <c r="K28" s="13">
        <f t="shared" si="7"/>
        <v>93</v>
      </c>
      <c r="L28" s="13">
        <f t="shared" si="7"/>
        <v>109</v>
      </c>
      <c r="M28" s="13">
        <f t="shared" si="7"/>
        <v>78</v>
      </c>
      <c r="N28" s="13">
        <f t="shared" si="7"/>
        <v>66</v>
      </c>
      <c r="O28" s="13">
        <f t="shared" si="7"/>
        <v>52</v>
      </c>
      <c r="P28" s="13">
        <f t="shared" si="7"/>
        <v>94</v>
      </c>
      <c r="Q28" s="13">
        <f t="shared" si="7"/>
        <v>96</v>
      </c>
      <c r="R28" s="13">
        <f t="shared" si="7"/>
        <v>90</v>
      </c>
      <c r="S28" s="13">
        <f t="shared" si="3"/>
        <v>1201</v>
      </c>
    </row>
    <row r="29" ht="12.75" customHeight="1">
      <c r="A29" s="35"/>
      <c r="B29" s="27"/>
      <c r="C29" s="34"/>
      <c r="D29" s="13" t="s">
        <v>12</v>
      </c>
      <c r="E29" s="13">
        <f t="shared" ref="E29:R29" si="8">SUM(E20,E23,E26)</f>
        <v>82</v>
      </c>
      <c r="F29" s="13">
        <f t="shared" si="8"/>
        <v>68</v>
      </c>
      <c r="G29" s="13">
        <f t="shared" si="8"/>
        <v>85</v>
      </c>
      <c r="H29" s="13">
        <f t="shared" si="8"/>
        <v>95</v>
      </c>
      <c r="I29" s="13">
        <f t="shared" si="8"/>
        <v>115</v>
      </c>
      <c r="J29" s="13">
        <f t="shared" si="8"/>
        <v>87</v>
      </c>
      <c r="K29" s="13">
        <f t="shared" si="8"/>
        <v>129</v>
      </c>
      <c r="L29" s="13">
        <f t="shared" si="8"/>
        <v>120</v>
      </c>
      <c r="M29" s="13">
        <f t="shared" si="8"/>
        <v>88</v>
      </c>
      <c r="N29" s="13">
        <f t="shared" si="8"/>
        <v>82</v>
      </c>
      <c r="O29" s="13">
        <f t="shared" si="8"/>
        <v>54</v>
      </c>
      <c r="P29" s="13">
        <f t="shared" si="8"/>
        <v>104</v>
      </c>
      <c r="Q29" s="13">
        <f t="shared" si="8"/>
        <v>117</v>
      </c>
      <c r="R29" s="13">
        <f t="shared" si="8"/>
        <v>101</v>
      </c>
      <c r="S29" s="13">
        <f t="shared" si="3"/>
        <v>1327</v>
      </c>
    </row>
    <row r="30" ht="12.75" customHeight="1">
      <c r="A30" s="35"/>
      <c r="B30" s="28"/>
      <c r="C30" s="36"/>
      <c r="D30" s="13" t="s">
        <v>13</v>
      </c>
      <c r="E30" s="13">
        <f t="shared" ref="E30:R30" si="9">SUM(E28:E29)</f>
        <v>151</v>
      </c>
      <c r="F30" s="13">
        <f t="shared" si="9"/>
        <v>133</v>
      </c>
      <c r="G30" s="13">
        <f t="shared" si="9"/>
        <v>161</v>
      </c>
      <c r="H30" s="13">
        <f t="shared" si="9"/>
        <v>211</v>
      </c>
      <c r="I30" s="13">
        <f t="shared" si="9"/>
        <v>200</v>
      </c>
      <c r="J30" s="13">
        <f t="shared" si="9"/>
        <v>199</v>
      </c>
      <c r="K30" s="13">
        <f t="shared" si="9"/>
        <v>222</v>
      </c>
      <c r="L30" s="13">
        <f t="shared" si="9"/>
        <v>229</v>
      </c>
      <c r="M30" s="13">
        <f t="shared" si="9"/>
        <v>166</v>
      </c>
      <c r="N30" s="13">
        <f t="shared" si="9"/>
        <v>148</v>
      </c>
      <c r="O30" s="13">
        <f t="shared" si="9"/>
        <v>106</v>
      </c>
      <c r="P30" s="13">
        <f t="shared" si="9"/>
        <v>198</v>
      </c>
      <c r="Q30" s="13">
        <f t="shared" si="9"/>
        <v>213</v>
      </c>
      <c r="R30" s="13">
        <f t="shared" si="9"/>
        <v>191</v>
      </c>
      <c r="S30" s="13">
        <f t="shared" si="3"/>
        <v>2528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5"/>
    </row>
    <row r="33" ht="12.75" customHeight="1">
      <c r="A33" s="19">
        <v>1.0</v>
      </c>
      <c r="B33" s="20" t="s">
        <v>26</v>
      </c>
      <c r="C33" s="15"/>
      <c r="D33" s="16"/>
      <c r="E33" s="73">
        <v>208.0</v>
      </c>
      <c r="F33" s="73">
        <v>177.0</v>
      </c>
      <c r="G33" s="73">
        <v>226.0</v>
      </c>
      <c r="H33" s="73">
        <v>270.0</v>
      </c>
      <c r="I33" s="73">
        <v>281.0</v>
      </c>
      <c r="J33" s="73">
        <v>276.0</v>
      </c>
      <c r="K33" s="73">
        <v>302.0</v>
      </c>
      <c r="L33" s="73">
        <v>299.0</v>
      </c>
      <c r="M33" s="73">
        <v>258.0</v>
      </c>
      <c r="N33" s="73">
        <v>212.0</v>
      </c>
      <c r="O33" s="73">
        <v>150.0</v>
      </c>
      <c r="P33" s="73">
        <v>252.0</v>
      </c>
      <c r="Q33" s="73">
        <v>283.0</v>
      </c>
      <c r="R33" s="73">
        <v>277.0</v>
      </c>
      <c r="S33" s="13">
        <f t="shared" ref="S33:S36" si="10">SUM(E33:R33)</f>
        <v>3471</v>
      </c>
    </row>
    <row r="34" ht="12.75" customHeight="1">
      <c r="A34" s="19">
        <v>2.0</v>
      </c>
      <c r="B34" s="20" t="s">
        <v>27</v>
      </c>
      <c r="C34" s="15"/>
      <c r="D34" s="16"/>
      <c r="E34" s="77">
        <v>151.0</v>
      </c>
      <c r="F34" s="77">
        <v>133.0</v>
      </c>
      <c r="G34" s="77">
        <v>161.0</v>
      </c>
      <c r="H34" s="77">
        <v>211.0</v>
      </c>
      <c r="I34" s="77">
        <v>200.0</v>
      </c>
      <c r="J34" s="77">
        <v>199.0</v>
      </c>
      <c r="K34" s="77">
        <v>222.0</v>
      </c>
      <c r="L34" s="77">
        <v>229.0</v>
      </c>
      <c r="M34" s="77">
        <v>166.0</v>
      </c>
      <c r="N34" s="77">
        <v>148.0</v>
      </c>
      <c r="O34" s="77">
        <v>106.0</v>
      </c>
      <c r="P34" s="77">
        <v>198.0</v>
      </c>
      <c r="Q34" s="77">
        <v>213.0</v>
      </c>
      <c r="R34" s="77">
        <v>191.0</v>
      </c>
      <c r="S34" s="13">
        <f t="shared" si="10"/>
        <v>2528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0.0</v>
      </c>
      <c r="H35" s="73">
        <v>1.0</v>
      </c>
      <c r="I35" s="73">
        <v>2.0</v>
      </c>
      <c r="J35" s="73">
        <v>1.0</v>
      </c>
      <c r="K35" s="73">
        <v>0.0</v>
      </c>
      <c r="L35" s="73">
        <v>0.0</v>
      </c>
      <c r="M35" s="73">
        <v>0.0</v>
      </c>
      <c r="N35" s="73">
        <v>0.0</v>
      </c>
      <c r="O35" s="73">
        <v>1.0</v>
      </c>
      <c r="P35" s="73">
        <v>0.0</v>
      </c>
      <c r="Q35" s="73">
        <v>0.0</v>
      </c>
      <c r="R35" s="73">
        <v>0.0</v>
      </c>
      <c r="S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R36" si="11">E33-(E34+E35)</f>
        <v>57</v>
      </c>
      <c r="F36" s="13">
        <f t="shared" si="11"/>
        <v>44</v>
      </c>
      <c r="G36" s="13">
        <f t="shared" si="11"/>
        <v>65</v>
      </c>
      <c r="H36" s="13">
        <f t="shared" si="11"/>
        <v>58</v>
      </c>
      <c r="I36" s="13">
        <f t="shared" si="11"/>
        <v>79</v>
      </c>
      <c r="J36" s="13">
        <f t="shared" si="11"/>
        <v>76</v>
      </c>
      <c r="K36" s="13">
        <f t="shared" si="11"/>
        <v>80</v>
      </c>
      <c r="L36" s="13">
        <f t="shared" si="11"/>
        <v>70</v>
      </c>
      <c r="M36" s="13">
        <f t="shared" si="11"/>
        <v>92</v>
      </c>
      <c r="N36" s="13">
        <f t="shared" si="11"/>
        <v>64</v>
      </c>
      <c r="O36" s="13">
        <f t="shared" si="11"/>
        <v>43</v>
      </c>
      <c r="P36" s="13">
        <f t="shared" si="11"/>
        <v>54</v>
      </c>
      <c r="Q36" s="13">
        <f t="shared" si="11"/>
        <v>70</v>
      </c>
      <c r="R36" s="13">
        <f t="shared" si="11"/>
        <v>86</v>
      </c>
      <c r="S36" s="13">
        <f t="shared" si="10"/>
        <v>938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5"/>
    </row>
    <row r="39" ht="12.75" customHeight="1">
      <c r="A39" s="30"/>
      <c r="B39" s="43" t="s">
        <v>32</v>
      </c>
      <c r="C39" s="23"/>
      <c r="D39" s="19" t="s">
        <v>11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2.0</v>
      </c>
      <c r="L39" s="73">
        <v>0.0</v>
      </c>
      <c r="M39" s="73">
        <v>0.0</v>
      </c>
      <c r="N39" s="73">
        <v>1.0</v>
      </c>
      <c r="O39" s="73">
        <v>0.0</v>
      </c>
      <c r="P39" s="73">
        <v>0.0</v>
      </c>
      <c r="Q39" s="73">
        <v>0.0</v>
      </c>
      <c r="R39" s="73">
        <v>0.0</v>
      </c>
      <c r="S39" s="13">
        <f t="shared" ref="S39:S41" si="12">SUM(E39:R39)</f>
        <v>3</v>
      </c>
    </row>
    <row r="40" ht="12.75" customHeight="1">
      <c r="A40" s="33"/>
      <c r="C40" s="27"/>
      <c r="D40" s="19" t="s">
        <v>12</v>
      </c>
      <c r="E40" s="73">
        <v>0.0</v>
      </c>
      <c r="F40" s="73">
        <v>0.0</v>
      </c>
      <c r="G40" s="73">
        <v>1.0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2.0</v>
      </c>
      <c r="F45" s="73">
        <v>5.0</v>
      </c>
      <c r="G45" s="73">
        <v>1.0</v>
      </c>
      <c r="H45" s="73">
        <v>3.0</v>
      </c>
      <c r="I45" s="73">
        <v>5.0</v>
      </c>
      <c r="J45" s="73">
        <v>2.0</v>
      </c>
      <c r="K45" s="73">
        <v>1.0</v>
      </c>
      <c r="L45" s="73">
        <v>6.0</v>
      </c>
      <c r="M45" s="73">
        <v>2.0</v>
      </c>
      <c r="N45" s="73">
        <v>5.0</v>
      </c>
      <c r="O45" s="73">
        <v>0.0</v>
      </c>
      <c r="P45" s="73">
        <v>2.0</v>
      </c>
      <c r="Q45" s="73">
        <v>4.0</v>
      </c>
      <c r="R45" s="73">
        <v>2.0</v>
      </c>
      <c r="S45" s="13">
        <f t="shared" ref="S45:S54" si="14">SUM(E45:R45)</f>
        <v>40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20.0</v>
      </c>
      <c r="F46" s="73">
        <v>27.0</v>
      </c>
      <c r="G46" s="73">
        <v>4.0</v>
      </c>
      <c r="H46" s="73">
        <v>4.0</v>
      </c>
      <c r="I46" s="73">
        <v>9.0</v>
      </c>
      <c r="J46" s="73">
        <v>19.0</v>
      </c>
      <c r="K46" s="73">
        <v>2.0</v>
      </c>
      <c r="L46" s="73">
        <v>1.0</v>
      </c>
      <c r="M46" s="73">
        <v>5.0</v>
      </c>
      <c r="N46" s="73">
        <v>3.0</v>
      </c>
      <c r="O46" s="73">
        <v>0.0</v>
      </c>
      <c r="P46" s="73">
        <v>2.0</v>
      </c>
      <c r="Q46" s="73">
        <v>9.0</v>
      </c>
      <c r="R46" s="73">
        <v>5.0</v>
      </c>
      <c r="S46" s="13">
        <f t="shared" si="14"/>
        <v>110</v>
      </c>
    </row>
    <row r="47" ht="12.75" customHeight="1">
      <c r="A47" s="18"/>
      <c r="B47" s="49"/>
      <c r="C47" s="50" t="s">
        <v>40</v>
      </c>
      <c r="D47" s="51"/>
      <c r="E47" s="73">
        <v>0.0</v>
      </c>
      <c r="F47" s="73">
        <v>0.0</v>
      </c>
      <c r="G47" s="73">
        <v>0.0</v>
      </c>
      <c r="H47" s="73">
        <v>1.0</v>
      </c>
      <c r="I47" s="73">
        <v>0.0</v>
      </c>
      <c r="J47" s="73">
        <v>1.0</v>
      </c>
      <c r="K47" s="73">
        <v>0.0</v>
      </c>
      <c r="L47" s="73">
        <v>1.0</v>
      </c>
      <c r="M47" s="73">
        <v>1.0</v>
      </c>
      <c r="N47" s="73">
        <v>0.0</v>
      </c>
      <c r="O47" s="73">
        <v>0.0</v>
      </c>
      <c r="P47" s="73">
        <v>1.0</v>
      </c>
      <c r="Q47" s="73">
        <v>0.0</v>
      </c>
      <c r="R47" s="73">
        <v>1.0</v>
      </c>
      <c r="S47" s="13">
        <f t="shared" si="14"/>
        <v>6</v>
      </c>
    </row>
    <row r="48" ht="12.75" customHeight="1">
      <c r="A48" s="18"/>
      <c r="B48" s="49"/>
      <c r="C48" s="50" t="s">
        <v>41</v>
      </c>
      <c r="D48" s="51"/>
      <c r="E48" s="73">
        <v>1.0</v>
      </c>
      <c r="F48" s="73">
        <v>0.0</v>
      </c>
      <c r="G48" s="73">
        <v>0.0</v>
      </c>
      <c r="H48" s="73">
        <v>0.0</v>
      </c>
      <c r="I48" s="73">
        <v>0.0</v>
      </c>
      <c r="J48" s="73">
        <v>1.0</v>
      </c>
      <c r="K48" s="73">
        <v>1.0</v>
      </c>
      <c r="L48" s="73">
        <v>0.0</v>
      </c>
      <c r="M48" s="73">
        <v>1.0</v>
      </c>
      <c r="N48" s="73">
        <v>1.0</v>
      </c>
      <c r="O48" s="73">
        <v>0.0</v>
      </c>
      <c r="P48" s="73">
        <v>0.0</v>
      </c>
      <c r="Q48" s="73">
        <v>1.0</v>
      </c>
      <c r="R48" s="73">
        <v>0.0</v>
      </c>
      <c r="S48" s="13">
        <f t="shared" si="14"/>
        <v>6</v>
      </c>
    </row>
    <row r="49" ht="12.75" customHeight="1">
      <c r="A49" s="18"/>
      <c r="B49" s="49"/>
      <c r="C49" s="50" t="s">
        <v>42</v>
      </c>
      <c r="D49" s="51"/>
      <c r="E49" s="73">
        <v>0.0</v>
      </c>
      <c r="F49" s="73">
        <v>1.0</v>
      </c>
      <c r="G49" s="73">
        <v>0.0</v>
      </c>
      <c r="H49" s="73">
        <v>2.0</v>
      </c>
      <c r="I49" s="73">
        <v>1.0</v>
      </c>
      <c r="J49" s="73">
        <v>1.0</v>
      </c>
      <c r="K49" s="73">
        <v>0.0</v>
      </c>
      <c r="L49" s="73">
        <v>1.0</v>
      </c>
      <c r="M49" s="73">
        <v>0.0</v>
      </c>
      <c r="N49" s="73">
        <v>0.0</v>
      </c>
      <c r="O49" s="73">
        <v>0.0</v>
      </c>
      <c r="P49" s="73">
        <v>1.0</v>
      </c>
      <c r="Q49" s="73">
        <v>2.0</v>
      </c>
      <c r="R49" s="73">
        <v>0.0</v>
      </c>
      <c r="S49" s="13">
        <f t="shared" si="14"/>
        <v>9</v>
      </c>
    </row>
    <row r="50" ht="12.75" customHeight="1">
      <c r="A50" s="18"/>
      <c r="B50" s="49"/>
      <c r="C50" s="50" t="s">
        <v>43</v>
      </c>
      <c r="D50" s="51"/>
      <c r="E50" s="73">
        <v>1.0</v>
      </c>
      <c r="F50" s="73">
        <v>1.0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1.0</v>
      </c>
      <c r="O50" s="73">
        <v>0.0</v>
      </c>
      <c r="P50" s="73">
        <v>0.0</v>
      </c>
      <c r="Q50" s="73">
        <v>0.0</v>
      </c>
      <c r="R50" s="73">
        <v>0.0</v>
      </c>
      <c r="S50" s="13">
        <f t="shared" si="14"/>
        <v>3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1.0</v>
      </c>
      <c r="K51" s="73">
        <v>0.0</v>
      </c>
      <c r="L51" s="73">
        <v>0.0</v>
      </c>
      <c r="M51" s="73">
        <v>0.0</v>
      </c>
      <c r="N51" s="73">
        <v>0.0</v>
      </c>
      <c r="O51" s="73">
        <v>0.0</v>
      </c>
      <c r="P51" s="73">
        <v>0.0</v>
      </c>
      <c r="Q51" s="73">
        <v>1.0</v>
      </c>
      <c r="R51" s="73">
        <v>0.0</v>
      </c>
      <c r="S51" s="13">
        <f t="shared" si="14"/>
        <v>2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0.0</v>
      </c>
      <c r="H52" s="80">
        <v>0.0</v>
      </c>
      <c r="I52" s="80">
        <v>0.0</v>
      </c>
      <c r="J52" s="80">
        <v>0.0</v>
      </c>
      <c r="K52" s="80">
        <v>0.0</v>
      </c>
      <c r="L52" s="80">
        <v>0.0</v>
      </c>
      <c r="M52" s="80">
        <v>1.0</v>
      </c>
      <c r="N52" s="80">
        <v>0.0</v>
      </c>
      <c r="O52" s="80">
        <v>0.0</v>
      </c>
      <c r="P52" s="80">
        <v>0.0</v>
      </c>
      <c r="Q52" s="80">
        <v>0.0</v>
      </c>
      <c r="R52" s="80">
        <v>0.0</v>
      </c>
      <c r="S52" s="13">
        <f t="shared" si="14"/>
        <v>1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0.0</v>
      </c>
      <c r="N53" s="80">
        <v>0.0</v>
      </c>
      <c r="O53" s="80">
        <v>0.0</v>
      </c>
      <c r="P53" s="80">
        <v>0.0</v>
      </c>
      <c r="Q53" s="80">
        <v>0.0</v>
      </c>
      <c r="R53" s="80">
        <v>0.0</v>
      </c>
      <c r="S53" s="13">
        <f t="shared" si="14"/>
        <v>0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1.0</v>
      </c>
      <c r="G54" s="80">
        <v>0.0</v>
      </c>
      <c r="H54" s="80">
        <v>0.0</v>
      </c>
      <c r="I54" s="80">
        <v>0.0</v>
      </c>
      <c r="J54" s="80">
        <v>0.0</v>
      </c>
      <c r="K54" s="80">
        <v>0.0</v>
      </c>
      <c r="L54" s="80">
        <v>1.0</v>
      </c>
      <c r="M54" s="80">
        <v>0.0</v>
      </c>
      <c r="N54" s="80">
        <v>0.0</v>
      </c>
      <c r="O54" s="80">
        <v>0.0</v>
      </c>
      <c r="P54" s="80">
        <v>0.0</v>
      </c>
      <c r="Q54" s="80">
        <v>0.0</v>
      </c>
      <c r="R54" s="80">
        <v>0.0</v>
      </c>
      <c r="S54" s="13">
        <f t="shared" si="14"/>
        <v>2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S55" si="15">SUM(E45:E54)</f>
        <v>24</v>
      </c>
      <c r="F55" s="13">
        <f t="shared" si="15"/>
        <v>35</v>
      </c>
      <c r="G55" s="13">
        <f t="shared" si="15"/>
        <v>5</v>
      </c>
      <c r="H55" s="13">
        <f t="shared" si="15"/>
        <v>10</v>
      </c>
      <c r="I55" s="13">
        <f t="shared" si="15"/>
        <v>15</v>
      </c>
      <c r="J55" s="13">
        <f t="shared" si="15"/>
        <v>25</v>
      </c>
      <c r="K55" s="13">
        <f t="shared" si="15"/>
        <v>4</v>
      </c>
      <c r="L55" s="13">
        <f t="shared" si="15"/>
        <v>10</v>
      </c>
      <c r="M55" s="13">
        <f t="shared" si="15"/>
        <v>10</v>
      </c>
      <c r="N55" s="13">
        <f t="shared" si="15"/>
        <v>10</v>
      </c>
      <c r="O55" s="13">
        <f t="shared" si="15"/>
        <v>0</v>
      </c>
      <c r="P55" s="13">
        <f t="shared" si="15"/>
        <v>6</v>
      </c>
      <c r="Q55" s="13">
        <f t="shared" si="15"/>
        <v>17</v>
      </c>
      <c r="R55" s="13">
        <f t="shared" si="15"/>
        <v>8</v>
      </c>
      <c r="S55" s="13">
        <f t="shared" si="15"/>
        <v>179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1.0</v>
      </c>
      <c r="F57" s="73">
        <v>7.0</v>
      </c>
      <c r="G57" s="73">
        <v>5.0</v>
      </c>
      <c r="H57" s="73">
        <v>9.0</v>
      </c>
      <c r="I57" s="73">
        <v>12.0</v>
      </c>
      <c r="J57" s="73">
        <v>14.0</v>
      </c>
      <c r="K57" s="73">
        <v>5.0</v>
      </c>
      <c r="L57" s="73">
        <v>13.0</v>
      </c>
      <c r="M57" s="73">
        <v>17.0</v>
      </c>
      <c r="N57" s="73">
        <v>11.0</v>
      </c>
      <c r="O57" s="73">
        <v>10.0</v>
      </c>
      <c r="P57" s="73">
        <v>14.0</v>
      </c>
      <c r="Q57" s="73">
        <v>18.0</v>
      </c>
      <c r="R57" s="73">
        <v>5.0</v>
      </c>
      <c r="S57" s="13">
        <f t="shared" ref="S57:S66" si="16">SUM(E57:R57)</f>
        <v>141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3.0</v>
      </c>
      <c r="F58" s="73">
        <v>3.0</v>
      </c>
      <c r="G58" s="73">
        <v>2.0</v>
      </c>
      <c r="H58" s="73">
        <v>5.0</v>
      </c>
      <c r="I58" s="73">
        <v>5.0</v>
      </c>
      <c r="J58" s="73">
        <v>2.0</v>
      </c>
      <c r="K58" s="73">
        <v>3.0</v>
      </c>
      <c r="L58" s="73">
        <v>5.0</v>
      </c>
      <c r="M58" s="73">
        <v>7.0</v>
      </c>
      <c r="N58" s="73">
        <v>2.0</v>
      </c>
      <c r="O58" s="73">
        <v>1.0</v>
      </c>
      <c r="P58" s="73">
        <v>6.0</v>
      </c>
      <c r="Q58" s="73">
        <v>7.0</v>
      </c>
      <c r="R58" s="73">
        <v>7.0</v>
      </c>
      <c r="S58" s="13">
        <f t="shared" si="16"/>
        <v>58</v>
      </c>
    </row>
    <row r="59" ht="12.75" customHeight="1">
      <c r="A59" s="18"/>
      <c r="B59" s="49"/>
      <c r="C59" s="50" t="s">
        <v>51</v>
      </c>
      <c r="D59" s="51"/>
      <c r="E59" s="73">
        <v>8.0</v>
      </c>
      <c r="F59" s="73">
        <v>3.0</v>
      </c>
      <c r="G59" s="73">
        <v>11.0</v>
      </c>
      <c r="H59" s="73">
        <v>18.0</v>
      </c>
      <c r="I59" s="73">
        <v>6.0</v>
      </c>
      <c r="J59" s="73">
        <v>13.0</v>
      </c>
      <c r="K59" s="73">
        <v>7.0</v>
      </c>
      <c r="L59" s="73">
        <v>24.0</v>
      </c>
      <c r="M59" s="73">
        <v>15.0</v>
      </c>
      <c r="N59" s="73">
        <v>11.0</v>
      </c>
      <c r="O59" s="73">
        <v>3.0</v>
      </c>
      <c r="P59" s="73">
        <v>10.0</v>
      </c>
      <c r="Q59" s="73">
        <v>8.0</v>
      </c>
      <c r="R59" s="73">
        <v>11.0</v>
      </c>
      <c r="S59" s="13">
        <f t="shared" si="16"/>
        <v>148</v>
      </c>
    </row>
    <row r="60" ht="12.75" customHeight="1">
      <c r="A60" s="18"/>
      <c r="B60" s="49"/>
      <c r="C60" s="50" t="s">
        <v>52</v>
      </c>
      <c r="D60" s="51"/>
      <c r="E60" s="73">
        <v>3.0</v>
      </c>
      <c r="F60" s="73">
        <v>1.0</v>
      </c>
      <c r="G60" s="73">
        <v>2.0</v>
      </c>
      <c r="H60" s="73">
        <v>0.0</v>
      </c>
      <c r="I60" s="73">
        <v>2.0</v>
      </c>
      <c r="J60" s="73">
        <v>1.0</v>
      </c>
      <c r="K60" s="73">
        <v>0.0</v>
      </c>
      <c r="L60" s="73">
        <v>4.0</v>
      </c>
      <c r="M60" s="73">
        <v>4.0</v>
      </c>
      <c r="N60" s="73">
        <v>2.0</v>
      </c>
      <c r="O60" s="73">
        <v>0.0</v>
      </c>
      <c r="P60" s="73">
        <v>6.0</v>
      </c>
      <c r="Q60" s="73">
        <v>1.0</v>
      </c>
      <c r="R60" s="73">
        <v>2.0</v>
      </c>
      <c r="S60" s="13">
        <f t="shared" si="16"/>
        <v>28</v>
      </c>
    </row>
    <row r="61" ht="12.75" customHeight="1">
      <c r="A61" s="18"/>
      <c r="B61" s="49"/>
      <c r="C61" s="50" t="s">
        <v>53</v>
      </c>
      <c r="D61" s="51"/>
      <c r="E61" s="73">
        <v>5.0</v>
      </c>
      <c r="F61" s="73">
        <v>0.0</v>
      </c>
      <c r="G61" s="73">
        <v>3.0</v>
      </c>
      <c r="H61" s="73">
        <v>6.0</v>
      </c>
      <c r="I61" s="73">
        <v>12.0</v>
      </c>
      <c r="J61" s="73">
        <v>2.0</v>
      </c>
      <c r="K61" s="73">
        <v>1.0</v>
      </c>
      <c r="L61" s="73">
        <v>1.0</v>
      </c>
      <c r="M61" s="73">
        <v>2.0</v>
      </c>
      <c r="N61" s="73">
        <v>4.0</v>
      </c>
      <c r="O61" s="73">
        <v>3.0</v>
      </c>
      <c r="P61" s="73">
        <v>2.0</v>
      </c>
      <c r="Q61" s="73">
        <v>5.0</v>
      </c>
      <c r="R61" s="73">
        <v>5.0</v>
      </c>
      <c r="S61" s="13">
        <f t="shared" si="16"/>
        <v>51</v>
      </c>
    </row>
    <row r="62" ht="12.75" customHeight="1">
      <c r="A62" s="18"/>
      <c r="B62" s="49"/>
      <c r="C62" s="50" t="s">
        <v>54</v>
      </c>
      <c r="D62" s="51"/>
      <c r="E62" s="73">
        <v>0.0</v>
      </c>
      <c r="F62" s="73">
        <v>0.0</v>
      </c>
      <c r="G62" s="73">
        <v>2.0</v>
      </c>
      <c r="H62" s="73">
        <v>0.0</v>
      </c>
      <c r="I62" s="73">
        <v>0.0</v>
      </c>
      <c r="J62" s="73">
        <v>0.0</v>
      </c>
      <c r="K62" s="73">
        <v>0.0</v>
      </c>
      <c r="L62" s="73">
        <v>2.0</v>
      </c>
      <c r="M62" s="73">
        <v>1.0</v>
      </c>
      <c r="N62" s="73">
        <v>0.0</v>
      </c>
      <c r="O62" s="73">
        <v>0.0</v>
      </c>
      <c r="P62" s="73">
        <v>1.0</v>
      </c>
      <c r="Q62" s="73">
        <v>0.0</v>
      </c>
      <c r="R62" s="73">
        <v>2.0</v>
      </c>
      <c r="S62" s="13">
        <f t="shared" si="16"/>
        <v>8</v>
      </c>
    </row>
    <row r="63" ht="12.75" customHeight="1">
      <c r="A63" s="18"/>
      <c r="B63" s="49"/>
      <c r="C63" s="50" t="s">
        <v>55</v>
      </c>
      <c r="D63" s="51"/>
      <c r="E63" s="73">
        <v>1.0</v>
      </c>
      <c r="F63" s="73">
        <v>0.0</v>
      </c>
      <c r="G63" s="73">
        <v>0.0</v>
      </c>
      <c r="H63" s="73">
        <v>1.0</v>
      </c>
      <c r="I63" s="73">
        <v>1.0</v>
      </c>
      <c r="J63" s="73">
        <v>0.0</v>
      </c>
      <c r="K63" s="73">
        <v>1.0</v>
      </c>
      <c r="L63" s="73">
        <v>0.0</v>
      </c>
      <c r="M63" s="73">
        <v>1.0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13">
        <f t="shared" si="16"/>
        <v>5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0.0</v>
      </c>
      <c r="G64" s="80">
        <v>0.0</v>
      </c>
      <c r="H64" s="80">
        <v>0.0</v>
      </c>
      <c r="I64" s="80">
        <v>0.0</v>
      </c>
      <c r="J64" s="80">
        <v>0.0</v>
      </c>
      <c r="K64" s="80">
        <v>1.0</v>
      </c>
      <c r="L64" s="80">
        <v>0.0</v>
      </c>
      <c r="M64" s="80">
        <v>0.0</v>
      </c>
      <c r="N64" s="80">
        <v>0.0</v>
      </c>
      <c r="O64" s="80">
        <v>0.0</v>
      </c>
      <c r="P64" s="80">
        <v>0.0</v>
      </c>
      <c r="Q64" s="80">
        <v>1.0</v>
      </c>
      <c r="R64" s="80">
        <v>0.0</v>
      </c>
      <c r="S64" s="13">
        <f t="shared" si="16"/>
        <v>2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1.0</v>
      </c>
      <c r="H65" s="80">
        <v>0.0</v>
      </c>
      <c r="I65" s="80">
        <v>0.0</v>
      </c>
      <c r="J65" s="80">
        <v>0.0</v>
      </c>
      <c r="K65" s="80">
        <v>0.0</v>
      </c>
      <c r="L65" s="80">
        <v>0.0</v>
      </c>
      <c r="M65" s="80">
        <v>1.0</v>
      </c>
      <c r="N65" s="80">
        <v>0.0</v>
      </c>
      <c r="O65" s="80">
        <v>0.0</v>
      </c>
      <c r="P65" s="80">
        <v>0.0</v>
      </c>
      <c r="Q65" s="80">
        <v>0.0</v>
      </c>
      <c r="R65" s="80">
        <v>1.0</v>
      </c>
      <c r="S65" s="13">
        <f t="shared" si="16"/>
        <v>3</v>
      </c>
    </row>
    <row r="66" ht="12.75" customHeight="1">
      <c r="A66" s="79"/>
      <c r="B66" s="49"/>
      <c r="C66" s="50" t="s">
        <v>58</v>
      </c>
      <c r="D66" s="51"/>
      <c r="E66" s="80">
        <v>1.0</v>
      </c>
      <c r="F66" s="80">
        <v>0.0</v>
      </c>
      <c r="G66" s="80">
        <v>0.0</v>
      </c>
      <c r="H66" s="80">
        <v>0.0</v>
      </c>
      <c r="I66" s="80">
        <v>0.0</v>
      </c>
      <c r="J66" s="80">
        <v>0.0</v>
      </c>
      <c r="K66" s="80">
        <v>1.0</v>
      </c>
      <c r="L66" s="80">
        <v>0.0</v>
      </c>
      <c r="M66" s="80">
        <v>0.0</v>
      </c>
      <c r="N66" s="80">
        <v>0.0</v>
      </c>
      <c r="O66" s="80">
        <v>0.0</v>
      </c>
      <c r="P66" s="80">
        <v>0.0</v>
      </c>
      <c r="Q66" s="80">
        <v>1.0</v>
      </c>
      <c r="R66" s="80">
        <v>1.0</v>
      </c>
      <c r="S66" s="13">
        <f t="shared" si="16"/>
        <v>4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S67" si="17">SUM(E57:E66)</f>
        <v>22</v>
      </c>
      <c r="F67" s="13">
        <f t="shared" si="17"/>
        <v>14</v>
      </c>
      <c r="G67" s="13">
        <f t="shared" si="17"/>
        <v>26</v>
      </c>
      <c r="H67" s="13">
        <f t="shared" si="17"/>
        <v>39</v>
      </c>
      <c r="I67" s="13">
        <f t="shared" si="17"/>
        <v>38</v>
      </c>
      <c r="J67" s="13">
        <f t="shared" si="17"/>
        <v>32</v>
      </c>
      <c r="K67" s="13">
        <f t="shared" si="17"/>
        <v>19</v>
      </c>
      <c r="L67" s="13">
        <f t="shared" si="17"/>
        <v>49</v>
      </c>
      <c r="M67" s="13">
        <f t="shared" si="17"/>
        <v>48</v>
      </c>
      <c r="N67" s="13">
        <f t="shared" si="17"/>
        <v>30</v>
      </c>
      <c r="O67" s="13">
        <f t="shared" si="17"/>
        <v>17</v>
      </c>
      <c r="P67" s="13">
        <f t="shared" si="17"/>
        <v>39</v>
      </c>
      <c r="Q67" s="13">
        <f t="shared" si="17"/>
        <v>41</v>
      </c>
      <c r="R67" s="13">
        <f t="shared" si="17"/>
        <v>34</v>
      </c>
      <c r="S67" s="13">
        <f t="shared" si="17"/>
        <v>448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3.0</v>
      </c>
      <c r="F69" s="73">
        <v>1.0</v>
      </c>
      <c r="G69" s="73">
        <v>7.0</v>
      </c>
      <c r="H69" s="73">
        <v>11.0</v>
      </c>
      <c r="I69" s="73">
        <v>5.0</v>
      </c>
      <c r="J69" s="73">
        <v>9.0</v>
      </c>
      <c r="K69" s="73">
        <v>20.0</v>
      </c>
      <c r="L69" s="73">
        <v>8.0</v>
      </c>
      <c r="M69" s="73">
        <v>8.0</v>
      </c>
      <c r="N69" s="73">
        <v>10.0</v>
      </c>
      <c r="O69" s="73">
        <v>9.0</v>
      </c>
      <c r="P69" s="73">
        <v>11.0</v>
      </c>
      <c r="Q69" s="73">
        <v>13.0</v>
      </c>
      <c r="R69" s="73">
        <v>11.0</v>
      </c>
      <c r="S69" s="13">
        <f t="shared" ref="S69:S78" si="18">SUM(E69:R69)</f>
        <v>126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4.0</v>
      </c>
      <c r="F70" s="73">
        <v>0.0</v>
      </c>
      <c r="G70" s="73">
        <v>2.0</v>
      </c>
      <c r="H70" s="73">
        <v>5.0</v>
      </c>
      <c r="I70" s="73">
        <v>2.0</v>
      </c>
      <c r="J70" s="73">
        <v>2.0</v>
      </c>
      <c r="K70" s="73">
        <v>4.0</v>
      </c>
      <c r="L70" s="73">
        <v>1.0</v>
      </c>
      <c r="M70" s="73">
        <v>2.0</v>
      </c>
      <c r="N70" s="73">
        <v>5.0</v>
      </c>
      <c r="O70" s="73">
        <v>2.0</v>
      </c>
      <c r="P70" s="73">
        <v>1.0</v>
      </c>
      <c r="Q70" s="73">
        <v>3.0</v>
      </c>
      <c r="R70" s="73">
        <v>6.0</v>
      </c>
      <c r="S70" s="13">
        <f t="shared" si="18"/>
        <v>39</v>
      </c>
    </row>
    <row r="71" ht="12.75" customHeight="1">
      <c r="A71" s="18"/>
      <c r="B71" s="49"/>
      <c r="C71" s="50" t="s">
        <v>61</v>
      </c>
      <c r="D71" s="51"/>
      <c r="E71" s="73">
        <v>31.0</v>
      </c>
      <c r="F71" s="73">
        <v>10.0</v>
      </c>
      <c r="G71" s="73">
        <v>32.0</v>
      </c>
      <c r="H71" s="73">
        <v>25.0</v>
      </c>
      <c r="I71" s="73">
        <v>22.0</v>
      </c>
      <c r="J71" s="73">
        <v>32.0</v>
      </c>
      <c r="K71" s="73">
        <v>116.0</v>
      </c>
      <c r="L71" s="73">
        <v>48.0</v>
      </c>
      <c r="M71" s="73">
        <v>20.0</v>
      </c>
      <c r="N71" s="73">
        <v>16.0</v>
      </c>
      <c r="O71" s="73">
        <v>24.0</v>
      </c>
      <c r="P71" s="73">
        <v>35.0</v>
      </c>
      <c r="Q71" s="73">
        <v>46.0</v>
      </c>
      <c r="R71" s="73">
        <v>70.0</v>
      </c>
      <c r="S71" s="13">
        <f t="shared" si="18"/>
        <v>527</v>
      </c>
    </row>
    <row r="72" ht="12.75" customHeight="1">
      <c r="A72" s="18"/>
      <c r="B72" s="49"/>
      <c r="C72" s="50" t="s">
        <v>62</v>
      </c>
      <c r="D72" s="51"/>
      <c r="E72" s="73">
        <v>3.0</v>
      </c>
      <c r="F72" s="73">
        <v>0.0</v>
      </c>
      <c r="G72" s="73">
        <v>3.0</v>
      </c>
      <c r="H72" s="73">
        <v>0.0</v>
      </c>
      <c r="I72" s="73">
        <v>7.0</v>
      </c>
      <c r="J72" s="73">
        <v>4.0</v>
      </c>
      <c r="K72" s="73">
        <v>4.0</v>
      </c>
      <c r="L72" s="73">
        <v>3.0</v>
      </c>
      <c r="M72" s="73">
        <v>2.0</v>
      </c>
      <c r="N72" s="73">
        <v>5.0</v>
      </c>
      <c r="O72" s="73">
        <v>0.0</v>
      </c>
      <c r="P72" s="73">
        <v>3.0</v>
      </c>
      <c r="Q72" s="73">
        <v>3.0</v>
      </c>
      <c r="R72" s="73">
        <v>1.0</v>
      </c>
      <c r="S72" s="13">
        <f t="shared" si="18"/>
        <v>38</v>
      </c>
    </row>
    <row r="73" ht="12.75" customHeight="1">
      <c r="A73" s="18"/>
      <c r="B73" s="49"/>
      <c r="C73" s="50" t="s">
        <v>63</v>
      </c>
      <c r="D73" s="51"/>
      <c r="E73" s="73">
        <v>2.0</v>
      </c>
      <c r="F73" s="73">
        <v>0.0</v>
      </c>
      <c r="G73" s="73">
        <v>1.0</v>
      </c>
      <c r="H73" s="73">
        <v>0.0</v>
      </c>
      <c r="I73" s="73">
        <v>0.0</v>
      </c>
      <c r="J73" s="73">
        <v>1.0</v>
      </c>
      <c r="K73" s="73">
        <v>0.0</v>
      </c>
      <c r="L73" s="73">
        <v>0.0</v>
      </c>
      <c r="M73" s="73">
        <v>1.0</v>
      </c>
      <c r="N73" s="73">
        <v>0.0</v>
      </c>
      <c r="O73" s="73">
        <v>1.0</v>
      </c>
      <c r="P73" s="73">
        <v>0.0</v>
      </c>
      <c r="Q73" s="73">
        <v>0.0</v>
      </c>
      <c r="R73" s="73">
        <v>0.0</v>
      </c>
      <c r="S73" s="13">
        <f t="shared" si="18"/>
        <v>6</v>
      </c>
    </row>
    <row r="74" ht="12.75" customHeight="1">
      <c r="A74" s="18"/>
      <c r="B74" s="49"/>
      <c r="C74" s="50" t="s">
        <v>64</v>
      </c>
      <c r="D74" s="51"/>
      <c r="E74" s="73">
        <v>1.0</v>
      </c>
      <c r="F74" s="73">
        <v>0.0</v>
      </c>
      <c r="G74" s="73">
        <v>0.0</v>
      </c>
      <c r="H74" s="73">
        <v>1.0</v>
      </c>
      <c r="I74" s="73">
        <v>3.0</v>
      </c>
      <c r="J74" s="73">
        <v>3.0</v>
      </c>
      <c r="K74" s="73">
        <v>0.0</v>
      </c>
      <c r="L74" s="73">
        <v>0.0</v>
      </c>
      <c r="M74" s="73">
        <v>1.0</v>
      </c>
      <c r="N74" s="73">
        <v>0.0</v>
      </c>
      <c r="O74" s="73">
        <v>3.0</v>
      </c>
      <c r="P74" s="73">
        <v>2.0</v>
      </c>
      <c r="Q74" s="73">
        <v>1.0</v>
      </c>
      <c r="R74" s="73">
        <v>0.0</v>
      </c>
      <c r="S74" s="13">
        <f t="shared" si="18"/>
        <v>15</v>
      </c>
    </row>
    <row r="75" ht="12.75" customHeight="1">
      <c r="A75" s="18"/>
      <c r="B75" s="49"/>
      <c r="C75" s="50" t="s">
        <v>65</v>
      </c>
      <c r="D75" s="51"/>
      <c r="E75" s="73">
        <v>0.0</v>
      </c>
      <c r="F75" s="73">
        <v>0.0</v>
      </c>
      <c r="G75" s="73">
        <v>1.0</v>
      </c>
      <c r="H75" s="73">
        <v>1.0</v>
      </c>
      <c r="I75" s="73">
        <v>2.0</v>
      </c>
      <c r="J75" s="73">
        <v>0.0</v>
      </c>
      <c r="K75" s="73">
        <v>2.0</v>
      </c>
      <c r="L75" s="73">
        <v>2.0</v>
      </c>
      <c r="M75" s="73">
        <v>1.0</v>
      </c>
      <c r="N75" s="73">
        <v>0.0</v>
      </c>
      <c r="O75" s="73">
        <v>1.0</v>
      </c>
      <c r="P75" s="73">
        <v>0.0</v>
      </c>
      <c r="Q75" s="73">
        <v>1.0</v>
      </c>
      <c r="R75" s="73">
        <v>0.0</v>
      </c>
      <c r="S75" s="13">
        <f t="shared" si="18"/>
        <v>11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0.0</v>
      </c>
      <c r="G76" s="80">
        <v>1.0</v>
      </c>
      <c r="H76" s="80">
        <v>1.0</v>
      </c>
      <c r="I76" s="80">
        <v>0.0</v>
      </c>
      <c r="J76" s="80">
        <v>0.0</v>
      </c>
      <c r="K76" s="80">
        <v>0.0</v>
      </c>
      <c r="L76" s="80">
        <v>0.0</v>
      </c>
      <c r="M76" s="80">
        <v>0.0</v>
      </c>
      <c r="N76" s="80">
        <v>0.0</v>
      </c>
      <c r="O76" s="80">
        <v>0.0</v>
      </c>
      <c r="P76" s="80">
        <v>0.0</v>
      </c>
      <c r="Q76" s="80">
        <v>1.0</v>
      </c>
      <c r="R76" s="80">
        <v>0.0</v>
      </c>
      <c r="S76" s="13">
        <f t="shared" si="18"/>
        <v>3</v>
      </c>
    </row>
    <row r="77" ht="12.75" customHeight="1">
      <c r="A77" s="79"/>
      <c r="B77" s="49"/>
      <c r="C77" s="50" t="s">
        <v>67</v>
      </c>
      <c r="D77" s="51"/>
      <c r="E77" s="80">
        <v>2.0</v>
      </c>
      <c r="F77" s="80">
        <v>0.0</v>
      </c>
      <c r="G77" s="80">
        <v>0.0</v>
      </c>
      <c r="H77" s="80">
        <v>1.0</v>
      </c>
      <c r="I77" s="80">
        <v>0.0</v>
      </c>
      <c r="J77" s="80">
        <v>2.0</v>
      </c>
      <c r="K77" s="80">
        <v>0.0</v>
      </c>
      <c r="L77" s="80">
        <v>1.0</v>
      </c>
      <c r="M77" s="80">
        <v>0.0</v>
      </c>
      <c r="N77" s="80">
        <v>0.0</v>
      </c>
      <c r="O77" s="80">
        <v>0.0</v>
      </c>
      <c r="P77" s="80">
        <v>0.0</v>
      </c>
      <c r="Q77" s="80">
        <v>0.0</v>
      </c>
      <c r="R77" s="80">
        <v>0.0</v>
      </c>
      <c r="S77" s="13">
        <f t="shared" si="18"/>
        <v>6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0.0</v>
      </c>
      <c r="G78" s="80">
        <v>0.0</v>
      </c>
      <c r="H78" s="80">
        <v>0.0</v>
      </c>
      <c r="I78" s="80">
        <v>0.0</v>
      </c>
      <c r="J78" s="80">
        <v>2.0</v>
      </c>
      <c r="K78" s="80">
        <v>2.0</v>
      </c>
      <c r="L78" s="80">
        <v>0.0</v>
      </c>
      <c r="M78" s="80">
        <v>0.0</v>
      </c>
      <c r="N78" s="80">
        <v>3.0</v>
      </c>
      <c r="O78" s="80">
        <v>0.0</v>
      </c>
      <c r="P78" s="80">
        <v>0.0</v>
      </c>
      <c r="Q78" s="80">
        <v>0.0</v>
      </c>
      <c r="R78" s="80">
        <v>0.0</v>
      </c>
      <c r="S78" s="13">
        <f t="shared" si="18"/>
        <v>7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S79" si="19">SUM(E69:E78)</f>
        <v>46</v>
      </c>
      <c r="F79" s="13">
        <f t="shared" si="19"/>
        <v>11</v>
      </c>
      <c r="G79" s="13">
        <f t="shared" si="19"/>
        <v>47</v>
      </c>
      <c r="H79" s="13">
        <f t="shared" si="19"/>
        <v>45</v>
      </c>
      <c r="I79" s="13">
        <f t="shared" si="19"/>
        <v>41</v>
      </c>
      <c r="J79" s="13">
        <f t="shared" si="19"/>
        <v>55</v>
      </c>
      <c r="K79" s="13">
        <f t="shared" si="19"/>
        <v>148</v>
      </c>
      <c r="L79" s="13">
        <f t="shared" si="19"/>
        <v>63</v>
      </c>
      <c r="M79" s="13">
        <f t="shared" si="19"/>
        <v>35</v>
      </c>
      <c r="N79" s="13">
        <f t="shared" si="19"/>
        <v>39</v>
      </c>
      <c r="O79" s="13">
        <f t="shared" si="19"/>
        <v>40</v>
      </c>
      <c r="P79" s="13">
        <f t="shared" si="19"/>
        <v>52</v>
      </c>
      <c r="Q79" s="13">
        <f t="shared" si="19"/>
        <v>68</v>
      </c>
      <c r="R79" s="13">
        <f t="shared" si="19"/>
        <v>88</v>
      </c>
      <c r="S79" s="13">
        <f t="shared" si="19"/>
        <v>778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2.0</v>
      </c>
      <c r="F81" s="73">
        <v>5.0</v>
      </c>
      <c r="G81" s="73">
        <v>0.0</v>
      </c>
      <c r="H81" s="73">
        <v>6.0</v>
      </c>
      <c r="I81" s="73">
        <v>3.0</v>
      </c>
      <c r="J81" s="73">
        <v>1.0</v>
      </c>
      <c r="K81" s="73">
        <v>2.0</v>
      </c>
      <c r="L81" s="73">
        <v>4.0</v>
      </c>
      <c r="M81" s="73">
        <v>6.0</v>
      </c>
      <c r="N81" s="73">
        <v>6.0</v>
      </c>
      <c r="O81" s="73">
        <v>2.0</v>
      </c>
      <c r="P81" s="73">
        <v>4.0</v>
      </c>
      <c r="Q81" s="73">
        <v>4.0</v>
      </c>
      <c r="R81" s="73">
        <v>5.0</v>
      </c>
      <c r="S81" s="13">
        <f t="shared" ref="S81:S90" si="20">SUM(E81:R81)</f>
        <v>50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1.0</v>
      </c>
      <c r="F82" s="73">
        <v>0.0</v>
      </c>
      <c r="G82" s="73">
        <v>1.0</v>
      </c>
      <c r="H82" s="73">
        <v>2.0</v>
      </c>
      <c r="I82" s="73">
        <v>2.0</v>
      </c>
      <c r="J82" s="73">
        <v>0.0</v>
      </c>
      <c r="K82" s="73">
        <v>1.0</v>
      </c>
      <c r="L82" s="73">
        <v>1.0</v>
      </c>
      <c r="M82" s="73">
        <v>1.0</v>
      </c>
      <c r="N82" s="73">
        <v>4.0</v>
      </c>
      <c r="O82" s="73">
        <v>2.0</v>
      </c>
      <c r="P82" s="73">
        <v>1.0</v>
      </c>
      <c r="Q82" s="73">
        <v>5.0</v>
      </c>
      <c r="R82" s="73">
        <v>1.0</v>
      </c>
      <c r="S82" s="13">
        <f t="shared" si="20"/>
        <v>22</v>
      </c>
    </row>
    <row r="83" ht="12.75" customHeight="1">
      <c r="A83" s="18"/>
      <c r="B83" s="49"/>
      <c r="C83" s="50" t="s">
        <v>71</v>
      </c>
      <c r="D83" s="51"/>
      <c r="E83" s="73">
        <v>1.0</v>
      </c>
      <c r="F83" s="73">
        <v>0.0</v>
      </c>
      <c r="G83" s="73">
        <v>1.0</v>
      </c>
      <c r="H83" s="73">
        <v>0.0</v>
      </c>
      <c r="I83" s="73">
        <v>0.0</v>
      </c>
      <c r="J83" s="73">
        <v>0.0</v>
      </c>
      <c r="K83" s="73">
        <v>1.0</v>
      </c>
      <c r="L83" s="73">
        <v>1.0</v>
      </c>
      <c r="M83" s="73">
        <v>0.0</v>
      </c>
      <c r="N83" s="73">
        <v>0.0</v>
      </c>
      <c r="O83" s="73">
        <v>0.0</v>
      </c>
      <c r="P83" s="73">
        <v>1.0</v>
      </c>
      <c r="Q83" s="73">
        <v>0.0</v>
      </c>
      <c r="R83" s="73">
        <v>0.0</v>
      </c>
      <c r="S83" s="13">
        <f t="shared" si="20"/>
        <v>5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0.0</v>
      </c>
      <c r="G84" s="73">
        <v>1.0</v>
      </c>
      <c r="H84" s="73">
        <v>1.0</v>
      </c>
      <c r="I84" s="73">
        <v>3.0</v>
      </c>
      <c r="J84" s="73">
        <v>1.0</v>
      </c>
      <c r="K84" s="73">
        <v>0.0</v>
      </c>
      <c r="L84" s="73">
        <v>3.0</v>
      </c>
      <c r="M84" s="73">
        <v>1.0</v>
      </c>
      <c r="N84" s="73">
        <v>0.0</v>
      </c>
      <c r="O84" s="73">
        <v>1.0</v>
      </c>
      <c r="P84" s="73">
        <v>2.0</v>
      </c>
      <c r="Q84" s="73">
        <v>0.0</v>
      </c>
      <c r="R84" s="73">
        <v>0.0</v>
      </c>
      <c r="S84" s="13">
        <f t="shared" si="20"/>
        <v>13</v>
      </c>
    </row>
    <row r="85" ht="12.75" customHeight="1">
      <c r="A85" s="18"/>
      <c r="B85" s="49"/>
      <c r="C85" s="50" t="s">
        <v>73</v>
      </c>
      <c r="D85" s="51"/>
      <c r="E85" s="73">
        <v>1.0</v>
      </c>
      <c r="F85" s="73">
        <v>7.0</v>
      </c>
      <c r="G85" s="73">
        <v>3.0</v>
      </c>
      <c r="H85" s="73">
        <v>11.0</v>
      </c>
      <c r="I85" s="73">
        <v>0.0</v>
      </c>
      <c r="J85" s="73">
        <v>1.0</v>
      </c>
      <c r="K85" s="73">
        <v>2.0</v>
      </c>
      <c r="L85" s="73">
        <v>3.0</v>
      </c>
      <c r="M85" s="73">
        <v>0.0</v>
      </c>
      <c r="N85" s="73">
        <v>2.0</v>
      </c>
      <c r="O85" s="73">
        <v>0.0</v>
      </c>
      <c r="P85" s="73">
        <v>3.0</v>
      </c>
      <c r="Q85" s="73">
        <v>1.0</v>
      </c>
      <c r="R85" s="73">
        <v>1.0</v>
      </c>
      <c r="S85" s="13">
        <f t="shared" si="20"/>
        <v>35</v>
      </c>
    </row>
    <row r="86" ht="12.75" customHeight="1">
      <c r="A86" s="18"/>
      <c r="B86" s="49"/>
      <c r="C86" s="50" t="s">
        <v>74</v>
      </c>
      <c r="D86" s="51"/>
      <c r="E86" s="73">
        <v>1.0</v>
      </c>
      <c r="F86" s="73">
        <v>0.0</v>
      </c>
      <c r="G86" s="73">
        <v>0.0</v>
      </c>
      <c r="H86" s="73">
        <v>2.0</v>
      </c>
      <c r="I86" s="73">
        <v>1.0</v>
      </c>
      <c r="J86" s="73">
        <v>0.0</v>
      </c>
      <c r="K86" s="73">
        <v>0.0</v>
      </c>
      <c r="L86" s="73">
        <v>1.0</v>
      </c>
      <c r="M86" s="73">
        <v>1.0</v>
      </c>
      <c r="N86" s="73">
        <v>0.0</v>
      </c>
      <c r="O86" s="73">
        <v>0.0</v>
      </c>
      <c r="P86" s="73">
        <v>0.0</v>
      </c>
      <c r="Q86" s="73">
        <v>0.0</v>
      </c>
      <c r="R86" s="73">
        <v>1.0</v>
      </c>
      <c r="S86" s="13">
        <f t="shared" si="20"/>
        <v>7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0.0</v>
      </c>
      <c r="G87" s="73">
        <v>0.0</v>
      </c>
      <c r="H87" s="73">
        <v>3.0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0.0</v>
      </c>
      <c r="S87" s="13">
        <f t="shared" si="20"/>
        <v>3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0.0</v>
      </c>
      <c r="L88" s="80">
        <v>0.0</v>
      </c>
      <c r="M88" s="80">
        <v>0.0</v>
      </c>
      <c r="N88" s="80">
        <v>0.0</v>
      </c>
      <c r="O88" s="80">
        <v>0.0</v>
      </c>
      <c r="P88" s="80">
        <v>0.0</v>
      </c>
      <c r="Q88" s="80">
        <v>0.0</v>
      </c>
      <c r="R88" s="80">
        <v>1.0</v>
      </c>
      <c r="S88" s="13">
        <f t="shared" si="20"/>
        <v>1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0.0</v>
      </c>
      <c r="N89" s="80">
        <v>0.0</v>
      </c>
      <c r="O89" s="80">
        <v>1.0</v>
      </c>
      <c r="P89" s="80">
        <v>0.0</v>
      </c>
      <c r="Q89" s="80">
        <v>0.0</v>
      </c>
      <c r="R89" s="80">
        <v>1.0</v>
      </c>
      <c r="S89" s="13">
        <f t="shared" si="20"/>
        <v>2</v>
      </c>
    </row>
    <row r="90" ht="12.75" customHeight="1">
      <c r="A90" s="79"/>
      <c r="B90" s="49"/>
      <c r="C90" s="50" t="s">
        <v>78</v>
      </c>
      <c r="D90" s="51"/>
      <c r="E90" s="80">
        <v>1.0</v>
      </c>
      <c r="F90" s="80">
        <v>0.0</v>
      </c>
      <c r="G90" s="80">
        <v>0.0</v>
      </c>
      <c r="H90" s="80">
        <v>0.0</v>
      </c>
      <c r="I90" s="80">
        <v>0.0</v>
      </c>
      <c r="J90" s="80">
        <v>0.0</v>
      </c>
      <c r="K90" s="80">
        <v>0.0</v>
      </c>
      <c r="L90" s="80">
        <v>0.0</v>
      </c>
      <c r="M90" s="80">
        <v>0.0</v>
      </c>
      <c r="N90" s="80">
        <v>0.0</v>
      </c>
      <c r="O90" s="80">
        <v>0.0</v>
      </c>
      <c r="P90" s="80">
        <v>0.0</v>
      </c>
      <c r="Q90" s="80">
        <v>0.0</v>
      </c>
      <c r="R90" s="80">
        <v>0.0</v>
      </c>
      <c r="S90" s="13">
        <f t="shared" si="20"/>
        <v>1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S91" si="21">SUM(E81:E90)</f>
        <v>7</v>
      </c>
      <c r="F91" s="13">
        <f t="shared" si="21"/>
        <v>12</v>
      </c>
      <c r="G91" s="13">
        <f t="shared" si="21"/>
        <v>6</v>
      </c>
      <c r="H91" s="13">
        <f t="shared" si="21"/>
        <v>25</v>
      </c>
      <c r="I91" s="13">
        <f t="shared" si="21"/>
        <v>9</v>
      </c>
      <c r="J91" s="13">
        <f t="shared" si="21"/>
        <v>3</v>
      </c>
      <c r="K91" s="13">
        <f t="shared" si="21"/>
        <v>6</v>
      </c>
      <c r="L91" s="13">
        <f t="shared" si="21"/>
        <v>13</v>
      </c>
      <c r="M91" s="13">
        <f t="shared" si="21"/>
        <v>9</v>
      </c>
      <c r="N91" s="13">
        <f t="shared" si="21"/>
        <v>12</v>
      </c>
      <c r="O91" s="13">
        <f t="shared" si="21"/>
        <v>6</v>
      </c>
      <c r="P91" s="13">
        <f t="shared" si="21"/>
        <v>11</v>
      </c>
      <c r="Q91" s="13">
        <f t="shared" si="21"/>
        <v>10</v>
      </c>
      <c r="R91" s="13">
        <f t="shared" si="21"/>
        <v>10</v>
      </c>
      <c r="S91" s="13">
        <f t="shared" si="21"/>
        <v>139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2.0</v>
      </c>
      <c r="F93" s="73">
        <v>0.0</v>
      </c>
      <c r="G93" s="73">
        <v>1.0</v>
      </c>
      <c r="H93" s="73">
        <v>4.0</v>
      </c>
      <c r="I93" s="73">
        <v>0.0</v>
      </c>
      <c r="J93" s="73">
        <v>1.0</v>
      </c>
      <c r="K93" s="73">
        <v>0.0</v>
      </c>
      <c r="L93" s="73">
        <v>0.0</v>
      </c>
      <c r="M93" s="73">
        <v>0.0</v>
      </c>
      <c r="N93" s="73">
        <v>1.0</v>
      </c>
      <c r="O93" s="73">
        <v>0.0</v>
      </c>
      <c r="P93" s="73">
        <v>1.0</v>
      </c>
      <c r="Q93" s="73">
        <v>2.0</v>
      </c>
      <c r="R93" s="73">
        <v>1.0</v>
      </c>
      <c r="S93" s="13">
        <f t="shared" ref="S93:S102" si="22">SUM(E93:R93)</f>
        <v>13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1.0</v>
      </c>
      <c r="F94" s="73">
        <v>0.0</v>
      </c>
      <c r="G94" s="73">
        <v>2.0</v>
      </c>
      <c r="H94" s="73">
        <v>2.0</v>
      </c>
      <c r="I94" s="73">
        <v>1.0</v>
      </c>
      <c r="J94" s="73">
        <v>3.0</v>
      </c>
      <c r="K94" s="73">
        <v>0.0</v>
      </c>
      <c r="L94" s="73">
        <v>3.0</v>
      </c>
      <c r="M94" s="73">
        <v>1.0</v>
      </c>
      <c r="N94" s="73">
        <v>1.0</v>
      </c>
      <c r="O94" s="73">
        <v>2.0</v>
      </c>
      <c r="P94" s="73">
        <v>0.0</v>
      </c>
      <c r="Q94" s="73">
        <v>0.0</v>
      </c>
      <c r="R94" s="73">
        <v>1.0</v>
      </c>
      <c r="S94" s="13">
        <f t="shared" si="22"/>
        <v>17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1.0</v>
      </c>
      <c r="H95" s="73">
        <v>0.0</v>
      </c>
      <c r="I95" s="73">
        <v>0.0</v>
      </c>
      <c r="J95" s="73">
        <v>0.0</v>
      </c>
      <c r="K95" s="73">
        <v>1.0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13">
        <f t="shared" si="22"/>
        <v>2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1.0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1.0</v>
      </c>
      <c r="Q96" s="73">
        <v>0.0</v>
      </c>
      <c r="R96" s="73">
        <v>0.0</v>
      </c>
      <c r="S96" s="13">
        <f t="shared" si="22"/>
        <v>2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1.0</v>
      </c>
      <c r="Q97" s="73">
        <v>0.0</v>
      </c>
      <c r="R97" s="73">
        <v>0.0</v>
      </c>
      <c r="S97" s="13">
        <f t="shared" si="22"/>
        <v>1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1.0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1.0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13">
        <f t="shared" si="22"/>
        <v>2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13">
        <f t="shared" si="22"/>
        <v>0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13">
        <f t="shared" si="22"/>
        <v>0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1.0</v>
      </c>
      <c r="K101" s="80">
        <v>0.0</v>
      </c>
      <c r="L101" s="80">
        <v>0.0</v>
      </c>
      <c r="M101" s="80">
        <v>0.0</v>
      </c>
      <c r="N101" s="80">
        <v>0.0</v>
      </c>
      <c r="O101" s="80">
        <v>1.0</v>
      </c>
      <c r="P101" s="80">
        <v>0.0</v>
      </c>
      <c r="Q101" s="80">
        <v>0.0</v>
      </c>
      <c r="R101" s="80">
        <v>0.0</v>
      </c>
      <c r="S101" s="13">
        <f t="shared" si="22"/>
        <v>2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S103" si="23">SUM(E93:E102)</f>
        <v>3</v>
      </c>
      <c r="F103" s="13">
        <f t="shared" si="23"/>
        <v>1</v>
      </c>
      <c r="G103" s="13">
        <f t="shared" si="23"/>
        <v>4</v>
      </c>
      <c r="H103" s="13">
        <f t="shared" si="23"/>
        <v>7</v>
      </c>
      <c r="I103" s="13">
        <f t="shared" si="23"/>
        <v>1</v>
      </c>
      <c r="J103" s="13">
        <f t="shared" si="23"/>
        <v>5</v>
      </c>
      <c r="K103" s="13">
        <f t="shared" si="23"/>
        <v>1</v>
      </c>
      <c r="L103" s="13">
        <f t="shared" si="23"/>
        <v>4</v>
      </c>
      <c r="M103" s="13">
        <f t="shared" si="23"/>
        <v>1</v>
      </c>
      <c r="N103" s="13">
        <f t="shared" si="23"/>
        <v>2</v>
      </c>
      <c r="O103" s="13">
        <f t="shared" si="23"/>
        <v>3</v>
      </c>
      <c r="P103" s="13">
        <f t="shared" si="23"/>
        <v>3</v>
      </c>
      <c r="Q103" s="13">
        <f t="shared" si="23"/>
        <v>2</v>
      </c>
      <c r="R103" s="13">
        <f t="shared" si="23"/>
        <v>2</v>
      </c>
      <c r="S103" s="13">
        <f t="shared" si="23"/>
        <v>39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0.0</v>
      </c>
      <c r="G105" s="73">
        <v>0.0</v>
      </c>
      <c r="H105" s="73">
        <v>1.0</v>
      </c>
      <c r="I105" s="73">
        <v>1.0</v>
      </c>
      <c r="J105" s="73">
        <v>3.0</v>
      </c>
      <c r="K105" s="73">
        <v>0.0</v>
      </c>
      <c r="L105" s="73">
        <v>1.0</v>
      </c>
      <c r="M105" s="73">
        <v>0.0</v>
      </c>
      <c r="N105" s="73">
        <v>0.0</v>
      </c>
      <c r="O105" s="73">
        <v>0.0</v>
      </c>
      <c r="P105" s="73">
        <v>0.0</v>
      </c>
      <c r="Q105" s="73">
        <v>1.0</v>
      </c>
      <c r="R105" s="73">
        <v>1.0</v>
      </c>
      <c r="S105" s="13">
        <f t="shared" ref="S105:S114" si="24">SUM(E105:R105)</f>
        <v>8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1.0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13">
        <f t="shared" si="24"/>
        <v>1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0.0</v>
      </c>
      <c r="I107" s="80">
        <v>1.0</v>
      </c>
      <c r="J107" s="80">
        <v>0.0</v>
      </c>
      <c r="K107" s="80">
        <v>0.0</v>
      </c>
      <c r="L107" s="80">
        <v>1.0</v>
      </c>
      <c r="M107" s="80">
        <v>0.0</v>
      </c>
      <c r="N107" s="80">
        <v>0.0</v>
      </c>
      <c r="O107" s="80">
        <v>0.0</v>
      </c>
      <c r="P107" s="80">
        <v>0.0</v>
      </c>
      <c r="Q107" s="80">
        <v>0.0</v>
      </c>
      <c r="R107" s="80">
        <v>0.0</v>
      </c>
      <c r="S107" s="13">
        <f t="shared" si="24"/>
        <v>2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S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2</v>
      </c>
      <c r="J115" s="13">
        <f t="shared" si="25"/>
        <v>3</v>
      </c>
      <c r="K115" s="13">
        <f t="shared" si="25"/>
        <v>0</v>
      </c>
      <c r="L115" s="13">
        <f t="shared" si="25"/>
        <v>2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11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1.0</v>
      </c>
      <c r="G117" s="73">
        <v>0.0</v>
      </c>
      <c r="H117" s="73">
        <v>1.0</v>
      </c>
      <c r="I117" s="73">
        <v>1.0</v>
      </c>
      <c r="J117" s="73">
        <v>0.0</v>
      </c>
      <c r="K117" s="73">
        <v>0.0</v>
      </c>
      <c r="L117" s="73">
        <v>1.0</v>
      </c>
      <c r="M117" s="73">
        <v>2.0</v>
      </c>
      <c r="N117" s="73">
        <v>1.0</v>
      </c>
      <c r="O117" s="73">
        <v>0.0</v>
      </c>
      <c r="P117" s="73">
        <v>1.0</v>
      </c>
      <c r="Q117" s="73">
        <v>1.0</v>
      </c>
      <c r="R117" s="73">
        <v>0.0</v>
      </c>
      <c r="S117" s="13">
        <f t="shared" ref="S117:S126" si="26">SUM(E117:R117)</f>
        <v>9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1.0</v>
      </c>
      <c r="F118" s="73">
        <v>1.0</v>
      </c>
      <c r="G118" s="73">
        <v>0.0</v>
      </c>
      <c r="H118" s="73">
        <v>2.0</v>
      </c>
      <c r="I118" s="73">
        <v>2.0</v>
      </c>
      <c r="J118" s="73">
        <v>1.0</v>
      </c>
      <c r="K118" s="73">
        <v>1.0</v>
      </c>
      <c r="L118" s="73">
        <v>0.0</v>
      </c>
      <c r="M118" s="73">
        <v>1.0</v>
      </c>
      <c r="N118" s="73">
        <v>0.0</v>
      </c>
      <c r="O118" s="73">
        <v>0.0</v>
      </c>
      <c r="P118" s="73">
        <v>0.0</v>
      </c>
      <c r="Q118" s="73">
        <v>0.0</v>
      </c>
      <c r="R118" s="73">
        <v>0.0</v>
      </c>
      <c r="S118" s="13">
        <f t="shared" si="26"/>
        <v>9</v>
      </c>
    </row>
    <row r="119" ht="12.75" customHeight="1">
      <c r="A119" s="18"/>
      <c r="B119" s="49"/>
      <c r="C119" s="50" t="s">
        <v>97</v>
      </c>
      <c r="D119" s="51"/>
      <c r="E119" s="73">
        <v>1.0</v>
      </c>
      <c r="F119" s="73">
        <v>0.0</v>
      </c>
      <c r="G119" s="73">
        <v>0.0</v>
      </c>
      <c r="H119" s="73">
        <v>0.0</v>
      </c>
      <c r="I119" s="73">
        <v>1.0</v>
      </c>
      <c r="J119" s="73">
        <v>2.0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0.0</v>
      </c>
      <c r="R119" s="73">
        <v>0.0</v>
      </c>
      <c r="S119" s="13">
        <f t="shared" si="26"/>
        <v>4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1.0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13">
        <f t="shared" si="26"/>
        <v>1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13">
        <f t="shared" si="26"/>
        <v>0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0.0</v>
      </c>
      <c r="R122" s="80">
        <v>0.0</v>
      </c>
      <c r="S122" s="13">
        <f t="shared" si="26"/>
        <v>0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S127" si="27">SUM(E117:E126)</f>
        <v>2</v>
      </c>
      <c r="F127" s="13">
        <f t="shared" si="27"/>
        <v>3</v>
      </c>
      <c r="G127" s="13">
        <f t="shared" si="27"/>
        <v>0</v>
      </c>
      <c r="H127" s="13">
        <f t="shared" si="27"/>
        <v>3</v>
      </c>
      <c r="I127" s="13">
        <f t="shared" si="27"/>
        <v>4</v>
      </c>
      <c r="J127" s="13">
        <f t="shared" si="27"/>
        <v>3</v>
      </c>
      <c r="K127" s="13">
        <f t="shared" si="27"/>
        <v>1</v>
      </c>
      <c r="L127" s="13">
        <f t="shared" si="27"/>
        <v>1</v>
      </c>
      <c r="M127" s="13">
        <f t="shared" si="27"/>
        <v>3</v>
      </c>
      <c r="N127" s="13">
        <f t="shared" si="27"/>
        <v>1</v>
      </c>
      <c r="O127" s="13">
        <f t="shared" si="27"/>
        <v>0</v>
      </c>
      <c r="P127" s="13">
        <f t="shared" si="27"/>
        <v>1</v>
      </c>
      <c r="Q127" s="13">
        <f t="shared" si="27"/>
        <v>1</v>
      </c>
      <c r="R127" s="13">
        <f t="shared" si="27"/>
        <v>0</v>
      </c>
      <c r="S127" s="13">
        <f t="shared" si="27"/>
        <v>23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4.0</v>
      </c>
      <c r="F129" s="73">
        <v>3.0</v>
      </c>
      <c r="G129" s="73">
        <v>2.0</v>
      </c>
      <c r="H129" s="73">
        <v>6.0</v>
      </c>
      <c r="I129" s="73">
        <v>2.0</v>
      </c>
      <c r="J129" s="73">
        <v>1.0</v>
      </c>
      <c r="K129" s="73">
        <v>0.0</v>
      </c>
      <c r="L129" s="73">
        <v>3.0</v>
      </c>
      <c r="M129" s="73">
        <v>0.0</v>
      </c>
      <c r="N129" s="73">
        <v>0.0</v>
      </c>
      <c r="O129" s="73">
        <v>1.0</v>
      </c>
      <c r="P129" s="73">
        <v>1.0</v>
      </c>
      <c r="Q129" s="73">
        <v>1.0</v>
      </c>
      <c r="R129" s="73">
        <v>0.0</v>
      </c>
      <c r="S129" s="13">
        <f t="shared" ref="S129:S138" si="28">SUM(E129:R129)</f>
        <v>24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6.0</v>
      </c>
      <c r="F130" s="73">
        <v>4.0</v>
      </c>
      <c r="G130" s="73">
        <v>2.0</v>
      </c>
      <c r="H130" s="73">
        <v>12.0</v>
      </c>
      <c r="I130" s="73">
        <v>12.0</v>
      </c>
      <c r="J130" s="73">
        <v>3.0</v>
      </c>
      <c r="K130" s="73">
        <v>0.0</v>
      </c>
      <c r="L130" s="73">
        <v>2.0</v>
      </c>
      <c r="M130" s="73">
        <v>2.0</v>
      </c>
      <c r="N130" s="73">
        <v>0.0</v>
      </c>
      <c r="O130" s="73">
        <v>0.0</v>
      </c>
      <c r="P130" s="73">
        <v>2.0</v>
      </c>
      <c r="Q130" s="73">
        <v>3.0</v>
      </c>
      <c r="R130" s="73">
        <v>4.0</v>
      </c>
      <c r="S130" s="13">
        <f t="shared" si="28"/>
        <v>52</v>
      </c>
    </row>
    <row r="131" ht="12.75" customHeight="1">
      <c r="A131" s="18"/>
      <c r="B131" s="49"/>
      <c r="C131" s="50" t="s">
        <v>104</v>
      </c>
      <c r="D131" s="51"/>
      <c r="E131" s="73">
        <v>0.0</v>
      </c>
      <c r="F131" s="73">
        <v>0.0</v>
      </c>
      <c r="G131" s="73">
        <v>0.0</v>
      </c>
      <c r="H131" s="73">
        <v>1.0</v>
      </c>
      <c r="I131" s="73">
        <v>0.0</v>
      </c>
      <c r="J131" s="73">
        <v>1.0</v>
      </c>
      <c r="K131" s="73">
        <v>0.0</v>
      </c>
      <c r="L131" s="73">
        <v>0.0</v>
      </c>
      <c r="M131" s="73">
        <v>0.0</v>
      </c>
      <c r="N131" s="73">
        <v>1.0</v>
      </c>
      <c r="O131" s="73">
        <v>0.0</v>
      </c>
      <c r="P131" s="73">
        <v>1.0</v>
      </c>
      <c r="Q131" s="73">
        <v>0.0</v>
      </c>
      <c r="R131" s="73">
        <v>0.0</v>
      </c>
      <c r="S131" s="13">
        <f t="shared" si="28"/>
        <v>4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2.0</v>
      </c>
      <c r="G132" s="73">
        <v>3.0</v>
      </c>
      <c r="H132" s="73">
        <v>0.0</v>
      </c>
      <c r="I132" s="73">
        <v>2.0</v>
      </c>
      <c r="J132" s="73">
        <v>1.0</v>
      </c>
      <c r="K132" s="73">
        <v>0.0</v>
      </c>
      <c r="L132" s="73">
        <v>0.0</v>
      </c>
      <c r="M132" s="73">
        <v>1.0</v>
      </c>
      <c r="N132" s="73">
        <v>0.0</v>
      </c>
      <c r="O132" s="73">
        <v>0.0</v>
      </c>
      <c r="P132" s="73">
        <v>0.0</v>
      </c>
      <c r="Q132" s="73">
        <v>0.0</v>
      </c>
      <c r="R132" s="73">
        <v>0.0</v>
      </c>
      <c r="S132" s="13">
        <f t="shared" si="28"/>
        <v>9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13">
        <f t="shared" si="28"/>
        <v>0</v>
      </c>
    </row>
    <row r="134" ht="12.75" customHeight="1">
      <c r="A134" s="18"/>
      <c r="B134" s="49"/>
      <c r="C134" s="50" t="s">
        <v>107</v>
      </c>
      <c r="D134" s="51"/>
      <c r="E134" s="73">
        <v>0.0</v>
      </c>
      <c r="F134" s="73">
        <v>8.0</v>
      </c>
      <c r="G134" s="73">
        <v>0.0</v>
      </c>
      <c r="H134" s="73">
        <v>0.0</v>
      </c>
      <c r="I134" s="73">
        <v>1.0</v>
      </c>
      <c r="J134" s="73">
        <v>6.0</v>
      </c>
      <c r="K134" s="73">
        <v>0.0</v>
      </c>
      <c r="L134" s="73">
        <v>1.0</v>
      </c>
      <c r="M134" s="73">
        <v>0.0</v>
      </c>
      <c r="N134" s="73">
        <v>0.0</v>
      </c>
      <c r="O134" s="73">
        <v>0.0</v>
      </c>
      <c r="P134" s="73">
        <v>4.0</v>
      </c>
      <c r="Q134" s="73">
        <v>2.0</v>
      </c>
      <c r="R134" s="73">
        <v>0.0</v>
      </c>
      <c r="S134" s="13">
        <f t="shared" si="28"/>
        <v>22</v>
      </c>
    </row>
    <row r="135" ht="12.75" customHeight="1">
      <c r="A135" s="18"/>
      <c r="B135" s="49"/>
      <c r="C135" s="50" t="s">
        <v>108</v>
      </c>
      <c r="D135" s="51"/>
      <c r="E135" s="73">
        <v>1.0</v>
      </c>
      <c r="F135" s="73">
        <v>0.0</v>
      </c>
      <c r="G135" s="73">
        <v>1.0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73">
        <v>1.0</v>
      </c>
      <c r="N135" s="73">
        <v>0.0</v>
      </c>
      <c r="O135" s="73">
        <v>0.0</v>
      </c>
      <c r="P135" s="73">
        <v>0.0</v>
      </c>
      <c r="Q135" s="73">
        <v>0.0</v>
      </c>
      <c r="R135" s="73">
        <v>0.0</v>
      </c>
      <c r="S135" s="13">
        <f t="shared" si="28"/>
        <v>3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0.0</v>
      </c>
      <c r="I136" s="80">
        <v>0.0</v>
      </c>
      <c r="J136" s="80">
        <v>0.0</v>
      </c>
      <c r="K136" s="80">
        <v>0.0</v>
      </c>
      <c r="L136" s="80">
        <v>0.0</v>
      </c>
      <c r="M136" s="80">
        <v>0.0</v>
      </c>
      <c r="N136" s="80">
        <v>0.0</v>
      </c>
      <c r="O136" s="80">
        <v>0.0</v>
      </c>
      <c r="P136" s="80">
        <v>0.0</v>
      </c>
      <c r="Q136" s="80">
        <v>0.0</v>
      </c>
      <c r="R136" s="80">
        <v>0.0</v>
      </c>
      <c r="S136" s="13">
        <f t="shared" si="28"/>
        <v>0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1.0</v>
      </c>
      <c r="G137" s="80">
        <v>1.0</v>
      </c>
      <c r="H137" s="80">
        <v>1.0</v>
      </c>
      <c r="I137" s="80">
        <v>0.0</v>
      </c>
      <c r="J137" s="80">
        <v>0.0</v>
      </c>
      <c r="K137" s="80">
        <v>0.0</v>
      </c>
      <c r="L137" s="80">
        <v>0.0</v>
      </c>
      <c r="M137" s="80">
        <v>0.0</v>
      </c>
      <c r="N137" s="80">
        <v>0.0</v>
      </c>
      <c r="O137" s="80">
        <v>0.0</v>
      </c>
      <c r="P137" s="80">
        <v>0.0</v>
      </c>
      <c r="Q137" s="80">
        <v>0.0</v>
      </c>
      <c r="R137" s="80">
        <v>0.0</v>
      </c>
      <c r="S137" s="13">
        <f t="shared" si="28"/>
        <v>3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0.0</v>
      </c>
      <c r="I138" s="80">
        <v>0.0</v>
      </c>
      <c r="J138" s="80">
        <v>0.0</v>
      </c>
      <c r="K138" s="80">
        <v>0.0</v>
      </c>
      <c r="L138" s="80">
        <v>0.0</v>
      </c>
      <c r="M138" s="80">
        <v>0.0</v>
      </c>
      <c r="N138" s="80">
        <v>0.0</v>
      </c>
      <c r="O138" s="80">
        <v>0.0</v>
      </c>
      <c r="P138" s="80">
        <v>0.0</v>
      </c>
      <c r="Q138" s="80">
        <v>0.0</v>
      </c>
      <c r="R138" s="80">
        <v>0.0</v>
      </c>
      <c r="S138" s="13">
        <f t="shared" si="28"/>
        <v>0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S139" si="29">SUM(E129:E138)</f>
        <v>11</v>
      </c>
      <c r="F139" s="13">
        <f t="shared" si="29"/>
        <v>18</v>
      </c>
      <c r="G139" s="13">
        <f t="shared" si="29"/>
        <v>9</v>
      </c>
      <c r="H139" s="13">
        <f t="shared" si="29"/>
        <v>20</v>
      </c>
      <c r="I139" s="13">
        <f t="shared" si="29"/>
        <v>17</v>
      </c>
      <c r="J139" s="13">
        <f t="shared" si="29"/>
        <v>12</v>
      </c>
      <c r="K139" s="13">
        <f t="shared" si="29"/>
        <v>0</v>
      </c>
      <c r="L139" s="13">
        <f t="shared" si="29"/>
        <v>6</v>
      </c>
      <c r="M139" s="13">
        <f t="shared" si="29"/>
        <v>4</v>
      </c>
      <c r="N139" s="13">
        <f t="shared" si="29"/>
        <v>1</v>
      </c>
      <c r="O139" s="13">
        <f t="shared" si="29"/>
        <v>1</v>
      </c>
      <c r="P139" s="13">
        <f t="shared" si="29"/>
        <v>8</v>
      </c>
      <c r="Q139" s="13">
        <f t="shared" si="29"/>
        <v>6</v>
      </c>
      <c r="R139" s="13">
        <f t="shared" si="29"/>
        <v>4</v>
      </c>
      <c r="S139" s="13">
        <f t="shared" si="29"/>
        <v>117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13">
        <f t="shared" ref="S141:S150" si="30">SUM(E141:R141)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1.0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13">
        <f t="shared" si="30"/>
        <v>1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1.0</v>
      </c>
      <c r="F153" s="73">
        <v>0.0</v>
      </c>
      <c r="G153" s="73">
        <v>1.0</v>
      </c>
      <c r="H153" s="73">
        <v>0.0</v>
      </c>
      <c r="I153" s="73">
        <v>0.0</v>
      </c>
      <c r="J153" s="73">
        <v>0.0</v>
      </c>
      <c r="K153" s="73">
        <v>0.0</v>
      </c>
      <c r="L153" s="73">
        <v>1.0</v>
      </c>
      <c r="M153" s="73">
        <v>0.0</v>
      </c>
      <c r="N153" s="73">
        <v>1.0</v>
      </c>
      <c r="O153" s="73">
        <v>1.0</v>
      </c>
      <c r="P153" s="73">
        <v>1.0</v>
      </c>
      <c r="Q153" s="73">
        <v>2.0</v>
      </c>
      <c r="R153" s="73">
        <v>0.0</v>
      </c>
      <c r="S153" s="13">
        <f t="shared" ref="S153:S162" si="32">SUM(E153:R153)</f>
        <v>8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0.0</v>
      </c>
      <c r="H154" s="73">
        <v>0.0</v>
      </c>
      <c r="I154" s="73">
        <v>1.0</v>
      </c>
      <c r="J154" s="73">
        <v>0.0</v>
      </c>
      <c r="K154" s="73">
        <v>0.0</v>
      </c>
      <c r="L154" s="73">
        <v>0.0</v>
      </c>
      <c r="M154" s="73">
        <v>1.0</v>
      </c>
      <c r="N154" s="73">
        <v>1.0</v>
      </c>
      <c r="O154" s="73">
        <v>1.0</v>
      </c>
      <c r="P154" s="73">
        <v>1.0</v>
      </c>
      <c r="Q154" s="73">
        <v>1.0</v>
      </c>
      <c r="R154" s="73">
        <v>0.0</v>
      </c>
      <c r="S154" s="13">
        <f t="shared" si="32"/>
        <v>6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1.0</v>
      </c>
      <c r="M155" s="73">
        <v>0.0</v>
      </c>
      <c r="N155" s="73">
        <v>0.0</v>
      </c>
      <c r="O155" s="73">
        <v>0.0</v>
      </c>
      <c r="P155" s="73">
        <v>1.0</v>
      </c>
      <c r="Q155" s="73">
        <v>1.0</v>
      </c>
      <c r="R155" s="73">
        <v>0.0</v>
      </c>
      <c r="S155" s="13">
        <f t="shared" si="32"/>
        <v>3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1.0</v>
      </c>
      <c r="P156" s="73">
        <v>0.0</v>
      </c>
      <c r="Q156" s="73">
        <v>0.0</v>
      </c>
      <c r="R156" s="73">
        <v>0.0</v>
      </c>
      <c r="S156" s="13">
        <f t="shared" si="32"/>
        <v>1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1.0</v>
      </c>
      <c r="P157" s="73">
        <v>0.0</v>
      </c>
      <c r="Q157" s="73">
        <v>0.0</v>
      </c>
      <c r="R157" s="73">
        <v>0.0</v>
      </c>
      <c r="S157" s="13">
        <f t="shared" si="32"/>
        <v>1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0.0</v>
      </c>
      <c r="N158" s="80">
        <v>0.0</v>
      </c>
      <c r="O158" s="80">
        <v>0.0</v>
      </c>
      <c r="P158" s="73">
        <v>0.0</v>
      </c>
      <c r="Q158" s="80">
        <v>0.0</v>
      </c>
      <c r="R158" s="80">
        <v>0.0</v>
      </c>
      <c r="S158" s="13">
        <f t="shared" si="32"/>
        <v>0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80">
        <v>0.0</v>
      </c>
      <c r="N159" s="80">
        <v>1.0</v>
      </c>
      <c r="O159" s="80">
        <v>0.0</v>
      </c>
      <c r="P159" s="73">
        <v>0.0</v>
      </c>
      <c r="Q159" s="80">
        <v>0.0</v>
      </c>
      <c r="R159" s="80">
        <v>0.0</v>
      </c>
      <c r="S159" s="13">
        <f t="shared" si="32"/>
        <v>1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13">
        <f t="shared" si="32"/>
        <v>0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S163" si="33">SUM(E153:E162)</f>
        <v>1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2</v>
      </c>
      <c r="M163" s="13">
        <f t="shared" si="33"/>
        <v>1</v>
      </c>
      <c r="N163" s="13">
        <f t="shared" si="33"/>
        <v>3</v>
      </c>
      <c r="O163" s="13">
        <f t="shared" si="33"/>
        <v>4</v>
      </c>
      <c r="P163" s="13">
        <f t="shared" si="33"/>
        <v>3</v>
      </c>
      <c r="Q163" s="13">
        <f t="shared" si="33"/>
        <v>4</v>
      </c>
      <c r="R163" s="13">
        <f t="shared" si="33"/>
        <v>0</v>
      </c>
      <c r="S163" s="13">
        <f t="shared" si="33"/>
        <v>20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1.0</v>
      </c>
      <c r="K165" s="73">
        <v>0.0</v>
      </c>
      <c r="L165" s="73">
        <v>0.0</v>
      </c>
      <c r="M165" s="73">
        <v>0.0</v>
      </c>
      <c r="N165" s="73">
        <v>1.0</v>
      </c>
      <c r="O165" s="73">
        <v>0.0</v>
      </c>
      <c r="P165" s="73">
        <v>1.0</v>
      </c>
      <c r="Q165" s="73">
        <v>0.0</v>
      </c>
      <c r="R165" s="73">
        <v>0.0</v>
      </c>
      <c r="S165" s="13">
        <f t="shared" ref="S165:S174" si="34">SUM(E165:R165)</f>
        <v>3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0.0</v>
      </c>
      <c r="F166" s="80">
        <v>0.0</v>
      </c>
      <c r="G166" s="80">
        <v>0.0</v>
      </c>
      <c r="H166" s="80">
        <v>0.0</v>
      </c>
      <c r="I166" s="80">
        <v>0.0</v>
      </c>
      <c r="J166" s="80">
        <v>0.0</v>
      </c>
      <c r="K166" s="80">
        <v>0.0</v>
      </c>
      <c r="L166" s="80">
        <v>1.0</v>
      </c>
      <c r="M166" s="80">
        <v>1.0</v>
      </c>
      <c r="N166" s="80">
        <v>0.0</v>
      </c>
      <c r="O166" s="80">
        <v>0.0</v>
      </c>
      <c r="P166" s="80">
        <v>0.0</v>
      </c>
      <c r="Q166" s="80">
        <v>0.0</v>
      </c>
      <c r="R166" s="80">
        <v>0.0</v>
      </c>
      <c r="S166" s="13">
        <f t="shared" si="34"/>
        <v>2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S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5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1.0</v>
      </c>
      <c r="F177" s="73">
        <v>1.0</v>
      </c>
      <c r="G177" s="73">
        <v>0.0</v>
      </c>
      <c r="H177" s="73">
        <v>0.0</v>
      </c>
      <c r="I177" s="73">
        <v>2.0</v>
      </c>
      <c r="J177" s="73">
        <v>2.0</v>
      </c>
      <c r="K177" s="73">
        <v>0.0</v>
      </c>
      <c r="L177" s="73">
        <v>2.0</v>
      </c>
      <c r="M177" s="73">
        <v>0.0</v>
      </c>
      <c r="N177" s="73">
        <v>0.0</v>
      </c>
      <c r="O177" s="73">
        <v>0.0</v>
      </c>
      <c r="P177" s="73">
        <v>0.0</v>
      </c>
      <c r="Q177" s="73">
        <v>0.0</v>
      </c>
      <c r="R177" s="73">
        <v>1.0</v>
      </c>
      <c r="S177" s="13">
        <f t="shared" ref="S177:S186" si="36">SUM(E177:R177)</f>
        <v>9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0.0</v>
      </c>
      <c r="F178" s="73">
        <v>2.0</v>
      </c>
      <c r="G178" s="73">
        <v>0.0</v>
      </c>
      <c r="H178" s="73">
        <v>0.0</v>
      </c>
      <c r="I178" s="73">
        <v>8.0</v>
      </c>
      <c r="J178" s="73">
        <v>3.0</v>
      </c>
      <c r="K178" s="73">
        <v>0.0</v>
      </c>
      <c r="L178" s="73">
        <v>1.0</v>
      </c>
      <c r="M178" s="73">
        <v>1.0</v>
      </c>
      <c r="N178" s="73">
        <v>0.0</v>
      </c>
      <c r="O178" s="73">
        <v>0.0</v>
      </c>
      <c r="P178" s="73">
        <v>1.0</v>
      </c>
      <c r="Q178" s="73">
        <v>1.0</v>
      </c>
      <c r="R178" s="73">
        <v>0.0</v>
      </c>
      <c r="S178" s="13">
        <f t="shared" si="36"/>
        <v>17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1.0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1.0</v>
      </c>
      <c r="R179" s="73">
        <v>0.0</v>
      </c>
      <c r="S179" s="13">
        <f t="shared" si="36"/>
        <v>2</v>
      </c>
    </row>
    <row r="180" ht="12.75" customHeight="1">
      <c r="A180" s="18"/>
      <c r="B180" s="49"/>
      <c r="C180" s="50" t="s">
        <v>133</v>
      </c>
      <c r="D180" s="51"/>
      <c r="E180" s="73">
        <v>0.0</v>
      </c>
      <c r="F180" s="73">
        <v>0.0</v>
      </c>
      <c r="G180" s="73">
        <v>0.0</v>
      </c>
      <c r="H180" s="73">
        <v>0.0</v>
      </c>
      <c r="I180" s="73">
        <v>0.0</v>
      </c>
      <c r="J180" s="73">
        <v>1.0</v>
      </c>
      <c r="K180" s="73">
        <v>0.0</v>
      </c>
      <c r="L180" s="73">
        <v>0.0</v>
      </c>
      <c r="M180" s="73">
        <v>1.0</v>
      </c>
      <c r="N180" s="73">
        <v>0.0</v>
      </c>
      <c r="O180" s="73">
        <v>0.0</v>
      </c>
      <c r="P180" s="73">
        <v>0.0</v>
      </c>
      <c r="Q180" s="73">
        <v>0.0</v>
      </c>
      <c r="R180" s="73">
        <v>0.0</v>
      </c>
      <c r="S180" s="13">
        <f t="shared" si="36"/>
        <v>2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0.0</v>
      </c>
      <c r="G181" s="73">
        <v>1.0</v>
      </c>
      <c r="H181" s="73">
        <v>0.0</v>
      </c>
      <c r="I181" s="73">
        <v>1.0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13">
        <f t="shared" si="36"/>
        <v>2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13">
        <f t="shared" si="36"/>
        <v>0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13">
        <f t="shared" si="36"/>
        <v>0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0.0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13">
        <f t="shared" si="36"/>
        <v>0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0.0</v>
      </c>
      <c r="G185" s="80">
        <v>0.0</v>
      </c>
      <c r="H185" s="80">
        <v>0.0</v>
      </c>
      <c r="I185" s="80">
        <v>0.0</v>
      </c>
      <c r="J185" s="80">
        <v>0.0</v>
      </c>
      <c r="K185" s="80">
        <v>0.0</v>
      </c>
      <c r="L185" s="80">
        <v>1.0</v>
      </c>
      <c r="M185" s="80">
        <v>0.0</v>
      </c>
      <c r="N185" s="80">
        <v>0.0</v>
      </c>
      <c r="O185" s="80">
        <v>0.0</v>
      </c>
      <c r="P185" s="80">
        <v>0.0</v>
      </c>
      <c r="Q185" s="80">
        <v>0.0</v>
      </c>
      <c r="R185" s="80">
        <v>0.0</v>
      </c>
      <c r="S185" s="13">
        <f t="shared" si="36"/>
        <v>1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0.0</v>
      </c>
      <c r="Q186" s="80">
        <v>0.0</v>
      </c>
      <c r="R186" s="80">
        <v>0.0</v>
      </c>
      <c r="S186" s="13">
        <f t="shared" si="36"/>
        <v>0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S187" si="37">SUM(E177:E186)</f>
        <v>1</v>
      </c>
      <c r="F187" s="13">
        <f t="shared" si="37"/>
        <v>3</v>
      </c>
      <c r="G187" s="13">
        <f t="shared" si="37"/>
        <v>1</v>
      </c>
      <c r="H187" s="13">
        <f t="shared" si="37"/>
        <v>0</v>
      </c>
      <c r="I187" s="13">
        <f t="shared" si="37"/>
        <v>11</v>
      </c>
      <c r="J187" s="13">
        <f t="shared" si="37"/>
        <v>7</v>
      </c>
      <c r="K187" s="13">
        <f t="shared" si="37"/>
        <v>0</v>
      </c>
      <c r="L187" s="13">
        <f t="shared" si="37"/>
        <v>4</v>
      </c>
      <c r="M187" s="13">
        <f t="shared" si="37"/>
        <v>2</v>
      </c>
      <c r="N187" s="13">
        <f t="shared" si="37"/>
        <v>0</v>
      </c>
      <c r="O187" s="13">
        <f t="shared" si="37"/>
        <v>0</v>
      </c>
      <c r="P187" s="13">
        <f t="shared" si="37"/>
        <v>1</v>
      </c>
      <c r="Q187" s="13">
        <f t="shared" si="37"/>
        <v>2</v>
      </c>
      <c r="R187" s="13">
        <f t="shared" si="37"/>
        <v>1</v>
      </c>
      <c r="S187" s="13">
        <f t="shared" si="37"/>
        <v>33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S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2.0</v>
      </c>
      <c r="M189" s="73">
        <v>0.0</v>
      </c>
      <c r="N189" s="73">
        <v>0.0</v>
      </c>
      <c r="O189" s="73">
        <v>0.0</v>
      </c>
      <c r="P189" s="73">
        <v>0.0</v>
      </c>
      <c r="Q189" s="73">
        <v>1.0</v>
      </c>
      <c r="R189" s="73">
        <v>0.0</v>
      </c>
      <c r="S189" s="13">
        <f t="shared" ref="S189:S198" si="38">SUM(E189:R189)</f>
        <v>3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13">
        <f t="shared" si="38"/>
        <v>0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13">
        <f t="shared" si="38"/>
        <v>0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1.0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13">
        <f t="shared" si="38"/>
        <v>1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13">
        <f t="shared" si="38"/>
        <v>0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13">
        <f t="shared" si="38"/>
        <v>0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13">
        <f t="shared" si="38"/>
        <v>0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0.0</v>
      </c>
      <c r="S196" s="13">
        <f t="shared" si="38"/>
        <v>0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1.0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13">
        <f t="shared" si="38"/>
        <v>1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S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1</v>
      </c>
      <c r="J199" s="13">
        <f t="shared" si="39"/>
        <v>1</v>
      </c>
      <c r="K199" s="13">
        <f t="shared" si="39"/>
        <v>0</v>
      </c>
      <c r="L199" s="13">
        <f t="shared" si="39"/>
        <v>2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5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2.0</v>
      </c>
      <c r="F201" s="73">
        <v>3.0</v>
      </c>
      <c r="G201" s="73">
        <v>3.0</v>
      </c>
      <c r="H201" s="73">
        <v>4.0</v>
      </c>
      <c r="I201" s="73">
        <v>7.0</v>
      </c>
      <c r="J201" s="73">
        <v>3.0</v>
      </c>
      <c r="K201" s="73">
        <v>5.0</v>
      </c>
      <c r="L201" s="73">
        <v>13.0</v>
      </c>
      <c r="M201" s="73">
        <v>6.0</v>
      </c>
      <c r="N201" s="73">
        <v>4.0</v>
      </c>
      <c r="O201" s="73">
        <v>5.0</v>
      </c>
      <c r="P201" s="73">
        <v>10.0</v>
      </c>
      <c r="Q201" s="73">
        <v>7.0</v>
      </c>
      <c r="R201" s="73">
        <v>1.0</v>
      </c>
      <c r="S201" s="13">
        <f t="shared" ref="S201:S210" si="40">SUM(E201:R201)</f>
        <v>73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1.0</v>
      </c>
      <c r="F202" s="73">
        <v>1.0</v>
      </c>
      <c r="G202" s="73">
        <v>1.0</v>
      </c>
      <c r="H202" s="73">
        <v>6.0</v>
      </c>
      <c r="I202" s="73">
        <v>8.0</v>
      </c>
      <c r="J202" s="73">
        <v>2.0</v>
      </c>
      <c r="K202" s="73">
        <v>4.0</v>
      </c>
      <c r="L202" s="73">
        <v>9.0</v>
      </c>
      <c r="M202" s="73">
        <v>7.0</v>
      </c>
      <c r="N202" s="73">
        <v>3.0</v>
      </c>
      <c r="O202" s="73">
        <v>3.0</v>
      </c>
      <c r="P202" s="73">
        <v>7.0</v>
      </c>
      <c r="Q202" s="73">
        <v>5.0</v>
      </c>
      <c r="R202" s="73">
        <v>1.0</v>
      </c>
      <c r="S202" s="13">
        <f t="shared" si="40"/>
        <v>58</v>
      </c>
    </row>
    <row r="203" ht="12.75" customHeight="1">
      <c r="A203" s="18"/>
      <c r="B203" s="49"/>
      <c r="C203" s="50" t="s">
        <v>154</v>
      </c>
      <c r="D203" s="51"/>
      <c r="E203" s="73">
        <v>3.0</v>
      </c>
      <c r="F203" s="73">
        <v>4.0</v>
      </c>
      <c r="G203" s="73">
        <v>2.0</v>
      </c>
      <c r="H203" s="73">
        <v>4.0</v>
      </c>
      <c r="I203" s="73">
        <v>0.0</v>
      </c>
      <c r="J203" s="73">
        <v>2.0</v>
      </c>
      <c r="K203" s="73">
        <v>0.0</v>
      </c>
      <c r="L203" s="73">
        <v>10.0</v>
      </c>
      <c r="M203" s="73">
        <v>3.0</v>
      </c>
      <c r="N203" s="73">
        <v>2.0</v>
      </c>
      <c r="O203" s="73">
        <v>0.0</v>
      </c>
      <c r="P203" s="73">
        <v>9.0</v>
      </c>
      <c r="Q203" s="73">
        <v>0.0</v>
      </c>
      <c r="R203" s="73">
        <v>3.0</v>
      </c>
      <c r="S203" s="13">
        <f t="shared" si="40"/>
        <v>42</v>
      </c>
    </row>
    <row r="204" ht="12.75" customHeight="1">
      <c r="A204" s="18"/>
      <c r="B204" s="49"/>
      <c r="C204" s="50" t="s">
        <v>155</v>
      </c>
      <c r="D204" s="51"/>
      <c r="E204" s="73">
        <v>0.0</v>
      </c>
      <c r="F204" s="73">
        <v>0.0</v>
      </c>
      <c r="G204" s="73">
        <v>0.0</v>
      </c>
      <c r="H204" s="73">
        <v>1.0</v>
      </c>
      <c r="I204" s="73">
        <v>1.0</v>
      </c>
      <c r="J204" s="73">
        <v>2.0</v>
      </c>
      <c r="K204" s="73">
        <v>1.0</v>
      </c>
      <c r="L204" s="73">
        <v>2.0</v>
      </c>
      <c r="M204" s="73">
        <v>0.0</v>
      </c>
      <c r="N204" s="73">
        <v>0.0</v>
      </c>
      <c r="O204" s="73">
        <v>1.0</v>
      </c>
      <c r="P204" s="73">
        <v>1.0</v>
      </c>
      <c r="Q204" s="73">
        <v>0.0</v>
      </c>
      <c r="R204" s="73">
        <v>0.0</v>
      </c>
      <c r="S204" s="13">
        <f t="shared" si="40"/>
        <v>9</v>
      </c>
    </row>
    <row r="205" ht="12.75" customHeight="1">
      <c r="A205" s="18"/>
      <c r="B205" s="49"/>
      <c r="C205" s="50" t="s">
        <v>156</v>
      </c>
      <c r="D205" s="51"/>
      <c r="E205" s="73">
        <v>2.0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1.0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13">
        <f t="shared" si="40"/>
        <v>3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1.0</v>
      </c>
      <c r="Q206" s="73">
        <v>0.0</v>
      </c>
      <c r="R206" s="73">
        <v>0.0</v>
      </c>
      <c r="S206" s="13">
        <f t="shared" si="40"/>
        <v>1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1.0</v>
      </c>
      <c r="K207" s="73">
        <v>0.0</v>
      </c>
      <c r="L207" s="73">
        <v>1.0</v>
      </c>
      <c r="M207" s="73">
        <v>1.0</v>
      </c>
      <c r="N207" s="73">
        <v>0.0</v>
      </c>
      <c r="O207" s="73">
        <v>0.0</v>
      </c>
      <c r="P207" s="73">
        <v>0.0</v>
      </c>
      <c r="Q207" s="73">
        <v>0.0</v>
      </c>
      <c r="R207" s="73">
        <v>0.0</v>
      </c>
      <c r="S207" s="13">
        <f t="shared" si="40"/>
        <v>3</v>
      </c>
    </row>
    <row r="208" ht="12.75" customHeight="1">
      <c r="A208" s="79"/>
      <c r="B208" s="49"/>
      <c r="C208" s="50" t="s">
        <v>159</v>
      </c>
      <c r="D208" s="51"/>
      <c r="E208" s="80">
        <v>0.0</v>
      </c>
      <c r="F208" s="80">
        <v>1.0</v>
      </c>
      <c r="G208" s="80">
        <v>2.0</v>
      </c>
      <c r="H208" s="80">
        <v>0.0</v>
      </c>
      <c r="I208" s="80">
        <v>0.0</v>
      </c>
      <c r="J208" s="80">
        <v>0.0</v>
      </c>
      <c r="K208" s="80">
        <v>0.0</v>
      </c>
      <c r="L208" s="80">
        <v>2.0</v>
      </c>
      <c r="M208" s="80">
        <v>1.0</v>
      </c>
      <c r="N208" s="80">
        <v>0.0</v>
      </c>
      <c r="O208" s="80">
        <v>1.0</v>
      </c>
      <c r="P208" s="80">
        <v>0.0</v>
      </c>
      <c r="Q208" s="80">
        <v>0.0</v>
      </c>
      <c r="R208" s="80">
        <v>1.0</v>
      </c>
      <c r="S208" s="13">
        <f t="shared" si="40"/>
        <v>8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13">
        <f t="shared" si="40"/>
        <v>0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0.0</v>
      </c>
      <c r="H210" s="80">
        <v>0.0</v>
      </c>
      <c r="I210" s="80">
        <v>0.0</v>
      </c>
      <c r="J210" s="80">
        <v>0.0</v>
      </c>
      <c r="K210" s="80">
        <v>0.0</v>
      </c>
      <c r="L210" s="80">
        <v>1.0</v>
      </c>
      <c r="M210" s="80">
        <v>0.0</v>
      </c>
      <c r="N210" s="80">
        <v>0.0</v>
      </c>
      <c r="O210" s="80">
        <v>0.0</v>
      </c>
      <c r="P210" s="80">
        <v>0.0</v>
      </c>
      <c r="Q210" s="80">
        <v>1.0</v>
      </c>
      <c r="R210" s="80">
        <v>0.0</v>
      </c>
      <c r="S210" s="13">
        <f t="shared" si="40"/>
        <v>2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S211" si="41">SUM(E201:E210)</f>
        <v>8</v>
      </c>
      <c r="F211" s="13">
        <f t="shared" si="41"/>
        <v>9</v>
      </c>
      <c r="G211" s="13">
        <f t="shared" si="41"/>
        <v>8</v>
      </c>
      <c r="H211" s="13">
        <f t="shared" si="41"/>
        <v>15</v>
      </c>
      <c r="I211" s="13">
        <f t="shared" si="41"/>
        <v>16</v>
      </c>
      <c r="J211" s="13">
        <f t="shared" si="41"/>
        <v>10</v>
      </c>
      <c r="K211" s="13">
        <f t="shared" si="41"/>
        <v>10</v>
      </c>
      <c r="L211" s="13">
        <f t="shared" si="41"/>
        <v>38</v>
      </c>
      <c r="M211" s="13">
        <f t="shared" si="41"/>
        <v>19</v>
      </c>
      <c r="N211" s="13">
        <f t="shared" si="41"/>
        <v>9</v>
      </c>
      <c r="O211" s="13">
        <f t="shared" si="41"/>
        <v>10</v>
      </c>
      <c r="P211" s="13">
        <f t="shared" si="41"/>
        <v>28</v>
      </c>
      <c r="Q211" s="13">
        <f t="shared" si="41"/>
        <v>13</v>
      </c>
      <c r="R211" s="13">
        <f t="shared" si="41"/>
        <v>6</v>
      </c>
      <c r="S211" s="13">
        <f t="shared" si="41"/>
        <v>199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2.0</v>
      </c>
      <c r="F213" s="73">
        <v>1.0</v>
      </c>
      <c r="G213" s="73">
        <v>0.0</v>
      </c>
      <c r="H213" s="73">
        <v>1.0</v>
      </c>
      <c r="I213" s="73">
        <v>2.0</v>
      </c>
      <c r="J213" s="73">
        <v>4.0</v>
      </c>
      <c r="K213" s="73">
        <v>1.0</v>
      </c>
      <c r="L213" s="73">
        <v>1.0</v>
      </c>
      <c r="M213" s="73">
        <v>2.0</v>
      </c>
      <c r="N213" s="73">
        <v>2.0</v>
      </c>
      <c r="O213" s="73">
        <v>0.0</v>
      </c>
      <c r="P213" s="73">
        <v>1.0</v>
      </c>
      <c r="Q213" s="73">
        <v>3.0</v>
      </c>
      <c r="R213" s="73">
        <v>2.0</v>
      </c>
      <c r="S213" s="13">
        <f t="shared" ref="S213:S222" si="42">SUM(E213:R213)</f>
        <v>22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3.0</v>
      </c>
      <c r="F214" s="73">
        <v>0.0</v>
      </c>
      <c r="G214" s="73">
        <v>1.0</v>
      </c>
      <c r="H214" s="73">
        <v>1.0</v>
      </c>
      <c r="I214" s="73">
        <v>0.0</v>
      </c>
      <c r="J214" s="73">
        <v>0.0</v>
      </c>
      <c r="K214" s="73">
        <v>0.0</v>
      </c>
      <c r="L214" s="73">
        <v>0.0</v>
      </c>
      <c r="M214" s="73">
        <v>1.0</v>
      </c>
      <c r="N214" s="73">
        <v>1.0</v>
      </c>
      <c r="O214" s="73">
        <v>0.0</v>
      </c>
      <c r="P214" s="73">
        <v>1.0</v>
      </c>
      <c r="Q214" s="73">
        <v>0.0</v>
      </c>
      <c r="R214" s="73">
        <v>2.0</v>
      </c>
      <c r="S214" s="13">
        <f t="shared" si="42"/>
        <v>10</v>
      </c>
    </row>
    <row r="215" ht="12.75" customHeight="1">
      <c r="A215" s="18"/>
      <c r="B215" s="49"/>
      <c r="C215" s="50" t="s">
        <v>165</v>
      </c>
      <c r="D215" s="51"/>
      <c r="E215" s="73">
        <v>0.0</v>
      </c>
      <c r="F215" s="73">
        <v>1.0</v>
      </c>
      <c r="G215" s="73">
        <v>1.0</v>
      </c>
      <c r="H215" s="73">
        <v>1.0</v>
      </c>
      <c r="I215" s="73">
        <v>3.0</v>
      </c>
      <c r="J215" s="73">
        <v>3.0</v>
      </c>
      <c r="K215" s="73">
        <v>3.0</v>
      </c>
      <c r="L215" s="73">
        <v>3.0</v>
      </c>
      <c r="M215" s="73">
        <v>0.0</v>
      </c>
      <c r="N215" s="73">
        <v>0.0</v>
      </c>
      <c r="O215" s="73">
        <v>1.0</v>
      </c>
      <c r="P215" s="73">
        <v>2.0</v>
      </c>
      <c r="Q215" s="73">
        <v>1.0</v>
      </c>
      <c r="R215" s="73">
        <v>2.0</v>
      </c>
      <c r="S215" s="13">
        <f t="shared" si="42"/>
        <v>21</v>
      </c>
    </row>
    <row r="216" ht="12.75" customHeight="1">
      <c r="A216" s="18"/>
      <c r="B216" s="49"/>
      <c r="C216" s="50" t="s">
        <v>166</v>
      </c>
      <c r="D216" s="51"/>
      <c r="E216" s="73">
        <v>0.0</v>
      </c>
      <c r="F216" s="73">
        <v>0.0</v>
      </c>
      <c r="G216" s="73">
        <v>1.0</v>
      </c>
      <c r="H216" s="73">
        <v>0.0</v>
      </c>
      <c r="I216" s="73">
        <v>0.0</v>
      </c>
      <c r="J216" s="73">
        <v>0.0</v>
      </c>
      <c r="K216" s="73">
        <v>1.0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1.0</v>
      </c>
      <c r="R216" s="73">
        <v>0.0</v>
      </c>
      <c r="S216" s="13">
        <f t="shared" si="42"/>
        <v>3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S223" si="43">SUM(E213:E222)</f>
        <v>5</v>
      </c>
      <c r="F223" s="13">
        <f t="shared" si="43"/>
        <v>2</v>
      </c>
      <c r="G223" s="13">
        <f t="shared" si="43"/>
        <v>3</v>
      </c>
      <c r="H223" s="13">
        <f t="shared" si="43"/>
        <v>3</v>
      </c>
      <c r="I223" s="13">
        <f t="shared" si="43"/>
        <v>5</v>
      </c>
      <c r="J223" s="13">
        <f t="shared" si="43"/>
        <v>7</v>
      </c>
      <c r="K223" s="13">
        <f t="shared" si="43"/>
        <v>5</v>
      </c>
      <c r="L223" s="13">
        <f t="shared" si="43"/>
        <v>4</v>
      </c>
      <c r="M223" s="13">
        <f t="shared" si="43"/>
        <v>3</v>
      </c>
      <c r="N223" s="13">
        <f t="shared" si="43"/>
        <v>3</v>
      </c>
      <c r="O223" s="13">
        <f t="shared" si="43"/>
        <v>1</v>
      </c>
      <c r="P223" s="13">
        <f t="shared" si="43"/>
        <v>4</v>
      </c>
      <c r="Q223" s="13">
        <f t="shared" si="43"/>
        <v>5</v>
      </c>
      <c r="R223" s="13">
        <f t="shared" si="43"/>
        <v>6</v>
      </c>
      <c r="S223" s="13">
        <f t="shared" si="43"/>
        <v>56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1.0</v>
      </c>
      <c r="K225" s="73">
        <v>0.0</v>
      </c>
      <c r="L225" s="73">
        <v>1.0</v>
      </c>
      <c r="M225" s="73">
        <v>0.0</v>
      </c>
      <c r="N225" s="73">
        <v>0.0</v>
      </c>
      <c r="O225" s="73">
        <v>1.0</v>
      </c>
      <c r="P225" s="73">
        <v>0.0</v>
      </c>
      <c r="Q225" s="73">
        <v>0.0</v>
      </c>
      <c r="R225" s="73">
        <v>0.0</v>
      </c>
      <c r="S225" s="13">
        <f t="shared" ref="S225:S234" si="44">SUM(E225:R225)</f>
        <v>3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1.0</v>
      </c>
      <c r="G226" s="73">
        <v>0.0</v>
      </c>
      <c r="H226" s="73">
        <v>3.0</v>
      </c>
      <c r="I226" s="73">
        <v>0.0</v>
      </c>
      <c r="J226" s="73">
        <v>1.0</v>
      </c>
      <c r="K226" s="73">
        <v>0.0</v>
      </c>
      <c r="L226" s="73">
        <v>1.0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13">
        <f t="shared" si="44"/>
        <v>6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1.0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13">
        <f t="shared" si="44"/>
        <v>1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1.0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13">
        <f t="shared" si="44"/>
        <v>1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1.0</v>
      </c>
      <c r="O229" s="73">
        <v>0.0</v>
      </c>
      <c r="P229" s="73">
        <v>1.0</v>
      </c>
      <c r="Q229" s="73">
        <v>0.0</v>
      </c>
      <c r="R229" s="73">
        <v>0.0</v>
      </c>
      <c r="S229" s="13">
        <f t="shared" si="44"/>
        <v>2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S235" si="45">SUM(E225:E234)</f>
        <v>0</v>
      </c>
      <c r="F235" s="13">
        <f t="shared" si="45"/>
        <v>1</v>
      </c>
      <c r="G235" s="13">
        <f t="shared" si="45"/>
        <v>1</v>
      </c>
      <c r="H235" s="13">
        <f t="shared" si="45"/>
        <v>4</v>
      </c>
      <c r="I235" s="13">
        <f t="shared" si="45"/>
        <v>0</v>
      </c>
      <c r="J235" s="13">
        <f t="shared" si="45"/>
        <v>2</v>
      </c>
      <c r="K235" s="13">
        <f t="shared" si="45"/>
        <v>0</v>
      </c>
      <c r="L235" s="13">
        <f t="shared" si="45"/>
        <v>2</v>
      </c>
      <c r="M235" s="13">
        <f t="shared" si="45"/>
        <v>0</v>
      </c>
      <c r="N235" s="13">
        <f t="shared" si="45"/>
        <v>1</v>
      </c>
      <c r="O235" s="13">
        <f t="shared" si="45"/>
        <v>1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13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0.0</v>
      </c>
      <c r="F237" s="73">
        <v>2.0</v>
      </c>
      <c r="G237" s="73">
        <v>3.0</v>
      </c>
      <c r="H237" s="73">
        <v>1.0</v>
      </c>
      <c r="I237" s="73">
        <v>4.0</v>
      </c>
      <c r="J237" s="73">
        <v>2.0</v>
      </c>
      <c r="K237" s="73">
        <v>0.0</v>
      </c>
      <c r="L237" s="73">
        <v>0.0</v>
      </c>
      <c r="M237" s="73">
        <v>0.0</v>
      </c>
      <c r="N237" s="73">
        <v>0.0</v>
      </c>
      <c r="O237" s="73">
        <v>0.0</v>
      </c>
      <c r="P237" s="73">
        <v>0.0</v>
      </c>
      <c r="Q237" s="73">
        <v>2.0</v>
      </c>
      <c r="R237" s="73">
        <v>0.0</v>
      </c>
      <c r="S237" s="13">
        <f t="shared" ref="S237:S246" si="46">SUM(E237:R237)</f>
        <v>14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0.0</v>
      </c>
      <c r="F238" s="73">
        <v>2.0</v>
      </c>
      <c r="G238" s="73">
        <v>2.0</v>
      </c>
      <c r="H238" s="73">
        <v>1.0</v>
      </c>
      <c r="I238" s="73">
        <v>0.0</v>
      </c>
      <c r="J238" s="73">
        <v>1.0</v>
      </c>
      <c r="K238" s="73">
        <v>1.0</v>
      </c>
      <c r="L238" s="73">
        <v>0.0</v>
      </c>
      <c r="M238" s="73">
        <v>0.0</v>
      </c>
      <c r="N238" s="73">
        <v>0.0</v>
      </c>
      <c r="O238" s="73">
        <v>1.0</v>
      </c>
      <c r="P238" s="73">
        <v>0.0</v>
      </c>
      <c r="Q238" s="73">
        <v>0.0</v>
      </c>
      <c r="R238" s="73">
        <v>0.0</v>
      </c>
      <c r="S238" s="13">
        <f t="shared" si="46"/>
        <v>8</v>
      </c>
    </row>
    <row r="239" ht="12.75" customHeight="1">
      <c r="A239" s="18"/>
      <c r="B239" s="49"/>
      <c r="C239" s="50" t="s">
        <v>176</v>
      </c>
      <c r="D239" s="51"/>
      <c r="E239" s="73">
        <v>2.0</v>
      </c>
      <c r="F239" s="73">
        <v>1.0</v>
      </c>
      <c r="G239" s="73">
        <v>23.0</v>
      </c>
      <c r="H239" s="73">
        <v>7.0</v>
      </c>
      <c r="I239" s="73">
        <v>5.0</v>
      </c>
      <c r="J239" s="73">
        <v>1.0</v>
      </c>
      <c r="K239" s="73">
        <v>0.0</v>
      </c>
      <c r="L239" s="73">
        <v>1.0</v>
      </c>
      <c r="M239" s="73">
        <v>0.0</v>
      </c>
      <c r="N239" s="73">
        <v>0.0</v>
      </c>
      <c r="O239" s="73">
        <v>1.0</v>
      </c>
      <c r="P239" s="73">
        <v>0.0</v>
      </c>
      <c r="Q239" s="73">
        <v>0.0</v>
      </c>
      <c r="R239" s="73">
        <v>0.0</v>
      </c>
      <c r="S239" s="13">
        <f t="shared" si="46"/>
        <v>41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0.0</v>
      </c>
      <c r="H240" s="73">
        <v>1.0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1.0</v>
      </c>
      <c r="O240" s="73">
        <v>0.0</v>
      </c>
      <c r="P240" s="73">
        <v>0.0</v>
      </c>
      <c r="Q240" s="73">
        <v>0.0</v>
      </c>
      <c r="R240" s="73">
        <v>0.0</v>
      </c>
      <c r="S240" s="13">
        <f t="shared" si="46"/>
        <v>2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1.0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13">
        <f t="shared" si="46"/>
        <v>1</v>
      </c>
    </row>
    <row r="242" ht="12.75" customHeight="1">
      <c r="A242" s="18"/>
      <c r="B242" s="49"/>
      <c r="C242" s="50" t="s">
        <v>179</v>
      </c>
      <c r="D242" s="51"/>
      <c r="E242" s="73">
        <v>2.0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13">
        <f t="shared" si="46"/>
        <v>2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13">
        <f t="shared" si="46"/>
        <v>0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13">
        <f t="shared" si="46"/>
        <v>0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80">
        <v>0.0</v>
      </c>
      <c r="S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0.0</v>
      </c>
      <c r="I246" s="80">
        <v>0.0</v>
      </c>
      <c r="J246" s="80">
        <v>0.0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13">
        <f t="shared" si="46"/>
        <v>0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S247" si="47">SUM(E237:E246)</f>
        <v>4</v>
      </c>
      <c r="F247" s="13">
        <f t="shared" si="47"/>
        <v>5</v>
      </c>
      <c r="G247" s="13">
        <f t="shared" si="47"/>
        <v>29</v>
      </c>
      <c r="H247" s="13">
        <f t="shared" si="47"/>
        <v>10</v>
      </c>
      <c r="I247" s="13">
        <f t="shared" si="47"/>
        <v>9</v>
      </c>
      <c r="J247" s="13">
        <f t="shared" si="47"/>
        <v>4</v>
      </c>
      <c r="K247" s="13">
        <f t="shared" si="47"/>
        <v>1</v>
      </c>
      <c r="L247" s="13">
        <f t="shared" si="47"/>
        <v>1</v>
      </c>
      <c r="M247" s="13">
        <f t="shared" si="47"/>
        <v>0</v>
      </c>
      <c r="N247" s="13">
        <f t="shared" si="47"/>
        <v>1</v>
      </c>
      <c r="O247" s="13">
        <f t="shared" si="47"/>
        <v>2</v>
      </c>
      <c r="P247" s="13">
        <f t="shared" si="47"/>
        <v>0</v>
      </c>
      <c r="Q247" s="13">
        <f t="shared" si="47"/>
        <v>2</v>
      </c>
      <c r="R247" s="13">
        <f t="shared" si="47"/>
        <v>0</v>
      </c>
      <c r="S247" s="13">
        <f t="shared" si="47"/>
        <v>68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2.0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1.0</v>
      </c>
      <c r="M249" s="73">
        <v>0.0</v>
      </c>
      <c r="N249" s="73">
        <v>0.0</v>
      </c>
      <c r="O249" s="73">
        <v>1.0</v>
      </c>
      <c r="P249" s="73">
        <v>0.0</v>
      </c>
      <c r="Q249" s="73">
        <v>1.0</v>
      </c>
      <c r="R249" s="73">
        <v>0.0</v>
      </c>
      <c r="S249" s="13">
        <f t="shared" ref="S249:S258" si="48">SUM(E249:R249)</f>
        <v>5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2.0</v>
      </c>
      <c r="G250" s="73">
        <v>1.0</v>
      </c>
      <c r="H250" s="73">
        <v>1.0</v>
      </c>
      <c r="I250" s="73">
        <v>2.0</v>
      </c>
      <c r="J250" s="73">
        <v>1.0</v>
      </c>
      <c r="K250" s="73">
        <v>0.0</v>
      </c>
      <c r="L250" s="73">
        <v>0.0</v>
      </c>
      <c r="M250" s="73">
        <v>0.0</v>
      </c>
      <c r="N250" s="73">
        <v>1.0</v>
      </c>
      <c r="O250" s="73">
        <v>2.0</v>
      </c>
      <c r="P250" s="73">
        <v>0.0</v>
      </c>
      <c r="Q250" s="73">
        <v>0.0</v>
      </c>
      <c r="R250" s="73">
        <v>0.0</v>
      </c>
      <c r="S250" s="13">
        <f t="shared" si="48"/>
        <v>10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2.0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13">
        <f t="shared" si="48"/>
        <v>2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1.0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13">
        <f t="shared" si="48"/>
        <v>1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S259" si="49">SUM(E249:E258)</f>
        <v>0</v>
      </c>
      <c r="F259" s="13">
        <f t="shared" si="49"/>
        <v>6</v>
      </c>
      <c r="G259" s="13">
        <f t="shared" si="49"/>
        <v>1</v>
      </c>
      <c r="H259" s="13">
        <f t="shared" si="49"/>
        <v>1</v>
      </c>
      <c r="I259" s="13">
        <f t="shared" si="49"/>
        <v>2</v>
      </c>
      <c r="J259" s="13">
        <f t="shared" si="49"/>
        <v>1</v>
      </c>
      <c r="K259" s="13">
        <f t="shared" si="49"/>
        <v>0</v>
      </c>
      <c r="L259" s="13">
        <f t="shared" si="49"/>
        <v>2</v>
      </c>
      <c r="M259" s="13">
        <f t="shared" si="49"/>
        <v>0</v>
      </c>
      <c r="N259" s="13">
        <f t="shared" si="49"/>
        <v>1</v>
      </c>
      <c r="O259" s="13">
        <f t="shared" si="49"/>
        <v>3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18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R262" si="50">E55+E67+E79+E91+E103+E115+E127+E139+E151+E163+E175+E187+E199+E211+E223+E235+E247+E259</f>
        <v>134</v>
      </c>
      <c r="F262" s="19">
        <f t="shared" si="50"/>
        <v>121</v>
      </c>
      <c r="G262" s="19">
        <f t="shared" si="50"/>
        <v>141</v>
      </c>
      <c r="H262" s="19">
        <f t="shared" si="50"/>
        <v>183</v>
      </c>
      <c r="I262" s="19">
        <f t="shared" si="50"/>
        <v>173</v>
      </c>
      <c r="J262" s="19">
        <f t="shared" si="50"/>
        <v>171</v>
      </c>
      <c r="K262" s="19">
        <f t="shared" si="50"/>
        <v>195</v>
      </c>
      <c r="L262" s="19">
        <f t="shared" si="50"/>
        <v>204</v>
      </c>
      <c r="M262" s="19">
        <f t="shared" si="50"/>
        <v>136</v>
      </c>
      <c r="N262" s="19">
        <f t="shared" si="50"/>
        <v>114</v>
      </c>
      <c r="O262" s="19">
        <f t="shared" si="50"/>
        <v>88</v>
      </c>
      <c r="P262" s="19">
        <f t="shared" si="50"/>
        <v>158</v>
      </c>
      <c r="Q262" s="19">
        <f t="shared" si="50"/>
        <v>174</v>
      </c>
      <c r="R262" s="19">
        <f t="shared" si="50"/>
        <v>160</v>
      </c>
      <c r="S262" s="13">
        <f t="shared" ref="S262:S264" si="51">SUM(E262:R262)</f>
        <v>2152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17.0</v>
      </c>
      <c r="F263" s="73">
        <v>12.0</v>
      </c>
      <c r="G263" s="73">
        <v>20.0</v>
      </c>
      <c r="H263" s="73">
        <v>28.0</v>
      </c>
      <c r="I263" s="73">
        <v>27.0</v>
      </c>
      <c r="J263" s="73">
        <v>28.0</v>
      </c>
      <c r="K263" s="73">
        <v>27.0</v>
      </c>
      <c r="L263" s="73">
        <v>25.0</v>
      </c>
      <c r="M263" s="73">
        <v>30.0</v>
      </c>
      <c r="N263" s="73">
        <v>34.0</v>
      </c>
      <c r="O263" s="73">
        <v>18.0</v>
      </c>
      <c r="P263" s="73">
        <v>41.0</v>
      </c>
      <c r="Q263" s="73">
        <v>38.0</v>
      </c>
      <c r="R263" s="73">
        <v>31.0</v>
      </c>
      <c r="S263" s="13">
        <f t="shared" si="51"/>
        <v>376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R264" si="52">SUM(E262:E263)</f>
        <v>151</v>
      </c>
      <c r="F264" s="13">
        <f t="shared" si="52"/>
        <v>133</v>
      </c>
      <c r="G264" s="13">
        <f t="shared" si="52"/>
        <v>161</v>
      </c>
      <c r="H264" s="13">
        <f t="shared" si="52"/>
        <v>211</v>
      </c>
      <c r="I264" s="13">
        <f t="shared" si="52"/>
        <v>200</v>
      </c>
      <c r="J264" s="13">
        <f t="shared" si="52"/>
        <v>199</v>
      </c>
      <c r="K264" s="13">
        <f t="shared" si="52"/>
        <v>222</v>
      </c>
      <c r="L264" s="13">
        <f t="shared" si="52"/>
        <v>229</v>
      </c>
      <c r="M264" s="13">
        <f t="shared" si="52"/>
        <v>166</v>
      </c>
      <c r="N264" s="13">
        <f t="shared" si="52"/>
        <v>148</v>
      </c>
      <c r="O264" s="13">
        <f t="shared" si="52"/>
        <v>106</v>
      </c>
      <c r="P264" s="13">
        <f t="shared" si="52"/>
        <v>199</v>
      </c>
      <c r="Q264" s="13">
        <f t="shared" si="52"/>
        <v>212</v>
      </c>
      <c r="R264" s="13">
        <f t="shared" si="52"/>
        <v>191</v>
      </c>
      <c r="S264" s="13">
        <f t="shared" si="51"/>
        <v>2528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36"/>
    </row>
    <row r="14" ht="12.75" customHeight="1">
      <c r="A14" s="18"/>
      <c r="B14" s="22" t="s">
        <v>10</v>
      </c>
      <c r="C14" s="23"/>
      <c r="D14" s="19" t="s">
        <v>11</v>
      </c>
      <c r="E14" s="73">
        <v>141.0</v>
      </c>
      <c r="F14" s="73">
        <v>119.0</v>
      </c>
      <c r="G14" s="73">
        <v>124.0</v>
      </c>
      <c r="H14" s="73">
        <v>130.0</v>
      </c>
      <c r="I14" s="73">
        <v>134.0</v>
      </c>
      <c r="J14" s="73">
        <v>137.0</v>
      </c>
      <c r="K14" s="73">
        <v>100.0</v>
      </c>
      <c r="L14" s="73">
        <v>114.0</v>
      </c>
      <c r="M14" s="73">
        <v>134.0</v>
      </c>
      <c r="N14" s="73">
        <v>120.0</v>
      </c>
      <c r="O14" s="73">
        <v>81.0</v>
      </c>
      <c r="P14" s="73">
        <v>92.0</v>
      </c>
      <c r="Q14" s="73">
        <v>78.0</v>
      </c>
      <c r="R14" s="13">
        <f t="shared" ref="R14:R16" si="1">SUM(E14:Q14)</f>
        <v>1504</v>
      </c>
    </row>
    <row r="15" ht="12.75" customHeight="1">
      <c r="A15" s="18"/>
      <c r="B15" s="26"/>
      <c r="C15" s="27"/>
      <c r="D15" s="19" t="s">
        <v>12</v>
      </c>
      <c r="E15" s="73">
        <v>149.0</v>
      </c>
      <c r="F15" s="73">
        <v>116.0</v>
      </c>
      <c r="G15" s="73">
        <v>143.0</v>
      </c>
      <c r="H15" s="73">
        <v>157.0</v>
      </c>
      <c r="I15" s="73">
        <v>129.0</v>
      </c>
      <c r="J15" s="73">
        <v>138.0</v>
      </c>
      <c r="K15" s="73">
        <v>107.0</v>
      </c>
      <c r="L15" s="73">
        <v>125.0</v>
      </c>
      <c r="M15" s="73">
        <v>144.0</v>
      </c>
      <c r="N15" s="73">
        <v>126.0</v>
      </c>
      <c r="O15" s="73">
        <v>87.0</v>
      </c>
      <c r="P15" s="73">
        <v>105.0</v>
      </c>
      <c r="Q15" s="73">
        <v>84.0</v>
      </c>
      <c r="R15" s="13">
        <f t="shared" si="1"/>
        <v>1610</v>
      </c>
    </row>
    <row r="16" ht="12.75" customHeight="1">
      <c r="A16" s="25"/>
      <c r="B16" s="21"/>
      <c r="C16" s="28"/>
      <c r="D16" s="13" t="s">
        <v>13</v>
      </c>
      <c r="E16" s="13">
        <f t="shared" ref="E16:Q16" si="2">SUM(E14:E15)</f>
        <v>290</v>
      </c>
      <c r="F16" s="13">
        <f t="shared" si="2"/>
        <v>235</v>
      </c>
      <c r="G16" s="13">
        <f t="shared" si="2"/>
        <v>267</v>
      </c>
      <c r="H16" s="13">
        <f t="shared" si="2"/>
        <v>287</v>
      </c>
      <c r="I16" s="13">
        <f t="shared" si="2"/>
        <v>263</v>
      </c>
      <c r="J16" s="13">
        <f t="shared" si="2"/>
        <v>275</v>
      </c>
      <c r="K16" s="13">
        <f t="shared" si="2"/>
        <v>207</v>
      </c>
      <c r="L16" s="13">
        <f t="shared" si="2"/>
        <v>239</v>
      </c>
      <c r="M16" s="13">
        <f t="shared" si="2"/>
        <v>278</v>
      </c>
      <c r="N16" s="13">
        <f t="shared" si="2"/>
        <v>246</v>
      </c>
      <c r="O16" s="13">
        <f t="shared" si="2"/>
        <v>168</v>
      </c>
      <c r="P16" s="13">
        <f t="shared" si="2"/>
        <v>197</v>
      </c>
      <c r="Q16" s="13">
        <f t="shared" si="2"/>
        <v>162</v>
      </c>
      <c r="R16" s="13">
        <f t="shared" si="1"/>
        <v>3114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93.0</v>
      </c>
      <c r="F19" s="73">
        <v>95.0</v>
      </c>
      <c r="G19" s="73">
        <v>83.0</v>
      </c>
      <c r="H19" s="73">
        <v>91.0</v>
      </c>
      <c r="I19" s="73">
        <v>103.0</v>
      </c>
      <c r="J19" s="73">
        <v>90.0</v>
      </c>
      <c r="K19" s="73">
        <v>62.0</v>
      </c>
      <c r="L19" s="73">
        <v>95.0</v>
      </c>
      <c r="M19" s="73">
        <v>100.0</v>
      </c>
      <c r="N19" s="73">
        <v>96.0</v>
      </c>
      <c r="O19" s="73">
        <v>59.0</v>
      </c>
      <c r="P19" s="73">
        <v>74.0</v>
      </c>
      <c r="Q19" s="73">
        <v>58.0</v>
      </c>
      <c r="R19" s="13">
        <f t="shared" ref="R19:R30" si="3">SUM(E19:Q19)</f>
        <v>1099</v>
      </c>
    </row>
    <row r="20" ht="12.75" customHeight="1">
      <c r="A20" s="33"/>
      <c r="B20" s="27"/>
      <c r="C20" s="34"/>
      <c r="D20" s="19" t="s">
        <v>12</v>
      </c>
      <c r="E20" s="73">
        <v>109.0</v>
      </c>
      <c r="F20" s="73">
        <v>94.0</v>
      </c>
      <c r="G20" s="73">
        <v>106.0</v>
      </c>
      <c r="H20" s="73">
        <v>111.0</v>
      </c>
      <c r="I20" s="73">
        <v>104.0</v>
      </c>
      <c r="J20" s="73">
        <v>112.0</v>
      </c>
      <c r="K20" s="73">
        <v>80.0</v>
      </c>
      <c r="L20" s="73">
        <v>105.0</v>
      </c>
      <c r="M20" s="73">
        <v>108.0</v>
      </c>
      <c r="N20" s="73">
        <v>107.0</v>
      </c>
      <c r="O20" s="73">
        <v>75.0</v>
      </c>
      <c r="P20" s="73">
        <v>84.0</v>
      </c>
      <c r="Q20" s="73">
        <v>60.0</v>
      </c>
      <c r="R20" s="13">
        <f t="shared" si="3"/>
        <v>1255</v>
      </c>
    </row>
    <row r="21" ht="12.75" customHeight="1">
      <c r="A21" s="35"/>
      <c r="B21" s="28"/>
      <c r="C21" s="36"/>
      <c r="D21" s="13" t="s">
        <v>13</v>
      </c>
      <c r="E21" s="13">
        <f t="shared" ref="E21:Q21" si="4">SUM(E19:E20)</f>
        <v>202</v>
      </c>
      <c r="F21" s="13">
        <f t="shared" si="4"/>
        <v>189</v>
      </c>
      <c r="G21" s="13">
        <f t="shared" si="4"/>
        <v>189</v>
      </c>
      <c r="H21" s="13">
        <f t="shared" si="4"/>
        <v>202</v>
      </c>
      <c r="I21" s="13">
        <f t="shared" si="4"/>
        <v>207</v>
      </c>
      <c r="J21" s="13">
        <f t="shared" si="4"/>
        <v>202</v>
      </c>
      <c r="K21" s="13">
        <f t="shared" si="4"/>
        <v>142</v>
      </c>
      <c r="L21" s="13">
        <f t="shared" si="4"/>
        <v>200</v>
      </c>
      <c r="M21" s="13">
        <f t="shared" si="4"/>
        <v>208</v>
      </c>
      <c r="N21" s="13">
        <f t="shared" si="4"/>
        <v>203</v>
      </c>
      <c r="O21" s="13">
        <f t="shared" si="4"/>
        <v>134</v>
      </c>
      <c r="P21" s="13">
        <f t="shared" si="4"/>
        <v>158</v>
      </c>
      <c r="Q21" s="13">
        <f t="shared" si="4"/>
        <v>118</v>
      </c>
      <c r="R21" s="13">
        <f t="shared" si="3"/>
        <v>2354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2.0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3.0</v>
      </c>
      <c r="J23" s="73">
        <v>0.0</v>
      </c>
      <c r="K23" s="73">
        <v>0.0</v>
      </c>
      <c r="L23" s="73">
        <v>0.0</v>
      </c>
      <c r="M23" s="73">
        <v>2.0</v>
      </c>
      <c r="N23" s="73">
        <v>0.0</v>
      </c>
      <c r="O23" s="73">
        <v>1.0</v>
      </c>
      <c r="P23" s="73">
        <v>0.0</v>
      </c>
      <c r="Q23" s="73">
        <v>0.0</v>
      </c>
      <c r="R23" s="13">
        <f t="shared" si="3"/>
        <v>6</v>
      </c>
    </row>
    <row r="24" ht="12.75" customHeight="1">
      <c r="A24" s="35"/>
      <c r="B24" s="28"/>
      <c r="C24" s="36"/>
      <c r="D24" s="13" t="s">
        <v>13</v>
      </c>
      <c r="E24" s="13">
        <f t="shared" ref="E24: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5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3"/>
        <v>8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1.0</v>
      </c>
      <c r="F25" s="73">
        <v>1.0</v>
      </c>
      <c r="G25" s="73">
        <v>0.0</v>
      </c>
      <c r="H25" s="73">
        <v>2.0</v>
      </c>
      <c r="I25" s="73">
        <v>0.0</v>
      </c>
      <c r="J25" s="73">
        <v>1.0</v>
      </c>
      <c r="K25" s="73">
        <v>2.0</v>
      </c>
      <c r="L25" s="73">
        <v>0.0</v>
      </c>
      <c r="M25" s="73">
        <v>3.0</v>
      </c>
      <c r="N25" s="73">
        <v>3.0</v>
      </c>
      <c r="O25" s="73">
        <v>0.0</v>
      </c>
      <c r="P25" s="73">
        <v>0.0</v>
      </c>
      <c r="Q25" s="73">
        <v>3.0</v>
      </c>
      <c r="R25" s="13">
        <f t="shared" si="3"/>
        <v>16</v>
      </c>
    </row>
    <row r="26" ht="12.75" customHeight="1">
      <c r="A26" s="33"/>
      <c r="B26" s="27"/>
      <c r="C26" s="34"/>
      <c r="D26" s="19" t="s">
        <v>12</v>
      </c>
      <c r="E26" s="73">
        <v>2.0</v>
      </c>
      <c r="F26" s="73">
        <v>0.0</v>
      </c>
      <c r="G26" s="73">
        <v>0.0</v>
      </c>
      <c r="H26" s="73">
        <v>1.0</v>
      </c>
      <c r="I26" s="73">
        <v>0.0</v>
      </c>
      <c r="J26" s="73">
        <v>1.0</v>
      </c>
      <c r="K26" s="73">
        <v>0.0</v>
      </c>
      <c r="L26" s="73">
        <v>1.0</v>
      </c>
      <c r="M26" s="73">
        <v>4.0</v>
      </c>
      <c r="N26" s="73">
        <v>1.0</v>
      </c>
      <c r="O26" s="73">
        <v>3.0</v>
      </c>
      <c r="P26" s="73">
        <v>0.0</v>
      </c>
      <c r="Q26" s="73">
        <v>3.0</v>
      </c>
      <c r="R26" s="13">
        <f t="shared" si="3"/>
        <v>16</v>
      </c>
    </row>
    <row r="27" ht="12.75" customHeight="1">
      <c r="A27" s="35"/>
      <c r="B27" s="28"/>
      <c r="C27" s="36"/>
      <c r="D27" s="13" t="s">
        <v>13</v>
      </c>
      <c r="E27" s="13">
        <f t="shared" ref="E27:Q27" si="6">SUM(E25:E26)</f>
        <v>3</v>
      </c>
      <c r="F27" s="13">
        <f t="shared" si="6"/>
        <v>1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2</v>
      </c>
      <c r="K27" s="13">
        <f t="shared" si="6"/>
        <v>2</v>
      </c>
      <c r="L27" s="13">
        <f t="shared" si="6"/>
        <v>1</v>
      </c>
      <c r="M27" s="13">
        <f t="shared" si="6"/>
        <v>7</v>
      </c>
      <c r="N27" s="13">
        <f t="shared" si="6"/>
        <v>4</v>
      </c>
      <c r="O27" s="13">
        <f t="shared" si="6"/>
        <v>3</v>
      </c>
      <c r="P27" s="13">
        <f t="shared" si="6"/>
        <v>0</v>
      </c>
      <c r="Q27" s="13">
        <f t="shared" si="6"/>
        <v>6</v>
      </c>
      <c r="R27" s="13">
        <f t="shared" si="3"/>
        <v>32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Q28" si="7">SUM(E19,E22,E25)</f>
        <v>94</v>
      </c>
      <c r="F28" s="13">
        <f t="shared" si="7"/>
        <v>96</v>
      </c>
      <c r="G28" s="13">
        <f t="shared" si="7"/>
        <v>83</v>
      </c>
      <c r="H28" s="13">
        <f t="shared" si="7"/>
        <v>93</v>
      </c>
      <c r="I28" s="13">
        <f t="shared" si="7"/>
        <v>105</v>
      </c>
      <c r="J28" s="13">
        <f t="shared" si="7"/>
        <v>91</v>
      </c>
      <c r="K28" s="13">
        <f t="shared" si="7"/>
        <v>64</v>
      </c>
      <c r="L28" s="13">
        <f t="shared" si="7"/>
        <v>95</v>
      </c>
      <c r="M28" s="13">
        <f t="shared" si="7"/>
        <v>103</v>
      </c>
      <c r="N28" s="13">
        <f t="shared" si="7"/>
        <v>99</v>
      </c>
      <c r="O28" s="13">
        <f t="shared" si="7"/>
        <v>59</v>
      </c>
      <c r="P28" s="13">
        <f t="shared" si="7"/>
        <v>74</v>
      </c>
      <c r="Q28" s="13">
        <f t="shared" si="7"/>
        <v>61</v>
      </c>
      <c r="R28" s="13">
        <f t="shared" si="3"/>
        <v>1117</v>
      </c>
    </row>
    <row r="29" ht="12.75" customHeight="1">
      <c r="A29" s="35"/>
      <c r="B29" s="27"/>
      <c r="C29" s="34"/>
      <c r="D29" s="13" t="s">
        <v>12</v>
      </c>
      <c r="E29" s="13">
        <f t="shared" ref="E29:Q29" si="8">SUM(E20,E23,E26)</f>
        <v>111</v>
      </c>
      <c r="F29" s="13">
        <f t="shared" si="8"/>
        <v>94</v>
      </c>
      <c r="G29" s="13">
        <f t="shared" si="8"/>
        <v>106</v>
      </c>
      <c r="H29" s="13">
        <f t="shared" si="8"/>
        <v>112</v>
      </c>
      <c r="I29" s="13">
        <f t="shared" si="8"/>
        <v>107</v>
      </c>
      <c r="J29" s="13">
        <f t="shared" si="8"/>
        <v>113</v>
      </c>
      <c r="K29" s="13">
        <f t="shared" si="8"/>
        <v>80</v>
      </c>
      <c r="L29" s="13">
        <f t="shared" si="8"/>
        <v>106</v>
      </c>
      <c r="M29" s="13">
        <f t="shared" si="8"/>
        <v>114</v>
      </c>
      <c r="N29" s="13">
        <f t="shared" si="8"/>
        <v>108</v>
      </c>
      <c r="O29" s="13">
        <f t="shared" si="8"/>
        <v>79</v>
      </c>
      <c r="P29" s="13">
        <f t="shared" si="8"/>
        <v>84</v>
      </c>
      <c r="Q29" s="13">
        <f t="shared" si="8"/>
        <v>63</v>
      </c>
      <c r="R29" s="13">
        <f t="shared" si="3"/>
        <v>1277</v>
      </c>
    </row>
    <row r="30" ht="12.75" customHeight="1">
      <c r="A30" s="35"/>
      <c r="B30" s="28"/>
      <c r="C30" s="36"/>
      <c r="D30" s="13" t="s">
        <v>13</v>
      </c>
      <c r="E30" s="13">
        <f t="shared" ref="E30:Q30" si="9">SUM(E28:E29)</f>
        <v>205</v>
      </c>
      <c r="F30" s="13">
        <f t="shared" si="9"/>
        <v>190</v>
      </c>
      <c r="G30" s="13">
        <f t="shared" si="9"/>
        <v>189</v>
      </c>
      <c r="H30" s="13">
        <f t="shared" si="9"/>
        <v>205</v>
      </c>
      <c r="I30" s="13">
        <f t="shared" si="9"/>
        <v>212</v>
      </c>
      <c r="J30" s="13">
        <f t="shared" si="9"/>
        <v>204</v>
      </c>
      <c r="K30" s="13">
        <f t="shared" si="9"/>
        <v>144</v>
      </c>
      <c r="L30" s="13">
        <f t="shared" si="9"/>
        <v>201</v>
      </c>
      <c r="M30" s="13">
        <f t="shared" si="9"/>
        <v>217</v>
      </c>
      <c r="N30" s="13">
        <f t="shared" si="9"/>
        <v>207</v>
      </c>
      <c r="O30" s="13">
        <f t="shared" si="9"/>
        <v>138</v>
      </c>
      <c r="P30" s="13">
        <f t="shared" si="9"/>
        <v>158</v>
      </c>
      <c r="Q30" s="13">
        <f t="shared" si="9"/>
        <v>124</v>
      </c>
      <c r="R30" s="13">
        <f t="shared" si="3"/>
        <v>2394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5"/>
    </row>
    <row r="33" ht="12.75" customHeight="1">
      <c r="A33" s="19">
        <v>1.0</v>
      </c>
      <c r="B33" s="20" t="s">
        <v>26</v>
      </c>
      <c r="C33" s="15"/>
      <c r="D33" s="16"/>
      <c r="E33" s="73">
        <v>296.0</v>
      </c>
      <c r="F33" s="73">
        <v>241.0</v>
      </c>
      <c r="G33" s="73">
        <v>274.0</v>
      </c>
      <c r="H33" s="73">
        <v>294.0</v>
      </c>
      <c r="I33" s="73">
        <v>269.0</v>
      </c>
      <c r="J33" s="73">
        <v>292.0</v>
      </c>
      <c r="K33" s="73">
        <v>212.0</v>
      </c>
      <c r="L33" s="73">
        <v>244.0</v>
      </c>
      <c r="M33" s="73">
        <v>284.0</v>
      </c>
      <c r="N33" s="73">
        <v>251.0</v>
      </c>
      <c r="O33" s="73">
        <v>172.0</v>
      </c>
      <c r="P33" s="73">
        <v>201.0</v>
      </c>
      <c r="Q33" s="73">
        <v>166.0</v>
      </c>
      <c r="R33" s="13">
        <f t="shared" ref="R33:R36" si="10">SUM(E33:Q33)</f>
        <v>3196</v>
      </c>
    </row>
    <row r="34" ht="12.75" customHeight="1">
      <c r="A34" s="19">
        <v>2.0</v>
      </c>
      <c r="B34" s="20" t="s">
        <v>27</v>
      </c>
      <c r="C34" s="15"/>
      <c r="D34" s="16"/>
      <c r="E34" s="77">
        <v>205.0</v>
      </c>
      <c r="F34" s="77">
        <v>190.0</v>
      </c>
      <c r="G34" s="77">
        <v>189.0</v>
      </c>
      <c r="H34" s="77">
        <v>205.0</v>
      </c>
      <c r="I34" s="77">
        <v>212.0</v>
      </c>
      <c r="J34" s="77">
        <v>204.0</v>
      </c>
      <c r="K34" s="77">
        <v>144.0</v>
      </c>
      <c r="L34" s="77">
        <v>201.0</v>
      </c>
      <c r="M34" s="77">
        <v>217.0</v>
      </c>
      <c r="N34" s="77">
        <v>207.0</v>
      </c>
      <c r="O34" s="77">
        <v>138.0</v>
      </c>
      <c r="P34" s="77">
        <v>158.0</v>
      </c>
      <c r="Q34" s="77">
        <v>124.0</v>
      </c>
      <c r="R34" s="13">
        <f t="shared" si="10"/>
        <v>2394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2.0</v>
      </c>
      <c r="G35" s="73">
        <v>0.0</v>
      </c>
      <c r="H35" s="73">
        <v>1.0</v>
      </c>
      <c r="I35" s="73">
        <v>0.0</v>
      </c>
      <c r="J35" s="73">
        <v>1.0</v>
      </c>
      <c r="K35" s="73">
        <v>0.0</v>
      </c>
      <c r="L35" s="73">
        <v>0.0</v>
      </c>
      <c r="M35" s="73">
        <v>0.0</v>
      </c>
      <c r="N35" s="73">
        <v>0.0</v>
      </c>
      <c r="O35" s="73">
        <v>1.0</v>
      </c>
      <c r="P35" s="73">
        <v>0.0</v>
      </c>
      <c r="Q35" s="73">
        <v>0.0</v>
      </c>
      <c r="R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Q36" si="11">E33-(E34+E35)</f>
        <v>91</v>
      </c>
      <c r="F36" s="13">
        <f t="shared" si="11"/>
        <v>49</v>
      </c>
      <c r="G36" s="13">
        <f t="shared" si="11"/>
        <v>85</v>
      </c>
      <c r="H36" s="13">
        <f t="shared" si="11"/>
        <v>88</v>
      </c>
      <c r="I36" s="13">
        <f t="shared" si="11"/>
        <v>57</v>
      </c>
      <c r="J36" s="13">
        <f t="shared" si="11"/>
        <v>87</v>
      </c>
      <c r="K36" s="13">
        <f t="shared" si="11"/>
        <v>68</v>
      </c>
      <c r="L36" s="13">
        <f t="shared" si="11"/>
        <v>43</v>
      </c>
      <c r="M36" s="13">
        <f t="shared" si="11"/>
        <v>67</v>
      </c>
      <c r="N36" s="13">
        <f t="shared" si="11"/>
        <v>44</v>
      </c>
      <c r="O36" s="13">
        <f t="shared" si="11"/>
        <v>33</v>
      </c>
      <c r="P36" s="13">
        <f t="shared" si="11"/>
        <v>43</v>
      </c>
      <c r="Q36" s="13">
        <f t="shared" si="11"/>
        <v>42</v>
      </c>
      <c r="R36" s="13">
        <f t="shared" si="10"/>
        <v>797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5"/>
    </row>
    <row r="39" ht="12.75" customHeight="1">
      <c r="A39" s="30"/>
      <c r="B39" s="43" t="s">
        <v>32</v>
      </c>
      <c r="C39" s="23"/>
      <c r="D39" s="19" t="s">
        <v>11</v>
      </c>
      <c r="E39" s="73">
        <v>0.0</v>
      </c>
      <c r="F39" s="73">
        <v>0.0</v>
      </c>
      <c r="G39" s="73">
        <v>0.0</v>
      </c>
      <c r="H39" s="73">
        <v>0.0</v>
      </c>
      <c r="I39" s="73">
        <v>1.0</v>
      </c>
      <c r="J39" s="73">
        <v>2.0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13">
        <f t="shared" ref="R39:R41" si="12">SUM(E39:Q39)</f>
        <v>3</v>
      </c>
    </row>
    <row r="40" ht="12.75" customHeight="1">
      <c r="A40" s="33"/>
      <c r="C40" s="27"/>
      <c r="D40" s="19" t="s">
        <v>12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1.0</v>
      </c>
      <c r="N40" s="73">
        <v>0.0</v>
      </c>
      <c r="O40" s="73">
        <v>1.0</v>
      </c>
      <c r="P40" s="73">
        <v>0.0</v>
      </c>
      <c r="Q40" s="73">
        <v>0.0</v>
      </c>
      <c r="R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7.0</v>
      </c>
      <c r="F45" s="73">
        <v>3.0</v>
      </c>
      <c r="G45" s="73">
        <v>6.0</v>
      </c>
      <c r="H45" s="73">
        <v>4.0</v>
      </c>
      <c r="I45" s="73">
        <v>16.0</v>
      </c>
      <c r="J45" s="73">
        <v>8.0</v>
      </c>
      <c r="K45" s="73">
        <v>6.0</v>
      </c>
      <c r="L45" s="73">
        <v>5.0</v>
      </c>
      <c r="M45" s="73">
        <v>7.0</v>
      </c>
      <c r="N45" s="73">
        <v>6.0</v>
      </c>
      <c r="O45" s="73">
        <v>6.0</v>
      </c>
      <c r="P45" s="73">
        <v>5.0</v>
      </c>
      <c r="Q45" s="73">
        <v>5.0</v>
      </c>
      <c r="R45" s="13">
        <f t="shared" ref="R45:R54" si="14">SUM(E45:Q45)</f>
        <v>84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14.0</v>
      </c>
      <c r="F46" s="73">
        <v>8.0</v>
      </c>
      <c r="G46" s="73">
        <v>29.0</v>
      </c>
      <c r="H46" s="73">
        <v>26.0</v>
      </c>
      <c r="I46" s="73">
        <v>52.0</v>
      </c>
      <c r="J46" s="73">
        <v>19.0</v>
      </c>
      <c r="K46" s="73">
        <v>18.0</v>
      </c>
      <c r="L46" s="73">
        <v>61.0</v>
      </c>
      <c r="M46" s="73">
        <v>15.0</v>
      </c>
      <c r="N46" s="73">
        <v>6.0</v>
      </c>
      <c r="O46" s="73">
        <v>3.0</v>
      </c>
      <c r="P46" s="73">
        <v>5.0</v>
      </c>
      <c r="Q46" s="73">
        <v>9.0</v>
      </c>
      <c r="R46" s="13">
        <f t="shared" si="14"/>
        <v>265</v>
      </c>
    </row>
    <row r="47" ht="12.75" customHeight="1">
      <c r="A47" s="18"/>
      <c r="B47" s="49"/>
      <c r="C47" s="50" t="s">
        <v>40</v>
      </c>
      <c r="D47" s="51"/>
      <c r="E47" s="73">
        <v>0.0</v>
      </c>
      <c r="F47" s="73">
        <v>2.0</v>
      </c>
      <c r="G47" s="73">
        <v>2.0</v>
      </c>
      <c r="H47" s="73">
        <v>2.0</v>
      </c>
      <c r="I47" s="73">
        <v>2.0</v>
      </c>
      <c r="J47" s="73">
        <v>0.0</v>
      </c>
      <c r="K47" s="73">
        <v>0.0</v>
      </c>
      <c r="L47" s="73">
        <v>1.0</v>
      </c>
      <c r="M47" s="73">
        <v>0.0</v>
      </c>
      <c r="N47" s="73">
        <v>3.0</v>
      </c>
      <c r="O47" s="73">
        <v>3.0</v>
      </c>
      <c r="P47" s="73">
        <v>1.0</v>
      </c>
      <c r="Q47" s="73">
        <v>0.0</v>
      </c>
      <c r="R47" s="13">
        <f t="shared" si="14"/>
        <v>16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2.0</v>
      </c>
      <c r="J48" s="73">
        <v>1.0</v>
      </c>
      <c r="K48" s="73">
        <v>1.0</v>
      </c>
      <c r="L48" s="73">
        <v>2.0</v>
      </c>
      <c r="M48" s="73">
        <v>0.0</v>
      </c>
      <c r="N48" s="73">
        <v>1.0</v>
      </c>
      <c r="O48" s="73">
        <v>0.0</v>
      </c>
      <c r="P48" s="73">
        <v>1.0</v>
      </c>
      <c r="Q48" s="73">
        <v>0.0</v>
      </c>
      <c r="R48" s="13">
        <f t="shared" si="14"/>
        <v>8</v>
      </c>
    </row>
    <row r="49" ht="12.75" customHeight="1">
      <c r="A49" s="18"/>
      <c r="B49" s="49"/>
      <c r="C49" s="50" t="s">
        <v>42</v>
      </c>
      <c r="D49" s="51"/>
      <c r="E49" s="73">
        <v>3.0</v>
      </c>
      <c r="F49" s="73">
        <v>0.0</v>
      </c>
      <c r="G49" s="73">
        <v>1.0</v>
      </c>
      <c r="H49" s="73">
        <v>2.0</v>
      </c>
      <c r="I49" s="73">
        <v>1.0</v>
      </c>
      <c r="J49" s="73">
        <v>1.0</v>
      </c>
      <c r="K49" s="73">
        <v>0.0</v>
      </c>
      <c r="L49" s="73">
        <v>0.0</v>
      </c>
      <c r="M49" s="73">
        <v>4.0</v>
      </c>
      <c r="N49" s="73">
        <v>2.0</v>
      </c>
      <c r="O49" s="73">
        <v>0.0</v>
      </c>
      <c r="P49" s="73">
        <v>3.0</v>
      </c>
      <c r="Q49" s="73">
        <v>1.0</v>
      </c>
      <c r="R49" s="13">
        <f t="shared" si="14"/>
        <v>18</v>
      </c>
    </row>
    <row r="50" ht="12.75" customHeight="1">
      <c r="A50" s="18"/>
      <c r="B50" s="49"/>
      <c r="C50" s="50" t="s">
        <v>43</v>
      </c>
      <c r="D50" s="51"/>
      <c r="E50" s="73">
        <v>1.0</v>
      </c>
      <c r="F50" s="73">
        <v>0.0</v>
      </c>
      <c r="G50" s="73">
        <v>0.0</v>
      </c>
      <c r="H50" s="73">
        <v>0.0</v>
      </c>
      <c r="I50" s="73">
        <v>0.0</v>
      </c>
      <c r="J50" s="73">
        <v>1.0</v>
      </c>
      <c r="K50" s="73">
        <v>1.0</v>
      </c>
      <c r="L50" s="73">
        <v>2.0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13">
        <f t="shared" si="14"/>
        <v>5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1.0</v>
      </c>
      <c r="K51" s="73">
        <v>0.0</v>
      </c>
      <c r="L51" s="73">
        <v>0.0</v>
      </c>
      <c r="M51" s="73">
        <v>0.0</v>
      </c>
      <c r="N51" s="73">
        <v>0.0</v>
      </c>
      <c r="O51" s="73">
        <v>0.0</v>
      </c>
      <c r="P51" s="73">
        <v>1.0</v>
      </c>
      <c r="Q51" s="73">
        <v>2.0</v>
      </c>
      <c r="R51" s="13">
        <f t="shared" si="14"/>
        <v>4</v>
      </c>
    </row>
    <row r="52" ht="12.75" customHeight="1">
      <c r="A52" s="79"/>
      <c r="B52" s="49"/>
      <c r="C52" s="50" t="s">
        <v>45</v>
      </c>
      <c r="D52" s="51"/>
      <c r="E52" s="80">
        <v>1.0</v>
      </c>
      <c r="F52" s="80">
        <v>0.0</v>
      </c>
      <c r="G52" s="80">
        <v>1.0</v>
      </c>
      <c r="H52" s="80">
        <v>1.0</v>
      </c>
      <c r="I52" s="80">
        <v>0.0</v>
      </c>
      <c r="J52" s="80">
        <v>2.0</v>
      </c>
      <c r="K52" s="80">
        <v>1.0</v>
      </c>
      <c r="L52" s="80">
        <v>0.0</v>
      </c>
      <c r="M52" s="80">
        <v>1.0</v>
      </c>
      <c r="N52" s="80">
        <v>0.0</v>
      </c>
      <c r="O52" s="80">
        <v>0.0</v>
      </c>
      <c r="P52" s="80">
        <v>0.0</v>
      </c>
      <c r="Q52" s="80">
        <v>0.0</v>
      </c>
      <c r="R52" s="13">
        <f t="shared" si="14"/>
        <v>7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0.0</v>
      </c>
      <c r="N53" s="80">
        <v>0.0</v>
      </c>
      <c r="O53" s="80">
        <v>0.0</v>
      </c>
      <c r="P53" s="80">
        <v>1.0</v>
      </c>
      <c r="Q53" s="80">
        <v>0.0</v>
      </c>
      <c r="R53" s="13">
        <f t="shared" si="14"/>
        <v>1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1.0</v>
      </c>
      <c r="H54" s="80">
        <v>0.0</v>
      </c>
      <c r="I54" s="80">
        <v>0.0</v>
      </c>
      <c r="J54" s="80">
        <v>0.0</v>
      </c>
      <c r="K54" s="80">
        <v>0.0</v>
      </c>
      <c r="L54" s="80">
        <v>1.0</v>
      </c>
      <c r="M54" s="80">
        <v>0.0</v>
      </c>
      <c r="N54" s="80">
        <v>0.0</v>
      </c>
      <c r="O54" s="80">
        <v>0.0</v>
      </c>
      <c r="P54" s="80">
        <v>0.0</v>
      </c>
      <c r="Q54" s="80">
        <v>0.0</v>
      </c>
      <c r="R54" s="13">
        <f t="shared" si="14"/>
        <v>2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R55" si="15">SUM(E45:E54)</f>
        <v>26</v>
      </c>
      <c r="F55" s="13">
        <f t="shared" si="15"/>
        <v>13</v>
      </c>
      <c r="G55" s="13">
        <f t="shared" si="15"/>
        <v>40</v>
      </c>
      <c r="H55" s="13">
        <f t="shared" si="15"/>
        <v>35</v>
      </c>
      <c r="I55" s="13">
        <f t="shared" si="15"/>
        <v>73</v>
      </c>
      <c r="J55" s="13">
        <f t="shared" si="15"/>
        <v>33</v>
      </c>
      <c r="K55" s="13">
        <f t="shared" si="15"/>
        <v>27</v>
      </c>
      <c r="L55" s="13">
        <f t="shared" si="15"/>
        <v>72</v>
      </c>
      <c r="M55" s="13">
        <f t="shared" si="15"/>
        <v>27</v>
      </c>
      <c r="N55" s="13">
        <f t="shared" si="15"/>
        <v>18</v>
      </c>
      <c r="O55" s="13">
        <f t="shared" si="15"/>
        <v>12</v>
      </c>
      <c r="P55" s="13">
        <f t="shared" si="15"/>
        <v>17</v>
      </c>
      <c r="Q55" s="13">
        <f t="shared" si="15"/>
        <v>17</v>
      </c>
      <c r="R55" s="13">
        <f t="shared" si="15"/>
        <v>410</v>
      </c>
    </row>
    <row r="56" ht="12.75" customHeight="1">
      <c r="A56" s="45"/>
      <c r="B56" s="44"/>
      <c r="C56" s="44"/>
      <c r="D56" s="44"/>
      <c r="E56" s="44"/>
      <c r="R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13.0</v>
      </c>
      <c r="F57" s="73">
        <v>9.0</v>
      </c>
      <c r="G57" s="73">
        <v>11.0</v>
      </c>
      <c r="H57" s="73">
        <v>9.0</v>
      </c>
      <c r="I57" s="73">
        <v>6.0</v>
      </c>
      <c r="J57" s="73">
        <v>13.0</v>
      </c>
      <c r="K57" s="73">
        <v>10.0</v>
      </c>
      <c r="L57" s="73">
        <v>7.0</v>
      </c>
      <c r="M57" s="73">
        <v>7.0</v>
      </c>
      <c r="N57" s="73">
        <v>6.0</v>
      </c>
      <c r="O57" s="73">
        <v>7.0</v>
      </c>
      <c r="P57" s="73">
        <v>10.0</v>
      </c>
      <c r="Q57" s="73">
        <v>6.0</v>
      </c>
      <c r="R57" s="13">
        <f t="shared" ref="R57:R66" si="16">SUM(E57:Q57)</f>
        <v>114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6.0</v>
      </c>
      <c r="F58" s="73">
        <v>1.0</v>
      </c>
      <c r="G58" s="73">
        <v>2.0</v>
      </c>
      <c r="H58" s="73">
        <v>3.0</v>
      </c>
      <c r="I58" s="73">
        <v>6.0</v>
      </c>
      <c r="J58" s="73">
        <v>1.0</v>
      </c>
      <c r="K58" s="73">
        <v>4.0</v>
      </c>
      <c r="L58" s="73">
        <v>2.0</v>
      </c>
      <c r="M58" s="73">
        <v>2.0</v>
      </c>
      <c r="N58" s="73">
        <v>4.0</v>
      </c>
      <c r="O58" s="73">
        <v>5.0</v>
      </c>
      <c r="P58" s="73">
        <v>6.0</v>
      </c>
      <c r="Q58" s="73">
        <v>5.0</v>
      </c>
      <c r="R58" s="13">
        <f t="shared" si="16"/>
        <v>47</v>
      </c>
    </row>
    <row r="59" ht="12.75" customHeight="1">
      <c r="A59" s="18"/>
      <c r="B59" s="49"/>
      <c r="C59" s="50" t="s">
        <v>51</v>
      </c>
      <c r="D59" s="51"/>
      <c r="E59" s="73">
        <v>19.0</v>
      </c>
      <c r="F59" s="73">
        <v>15.0</v>
      </c>
      <c r="G59" s="73">
        <v>4.0</v>
      </c>
      <c r="H59" s="73">
        <v>7.0</v>
      </c>
      <c r="I59" s="73">
        <v>7.0</v>
      </c>
      <c r="J59" s="73">
        <v>3.0</v>
      </c>
      <c r="K59" s="73">
        <v>16.0</v>
      </c>
      <c r="L59" s="73">
        <v>9.0</v>
      </c>
      <c r="M59" s="73">
        <v>19.0</v>
      </c>
      <c r="N59" s="73">
        <v>23.0</v>
      </c>
      <c r="O59" s="73">
        <v>21.0</v>
      </c>
      <c r="P59" s="73">
        <v>52.0</v>
      </c>
      <c r="Q59" s="73">
        <v>7.0</v>
      </c>
      <c r="R59" s="13">
        <f t="shared" si="16"/>
        <v>202</v>
      </c>
    </row>
    <row r="60" ht="12.75" customHeight="1">
      <c r="A60" s="18"/>
      <c r="B60" s="49"/>
      <c r="C60" s="50" t="s">
        <v>52</v>
      </c>
      <c r="D60" s="51"/>
      <c r="E60" s="73">
        <v>2.0</v>
      </c>
      <c r="F60" s="73">
        <v>3.0</v>
      </c>
      <c r="G60" s="73">
        <v>2.0</v>
      </c>
      <c r="H60" s="73">
        <v>2.0</v>
      </c>
      <c r="I60" s="73">
        <v>3.0</v>
      </c>
      <c r="J60" s="73">
        <v>2.0</v>
      </c>
      <c r="K60" s="73">
        <v>1.0</v>
      </c>
      <c r="L60" s="73">
        <v>1.0</v>
      </c>
      <c r="M60" s="73">
        <v>1.0</v>
      </c>
      <c r="N60" s="73">
        <v>3.0</v>
      </c>
      <c r="O60" s="73">
        <v>1.0</v>
      </c>
      <c r="P60" s="73">
        <v>0.0</v>
      </c>
      <c r="Q60" s="73">
        <v>1.0</v>
      </c>
      <c r="R60" s="13">
        <f t="shared" si="16"/>
        <v>22</v>
      </c>
    </row>
    <row r="61" ht="12.75" customHeight="1">
      <c r="A61" s="18"/>
      <c r="B61" s="49"/>
      <c r="C61" s="50" t="s">
        <v>53</v>
      </c>
      <c r="D61" s="51"/>
      <c r="E61" s="73">
        <v>5.0</v>
      </c>
      <c r="F61" s="73">
        <v>0.0</v>
      </c>
      <c r="G61" s="73">
        <v>2.0</v>
      </c>
      <c r="H61" s="73">
        <v>0.0</v>
      </c>
      <c r="I61" s="73">
        <v>5.0</v>
      </c>
      <c r="J61" s="73">
        <v>0.0</v>
      </c>
      <c r="K61" s="73">
        <v>0.0</v>
      </c>
      <c r="L61" s="73">
        <v>14.0</v>
      </c>
      <c r="M61" s="73">
        <v>1.0</v>
      </c>
      <c r="N61" s="73">
        <v>3.0</v>
      </c>
      <c r="O61" s="73">
        <v>1.0</v>
      </c>
      <c r="P61" s="73">
        <v>4.0</v>
      </c>
      <c r="Q61" s="73">
        <v>0.0</v>
      </c>
      <c r="R61" s="13">
        <f t="shared" si="16"/>
        <v>35</v>
      </c>
    </row>
    <row r="62" ht="12.75" customHeight="1">
      <c r="A62" s="18"/>
      <c r="B62" s="49"/>
      <c r="C62" s="50" t="s">
        <v>54</v>
      </c>
      <c r="D62" s="51"/>
      <c r="E62" s="73">
        <v>2.0</v>
      </c>
      <c r="F62" s="73">
        <v>0.0</v>
      </c>
      <c r="G62" s="73">
        <v>0.0</v>
      </c>
      <c r="H62" s="73">
        <v>0.0</v>
      </c>
      <c r="I62" s="73">
        <v>0.0</v>
      </c>
      <c r="J62" s="73">
        <v>1.0</v>
      </c>
      <c r="K62" s="73">
        <v>0.0</v>
      </c>
      <c r="L62" s="73">
        <v>1.0</v>
      </c>
      <c r="M62" s="73">
        <v>0.0</v>
      </c>
      <c r="N62" s="73">
        <v>3.0</v>
      </c>
      <c r="O62" s="73">
        <v>1.0</v>
      </c>
      <c r="P62" s="73">
        <v>0.0</v>
      </c>
      <c r="Q62" s="73">
        <v>1.0</v>
      </c>
      <c r="R62" s="13">
        <f t="shared" si="16"/>
        <v>9</v>
      </c>
    </row>
    <row r="63" ht="12.75" customHeight="1">
      <c r="A63" s="18"/>
      <c r="B63" s="49"/>
      <c r="C63" s="50" t="s">
        <v>55</v>
      </c>
      <c r="D63" s="51"/>
      <c r="E63" s="73">
        <v>1.0</v>
      </c>
      <c r="F63" s="73">
        <v>0.0</v>
      </c>
      <c r="G63" s="73">
        <v>0.0</v>
      </c>
      <c r="H63" s="73">
        <v>2.0</v>
      </c>
      <c r="I63" s="73">
        <v>0.0</v>
      </c>
      <c r="J63" s="73">
        <v>2.0</v>
      </c>
      <c r="K63" s="73">
        <v>0.0</v>
      </c>
      <c r="L63" s="73">
        <v>0.0</v>
      </c>
      <c r="M63" s="73">
        <v>1.0</v>
      </c>
      <c r="N63" s="73">
        <v>1.0</v>
      </c>
      <c r="O63" s="73">
        <v>0.0</v>
      </c>
      <c r="P63" s="73">
        <v>0.0</v>
      </c>
      <c r="Q63" s="73">
        <v>0.0</v>
      </c>
      <c r="R63" s="13">
        <f t="shared" si="16"/>
        <v>7</v>
      </c>
    </row>
    <row r="64" ht="12.75" customHeight="1">
      <c r="A64" s="79"/>
      <c r="B64" s="49"/>
      <c r="C64" s="50" t="s">
        <v>56</v>
      </c>
      <c r="D64" s="51"/>
      <c r="E64" s="80">
        <v>2.0</v>
      </c>
      <c r="F64" s="80">
        <v>0.0</v>
      </c>
      <c r="G64" s="80">
        <v>0.0</v>
      </c>
      <c r="H64" s="80">
        <v>0.0</v>
      </c>
      <c r="I64" s="80">
        <v>0.0</v>
      </c>
      <c r="J64" s="80">
        <v>1.0</v>
      </c>
      <c r="K64" s="80">
        <v>0.0</v>
      </c>
      <c r="L64" s="80">
        <v>0.0</v>
      </c>
      <c r="M64" s="80">
        <v>0.0</v>
      </c>
      <c r="N64" s="80">
        <v>0.0</v>
      </c>
      <c r="O64" s="80">
        <v>0.0</v>
      </c>
      <c r="P64" s="80">
        <v>0.0</v>
      </c>
      <c r="Q64" s="80">
        <v>0.0</v>
      </c>
      <c r="R64" s="13">
        <f t="shared" si="16"/>
        <v>3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1.0</v>
      </c>
      <c r="H65" s="80">
        <v>1.0</v>
      </c>
      <c r="I65" s="80">
        <v>0.0</v>
      </c>
      <c r="J65" s="80">
        <v>0.0</v>
      </c>
      <c r="K65" s="80">
        <v>0.0</v>
      </c>
      <c r="L65" s="80">
        <v>0.0</v>
      </c>
      <c r="M65" s="80">
        <v>0.0</v>
      </c>
      <c r="N65" s="80">
        <v>0.0</v>
      </c>
      <c r="O65" s="80">
        <v>0.0</v>
      </c>
      <c r="P65" s="80">
        <v>0.0</v>
      </c>
      <c r="Q65" s="80">
        <v>0.0</v>
      </c>
      <c r="R65" s="13">
        <f t="shared" si="16"/>
        <v>2</v>
      </c>
    </row>
    <row r="66" ht="12.75" customHeight="1">
      <c r="A66" s="79"/>
      <c r="B66" s="49"/>
      <c r="C66" s="50" t="s">
        <v>58</v>
      </c>
      <c r="D66" s="51"/>
      <c r="E66" s="80">
        <v>0.0</v>
      </c>
      <c r="F66" s="80">
        <v>3.0</v>
      </c>
      <c r="G66" s="80">
        <v>1.0</v>
      </c>
      <c r="H66" s="80">
        <v>0.0</v>
      </c>
      <c r="I66" s="80">
        <v>0.0</v>
      </c>
      <c r="J66" s="80">
        <v>0.0</v>
      </c>
      <c r="K66" s="80">
        <v>0.0</v>
      </c>
      <c r="L66" s="80">
        <v>1.0</v>
      </c>
      <c r="M66" s="80">
        <v>0.0</v>
      </c>
      <c r="N66" s="80">
        <v>0.0</v>
      </c>
      <c r="O66" s="80">
        <v>1.0</v>
      </c>
      <c r="P66" s="80">
        <v>0.0</v>
      </c>
      <c r="Q66" s="80">
        <v>0.0</v>
      </c>
      <c r="R66" s="13">
        <f t="shared" si="16"/>
        <v>6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R67" si="17">SUM(E57:E66)</f>
        <v>50</v>
      </c>
      <c r="F67" s="13">
        <f t="shared" si="17"/>
        <v>31</v>
      </c>
      <c r="G67" s="13">
        <f t="shared" si="17"/>
        <v>23</v>
      </c>
      <c r="H67" s="13">
        <f t="shared" si="17"/>
        <v>24</v>
      </c>
      <c r="I67" s="13">
        <f t="shared" si="17"/>
        <v>27</v>
      </c>
      <c r="J67" s="13">
        <f t="shared" si="17"/>
        <v>23</v>
      </c>
      <c r="K67" s="13">
        <f t="shared" si="17"/>
        <v>31</v>
      </c>
      <c r="L67" s="13">
        <f t="shared" si="17"/>
        <v>35</v>
      </c>
      <c r="M67" s="13">
        <f t="shared" si="17"/>
        <v>31</v>
      </c>
      <c r="N67" s="13">
        <f t="shared" si="17"/>
        <v>43</v>
      </c>
      <c r="O67" s="13">
        <f t="shared" si="17"/>
        <v>37</v>
      </c>
      <c r="P67" s="13">
        <f t="shared" si="17"/>
        <v>72</v>
      </c>
      <c r="Q67" s="13">
        <f t="shared" si="17"/>
        <v>20</v>
      </c>
      <c r="R67" s="13">
        <f t="shared" si="17"/>
        <v>447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9.0</v>
      </c>
      <c r="F69" s="73">
        <v>17.0</v>
      </c>
      <c r="G69" s="73">
        <v>6.0</v>
      </c>
      <c r="H69" s="73">
        <v>8.0</v>
      </c>
      <c r="I69" s="73">
        <v>4.0</v>
      </c>
      <c r="J69" s="73">
        <v>9.0</v>
      </c>
      <c r="K69" s="73">
        <v>8.0</v>
      </c>
      <c r="L69" s="73">
        <v>3.0</v>
      </c>
      <c r="M69" s="73">
        <v>3.0</v>
      </c>
      <c r="N69" s="73">
        <v>7.0</v>
      </c>
      <c r="O69" s="73">
        <v>3.0</v>
      </c>
      <c r="P69" s="73">
        <v>4.0</v>
      </c>
      <c r="Q69" s="73">
        <v>6.0</v>
      </c>
      <c r="R69" s="13">
        <f t="shared" ref="R69:R78" si="18">SUM(E69:Q69)</f>
        <v>87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3.0</v>
      </c>
      <c r="F70" s="73">
        <v>2.0</v>
      </c>
      <c r="G70" s="73">
        <v>3.0</v>
      </c>
      <c r="H70" s="73">
        <v>2.0</v>
      </c>
      <c r="I70" s="73">
        <v>2.0</v>
      </c>
      <c r="J70" s="73">
        <v>2.0</v>
      </c>
      <c r="K70" s="73">
        <v>0.0</v>
      </c>
      <c r="L70" s="73">
        <v>0.0</v>
      </c>
      <c r="M70" s="73">
        <v>1.0</v>
      </c>
      <c r="N70" s="73">
        <v>5.0</v>
      </c>
      <c r="O70" s="73">
        <v>1.0</v>
      </c>
      <c r="P70" s="73">
        <v>1.0</v>
      </c>
      <c r="Q70" s="73">
        <v>2.0</v>
      </c>
      <c r="R70" s="13">
        <f t="shared" si="18"/>
        <v>24</v>
      </c>
    </row>
    <row r="71" ht="12.75" customHeight="1">
      <c r="A71" s="18"/>
      <c r="B71" s="49"/>
      <c r="C71" s="50" t="s">
        <v>61</v>
      </c>
      <c r="D71" s="51"/>
      <c r="E71" s="73">
        <v>22.0</v>
      </c>
      <c r="F71" s="73">
        <v>56.0</v>
      </c>
      <c r="G71" s="73">
        <v>32.0</v>
      </c>
      <c r="H71" s="73">
        <v>28.0</v>
      </c>
      <c r="I71" s="73">
        <v>20.0</v>
      </c>
      <c r="J71" s="73">
        <v>37.0</v>
      </c>
      <c r="K71" s="73">
        <v>16.0</v>
      </c>
      <c r="L71" s="73">
        <v>16.0</v>
      </c>
      <c r="M71" s="73">
        <v>21.0</v>
      </c>
      <c r="N71" s="73">
        <v>17.0</v>
      </c>
      <c r="O71" s="73">
        <v>6.0</v>
      </c>
      <c r="P71" s="73">
        <v>8.0</v>
      </c>
      <c r="Q71" s="73">
        <v>7.0</v>
      </c>
      <c r="R71" s="13">
        <f t="shared" si="18"/>
        <v>286</v>
      </c>
    </row>
    <row r="72" ht="12.75" customHeight="1">
      <c r="A72" s="18"/>
      <c r="B72" s="49"/>
      <c r="C72" s="50" t="s">
        <v>62</v>
      </c>
      <c r="D72" s="51"/>
      <c r="E72" s="73">
        <v>2.0</v>
      </c>
      <c r="F72" s="73">
        <v>3.0</v>
      </c>
      <c r="G72" s="73">
        <v>4.0</v>
      </c>
      <c r="H72" s="73">
        <v>1.0</v>
      </c>
      <c r="I72" s="73">
        <v>7.0</v>
      </c>
      <c r="J72" s="73">
        <v>2.0</v>
      </c>
      <c r="K72" s="73">
        <v>1.0</v>
      </c>
      <c r="L72" s="73">
        <v>1.0</v>
      </c>
      <c r="M72" s="73">
        <v>0.0</v>
      </c>
      <c r="N72" s="73">
        <v>4.0</v>
      </c>
      <c r="O72" s="73">
        <v>0.0</v>
      </c>
      <c r="P72" s="73">
        <v>0.0</v>
      </c>
      <c r="Q72" s="73">
        <v>3.0</v>
      </c>
      <c r="R72" s="13">
        <f t="shared" si="18"/>
        <v>28</v>
      </c>
    </row>
    <row r="73" ht="12.75" customHeight="1">
      <c r="A73" s="18"/>
      <c r="B73" s="49"/>
      <c r="C73" s="50" t="s">
        <v>63</v>
      </c>
      <c r="D73" s="51"/>
      <c r="E73" s="73">
        <v>0.0</v>
      </c>
      <c r="F73" s="73">
        <v>3.0</v>
      </c>
      <c r="G73" s="73">
        <v>0.0</v>
      </c>
      <c r="H73" s="73">
        <v>0.0</v>
      </c>
      <c r="I73" s="73">
        <v>0.0</v>
      </c>
      <c r="J73" s="73">
        <v>2.0</v>
      </c>
      <c r="K73" s="73">
        <v>2.0</v>
      </c>
      <c r="L73" s="73">
        <v>0.0</v>
      </c>
      <c r="M73" s="73">
        <v>2.0</v>
      </c>
      <c r="N73" s="73">
        <v>0.0</v>
      </c>
      <c r="O73" s="73">
        <v>0.0</v>
      </c>
      <c r="P73" s="73">
        <v>1.0</v>
      </c>
      <c r="Q73" s="73">
        <v>8.0</v>
      </c>
      <c r="R73" s="13">
        <f t="shared" si="18"/>
        <v>18</v>
      </c>
    </row>
    <row r="74" ht="12.75" customHeight="1">
      <c r="A74" s="18"/>
      <c r="B74" s="49"/>
      <c r="C74" s="50" t="s">
        <v>64</v>
      </c>
      <c r="D74" s="51"/>
      <c r="E74" s="73">
        <v>0.0</v>
      </c>
      <c r="F74" s="73">
        <v>0.0</v>
      </c>
      <c r="G74" s="73">
        <v>0.0</v>
      </c>
      <c r="H74" s="73">
        <v>0.0</v>
      </c>
      <c r="I74" s="73">
        <v>0.0</v>
      </c>
      <c r="J74" s="73">
        <v>3.0</v>
      </c>
      <c r="K74" s="73">
        <v>0.0</v>
      </c>
      <c r="L74" s="73">
        <v>0.0</v>
      </c>
      <c r="M74" s="73">
        <v>2.0</v>
      </c>
      <c r="N74" s="73">
        <v>1.0</v>
      </c>
      <c r="O74" s="73">
        <v>1.0</v>
      </c>
      <c r="P74" s="73">
        <v>0.0</v>
      </c>
      <c r="Q74" s="73">
        <v>3.0</v>
      </c>
      <c r="R74" s="13">
        <f t="shared" si="18"/>
        <v>10</v>
      </c>
    </row>
    <row r="75" ht="12.75" customHeight="1">
      <c r="A75" s="18"/>
      <c r="B75" s="49"/>
      <c r="C75" s="50" t="s">
        <v>65</v>
      </c>
      <c r="D75" s="51"/>
      <c r="E75" s="73">
        <v>1.0</v>
      </c>
      <c r="F75" s="73">
        <v>2.0</v>
      </c>
      <c r="G75" s="73">
        <v>0.0</v>
      </c>
      <c r="H75" s="73">
        <v>0.0</v>
      </c>
      <c r="I75" s="73">
        <v>0.0</v>
      </c>
      <c r="J75" s="73">
        <v>3.0</v>
      </c>
      <c r="K75" s="73">
        <v>0.0</v>
      </c>
      <c r="L75" s="73">
        <v>0.0</v>
      </c>
      <c r="M75" s="73">
        <v>2.0</v>
      </c>
      <c r="N75" s="73">
        <v>0.0</v>
      </c>
      <c r="O75" s="73">
        <v>2.0</v>
      </c>
      <c r="P75" s="73">
        <v>1.0</v>
      </c>
      <c r="Q75" s="73">
        <v>0.0</v>
      </c>
      <c r="R75" s="13">
        <f t="shared" si="18"/>
        <v>11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1.0</v>
      </c>
      <c r="G76" s="80">
        <v>0.0</v>
      </c>
      <c r="H76" s="80">
        <v>0.0</v>
      </c>
      <c r="I76" s="80">
        <v>0.0</v>
      </c>
      <c r="J76" s="80">
        <v>0.0</v>
      </c>
      <c r="K76" s="80">
        <v>0.0</v>
      </c>
      <c r="L76" s="80">
        <v>0.0</v>
      </c>
      <c r="M76" s="80">
        <v>0.0</v>
      </c>
      <c r="N76" s="80">
        <v>0.0</v>
      </c>
      <c r="O76" s="80">
        <v>0.0</v>
      </c>
      <c r="P76" s="80">
        <v>1.0</v>
      </c>
      <c r="Q76" s="80">
        <v>0.0</v>
      </c>
      <c r="R76" s="13">
        <f t="shared" si="18"/>
        <v>2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0.0</v>
      </c>
      <c r="G77" s="80">
        <v>0.0</v>
      </c>
      <c r="H77" s="80">
        <v>1.0</v>
      </c>
      <c r="I77" s="80">
        <v>0.0</v>
      </c>
      <c r="J77" s="80">
        <v>0.0</v>
      </c>
      <c r="K77" s="80">
        <v>0.0</v>
      </c>
      <c r="L77" s="80">
        <v>0.0</v>
      </c>
      <c r="M77" s="80">
        <v>0.0</v>
      </c>
      <c r="N77" s="80">
        <v>0.0</v>
      </c>
      <c r="O77" s="80">
        <v>1.0</v>
      </c>
      <c r="P77" s="80">
        <v>0.0</v>
      </c>
      <c r="Q77" s="80">
        <v>0.0</v>
      </c>
      <c r="R77" s="13">
        <f t="shared" si="18"/>
        <v>2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0.0</v>
      </c>
      <c r="G78" s="80">
        <v>1.0</v>
      </c>
      <c r="H78" s="80">
        <v>0.0</v>
      </c>
      <c r="I78" s="80">
        <v>0.0</v>
      </c>
      <c r="J78" s="80">
        <v>0.0</v>
      </c>
      <c r="K78" s="80">
        <v>0.0</v>
      </c>
      <c r="L78" s="80">
        <v>0.0</v>
      </c>
      <c r="M78" s="80">
        <v>0.0</v>
      </c>
      <c r="N78" s="80">
        <v>0.0</v>
      </c>
      <c r="O78" s="80">
        <v>0.0</v>
      </c>
      <c r="P78" s="80">
        <v>0.0</v>
      </c>
      <c r="Q78" s="80">
        <v>3.0</v>
      </c>
      <c r="R78" s="13">
        <f t="shared" si="18"/>
        <v>4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R79" si="19">SUM(E69:E78)</f>
        <v>37</v>
      </c>
      <c r="F79" s="13">
        <f t="shared" si="19"/>
        <v>84</v>
      </c>
      <c r="G79" s="13">
        <f t="shared" si="19"/>
        <v>46</v>
      </c>
      <c r="H79" s="13">
        <f t="shared" si="19"/>
        <v>40</v>
      </c>
      <c r="I79" s="13">
        <f t="shared" si="19"/>
        <v>33</v>
      </c>
      <c r="J79" s="13">
        <f t="shared" si="19"/>
        <v>58</v>
      </c>
      <c r="K79" s="13">
        <f t="shared" si="19"/>
        <v>27</v>
      </c>
      <c r="L79" s="13">
        <f t="shared" si="19"/>
        <v>20</v>
      </c>
      <c r="M79" s="13">
        <f t="shared" si="19"/>
        <v>31</v>
      </c>
      <c r="N79" s="13">
        <f t="shared" si="19"/>
        <v>34</v>
      </c>
      <c r="O79" s="13">
        <f t="shared" si="19"/>
        <v>14</v>
      </c>
      <c r="P79" s="13">
        <f t="shared" si="19"/>
        <v>16</v>
      </c>
      <c r="Q79" s="13">
        <f t="shared" si="19"/>
        <v>32</v>
      </c>
      <c r="R79" s="13">
        <f t="shared" si="19"/>
        <v>472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1.0</v>
      </c>
      <c r="F81" s="73">
        <v>5.0</v>
      </c>
      <c r="G81" s="73">
        <v>4.0</v>
      </c>
      <c r="H81" s="73">
        <v>4.0</v>
      </c>
      <c r="I81" s="73">
        <v>2.0</v>
      </c>
      <c r="J81" s="73">
        <v>3.0</v>
      </c>
      <c r="K81" s="73">
        <v>1.0</v>
      </c>
      <c r="L81" s="73">
        <v>2.0</v>
      </c>
      <c r="M81" s="73">
        <v>3.0</v>
      </c>
      <c r="N81" s="73">
        <v>2.0</v>
      </c>
      <c r="O81" s="73">
        <v>3.0</v>
      </c>
      <c r="P81" s="73">
        <v>2.0</v>
      </c>
      <c r="Q81" s="73">
        <v>3.0</v>
      </c>
      <c r="R81" s="13">
        <f t="shared" ref="R81:R90" si="20">SUM(E81:Q81)</f>
        <v>35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0.0</v>
      </c>
      <c r="F82" s="73">
        <v>4.0</v>
      </c>
      <c r="G82" s="73">
        <v>4.0</v>
      </c>
      <c r="H82" s="73">
        <v>1.0</v>
      </c>
      <c r="I82" s="73">
        <v>1.0</v>
      </c>
      <c r="J82" s="73">
        <v>1.0</v>
      </c>
      <c r="K82" s="73">
        <v>0.0</v>
      </c>
      <c r="L82" s="73">
        <v>1.0</v>
      </c>
      <c r="M82" s="73">
        <v>5.0</v>
      </c>
      <c r="N82" s="73">
        <v>3.0</v>
      </c>
      <c r="O82" s="73">
        <v>0.0</v>
      </c>
      <c r="P82" s="73">
        <v>1.0</v>
      </c>
      <c r="Q82" s="73">
        <v>0.0</v>
      </c>
      <c r="R82" s="13">
        <f t="shared" si="20"/>
        <v>21</v>
      </c>
    </row>
    <row r="83" ht="12.75" customHeight="1">
      <c r="A83" s="18"/>
      <c r="B83" s="49"/>
      <c r="C83" s="50" t="s">
        <v>71</v>
      </c>
      <c r="D83" s="51"/>
      <c r="E83" s="73">
        <v>0.0</v>
      </c>
      <c r="F83" s="73">
        <v>0.0</v>
      </c>
      <c r="G83" s="73">
        <v>1.0</v>
      </c>
      <c r="H83" s="73">
        <v>2.0</v>
      </c>
      <c r="I83" s="73">
        <v>0.0</v>
      </c>
      <c r="J83" s="73">
        <v>1.0</v>
      </c>
      <c r="K83" s="73">
        <v>1.0</v>
      </c>
      <c r="L83" s="73">
        <v>1.0</v>
      </c>
      <c r="M83" s="73">
        <v>1.0</v>
      </c>
      <c r="N83" s="73">
        <v>1.0</v>
      </c>
      <c r="O83" s="73">
        <v>0.0</v>
      </c>
      <c r="P83" s="73">
        <v>1.0</v>
      </c>
      <c r="Q83" s="73">
        <v>0.0</v>
      </c>
      <c r="R83" s="13">
        <f t="shared" si="20"/>
        <v>9</v>
      </c>
    </row>
    <row r="84" ht="12.75" customHeight="1">
      <c r="A84" s="18"/>
      <c r="B84" s="49"/>
      <c r="C84" s="50" t="s">
        <v>72</v>
      </c>
      <c r="D84" s="51"/>
      <c r="E84" s="73">
        <v>1.0</v>
      </c>
      <c r="F84" s="73">
        <v>0.0</v>
      </c>
      <c r="G84" s="73">
        <v>0.0</v>
      </c>
      <c r="H84" s="73">
        <v>2.0</v>
      </c>
      <c r="I84" s="73">
        <v>1.0</v>
      </c>
      <c r="J84" s="73">
        <v>1.0</v>
      </c>
      <c r="K84" s="73">
        <v>1.0</v>
      </c>
      <c r="L84" s="73">
        <v>1.0</v>
      </c>
      <c r="M84" s="73">
        <v>1.0</v>
      </c>
      <c r="N84" s="73">
        <v>0.0</v>
      </c>
      <c r="O84" s="73">
        <v>1.0</v>
      </c>
      <c r="P84" s="73">
        <v>1.0</v>
      </c>
      <c r="Q84" s="73">
        <v>0.0</v>
      </c>
      <c r="R84" s="13">
        <f t="shared" si="20"/>
        <v>10</v>
      </c>
    </row>
    <row r="85" ht="12.75" customHeight="1">
      <c r="A85" s="18"/>
      <c r="B85" s="49"/>
      <c r="C85" s="50" t="s">
        <v>73</v>
      </c>
      <c r="D85" s="51"/>
      <c r="E85" s="73">
        <v>1.0</v>
      </c>
      <c r="F85" s="73">
        <v>3.0</v>
      </c>
      <c r="G85" s="73">
        <v>4.0</v>
      </c>
      <c r="H85" s="73">
        <v>1.0</v>
      </c>
      <c r="I85" s="73">
        <v>0.0</v>
      </c>
      <c r="J85" s="73">
        <v>2.0</v>
      </c>
      <c r="K85" s="73">
        <v>3.0</v>
      </c>
      <c r="L85" s="73">
        <v>2.0</v>
      </c>
      <c r="M85" s="73">
        <v>1.0</v>
      </c>
      <c r="N85" s="73">
        <v>2.0</v>
      </c>
      <c r="O85" s="73">
        <v>1.0</v>
      </c>
      <c r="P85" s="73">
        <v>0.0</v>
      </c>
      <c r="Q85" s="73">
        <v>1.0</v>
      </c>
      <c r="R85" s="13">
        <f t="shared" si="20"/>
        <v>21</v>
      </c>
    </row>
    <row r="86" ht="12.75" customHeight="1">
      <c r="A86" s="18"/>
      <c r="B86" s="49"/>
      <c r="C86" s="50" t="s">
        <v>74</v>
      </c>
      <c r="D86" s="51"/>
      <c r="E86" s="73">
        <v>0.0</v>
      </c>
      <c r="F86" s="73">
        <v>0.0</v>
      </c>
      <c r="G86" s="73">
        <v>0.0</v>
      </c>
      <c r="H86" s="73">
        <v>1.0</v>
      </c>
      <c r="I86" s="73">
        <v>1.0</v>
      </c>
      <c r="J86" s="73">
        <v>0.0</v>
      </c>
      <c r="K86" s="73">
        <v>1.0</v>
      </c>
      <c r="L86" s="73">
        <v>0.0</v>
      </c>
      <c r="M86" s="73">
        <v>0.0</v>
      </c>
      <c r="N86" s="73">
        <v>8.0</v>
      </c>
      <c r="O86" s="73">
        <v>1.0</v>
      </c>
      <c r="P86" s="73">
        <v>0.0</v>
      </c>
      <c r="Q86" s="73">
        <v>0.0</v>
      </c>
      <c r="R86" s="13">
        <f t="shared" si="20"/>
        <v>12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13">
        <f t="shared" si="20"/>
        <v>0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1.0</v>
      </c>
      <c r="I88" s="80">
        <v>0.0</v>
      </c>
      <c r="J88" s="80">
        <v>0.0</v>
      </c>
      <c r="K88" s="80">
        <v>0.0</v>
      </c>
      <c r="L88" s="80">
        <v>0.0</v>
      </c>
      <c r="M88" s="80">
        <v>0.0</v>
      </c>
      <c r="N88" s="80">
        <v>0.0</v>
      </c>
      <c r="O88" s="80">
        <v>0.0</v>
      </c>
      <c r="P88" s="80">
        <v>0.0</v>
      </c>
      <c r="Q88" s="80">
        <v>0.0</v>
      </c>
      <c r="R88" s="13">
        <f t="shared" si="20"/>
        <v>1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1.0</v>
      </c>
      <c r="I89" s="80">
        <v>1.0</v>
      </c>
      <c r="J89" s="80">
        <v>0.0</v>
      </c>
      <c r="K89" s="80">
        <v>0.0</v>
      </c>
      <c r="L89" s="80">
        <v>0.0</v>
      </c>
      <c r="M89" s="80">
        <v>0.0</v>
      </c>
      <c r="N89" s="80">
        <v>0.0</v>
      </c>
      <c r="O89" s="80">
        <v>0.0</v>
      </c>
      <c r="P89" s="80">
        <v>0.0</v>
      </c>
      <c r="Q89" s="80">
        <v>0.0</v>
      </c>
      <c r="R89" s="13">
        <f t="shared" si="20"/>
        <v>2</v>
      </c>
    </row>
    <row r="90" ht="12.75" customHeight="1">
      <c r="A90" s="79"/>
      <c r="B90" s="49"/>
      <c r="C90" s="50" t="s">
        <v>78</v>
      </c>
      <c r="D90" s="51"/>
      <c r="E90" s="80">
        <v>0.0</v>
      </c>
      <c r="F90" s="80">
        <v>0.0</v>
      </c>
      <c r="G90" s="80">
        <v>0.0</v>
      </c>
      <c r="H90" s="80">
        <v>0.0</v>
      </c>
      <c r="I90" s="80">
        <v>1.0</v>
      </c>
      <c r="J90" s="80">
        <v>0.0</v>
      </c>
      <c r="K90" s="80">
        <v>0.0</v>
      </c>
      <c r="L90" s="80">
        <v>0.0</v>
      </c>
      <c r="M90" s="80">
        <v>1.0</v>
      </c>
      <c r="N90" s="80">
        <v>0.0</v>
      </c>
      <c r="O90" s="80">
        <v>0.0</v>
      </c>
      <c r="P90" s="80">
        <v>0.0</v>
      </c>
      <c r="Q90" s="80">
        <v>0.0</v>
      </c>
      <c r="R90" s="13">
        <f t="shared" si="20"/>
        <v>2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R91" si="21">SUM(E81:E90)</f>
        <v>3</v>
      </c>
      <c r="F91" s="13">
        <f t="shared" si="21"/>
        <v>12</v>
      </c>
      <c r="G91" s="13">
        <f t="shared" si="21"/>
        <v>13</v>
      </c>
      <c r="H91" s="13">
        <f t="shared" si="21"/>
        <v>13</v>
      </c>
      <c r="I91" s="13">
        <f t="shared" si="21"/>
        <v>7</v>
      </c>
      <c r="J91" s="13">
        <f t="shared" si="21"/>
        <v>8</v>
      </c>
      <c r="K91" s="13">
        <f t="shared" si="21"/>
        <v>7</v>
      </c>
      <c r="L91" s="13">
        <f t="shared" si="21"/>
        <v>7</v>
      </c>
      <c r="M91" s="13">
        <f t="shared" si="21"/>
        <v>12</v>
      </c>
      <c r="N91" s="13">
        <f t="shared" si="21"/>
        <v>16</v>
      </c>
      <c r="O91" s="13">
        <f t="shared" si="21"/>
        <v>6</v>
      </c>
      <c r="P91" s="13">
        <f t="shared" si="21"/>
        <v>5</v>
      </c>
      <c r="Q91" s="13">
        <f t="shared" si="21"/>
        <v>4</v>
      </c>
      <c r="R91" s="13">
        <f t="shared" si="21"/>
        <v>113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0.0</v>
      </c>
      <c r="F93" s="73">
        <v>1.0</v>
      </c>
      <c r="G93" s="73">
        <v>0.0</v>
      </c>
      <c r="H93" s="73">
        <v>1.0</v>
      </c>
      <c r="I93" s="73">
        <v>2.0</v>
      </c>
      <c r="J93" s="73">
        <v>2.0</v>
      </c>
      <c r="K93" s="73">
        <v>1.0</v>
      </c>
      <c r="L93" s="73">
        <v>1.0</v>
      </c>
      <c r="M93" s="73">
        <v>0.0</v>
      </c>
      <c r="N93" s="73">
        <v>6.0</v>
      </c>
      <c r="O93" s="73">
        <v>0.0</v>
      </c>
      <c r="P93" s="73">
        <v>2.0</v>
      </c>
      <c r="Q93" s="73">
        <v>0.0</v>
      </c>
      <c r="R93" s="13">
        <f t="shared" ref="R93:R102" si="22">SUM(E93:Q93)</f>
        <v>16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0.0</v>
      </c>
      <c r="F94" s="73">
        <v>3.0</v>
      </c>
      <c r="G94" s="73">
        <v>2.0</v>
      </c>
      <c r="H94" s="73">
        <v>0.0</v>
      </c>
      <c r="I94" s="73">
        <v>0.0</v>
      </c>
      <c r="J94" s="73">
        <v>0.0</v>
      </c>
      <c r="K94" s="73">
        <v>1.0</v>
      </c>
      <c r="L94" s="73">
        <v>8.0</v>
      </c>
      <c r="M94" s="73">
        <v>0.0</v>
      </c>
      <c r="N94" s="73">
        <v>4.0</v>
      </c>
      <c r="O94" s="73">
        <v>0.0</v>
      </c>
      <c r="P94" s="73">
        <v>2.0</v>
      </c>
      <c r="Q94" s="73">
        <v>0.0</v>
      </c>
      <c r="R94" s="13">
        <f t="shared" si="22"/>
        <v>20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1.0</v>
      </c>
      <c r="J95" s="73">
        <v>0.0</v>
      </c>
      <c r="K95" s="73">
        <v>0.0</v>
      </c>
      <c r="L95" s="73">
        <v>0.0</v>
      </c>
      <c r="M95" s="73">
        <v>2.0</v>
      </c>
      <c r="N95" s="73">
        <v>0.0</v>
      </c>
      <c r="O95" s="73">
        <v>0.0</v>
      </c>
      <c r="P95" s="73">
        <v>0.0</v>
      </c>
      <c r="Q95" s="73">
        <v>0.0</v>
      </c>
      <c r="R95" s="13">
        <f t="shared" si="22"/>
        <v>3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1.0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0.0</v>
      </c>
      <c r="R96" s="13">
        <f t="shared" si="22"/>
        <v>1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1.0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1.0</v>
      </c>
      <c r="O97" s="73">
        <v>0.0</v>
      </c>
      <c r="P97" s="73">
        <v>0.0</v>
      </c>
      <c r="Q97" s="73">
        <v>2.0</v>
      </c>
      <c r="R97" s="13">
        <f t="shared" si="22"/>
        <v>4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1.0</v>
      </c>
      <c r="H98" s="73">
        <v>0.0</v>
      </c>
      <c r="I98" s="73">
        <v>2.0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13">
        <f t="shared" si="22"/>
        <v>3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1.0</v>
      </c>
      <c r="Q99" s="73">
        <v>1.0</v>
      </c>
      <c r="R99" s="13">
        <f t="shared" si="22"/>
        <v>2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13">
        <f t="shared" si="22"/>
        <v>0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80">
        <v>0.0</v>
      </c>
      <c r="M101" s="80">
        <v>0.0</v>
      </c>
      <c r="N101" s="80">
        <v>0.0</v>
      </c>
      <c r="O101" s="80">
        <v>0.0</v>
      </c>
      <c r="P101" s="80">
        <v>0.0</v>
      </c>
      <c r="Q101" s="80">
        <v>0.0</v>
      </c>
      <c r="R101" s="13">
        <f t="shared" si="22"/>
        <v>0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R103" si="23">SUM(E93:E102)</f>
        <v>0</v>
      </c>
      <c r="F103" s="13">
        <f t="shared" si="23"/>
        <v>4</v>
      </c>
      <c r="G103" s="13">
        <f t="shared" si="23"/>
        <v>4</v>
      </c>
      <c r="H103" s="13">
        <f t="shared" si="23"/>
        <v>1</v>
      </c>
      <c r="I103" s="13">
        <f t="shared" si="23"/>
        <v>6</v>
      </c>
      <c r="J103" s="13">
        <f t="shared" si="23"/>
        <v>2</v>
      </c>
      <c r="K103" s="13">
        <f t="shared" si="23"/>
        <v>2</v>
      </c>
      <c r="L103" s="13">
        <f t="shared" si="23"/>
        <v>9</v>
      </c>
      <c r="M103" s="13">
        <f t="shared" si="23"/>
        <v>2</v>
      </c>
      <c r="N103" s="13">
        <f t="shared" si="23"/>
        <v>11</v>
      </c>
      <c r="O103" s="13">
        <f t="shared" si="23"/>
        <v>0</v>
      </c>
      <c r="P103" s="13">
        <f t="shared" si="23"/>
        <v>5</v>
      </c>
      <c r="Q103" s="13">
        <f t="shared" si="23"/>
        <v>3</v>
      </c>
      <c r="R103" s="13">
        <f t="shared" si="23"/>
        <v>49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1.0</v>
      </c>
      <c r="O105" s="73">
        <v>1.0</v>
      </c>
      <c r="P105" s="73">
        <v>0.0</v>
      </c>
      <c r="Q105" s="73">
        <v>0.0</v>
      </c>
      <c r="R105" s="13">
        <f t="shared" ref="R105:R114" si="24">SUM(E105:Q105)</f>
        <v>2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2.0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13">
        <f t="shared" si="24"/>
        <v>2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1.0</v>
      </c>
      <c r="I107" s="80">
        <v>1.0</v>
      </c>
      <c r="J107" s="80">
        <v>1.0</v>
      </c>
      <c r="K107" s="80">
        <v>0.0</v>
      </c>
      <c r="L107" s="80">
        <v>0.0</v>
      </c>
      <c r="M107" s="80">
        <v>0.0</v>
      </c>
      <c r="N107" s="80">
        <v>0.0</v>
      </c>
      <c r="O107" s="80">
        <v>0.0</v>
      </c>
      <c r="P107" s="80">
        <v>0.0</v>
      </c>
      <c r="Q107" s="80">
        <v>0.0</v>
      </c>
      <c r="R107" s="13">
        <f t="shared" si="24"/>
        <v>3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R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3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7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1.0</v>
      </c>
      <c r="G117" s="73">
        <v>0.0</v>
      </c>
      <c r="H117" s="73">
        <v>0.0</v>
      </c>
      <c r="I117" s="73">
        <v>0.0</v>
      </c>
      <c r="J117" s="73">
        <v>1.0</v>
      </c>
      <c r="K117" s="73">
        <v>1.0</v>
      </c>
      <c r="L117" s="73">
        <v>1.0</v>
      </c>
      <c r="M117" s="73">
        <v>1.0</v>
      </c>
      <c r="N117" s="73">
        <v>0.0</v>
      </c>
      <c r="O117" s="73">
        <v>0.0</v>
      </c>
      <c r="P117" s="73">
        <v>1.0</v>
      </c>
      <c r="Q117" s="73">
        <v>0.0</v>
      </c>
      <c r="R117" s="13">
        <f t="shared" ref="R117:R126" si="26">SUM(E117:Q117)</f>
        <v>6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1.0</v>
      </c>
      <c r="F118" s="73">
        <v>0.0</v>
      </c>
      <c r="G118" s="73">
        <v>1.0</v>
      </c>
      <c r="H118" s="73">
        <v>1.0</v>
      </c>
      <c r="I118" s="73">
        <v>0.0</v>
      </c>
      <c r="J118" s="73">
        <v>0.0</v>
      </c>
      <c r="K118" s="73">
        <v>0.0</v>
      </c>
      <c r="L118" s="73">
        <v>0.0</v>
      </c>
      <c r="M118" s="73">
        <v>1.0</v>
      </c>
      <c r="N118" s="73">
        <v>0.0</v>
      </c>
      <c r="O118" s="73">
        <v>0.0</v>
      </c>
      <c r="P118" s="73">
        <v>0.0</v>
      </c>
      <c r="Q118" s="73">
        <v>0.0</v>
      </c>
      <c r="R118" s="13">
        <f t="shared" si="26"/>
        <v>4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1.0</v>
      </c>
      <c r="J119" s="73">
        <v>0.0</v>
      </c>
      <c r="K119" s="73">
        <v>0.0</v>
      </c>
      <c r="L119" s="73">
        <v>1.0</v>
      </c>
      <c r="M119" s="73">
        <v>1.0</v>
      </c>
      <c r="N119" s="73">
        <v>0.0</v>
      </c>
      <c r="O119" s="73">
        <v>0.0</v>
      </c>
      <c r="P119" s="73">
        <v>2.0</v>
      </c>
      <c r="Q119" s="73">
        <v>0.0</v>
      </c>
      <c r="R119" s="13">
        <f t="shared" si="26"/>
        <v>5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13">
        <f t="shared" si="26"/>
        <v>0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13">
        <f t="shared" si="26"/>
        <v>0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0.0</v>
      </c>
      <c r="R122" s="13">
        <f t="shared" si="26"/>
        <v>0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R127" si="27">SUM(E117:E126)</f>
        <v>1</v>
      </c>
      <c r="F127" s="13">
        <f t="shared" si="27"/>
        <v>1</v>
      </c>
      <c r="G127" s="13">
        <f t="shared" si="27"/>
        <v>1</v>
      </c>
      <c r="H127" s="13">
        <f t="shared" si="27"/>
        <v>1</v>
      </c>
      <c r="I127" s="13">
        <f t="shared" si="27"/>
        <v>1</v>
      </c>
      <c r="J127" s="13">
        <f t="shared" si="27"/>
        <v>1</v>
      </c>
      <c r="K127" s="13">
        <f t="shared" si="27"/>
        <v>1</v>
      </c>
      <c r="L127" s="13">
        <f t="shared" si="27"/>
        <v>2</v>
      </c>
      <c r="M127" s="13">
        <f t="shared" si="27"/>
        <v>3</v>
      </c>
      <c r="N127" s="13">
        <f t="shared" si="27"/>
        <v>0</v>
      </c>
      <c r="O127" s="13">
        <f t="shared" si="27"/>
        <v>0</v>
      </c>
      <c r="P127" s="13">
        <f t="shared" si="27"/>
        <v>3</v>
      </c>
      <c r="Q127" s="13">
        <f t="shared" si="27"/>
        <v>0</v>
      </c>
      <c r="R127" s="13">
        <f t="shared" si="27"/>
        <v>15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4.0</v>
      </c>
      <c r="F129" s="73">
        <v>2.0</v>
      </c>
      <c r="G129" s="73">
        <v>2.0</v>
      </c>
      <c r="H129" s="73">
        <v>4.0</v>
      </c>
      <c r="I129" s="73">
        <v>0.0</v>
      </c>
      <c r="J129" s="73">
        <v>8.0</v>
      </c>
      <c r="K129" s="73">
        <v>0.0</v>
      </c>
      <c r="L129" s="73">
        <v>2.0</v>
      </c>
      <c r="M129" s="73">
        <v>1.0</v>
      </c>
      <c r="N129" s="73">
        <v>8.0</v>
      </c>
      <c r="O129" s="73">
        <v>5.0</v>
      </c>
      <c r="P129" s="73">
        <v>2.0</v>
      </c>
      <c r="Q129" s="73">
        <v>1.0</v>
      </c>
      <c r="R129" s="13">
        <f t="shared" ref="R129:R138" si="28">SUM(E129:Q129)</f>
        <v>39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10.0</v>
      </c>
      <c r="F130" s="73">
        <v>2.0</v>
      </c>
      <c r="G130" s="73">
        <v>4.0</v>
      </c>
      <c r="H130" s="73">
        <v>2.0</v>
      </c>
      <c r="I130" s="73">
        <v>0.0</v>
      </c>
      <c r="J130" s="73">
        <v>4.0</v>
      </c>
      <c r="K130" s="73">
        <v>0.0</v>
      </c>
      <c r="L130" s="73">
        <v>1.0</v>
      </c>
      <c r="M130" s="73">
        <v>3.0</v>
      </c>
      <c r="N130" s="73">
        <v>5.0</v>
      </c>
      <c r="O130" s="73">
        <v>2.0</v>
      </c>
      <c r="P130" s="73">
        <v>1.0</v>
      </c>
      <c r="Q130" s="73">
        <v>3.0</v>
      </c>
      <c r="R130" s="13">
        <f t="shared" si="28"/>
        <v>37</v>
      </c>
    </row>
    <row r="131" ht="12.75" customHeight="1">
      <c r="A131" s="18"/>
      <c r="B131" s="49"/>
      <c r="C131" s="50" t="s">
        <v>104</v>
      </c>
      <c r="D131" s="51"/>
      <c r="E131" s="73">
        <v>1.0</v>
      </c>
      <c r="F131" s="73">
        <v>0.0</v>
      </c>
      <c r="G131" s="73">
        <v>1.0</v>
      </c>
      <c r="H131" s="73">
        <v>0.0</v>
      </c>
      <c r="I131" s="73">
        <v>0.0</v>
      </c>
      <c r="J131" s="73">
        <v>1.0</v>
      </c>
      <c r="K131" s="73">
        <v>1.0</v>
      </c>
      <c r="L131" s="73">
        <v>1.0</v>
      </c>
      <c r="M131" s="73">
        <v>0.0</v>
      </c>
      <c r="N131" s="73">
        <v>0.0</v>
      </c>
      <c r="O131" s="73">
        <v>0.0</v>
      </c>
      <c r="P131" s="73">
        <v>1.0</v>
      </c>
      <c r="Q131" s="73">
        <v>3.0</v>
      </c>
      <c r="R131" s="13">
        <f t="shared" si="28"/>
        <v>9</v>
      </c>
    </row>
    <row r="132" ht="12.75" customHeight="1">
      <c r="A132" s="18"/>
      <c r="B132" s="49"/>
      <c r="C132" s="50" t="s">
        <v>105</v>
      </c>
      <c r="D132" s="51"/>
      <c r="E132" s="73">
        <v>4.0</v>
      </c>
      <c r="F132" s="73">
        <v>0.0</v>
      </c>
      <c r="G132" s="73">
        <v>1.0</v>
      </c>
      <c r="H132" s="73">
        <v>2.0</v>
      </c>
      <c r="I132" s="73">
        <v>0.0</v>
      </c>
      <c r="J132" s="73">
        <v>0.0</v>
      </c>
      <c r="K132" s="73">
        <v>1.0</v>
      </c>
      <c r="L132" s="73">
        <v>0.0</v>
      </c>
      <c r="M132" s="73">
        <v>0.0</v>
      </c>
      <c r="N132" s="73">
        <v>0.0</v>
      </c>
      <c r="O132" s="73">
        <v>0.0</v>
      </c>
      <c r="P132" s="73">
        <v>0.0</v>
      </c>
      <c r="Q132" s="73">
        <v>0.0</v>
      </c>
      <c r="R132" s="13">
        <f t="shared" si="28"/>
        <v>8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13">
        <f t="shared" si="28"/>
        <v>0</v>
      </c>
    </row>
    <row r="134" ht="12.75" customHeight="1">
      <c r="A134" s="18"/>
      <c r="B134" s="49"/>
      <c r="C134" s="50" t="s">
        <v>107</v>
      </c>
      <c r="D134" s="51"/>
      <c r="E134" s="73">
        <v>0.0</v>
      </c>
      <c r="F134" s="73">
        <v>0.0</v>
      </c>
      <c r="G134" s="73">
        <v>0.0</v>
      </c>
      <c r="H134" s="73">
        <v>6.0</v>
      </c>
      <c r="I134" s="73">
        <v>0.0</v>
      </c>
      <c r="J134" s="73">
        <v>0.0</v>
      </c>
      <c r="K134" s="73">
        <v>1.0</v>
      </c>
      <c r="L134" s="73">
        <v>0.0</v>
      </c>
      <c r="M134" s="73">
        <v>0.0</v>
      </c>
      <c r="N134" s="73">
        <v>2.0</v>
      </c>
      <c r="O134" s="73">
        <v>0.0</v>
      </c>
      <c r="P134" s="73">
        <v>1.0</v>
      </c>
      <c r="Q134" s="73">
        <v>0.0</v>
      </c>
      <c r="R134" s="13">
        <f t="shared" si="28"/>
        <v>10</v>
      </c>
    </row>
    <row r="135" ht="12.75" customHeight="1">
      <c r="A135" s="18"/>
      <c r="B135" s="49"/>
      <c r="C135" s="50" t="s">
        <v>108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2.0</v>
      </c>
      <c r="K135" s="73">
        <v>0.0</v>
      </c>
      <c r="L135" s="73">
        <v>0.0</v>
      </c>
      <c r="M135" s="73">
        <v>0.0</v>
      </c>
      <c r="N135" s="73">
        <v>0.0</v>
      </c>
      <c r="O135" s="73">
        <v>0.0</v>
      </c>
      <c r="P135" s="73">
        <v>1.0</v>
      </c>
      <c r="Q135" s="73">
        <v>0.0</v>
      </c>
      <c r="R135" s="13">
        <f t="shared" si="28"/>
        <v>3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2.0</v>
      </c>
      <c r="I136" s="80">
        <v>0.0</v>
      </c>
      <c r="J136" s="80">
        <v>0.0</v>
      </c>
      <c r="K136" s="80">
        <v>0.0</v>
      </c>
      <c r="L136" s="80">
        <v>0.0</v>
      </c>
      <c r="M136" s="80">
        <v>0.0</v>
      </c>
      <c r="N136" s="80">
        <v>0.0</v>
      </c>
      <c r="O136" s="80">
        <v>0.0</v>
      </c>
      <c r="P136" s="80">
        <v>0.0</v>
      </c>
      <c r="Q136" s="80">
        <v>0.0</v>
      </c>
      <c r="R136" s="13">
        <f t="shared" si="28"/>
        <v>2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0.0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80">
        <v>0.0</v>
      </c>
      <c r="N137" s="80">
        <v>0.0</v>
      </c>
      <c r="O137" s="80">
        <v>0.0</v>
      </c>
      <c r="P137" s="80">
        <v>0.0</v>
      </c>
      <c r="Q137" s="80">
        <v>0.0</v>
      </c>
      <c r="R137" s="13">
        <f t="shared" si="28"/>
        <v>0</v>
      </c>
    </row>
    <row r="138" ht="12.75" customHeight="1">
      <c r="A138" s="79"/>
      <c r="B138" s="49"/>
      <c r="C138" s="50" t="s">
        <v>111</v>
      </c>
      <c r="D138" s="51"/>
      <c r="E138" s="80">
        <v>1.0</v>
      </c>
      <c r="F138" s="80">
        <v>0.0</v>
      </c>
      <c r="G138" s="80">
        <v>0.0</v>
      </c>
      <c r="H138" s="80">
        <v>1.0</v>
      </c>
      <c r="I138" s="80">
        <v>0.0</v>
      </c>
      <c r="J138" s="80">
        <v>0.0</v>
      </c>
      <c r="K138" s="80">
        <v>0.0</v>
      </c>
      <c r="L138" s="80">
        <v>0.0</v>
      </c>
      <c r="M138" s="80">
        <v>0.0</v>
      </c>
      <c r="N138" s="80">
        <v>0.0</v>
      </c>
      <c r="O138" s="80">
        <v>0.0</v>
      </c>
      <c r="P138" s="80">
        <v>0.0</v>
      </c>
      <c r="Q138" s="80">
        <v>0.0</v>
      </c>
      <c r="R138" s="13">
        <f t="shared" si="28"/>
        <v>2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R139" si="29">SUM(E129:E138)</f>
        <v>20</v>
      </c>
      <c r="F139" s="13">
        <f t="shared" si="29"/>
        <v>4</v>
      </c>
      <c r="G139" s="13">
        <f t="shared" si="29"/>
        <v>8</v>
      </c>
      <c r="H139" s="13">
        <f t="shared" si="29"/>
        <v>17</v>
      </c>
      <c r="I139" s="13">
        <f t="shared" si="29"/>
        <v>0</v>
      </c>
      <c r="J139" s="13">
        <f t="shared" si="29"/>
        <v>15</v>
      </c>
      <c r="K139" s="13">
        <f t="shared" si="29"/>
        <v>3</v>
      </c>
      <c r="L139" s="13">
        <f t="shared" si="29"/>
        <v>4</v>
      </c>
      <c r="M139" s="13">
        <f t="shared" si="29"/>
        <v>4</v>
      </c>
      <c r="N139" s="13">
        <f t="shared" si="29"/>
        <v>15</v>
      </c>
      <c r="O139" s="13">
        <f t="shared" si="29"/>
        <v>7</v>
      </c>
      <c r="P139" s="13">
        <f t="shared" si="29"/>
        <v>6</v>
      </c>
      <c r="Q139" s="13">
        <f t="shared" si="29"/>
        <v>7</v>
      </c>
      <c r="R139" s="13">
        <f t="shared" si="29"/>
        <v>110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13">
        <f t="shared" ref="R141:R150" si="30">SUM(E141:Q141)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1.0</v>
      </c>
      <c r="I142" s="73">
        <v>1.0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13">
        <f t="shared" si="30"/>
        <v>2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R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1.0</v>
      </c>
      <c r="G153" s="73">
        <v>1.0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13">
        <f t="shared" ref="R153:R162" si="32">SUM(E153:Q153)</f>
        <v>2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1.0</v>
      </c>
      <c r="L154" s="73">
        <v>1.0</v>
      </c>
      <c r="M154" s="73">
        <v>0.0</v>
      </c>
      <c r="N154" s="73">
        <v>0.0</v>
      </c>
      <c r="O154" s="73">
        <v>0.0</v>
      </c>
      <c r="P154" s="73">
        <v>0.0</v>
      </c>
      <c r="Q154" s="73">
        <v>1.0</v>
      </c>
      <c r="R154" s="13">
        <f t="shared" si="32"/>
        <v>3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13">
        <f t="shared" si="32"/>
        <v>0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13">
        <f t="shared" si="32"/>
        <v>0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13">
        <f t="shared" si="32"/>
        <v>0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1.0</v>
      </c>
      <c r="I158" s="80">
        <v>0.0</v>
      </c>
      <c r="J158" s="80">
        <v>0.0</v>
      </c>
      <c r="K158" s="80">
        <v>0.0</v>
      </c>
      <c r="L158" s="80">
        <v>0.0</v>
      </c>
      <c r="M158" s="80">
        <v>0.0</v>
      </c>
      <c r="N158" s="80">
        <v>0.0</v>
      </c>
      <c r="O158" s="80">
        <v>0.0</v>
      </c>
      <c r="P158" s="73">
        <v>0.0</v>
      </c>
      <c r="Q158" s="80">
        <v>0.0</v>
      </c>
      <c r="R158" s="13">
        <f t="shared" si="32"/>
        <v>1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1.0</v>
      </c>
      <c r="I159" s="80">
        <v>1.0</v>
      </c>
      <c r="J159" s="80">
        <v>0.0</v>
      </c>
      <c r="K159" s="80">
        <v>0.0</v>
      </c>
      <c r="L159" s="80">
        <v>0.0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13">
        <f t="shared" si="32"/>
        <v>2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1.0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13">
        <f t="shared" si="32"/>
        <v>1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R163" si="33">SUM(E153:E162)</f>
        <v>0</v>
      </c>
      <c r="F163" s="13">
        <f t="shared" si="33"/>
        <v>1</v>
      </c>
      <c r="G163" s="13">
        <f t="shared" si="33"/>
        <v>1</v>
      </c>
      <c r="H163" s="13">
        <f t="shared" si="33"/>
        <v>2</v>
      </c>
      <c r="I163" s="13">
        <f t="shared" si="33"/>
        <v>1</v>
      </c>
      <c r="J163" s="13">
        <f t="shared" si="33"/>
        <v>1</v>
      </c>
      <c r="K163" s="13">
        <f t="shared" si="33"/>
        <v>1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  <c r="R163" s="13">
        <f t="shared" si="33"/>
        <v>9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0.0</v>
      </c>
      <c r="G165" s="73">
        <v>0.0</v>
      </c>
      <c r="H165" s="73">
        <v>1.0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13">
        <f t="shared" ref="R165:R174" si="34">SUM(E165:Q165)</f>
        <v>1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0.0</v>
      </c>
      <c r="F166" s="80">
        <v>1.0</v>
      </c>
      <c r="G166" s="80">
        <v>1.0</v>
      </c>
      <c r="H166" s="80">
        <v>2.0</v>
      </c>
      <c r="I166" s="80">
        <v>1.0</v>
      </c>
      <c r="J166" s="80">
        <v>1.0</v>
      </c>
      <c r="K166" s="80">
        <v>0.0</v>
      </c>
      <c r="L166" s="80">
        <v>1.0</v>
      </c>
      <c r="M166" s="80">
        <v>0.0</v>
      </c>
      <c r="N166" s="80">
        <v>0.0</v>
      </c>
      <c r="O166" s="80">
        <v>0.0</v>
      </c>
      <c r="P166" s="80">
        <v>0.0</v>
      </c>
      <c r="Q166" s="80">
        <v>0.0</v>
      </c>
      <c r="R166" s="13">
        <f t="shared" si="34"/>
        <v>7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R175" si="35">SUM(E165:E174)</f>
        <v>0</v>
      </c>
      <c r="F175" s="13">
        <f t="shared" si="35"/>
        <v>1</v>
      </c>
      <c r="G175" s="13">
        <f t="shared" si="35"/>
        <v>1</v>
      </c>
      <c r="H175" s="13">
        <f t="shared" si="35"/>
        <v>3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8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2.0</v>
      </c>
      <c r="F177" s="73">
        <v>0.0</v>
      </c>
      <c r="G177" s="73">
        <v>1.0</v>
      </c>
      <c r="H177" s="73">
        <v>1.0</v>
      </c>
      <c r="I177" s="73">
        <v>0.0</v>
      </c>
      <c r="J177" s="73">
        <v>0.0</v>
      </c>
      <c r="K177" s="73">
        <v>3.0</v>
      </c>
      <c r="L177" s="73">
        <v>1.0</v>
      </c>
      <c r="M177" s="73">
        <v>1.0</v>
      </c>
      <c r="N177" s="73">
        <v>1.0</v>
      </c>
      <c r="O177" s="73">
        <v>0.0</v>
      </c>
      <c r="P177" s="73">
        <v>0.0</v>
      </c>
      <c r="Q177" s="73">
        <v>1.0</v>
      </c>
      <c r="R177" s="13">
        <f t="shared" ref="R177:R186" si="36">SUM(E177:Q177)</f>
        <v>11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2.0</v>
      </c>
      <c r="F178" s="73">
        <v>0.0</v>
      </c>
      <c r="G178" s="73">
        <v>2.0</v>
      </c>
      <c r="H178" s="73">
        <v>0.0</v>
      </c>
      <c r="I178" s="73">
        <v>0.0</v>
      </c>
      <c r="J178" s="73">
        <v>1.0</v>
      </c>
      <c r="K178" s="73">
        <v>0.0</v>
      </c>
      <c r="L178" s="73">
        <v>0.0</v>
      </c>
      <c r="M178" s="73">
        <v>0.0</v>
      </c>
      <c r="N178" s="73">
        <v>0.0</v>
      </c>
      <c r="O178" s="73">
        <v>3.0</v>
      </c>
      <c r="P178" s="73">
        <v>0.0</v>
      </c>
      <c r="Q178" s="73">
        <v>1.0</v>
      </c>
      <c r="R178" s="13">
        <f t="shared" si="36"/>
        <v>9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1.0</v>
      </c>
      <c r="K179" s="73">
        <v>0.0</v>
      </c>
      <c r="L179" s="73">
        <v>0.0</v>
      </c>
      <c r="M179" s="73">
        <v>2.0</v>
      </c>
      <c r="N179" s="73">
        <v>0.0</v>
      </c>
      <c r="O179" s="73">
        <v>0.0</v>
      </c>
      <c r="P179" s="73">
        <v>0.0</v>
      </c>
      <c r="Q179" s="73">
        <v>0.0</v>
      </c>
      <c r="R179" s="13">
        <f t="shared" si="36"/>
        <v>3</v>
      </c>
    </row>
    <row r="180" ht="12.75" customHeight="1">
      <c r="A180" s="18"/>
      <c r="B180" s="49"/>
      <c r="C180" s="50" t="s">
        <v>133</v>
      </c>
      <c r="D180" s="51"/>
      <c r="E180" s="73">
        <v>0.0</v>
      </c>
      <c r="F180" s="73">
        <v>0.0</v>
      </c>
      <c r="G180" s="73">
        <v>1.0</v>
      </c>
      <c r="H180" s="73">
        <v>0.0</v>
      </c>
      <c r="I180" s="73">
        <v>0.0</v>
      </c>
      <c r="J180" s="73">
        <v>0.0</v>
      </c>
      <c r="K180" s="73">
        <v>1.0</v>
      </c>
      <c r="L180" s="73">
        <v>0.0</v>
      </c>
      <c r="M180" s="73">
        <v>0.0</v>
      </c>
      <c r="N180" s="73">
        <v>0.0</v>
      </c>
      <c r="O180" s="73">
        <v>1.0</v>
      </c>
      <c r="P180" s="73">
        <v>1.0</v>
      </c>
      <c r="Q180" s="73">
        <v>0.0</v>
      </c>
      <c r="R180" s="13">
        <f t="shared" si="36"/>
        <v>4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0.0</v>
      </c>
      <c r="G181" s="73">
        <v>1.0</v>
      </c>
      <c r="H181" s="73">
        <v>0.0</v>
      </c>
      <c r="I181" s="73">
        <v>0.0</v>
      </c>
      <c r="J181" s="73">
        <v>1.0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1.0</v>
      </c>
      <c r="R181" s="13">
        <f t="shared" si="36"/>
        <v>3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1.0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13">
        <f t="shared" si="36"/>
        <v>1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1.0</v>
      </c>
      <c r="Q183" s="73">
        <v>0.0</v>
      </c>
      <c r="R183" s="13">
        <f t="shared" si="36"/>
        <v>1</v>
      </c>
    </row>
    <row r="184" ht="12.75" customHeight="1">
      <c r="A184" s="79"/>
      <c r="B184" s="49"/>
      <c r="C184" s="50" t="s">
        <v>137</v>
      </c>
      <c r="D184" s="51"/>
      <c r="E184" s="80">
        <v>1.0</v>
      </c>
      <c r="F184" s="80">
        <v>0.0</v>
      </c>
      <c r="G184" s="80">
        <v>1.0</v>
      </c>
      <c r="H184" s="80">
        <v>0.0</v>
      </c>
      <c r="I184" s="80">
        <v>0.0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13">
        <f t="shared" si="36"/>
        <v>2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0.0</v>
      </c>
      <c r="G185" s="80">
        <v>1.0</v>
      </c>
      <c r="H185" s="80">
        <v>0.0</v>
      </c>
      <c r="I185" s="80">
        <v>0.0</v>
      </c>
      <c r="J185" s="80">
        <v>0.0</v>
      </c>
      <c r="K185" s="80">
        <v>0.0</v>
      </c>
      <c r="L185" s="80">
        <v>0.0</v>
      </c>
      <c r="M185" s="80">
        <v>1.0</v>
      </c>
      <c r="N185" s="80">
        <v>0.0</v>
      </c>
      <c r="O185" s="80">
        <v>0.0</v>
      </c>
      <c r="P185" s="80">
        <v>0.0</v>
      </c>
      <c r="Q185" s="80">
        <v>0.0</v>
      </c>
      <c r="R185" s="13">
        <f t="shared" si="36"/>
        <v>2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0.0</v>
      </c>
      <c r="Q186" s="80">
        <v>0.0</v>
      </c>
      <c r="R186" s="13">
        <f t="shared" si="36"/>
        <v>0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R187" si="37">SUM(E177:E186)</f>
        <v>5</v>
      </c>
      <c r="F187" s="13">
        <f t="shared" si="37"/>
        <v>0</v>
      </c>
      <c r="G187" s="13">
        <f t="shared" si="37"/>
        <v>7</v>
      </c>
      <c r="H187" s="13">
        <f t="shared" si="37"/>
        <v>2</v>
      </c>
      <c r="I187" s="13">
        <f t="shared" si="37"/>
        <v>0</v>
      </c>
      <c r="J187" s="13">
        <f t="shared" si="37"/>
        <v>3</v>
      </c>
      <c r="K187" s="13">
        <f t="shared" si="37"/>
        <v>4</v>
      </c>
      <c r="L187" s="13">
        <f t="shared" si="37"/>
        <v>1</v>
      </c>
      <c r="M187" s="13">
        <f t="shared" si="37"/>
        <v>4</v>
      </c>
      <c r="N187" s="13">
        <f t="shared" si="37"/>
        <v>1</v>
      </c>
      <c r="O187" s="13">
        <f t="shared" si="37"/>
        <v>4</v>
      </c>
      <c r="P187" s="13">
        <f t="shared" si="37"/>
        <v>2</v>
      </c>
      <c r="Q187" s="13">
        <f t="shared" si="37"/>
        <v>3</v>
      </c>
      <c r="R187" s="13">
        <f t="shared" si="37"/>
        <v>36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R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0.0</v>
      </c>
      <c r="H189" s="73">
        <v>1.0</v>
      </c>
      <c r="I189" s="73">
        <v>1.0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13">
        <f t="shared" ref="R189:R198" si="38">SUM(E189:Q189)</f>
        <v>2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13">
        <f t="shared" si="38"/>
        <v>0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13">
        <f t="shared" si="38"/>
        <v>0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1.0</v>
      </c>
      <c r="J192" s="73">
        <v>0.0</v>
      </c>
      <c r="K192" s="73">
        <v>0.0</v>
      </c>
      <c r="L192" s="73">
        <v>0.0</v>
      </c>
      <c r="M192" s="73">
        <v>1.0</v>
      </c>
      <c r="N192" s="73">
        <v>0.0</v>
      </c>
      <c r="O192" s="73">
        <v>0.0</v>
      </c>
      <c r="P192" s="73">
        <v>0.0</v>
      </c>
      <c r="Q192" s="73">
        <v>0.0</v>
      </c>
      <c r="R192" s="13">
        <f t="shared" si="38"/>
        <v>2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1.0</v>
      </c>
      <c r="I193" s="73">
        <v>0.0</v>
      </c>
      <c r="J193" s="73">
        <v>0.0</v>
      </c>
      <c r="K193" s="73">
        <v>0.0</v>
      </c>
      <c r="L193" s="73">
        <v>0.0</v>
      </c>
      <c r="M193" s="73">
        <v>1.0</v>
      </c>
      <c r="N193" s="73">
        <v>0.0</v>
      </c>
      <c r="O193" s="73">
        <v>0.0</v>
      </c>
      <c r="P193" s="73">
        <v>0.0</v>
      </c>
      <c r="Q193" s="73">
        <v>0.0</v>
      </c>
      <c r="R193" s="13">
        <f t="shared" si="38"/>
        <v>2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1.0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13">
        <f t="shared" si="38"/>
        <v>1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13">
        <f t="shared" si="38"/>
        <v>0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13">
        <f t="shared" si="38"/>
        <v>0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13">
        <f t="shared" si="38"/>
        <v>0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R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3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2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7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5.0</v>
      </c>
      <c r="F201" s="73">
        <v>5.0</v>
      </c>
      <c r="G201" s="73">
        <v>3.0</v>
      </c>
      <c r="H201" s="73">
        <v>4.0</v>
      </c>
      <c r="I201" s="73">
        <v>6.0</v>
      </c>
      <c r="J201" s="73">
        <v>2.0</v>
      </c>
      <c r="K201" s="73">
        <v>1.0</v>
      </c>
      <c r="L201" s="73">
        <v>0.0</v>
      </c>
      <c r="M201" s="73">
        <v>21.0</v>
      </c>
      <c r="N201" s="73">
        <v>4.0</v>
      </c>
      <c r="O201" s="73">
        <v>13.0</v>
      </c>
      <c r="P201" s="73">
        <v>1.0</v>
      </c>
      <c r="Q201" s="73">
        <v>3.0</v>
      </c>
      <c r="R201" s="13">
        <f t="shared" ref="R201:R210" si="40">SUM(E201:Q201)</f>
        <v>68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8.0</v>
      </c>
      <c r="F202" s="73">
        <v>3.0</v>
      </c>
      <c r="G202" s="73">
        <v>2.0</v>
      </c>
      <c r="H202" s="73">
        <v>3.0</v>
      </c>
      <c r="I202" s="73">
        <v>4.0</v>
      </c>
      <c r="J202" s="73">
        <v>3.0</v>
      </c>
      <c r="K202" s="73">
        <v>5.0</v>
      </c>
      <c r="L202" s="73">
        <v>1.0</v>
      </c>
      <c r="M202" s="73">
        <v>7.0</v>
      </c>
      <c r="N202" s="73">
        <v>5.0</v>
      </c>
      <c r="O202" s="73">
        <v>3.0</v>
      </c>
      <c r="P202" s="73">
        <v>1.0</v>
      </c>
      <c r="Q202" s="73">
        <v>3.0</v>
      </c>
      <c r="R202" s="13">
        <f t="shared" si="40"/>
        <v>48</v>
      </c>
    </row>
    <row r="203" ht="12.75" customHeight="1">
      <c r="A203" s="18"/>
      <c r="B203" s="49"/>
      <c r="C203" s="50" t="s">
        <v>154</v>
      </c>
      <c r="D203" s="51"/>
      <c r="E203" s="73">
        <v>4.0</v>
      </c>
      <c r="F203" s="73">
        <v>0.0</v>
      </c>
      <c r="G203" s="73">
        <v>3.0</v>
      </c>
      <c r="H203" s="73">
        <v>4.0</v>
      </c>
      <c r="I203" s="73">
        <v>0.0</v>
      </c>
      <c r="J203" s="73">
        <v>2.0</v>
      </c>
      <c r="K203" s="73">
        <v>4.0</v>
      </c>
      <c r="L203" s="73">
        <v>3.0</v>
      </c>
      <c r="M203" s="73">
        <v>3.0</v>
      </c>
      <c r="N203" s="73">
        <v>2.0</v>
      </c>
      <c r="O203" s="73">
        <v>3.0</v>
      </c>
      <c r="P203" s="73">
        <v>1.0</v>
      </c>
      <c r="Q203" s="73">
        <v>2.0</v>
      </c>
      <c r="R203" s="13">
        <f t="shared" si="40"/>
        <v>31</v>
      </c>
    </row>
    <row r="204" ht="12.75" customHeight="1">
      <c r="A204" s="18"/>
      <c r="B204" s="49"/>
      <c r="C204" s="50" t="s">
        <v>155</v>
      </c>
      <c r="D204" s="51"/>
      <c r="E204" s="73">
        <v>3.0</v>
      </c>
      <c r="F204" s="73">
        <v>2.0</v>
      </c>
      <c r="G204" s="73">
        <v>1.0</v>
      </c>
      <c r="H204" s="73">
        <v>1.0</v>
      </c>
      <c r="I204" s="73">
        <v>2.0</v>
      </c>
      <c r="J204" s="73">
        <v>3.0</v>
      </c>
      <c r="K204" s="73">
        <v>1.0</v>
      </c>
      <c r="L204" s="73">
        <v>1.0</v>
      </c>
      <c r="M204" s="73">
        <v>1.0</v>
      </c>
      <c r="N204" s="73">
        <v>1.0</v>
      </c>
      <c r="O204" s="73">
        <v>1.0</v>
      </c>
      <c r="P204" s="73">
        <v>0.0</v>
      </c>
      <c r="Q204" s="73">
        <v>1.0</v>
      </c>
      <c r="R204" s="13">
        <f t="shared" si="40"/>
        <v>18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0.0</v>
      </c>
      <c r="G205" s="73">
        <v>1.0</v>
      </c>
      <c r="H205" s="73">
        <v>2.0</v>
      </c>
      <c r="I205" s="73">
        <v>0.0</v>
      </c>
      <c r="J205" s="73">
        <v>1.0</v>
      </c>
      <c r="K205" s="73">
        <v>0.0</v>
      </c>
      <c r="L205" s="73">
        <v>1.0</v>
      </c>
      <c r="M205" s="73">
        <v>1.0</v>
      </c>
      <c r="N205" s="73">
        <v>0.0</v>
      </c>
      <c r="O205" s="73">
        <v>0.0</v>
      </c>
      <c r="P205" s="73">
        <v>2.0</v>
      </c>
      <c r="Q205" s="73">
        <v>0.0</v>
      </c>
      <c r="R205" s="13">
        <f t="shared" si="40"/>
        <v>8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1.0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13">
        <f t="shared" si="40"/>
        <v>1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0.0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1.0</v>
      </c>
      <c r="N207" s="73">
        <v>0.0</v>
      </c>
      <c r="O207" s="73">
        <v>1.0</v>
      </c>
      <c r="P207" s="73">
        <v>0.0</v>
      </c>
      <c r="Q207" s="73">
        <v>0.0</v>
      </c>
      <c r="R207" s="13">
        <f t="shared" si="40"/>
        <v>2</v>
      </c>
    </row>
    <row r="208" ht="12.75" customHeight="1">
      <c r="A208" s="79"/>
      <c r="B208" s="49"/>
      <c r="C208" s="50" t="s">
        <v>159</v>
      </c>
      <c r="D208" s="51"/>
      <c r="E208" s="80">
        <v>2.0</v>
      </c>
      <c r="F208" s="80">
        <v>0.0</v>
      </c>
      <c r="G208" s="80">
        <v>1.0</v>
      </c>
      <c r="H208" s="80">
        <v>0.0</v>
      </c>
      <c r="I208" s="80">
        <v>2.0</v>
      </c>
      <c r="J208" s="80">
        <v>0.0</v>
      </c>
      <c r="K208" s="80">
        <v>0.0</v>
      </c>
      <c r="L208" s="80">
        <v>0.0</v>
      </c>
      <c r="M208" s="80">
        <v>1.0</v>
      </c>
      <c r="N208" s="80">
        <v>0.0</v>
      </c>
      <c r="O208" s="80">
        <v>0.0</v>
      </c>
      <c r="P208" s="80">
        <v>0.0</v>
      </c>
      <c r="Q208" s="80">
        <v>1.0</v>
      </c>
      <c r="R208" s="13">
        <f t="shared" si="40"/>
        <v>7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2.0</v>
      </c>
      <c r="N209" s="80">
        <v>0.0</v>
      </c>
      <c r="O209" s="80">
        <v>0.0</v>
      </c>
      <c r="P209" s="80">
        <v>0.0</v>
      </c>
      <c r="Q209" s="80">
        <v>0.0</v>
      </c>
      <c r="R209" s="13">
        <f t="shared" si="40"/>
        <v>2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0.0</v>
      </c>
      <c r="H210" s="80">
        <v>0.0</v>
      </c>
      <c r="I210" s="80">
        <v>0.0</v>
      </c>
      <c r="J210" s="80">
        <v>0.0</v>
      </c>
      <c r="K210" s="80">
        <v>0.0</v>
      </c>
      <c r="L210" s="80">
        <v>1.0</v>
      </c>
      <c r="M210" s="80">
        <v>0.0</v>
      </c>
      <c r="N210" s="80">
        <v>0.0</v>
      </c>
      <c r="O210" s="80">
        <v>0.0</v>
      </c>
      <c r="P210" s="80">
        <v>0.0</v>
      </c>
      <c r="Q210" s="80">
        <v>0.0</v>
      </c>
      <c r="R210" s="13">
        <f t="shared" si="40"/>
        <v>1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R211" si="41">SUM(E201:E210)</f>
        <v>22</v>
      </c>
      <c r="F211" s="13">
        <f t="shared" si="41"/>
        <v>10</v>
      </c>
      <c r="G211" s="13">
        <f t="shared" si="41"/>
        <v>11</v>
      </c>
      <c r="H211" s="13">
        <f t="shared" si="41"/>
        <v>14</v>
      </c>
      <c r="I211" s="13">
        <f t="shared" si="41"/>
        <v>14</v>
      </c>
      <c r="J211" s="13">
        <f t="shared" si="41"/>
        <v>12</v>
      </c>
      <c r="K211" s="13">
        <f t="shared" si="41"/>
        <v>11</v>
      </c>
      <c r="L211" s="13">
        <f t="shared" si="41"/>
        <v>7</v>
      </c>
      <c r="M211" s="13">
        <f t="shared" si="41"/>
        <v>37</v>
      </c>
      <c r="N211" s="13">
        <f t="shared" si="41"/>
        <v>12</v>
      </c>
      <c r="O211" s="13">
        <f t="shared" si="41"/>
        <v>21</v>
      </c>
      <c r="P211" s="13">
        <f t="shared" si="41"/>
        <v>5</v>
      </c>
      <c r="Q211" s="13">
        <f t="shared" si="41"/>
        <v>10</v>
      </c>
      <c r="R211" s="13">
        <f t="shared" si="41"/>
        <v>186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5.0</v>
      </c>
      <c r="F213" s="73">
        <v>0.0</v>
      </c>
      <c r="G213" s="73">
        <v>2.0</v>
      </c>
      <c r="H213" s="73">
        <v>1.0</v>
      </c>
      <c r="I213" s="73">
        <v>1.0</v>
      </c>
      <c r="J213" s="73">
        <v>1.0</v>
      </c>
      <c r="K213" s="73">
        <v>1.0</v>
      </c>
      <c r="L213" s="73">
        <v>3.0</v>
      </c>
      <c r="M213" s="73">
        <v>6.0</v>
      </c>
      <c r="N213" s="73">
        <v>4.0</v>
      </c>
      <c r="O213" s="73">
        <v>1.0</v>
      </c>
      <c r="P213" s="73">
        <v>1.0</v>
      </c>
      <c r="Q213" s="73">
        <v>1.0</v>
      </c>
      <c r="R213" s="13">
        <f t="shared" ref="R213:R222" si="42">SUM(E213:Q213)</f>
        <v>27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1.0</v>
      </c>
      <c r="F214" s="73">
        <v>0.0</v>
      </c>
      <c r="G214" s="73">
        <v>0.0</v>
      </c>
      <c r="H214" s="73">
        <v>1.0</v>
      </c>
      <c r="I214" s="73">
        <v>4.0</v>
      </c>
      <c r="J214" s="73">
        <v>0.0</v>
      </c>
      <c r="K214" s="73">
        <v>0.0</v>
      </c>
      <c r="L214" s="73">
        <v>0.0</v>
      </c>
      <c r="M214" s="73">
        <v>0.0</v>
      </c>
      <c r="N214" s="73">
        <v>1.0</v>
      </c>
      <c r="O214" s="73">
        <v>1.0</v>
      </c>
      <c r="P214" s="73">
        <v>1.0</v>
      </c>
      <c r="Q214" s="73">
        <v>0.0</v>
      </c>
      <c r="R214" s="13">
        <f t="shared" si="42"/>
        <v>9</v>
      </c>
    </row>
    <row r="215" ht="12.75" customHeight="1">
      <c r="A215" s="18"/>
      <c r="B215" s="49"/>
      <c r="C215" s="50" t="s">
        <v>165</v>
      </c>
      <c r="D215" s="51"/>
      <c r="E215" s="73">
        <v>0.0</v>
      </c>
      <c r="F215" s="73">
        <v>0.0</v>
      </c>
      <c r="G215" s="73">
        <v>1.0</v>
      </c>
      <c r="H215" s="73">
        <v>3.0</v>
      </c>
      <c r="I215" s="73">
        <v>2.0</v>
      </c>
      <c r="J215" s="73">
        <v>1.0</v>
      </c>
      <c r="K215" s="73">
        <v>0.0</v>
      </c>
      <c r="L215" s="73">
        <v>2.0</v>
      </c>
      <c r="M215" s="73">
        <v>2.0</v>
      </c>
      <c r="N215" s="73">
        <v>2.0</v>
      </c>
      <c r="O215" s="73">
        <v>4.0</v>
      </c>
      <c r="P215" s="73">
        <v>1.0</v>
      </c>
      <c r="Q215" s="73">
        <v>1.0</v>
      </c>
      <c r="R215" s="13">
        <f t="shared" si="42"/>
        <v>19</v>
      </c>
    </row>
    <row r="216" ht="12.75" customHeight="1">
      <c r="A216" s="18"/>
      <c r="B216" s="49"/>
      <c r="C216" s="50" t="s">
        <v>166</v>
      </c>
      <c r="D216" s="51"/>
      <c r="E216" s="73">
        <v>1.0</v>
      </c>
      <c r="F216" s="73">
        <v>0.0</v>
      </c>
      <c r="G216" s="73">
        <v>1.0</v>
      </c>
      <c r="H216" s="73">
        <v>0.0</v>
      </c>
      <c r="I216" s="73">
        <v>1.0</v>
      </c>
      <c r="J216" s="73">
        <v>0.0</v>
      </c>
      <c r="K216" s="73">
        <v>0.0</v>
      </c>
      <c r="L216" s="73">
        <v>0.0</v>
      </c>
      <c r="M216" s="73">
        <v>0.0</v>
      </c>
      <c r="N216" s="73">
        <v>1.0</v>
      </c>
      <c r="O216" s="73">
        <v>0.0</v>
      </c>
      <c r="P216" s="73">
        <v>1.0</v>
      </c>
      <c r="Q216" s="73">
        <v>0.0</v>
      </c>
      <c r="R216" s="13">
        <f t="shared" si="42"/>
        <v>5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R223" si="43">SUM(E213:E222)</f>
        <v>7</v>
      </c>
      <c r="F223" s="13">
        <f t="shared" si="43"/>
        <v>0</v>
      </c>
      <c r="G223" s="13">
        <f t="shared" si="43"/>
        <v>4</v>
      </c>
      <c r="H223" s="13">
        <f t="shared" si="43"/>
        <v>5</v>
      </c>
      <c r="I223" s="13">
        <f t="shared" si="43"/>
        <v>8</v>
      </c>
      <c r="J223" s="13">
        <f t="shared" si="43"/>
        <v>2</v>
      </c>
      <c r="K223" s="13">
        <f t="shared" si="43"/>
        <v>1</v>
      </c>
      <c r="L223" s="13">
        <f t="shared" si="43"/>
        <v>5</v>
      </c>
      <c r="M223" s="13">
        <f t="shared" si="43"/>
        <v>8</v>
      </c>
      <c r="N223" s="13">
        <f t="shared" si="43"/>
        <v>8</v>
      </c>
      <c r="O223" s="13">
        <f t="shared" si="43"/>
        <v>6</v>
      </c>
      <c r="P223" s="13">
        <f t="shared" si="43"/>
        <v>4</v>
      </c>
      <c r="Q223" s="13">
        <f t="shared" si="43"/>
        <v>2</v>
      </c>
      <c r="R223" s="13">
        <f t="shared" si="43"/>
        <v>60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0.0</v>
      </c>
      <c r="G225" s="73">
        <v>1.0</v>
      </c>
      <c r="H225" s="73">
        <v>1.0</v>
      </c>
      <c r="I225" s="73">
        <v>0.0</v>
      </c>
      <c r="J225" s="73">
        <v>0.0</v>
      </c>
      <c r="K225" s="73">
        <v>1.0</v>
      </c>
      <c r="L225" s="73">
        <v>0.0</v>
      </c>
      <c r="M225" s="73">
        <v>0.0</v>
      </c>
      <c r="N225" s="73">
        <v>0.0</v>
      </c>
      <c r="O225" s="73">
        <v>2.0</v>
      </c>
      <c r="P225" s="73">
        <v>1.0</v>
      </c>
      <c r="Q225" s="73">
        <v>1.0</v>
      </c>
      <c r="R225" s="13">
        <f t="shared" ref="R225:R234" si="44">SUM(E225:Q225)</f>
        <v>7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1.0</v>
      </c>
      <c r="G226" s="73">
        <v>0.0</v>
      </c>
      <c r="H226" s="73">
        <v>0.0</v>
      </c>
      <c r="I226" s="73">
        <v>1.0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13">
        <f t="shared" si="44"/>
        <v>2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1.0</v>
      </c>
      <c r="P227" s="73">
        <v>0.0</v>
      </c>
      <c r="Q227" s="73">
        <v>0.0</v>
      </c>
      <c r="R227" s="13">
        <f t="shared" si="44"/>
        <v>1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1.0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1.0</v>
      </c>
      <c r="P228" s="73">
        <v>0.0</v>
      </c>
      <c r="Q228" s="73">
        <v>0.0</v>
      </c>
      <c r="R228" s="13">
        <f t="shared" si="44"/>
        <v>2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1.0</v>
      </c>
      <c r="Q229" s="73">
        <v>0.0</v>
      </c>
      <c r="R229" s="13">
        <f t="shared" si="44"/>
        <v>1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R235" si="45">SUM(E225:E234)</f>
        <v>0</v>
      </c>
      <c r="F235" s="13">
        <f t="shared" si="45"/>
        <v>1</v>
      </c>
      <c r="G235" s="13">
        <f t="shared" si="45"/>
        <v>1</v>
      </c>
      <c r="H235" s="13">
        <f t="shared" si="45"/>
        <v>1</v>
      </c>
      <c r="I235" s="13">
        <f t="shared" si="45"/>
        <v>2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4</v>
      </c>
      <c r="P235" s="13">
        <f t="shared" si="45"/>
        <v>2</v>
      </c>
      <c r="Q235" s="13">
        <f t="shared" si="45"/>
        <v>1</v>
      </c>
      <c r="R235" s="13">
        <f t="shared" si="45"/>
        <v>13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1.0</v>
      </c>
      <c r="F237" s="73">
        <v>1.0</v>
      </c>
      <c r="G237" s="73">
        <v>0.0</v>
      </c>
      <c r="H237" s="73">
        <v>0.0</v>
      </c>
      <c r="I237" s="73">
        <v>1.0</v>
      </c>
      <c r="J237" s="73">
        <v>1.0</v>
      </c>
      <c r="K237" s="73">
        <v>2.0</v>
      </c>
      <c r="L237" s="73">
        <v>1.0</v>
      </c>
      <c r="M237" s="73">
        <v>0.0</v>
      </c>
      <c r="N237" s="73">
        <v>4.0</v>
      </c>
      <c r="O237" s="73">
        <v>0.0</v>
      </c>
      <c r="P237" s="73">
        <v>1.0</v>
      </c>
      <c r="Q237" s="73">
        <v>0.0</v>
      </c>
      <c r="R237" s="13">
        <f t="shared" ref="R237:R246" si="46">SUM(E237:Q237)</f>
        <v>12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2.0</v>
      </c>
      <c r="F238" s="73">
        <v>1.0</v>
      </c>
      <c r="G238" s="73">
        <v>0.0</v>
      </c>
      <c r="H238" s="73">
        <v>2.0</v>
      </c>
      <c r="I238" s="73">
        <v>4.0</v>
      </c>
      <c r="J238" s="73">
        <v>1.0</v>
      </c>
      <c r="K238" s="73">
        <v>1.0</v>
      </c>
      <c r="L238" s="73">
        <v>0.0</v>
      </c>
      <c r="M238" s="73">
        <v>3.0</v>
      </c>
      <c r="N238" s="73">
        <v>0.0</v>
      </c>
      <c r="O238" s="73">
        <v>0.0</v>
      </c>
      <c r="P238" s="73">
        <v>0.0</v>
      </c>
      <c r="Q238" s="73">
        <v>0.0</v>
      </c>
      <c r="R238" s="13">
        <f t="shared" si="46"/>
        <v>14</v>
      </c>
    </row>
    <row r="239" ht="12.75" customHeight="1">
      <c r="A239" s="18"/>
      <c r="B239" s="49"/>
      <c r="C239" s="50" t="s">
        <v>176</v>
      </c>
      <c r="D239" s="51"/>
      <c r="E239" s="73">
        <v>3.0</v>
      </c>
      <c r="F239" s="73">
        <v>2.0</v>
      </c>
      <c r="G239" s="73">
        <v>4.0</v>
      </c>
      <c r="H239" s="73">
        <v>2.0</v>
      </c>
      <c r="I239" s="73">
        <v>6.0</v>
      </c>
      <c r="J239" s="73">
        <v>5.0</v>
      </c>
      <c r="K239" s="73">
        <v>1.0</v>
      </c>
      <c r="L239" s="73">
        <v>2.0</v>
      </c>
      <c r="M239" s="73">
        <v>19.0</v>
      </c>
      <c r="N239" s="73">
        <v>1.0</v>
      </c>
      <c r="O239" s="73">
        <v>1.0</v>
      </c>
      <c r="P239" s="73">
        <v>1.0</v>
      </c>
      <c r="Q239" s="73">
        <v>0.0</v>
      </c>
      <c r="R239" s="13">
        <f t="shared" si="46"/>
        <v>47</v>
      </c>
    </row>
    <row r="240" ht="12.75" customHeight="1">
      <c r="A240" s="18"/>
      <c r="B240" s="49"/>
      <c r="C240" s="50" t="s">
        <v>177</v>
      </c>
      <c r="D240" s="51"/>
      <c r="E240" s="73">
        <v>1.0</v>
      </c>
      <c r="F240" s="73">
        <v>1.0</v>
      </c>
      <c r="G240" s="73">
        <v>1.0</v>
      </c>
      <c r="H240" s="73">
        <v>1.0</v>
      </c>
      <c r="I240" s="73">
        <v>3.0</v>
      </c>
      <c r="J240" s="73">
        <v>0.0</v>
      </c>
      <c r="K240" s="73">
        <v>2.0</v>
      </c>
      <c r="L240" s="73">
        <v>0.0</v>
      </c>
      <c r="M240" s="73">
        <v>1.0</v>
      </c>
      <c r="N240" s="73">
        <v>1.0</v>
      </c>
      <c r="O240" s="73">
        <v>0.0</v>
      </c>
      <c r="P240" s="73">
        <v>0.0</v>
      </c>
      <c r="Q240" s="73">
        <v>0.0</v>
      </c>
      <c r="R240" s="13">
        <f t="shared" si="46"/>
        <v>11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1.0</v>
      </c>
      <c r="O241" s="73">
        <v>0.0</v>
      </c>
      <c r="P241" s="73">
        <v>0.0</v>
      </c>
      <c r="Q241" s="73">
        <v>0.0</v>
      </c>
      <c r="R241" s="13">
        <f t="shared" si="46"/>
        <v>1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0.0</v>
      </c>
      <c r="G242" s="73">
        <v>1.0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1.0</v>
      </c>
      <c r="O242" s="73">
        <v>0.0</v>
      </c>
      <c r="P242" s="73">
        <v>0.0</v>
      </c>
      <c r="Q242" s="73">
        <v>0.0</v>
      </c>
      <c r="R242" s="13">
        <f t="shared" si="46"/>
        <v>2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13">
        <f t="shared" si="46"/>
        <v>0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13">
        <f t="shared" si="46"/>
        <v>0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1.0</v>
      </c>
      <c r="H246" s="80">
        <v>0.0</v>
      </c>
      <c r="I246" s="80">
        <v>1.0</v>
      </c>
      <c r="J246" s="80">
        <v>0.0</v>
      </c>
      <c r="K246" s="80">
        <v>1.0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13">
        <f t="shared" si="46"/>
        <v>3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R247" si="47">SUM(E237:E246)</f>
        <v>7</v>
      </c>
      <c r="F247" s="13">
        <f t="shared" si="47"/>
        <v>5</v>
      </c>
      <c r="G247" s="13">
        <f t="shared" si="47"/>
        <v>7</v>
      </c>
      <c r="H247" s="13">
        <f t="shared" si="47"/>
        <v>5</v>
      </c>
      <c r="I247" s="13">
        <f t="shared" si="47"/>
        <v>15</v>
      </c>
      <c r="J247" s="13">
        <f t="shared" si="47"/>
        <v>7</v>
      </c>
      <c r="K247" s="13">
        <f t="shared" si="47"/>
        <v>7</v>
      </c>
      <c r="L247" s="13">
        <f t="shared" si="47"/>
        <v>3</v>
      </c>
      <c r="M247" s="13">
        <f t="shared" si="47"/>
        <v>23</v>
      </c>
      <c r="N247" s="13">
        <f t="shared" si="47"/>
        <v>8</v>
      </c>
      <c r="O247" s="13">
        <f t="shared" si="47"/>
        <v>1</v>
      </c>
      <c r="P247" s="13">
        <f t="shared" si="47"/>
        <v>2</v>
      </c>
      <c r="Q247" s="13">
        <f t="shared" si="47"/>
        <v>0</v>
      </c>
      <c r="R247" s="13">
        <f t="shared" si="47"/>
        <v>90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1.0</v>
      </c>
      <c r="G249" s="73">
        <v>2.0</v>
      </c>
      <c r="H249" s="73">
        <v>2.0</v>
      </c>
      <c r="I249" s="73">
        <v>0.0</v>
      </c>
      <c r="J249" s="73">
        <v>1.0</v>
      </c>
      <c r="K249" s="73">
        <v>0.0</v>
      </c>
      <c r="L249" s="73">
        <v>0.0</v>
      </c>
      <c r="M249" s="73">
        <v>0.0</v>
      </c>
      <c r="N249" s="73">
        <v>1.0</v>
      </c>
      <c r="O249" s="73">
        <v>1.0</v>
      </c>
      <c r="P249" s="73">
        <v>0.0</v>
      </c>
      <c r="Q249" s="73">
        <v>0.0</v>
      </c>
      <c r="R249" s="13">
        <f t="shared" ref="R249:R258" si="48">SUM(E249:Q249)</f>
        <v>8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1.0</v>
      </c>
      <c r="F250" s="73">
        <v>0.0</v>
      </c>
      <c r="G250" s="73">
        <v>3.0</v>
      </c>
      <c r="H250" s="73">
        <v>7.0</v>
      </c>
      <c r="I250" s="73">
        <v>1.0</v>
      </c>
      <c r="J250" s="73">
        <v>3.0</v>
      </c>
      <c r="K250" s="73">
        <v>0.0</v>
      </c>
      <c r="L250" s="73">
        <v>0.0</v>
      </c>
      <c r="M250" s="73">
        <v>0.0</v>
      </c>
      <c r="N250" s="73">
        <v>1.0</v>
      </c>
      <c r="O250" s="73">
        <v>2.0</v>
      </c>
      <c r="P250" s="73">
        <v>1.0</v>
      </c>
      <c r="Q250" s="73">
        <v>0.0</v>
      </c>
      <c r="R250" s="13">
        <f t="shared" si="48"/>
        <v>19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1.0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13">
        <f t="shared" si="48"/>
        <v>1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13">
        <f t="shared" si="48"/>
        <v>0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R259" si="49">SUM(E249:E258)</f>
        <v>1</v>
      </c>
      <c r="F259" s="13">
        <f t="shared" si="49"/>
        <v>1</v>
      </c>
      <c r="G259" s="13">
        <f t="shared" si="49"/>
        <v>5</v>
      </c>
      <c r="H259" s="13">
        <f t="shared" si="49"/>
        <v>10</v>
      </c>
      <c r="I259" s="13">
        <f t="shared" si="49"/>
        <v>1</v>
      </c>
      <c r="J259" s="13">
        <f t="shared" si="49"/>
        <v>4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2</v>
      </c>
      <c r="O259" s="13">
        <f t="shared" si="49"/>
        <v>3</v>
      </c>
      <c r="P259" s="13">
        <f t="shared" si="49"/>
        <v>1</v>
      </c>
      <c r="Q259" s="13">
        <f t="shared" si="49"/>
        <v>0</v>
      </c>
      <c r="R259" s="13">
        <f t="shared" si="49"/>
        <v>28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Q262" si="50">E55+E67+E79+E91+E103+E115+E127+E139+E151+E163+E175+E187+E199+E211+E223+E235+E247+E259</f>
        <v>179</v>
      </c>
      <c r="F262" s="19">
        <f t="shared" si="50"/>
        <v>168</v>
      </c>
      <c r="G262" s="19">
        <f t="shared" si="50"/>
        <v>172</v>
      </c>
      <c r="H262" s="19">
        <f t="shared" si="50"/>
        <v>177</v>
      </c>
      <c r="I262" s="19">
        <f t="shared" si="50"/>
        <v>194</v>
      </c>
      <c r="J262" s="19">
        <f t="shared" si="50"/>
        <v>173</v>
      </c>
      <c r="K262" s="19">
        <f t="shared" si="50"/>
        <v>123</v>
      </c>
      <c r="L262" s="19">
        <f t="shared" si="50"/>
        <v>167</v>
      </c>
      <c r="M262" s="19">
        <f t="shared" si="50"/>
        <v>184</v>
      </c>
      <c r="N262" s="19">
        <f t="shared" si="50"/>
        <v>169</v>
      </c>
      <c r="O262" s="19">
        <f t="shared" si="50"/>
        <v>116</v>
      </c>
      <c r="P262" s="19">
        <f t="shared" si="50"/>
        <v>140</v>
      </c>
      <c r="Q262" s="19">
        <f t="shared" si="50"/>
        <v>100</v>
      </c>
      <c r="R262" s="13">
        <f t="shared" ref="R262:R264" si="51">SUM(E262:Q262)</f>
        <v>2062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26.0</v>
      </c>
      <c r="F263" s="73">
        <v>22.0</v>
      </c>
      <c r="G263" s="73">
        <v>17.0</v>
      </c>
      <c r="H263" s="73">
        <v>28.0</v>
      </c>
      <c r="I263" s="73">
        <v>18.0</v>
      </c>
      <c r="J263" s="73">
        <v>31.0</v>
      </c>
      <c r="K263" s="73">
        <v>21.0</v>
      </c>
      <c r="L263" s="73">
        <v>34.0</v>
      </c>
      <c r="M263" s="73">
        <v>33.0</v>
      </c>
      <c r="N263" s="73">
        <v>38.0</v>
      </c>
      <c r="O263" s="73">
        <v>22.0</v>
      </c>
      <c r="P263" s="73">
        <v>18.0</v>
      </c>
      <c r="Q263" s="73">
        <v>24.0</v>
      </c>
      <c r="R263" s="13">
        <f t="shared" si="51"/>
        <v>332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Q264" si="52">SUM(E262:E263)</f>
        <v>205</v>
      </c>
      <c r="F264" s="13">
        <f t="shared" si="52"/>
        <v>190</v>
      </c>
      <c r="G264" s="13">
        <f t="shared" si="52"/>
        <v>189</v>
      </c>
      <c r="H264" s="13">
        <f t="shared" si="52"/>
        <v>205</v>
      </c>
      <c r="I264" s="13">
        <f t="shared" si="52"/>
        <v>212</v>
      </c>
      <c r="J264" s="13">
        <f t="shared" si="52"/>
        <v>204</v>
      </c>
      <c r="K264" s="13">
        <f t="shared" si="52"/>
        <v>144</v>
      </c>
      <c r="L264" s="13">
        <f t="shared" si="52"/>
        <v>201</v>
      </c>
      <c r="M264" s="13">
        <f t="shared" si="52"/>
        <v>217</v>
      </c>
      <c r="N264" s="13">
        <f t="shared" si="52"/>
        <v>207</v>
      </c>
      <c r="O264" s="13">
        <f t="shared" si="52"/>
        <v>138</v>
      </c>
      <c r="P264" s="13">
        <f t="shared" si="52"/>
        <v>158</v>
      </c>
      <c r="Q264" s="13">
        <f t="shared" si="52"/>
        <v>124</v>
      </c>
      <c r="R264" s="13">
        <f t="shared" si="51"/>
        <v>2394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Q15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E30&lt;&gt;E47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E34&lt;&gt;E64</formula>
    </cfRule>
  </conditionalFormatting>
  <conditionalFormatting sqref="E45:Q54">
    <cfRule type="containsBlanks" dxfId="1" priority="10">
      <formula>LEN(TRIM(E45))=0</formula>
    </cfRule>
  </conditionalFormatting>
  <conditionalFormatting sqref="E57:Q66">
    <cfRule type="containsBlanks" dxfId="1" priority="11">
      <formula>LEN(TRIM(E57))=0</formula>
    </cfRule>
  </conditionalFormatting>
  <conditionalFormatting sqref="E69:Q78">
    <cfRule type="containsBlanks" dxfId="1" priority="12">
      <formula>LEN(TRIM(E69))=0</formula>
    </cfRule>
  </conditionalFormatting>
  <conditionalFormatting sqref="E81:Q90">
    <cfRule type="containsBlanks" dxfId="1" priority="13">
      <formula>LEN(TRIM(E81))=0</formula>
    </cfRule>
  </conditionalFormatting>
  <conditionalFormatting sqref="E93:Q102">
    <cfRule type="containsBlanks" dxfId="1" priority="14">
      <formula>LEN(TRIM(E93))=0</formula>
    </cfRule>
  </conditionalFormatting>
  <conditionalFormatting sqref="E105:Q114">
    <cfRule type="containsBlanks" dxfId="1" priority="15">
      <formula>LEN(TRIM(E105))=0</formula>
    </cfRule>
  </conditionalFormatting>
  <conditionalFormatting sqref="E117:Q126">
    <cfRule type="containsBlanks" dxfId="1" priority="16">
      <formula>LEN(TRIM(E117))=0</formula>
    </cfRule>
  </conditionalFormatting>
  <conditionalFormatting sqref="E129:Q138">
    <cfRule type="containsBlanks" dxfId="1" priority="17">
      <formula>LEN(TRIM(E129))=0</formula>
    </cfRule>
  </conditionalFormatting>
  <conditionalFormatting sqref="E141:Q150">
    <cfRule type="containsBlanks" dxfId="1" priority="18">
      <formula>LEN(TRIM(E141))=0</formula>
    </cfRule>
  </conditionalFormatting>
  <conditionalFormatting sqref="E153:Q162">
    <cfRule type="containsBlanks" dxfId="1" priority="19">
      <formula>LEN(TRIM(E153))=0</formula>
    </cfRule>
  </conditionalFormatting>
  <conditionalFormatting sqref="E165:Q174">
    <cfRule type="containsBlanks" dxfId="1" priority="20">
      <formula>LEN(TRIM(E165))=0</formula>
    </cfRule>
  </conditionalFormatting>
  <conditionalFormatting sqref="E177:Q186">
    <cfRule type="containsBlanks" dxfId="1" priority="21">
      <formula>LEN(TRIM(E177))=0</formula>
    </cfRule>
  </conditionalFormatting>
  <conditionalFormatting sqref="E189:Q198">
    <cfRule type="containsBlanks" dxfId="1" priority="22">
      <formula>LEN(TRIM(E189))=0</formula>
    </cfRule>
  </conditionalFormatting>
  <conditionalFormatting sqref="E201:Q210">
    <cfRule type="containsBlanks" dxfId="1" priority="23">
      <formula>LEN(TRIM(E201))=0</formula>
    </cfRule>
  </conditionalFormatting>
  <conditionalFormatting sqref="E213:Q222">
    <cfRule type="containsBlanks" dxfId="1" priority="24">
      <formula>LEN(TRIM(E213))=0</formula>
    </cfRule>
  </conditionalFormatting>
  <conditionalFormatting sqref="E225:Q234">
    <cfRule type="containsBlanks" dxfId="1" priority="25">
      <formula>LEN(TRIM(E225))=0</formula>
    </cfRule>
  </conditionalFormatting>
  <conditionalFormatting sqref="E237:Q246">
    <cfRule type="containsBlanks" dxfId="1" priority="26">
      <formula>LEN(TRIM(E237))=0</formula>
    </cfRule>
  </conditionalFormatting>
  <conditionalFormatting sqref="E249:Q258">
    <cfRule type="containsBlanks" dxfId="1" priority="27">
      <formula>LEN(TRIM(E249))=0</formula>
    </cfRule>
  </conditionalFormatting>
  <conditionalFormatting sqref="E262: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36"/>
    </row>
    <row r="14" ht="12.75" customHeight="1">
      <c r="A14" s="18"/>
      <c r="B14" s="22" t="s">
        <v>10</v>
      </c>
      <c r="C14" s="23"/>
      <c r="D14" s="19" t="s">
        <v>11</v>
      </c>
      <c r="E14" s="73">
        <v>132.0</v>
      </c>
      <c r="F14" s="73">
        <v>94.0</v>
      </c>
      <c r="G14" s="73">
        <v>99.0</v>
      </c>
      <c r="H14" s="73">
        <v>138.0</v>
      </c>
      <c r="I14" s="73">
        <v>146.0</v>
      </c>
      <c r="J14" s="73">
        <v>118.0</v>
      </c>
      <c r="K14" s="73">
        <v>114.0</v>
      </c>
      <c r="L14" s="73">
        <v>139.0</v>
      </c>
      <c r="M14" s="73">
        <v>141.0</v>
      </c>
      <c r="N14" s="73">
        <v>117.0</v>
      </c>
      <c r="O14" s="73">
        <v>130.0</v>
      </c>
      <c r="P14" s="73">
        <v>121.0</v>
      </c>
      <c r="Q14" s="73">
        <v>116.0</v>
      </c>
      <c r="R14" s="73">
        <v>132.0</v>
      </c>
      <c r="S14" s="73">
        <v>125.0</v>
      </c>
      <c r="T14" s="73">
        <v>108.0</v>
      </c>
      <c r="U14" s="13">
        <f t="shared" ref="U14:U16" si="1">SUM(E14:T14)</f>
        <v>1970</v>
      </c>
    </row>
    <row r="15" ht="12.75" customHeight="1">
      <c r="A15" s="18"/>
      <c r="B15" s="26"/>
      <c r="C15" s="27"/>
      <c r="D15" s="19" t="s">
        <v>12</v>
      </c>
      <c r="E15" s="73">
        <v>157.0</v>
      </c>
      <c r="F15" s="73">
        <v>109.0</v>
      </c>
      <c r="G15" s="73">
        <v>102.0</v>
      </c>
      <c r="H15" s="73">
        <v>146.0</v>
      </c>
      <c r="I15" s="73">
        <v>144.0</v>
      </c>
      <c r="J15" s="73">
        <v>117.0</v>
      </c>
      <c r="K15" s="73">
        <v>110.0</v>
      </c>
      <c r="L15" s="73">
        <v>151.0</v>
      </c>
      <c r="M15" s="73">
        <v>141.0</v>
      </c>
      <c r="N15" s="73">
        <v>119.0</v>
      </c>
      <c r="O15" s="73">
        <v>143.0</v>
      </c>
      <c r="P15" s="73">
        <v>132.0</v>
      </c>
      <c r="Q15" s="73">
        <v>114.0</v>
      </c>
      <c r="R15" s="73">
        <v>135.0</v>
      </c>
      <c r="S15" s="73">
        <v>128.0</v>
      </c>
      <c r="T15" s="73">
        <v>117.0</v>
      </c>
      <c r="U15" s="13">
        <f t="shared" si="1"/>
        <v>2065</v>
      </c>
    </row>
    <row r="16" ht="12.75" customHeight="1">
      <c r="A16" s="25"/>
      <c r="B16" s="21"/>
      <c r="C16" s="28"/>
      <c r="D16" s="13" t="s">
        <v>13</v>
      </c>
      <c r="E16" s="13">
        <f t="shared" ref="E16:T16" si="2">SUM(E14:E15)</f>
        <v>289</v>
      </c>
      <c r="F16" s="13">
        <f t="shared" si="2"/>
        <v>203</v>
      </c>
      <c r="G16" s="13">
        <f t="shared" si="2"/>
        <v>201</v>
      </c>
      <c r="H16" s="13">
        <f t="shared" si="2"/>
        <v>284</v>
      </c>
      <c r="I16" s="13">
        <f t="shared" si="2"/>
        <v>290</v>
      </c>
      <c r="J16" s="13">
        <f t="shared" si="2"/>
        <v>235</v>
      </c>
      <c r="K16" s="13">
        <f t="shared" si="2"/>
        <v>224</v>
      </c>
      <c r="L16" s="13">
        <f t="shared" si="2"/>
        <v>290</v>
      </c>
      <c r="M16" s="13">
        <f t="shared" si="2"/>
        <v>282</v>
      </c>
      <c r="N16" s="13">
        <f t="shared" si="2"/>
        <v>236</v>
      </c>
      <c r="O16" s="13">
        <f t="shared" si="2"/>
        <v>273</v>
      </c>
      <c r="P16" s="13">
        <f t="shared" si="2"/>
        <v>253</v>
      </c>
      <c r="Q16" s="13">
        <f t="shared" si="2"/>
        <v>230</v>
      </c>
      <c r="R16" s="13">
        <f t="shared" si="2"/>
        <v>267</v>
      </c>
      <c r="S16" s="13">
        <f t="shared" si="2"/>
        <v>253</v>
      </c>
      <c r="T16" s="13">
        <f t="shared" si="2"/>
        <v>225</v>
      </c>
      <c r="U16" s="13">
        <f t="shared" si="1"/>
        <v>4035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122.0</v>
      </c>
      <c r="F19" s="73">
        <v>73.0</v>
      </c>
      <c r="G19" s="73">
        <v>72.0</v>
      </c>
      <c r="H19" s="73">
        <v>103.0</v>
      </c>
      <c r="I19" s="73">
        <v>100.0</v>
      </c>
      <c r="J19" s="73">
        <v>99.0</v>
      </c>
      <c r="K19" s="73">
        <v>78.0</v>
      </c>
      <c r="L19" s="73">
        <v>106.0</v>
      </c>
      <c r="M19" s="73">
        <v>107.0</v>
      </c>
      <c r="N19" s="73">
        <v>82.0</v>
      </c>
      <c r="O19" s="73">
        <v>100.0</v>
      </c>
      <c r="P19" s="73">
        <v>85.0</v>
      </c>
      <c r="Q19" s="73">
        <v>89.0</v>
      </c>
      <c r="R19" s="73">
        <v>99.0</v>
      </c>
      <c r="S19" s="73">
        <v>79.0</v>
      </c>
      <c r="T19" s="73">
        <v>87.0</v>
      </c>
      <c r="U19" s="13">
        <f t="shared" ref="U19:U30" si="3">SUM(E19:T19)</f>
        <v>1481</v>
      </c>
    </row>
    <row r="20" ht="12.75" customHeight="1">
      <c r="A20" s="33"/>
      <c r="B20" s="27"/>
      <c r="C20" s="34"/>
      <c r="D20" s="19" t="s">
        <v>12</v>
      </c>
      <c r="E20" s="73">
        <v>104.0</v>
      </c>
      <c r="F20" s="73">
        <v>90.0</v>
      </c>
      <c r="G20" s="73">
        <v>84.0</v>
      </c>
      <c r="H20" s="73">
        <v>114.0</v>
      </c>
      <c r="I20" s="73">
        <v>117.0</v>
      </c>
      <c r="J20" s="73">
        <v>105.0</v>
      </c>
      <c r="K20" s="73">
        <v>91.0</v>
      </c>
      <c r="L20" s="73">
        <v>116.0</v>
      </c>
      <c r="M20" s="73">
        <v>117.0</v>
      </c>
      <c r="N20" s="73">
        <v>93.0</v>
      </c>
      <c r="O20" s="73">
        <v>116.0</v>
      </c>
      <c r="P20" s="73">
        <v>107.0</v>
      </c>
      <c r="Q20" s="73">
        <v>94.0</v>
      </c>
      <c r="R20" s="73">
        <v>113.0</v>
      </c>
      <c r="S20" s="73">
        <v>94.0</v>
      </c>
      <c r="T20" s="73">
        <v>96.0</v>
      </c>
      <c r="U20" s="13">
        <f t="shared" si="3"/>
        <v>1651</v>
      </c>
    </row>
    <row r="21" ht="12.75" customHeight="1">
      <c r="A21" s="35"/>
      <c r="B21" s="28"/>
      <c r="C21" s="36"/>
      <c r="D21" s="13" t="s">
        <v>13</v>
      </c>
      <c r="E21" s="13">
        <f t="shared" ref="E21:T21" si="4">SUM(E19:E20)</f>
        <v>226</v>
      </c>
      <c r="F21" s="13">
        <f t="shared" si="4"/>
        <v>163</v>
      </c>
      <c r="G21" s="13">
        <f t="shared" si="4"/>
        <v>156</v>
      </c>
      <c r="H21" s="13">
        <f t="shared" si="4"/>
        <v>217</v>
      </c>
      <c r="I21" s="13">
        <f t="shared" si="4"/>
        <v>217</v>
      </c>
      <c r="J21" s="13">
        <f t="shared" si="4"/>
        <v>204</v>
      </c>
      <c r="K21" s="13">
        <f t="shared" si="4"/>
        <v>169</v>
      </c>
      <c r="L21" s="13">
        <f t="shared" si="4"/>
        <v>222</v>
      </c>
      <c r="M21" s="13">
        <f t="shared" si="4"/>
        <v>224</v>
      </c>
      <c r="N21" s="13">
        <f t="shared" si="4"/>
        <v>175</v>
      </c>
      <c r="O21" s="13">
        <f t="shared" si="4"/>
        <v>216</v>
      </c>
      <c r="P21" s="13">
        <f t="shared" si="4"/>
        <v>192</v>
      </c>
      <c r="Q21" s="13">
        <f t="shared" si="4"/>
        <v>183</v>
      </c>
      <c r="R21" s="13">
        <f t="shared" si="4"/>
        <v>212</v>
      </c>
      <c r="S21" s="13">
        <f t="shared" si="4"/>
        <v>173</v>
      </c>
      <c r="T21" s="13">
        <f t="shared" si="4"/>
        <v>183</v>
      </c>
      <c r="U21" s="13">
        <f t="shared" si="3"/>
        <v>3132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1.0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2.0</v>
      </c>
      <c r="F25" s="73">
        <v>2.0</v>
      </c>
      <c r="G25" s="73">
        <v>0.0</v>
      </c>
      <c r="H25" s="73">
        <v>4.0</v>
      </c>
      <c r="I25" s="73">
        <v>3.0</v>
      </c>
      <c r="J25" s="73">
        <v>1.0</v>
      </c>
      <c r="K25" s="73">
        <v>4.0</v>
      </c>
      <c r="L25" s="73">
        <v>3.0</v>
      </c>
      <c r="M25" s="73">
        <v>3.0</v>
      </c>
      <c r="N25" s="73">
        <v>2.0</v>
      </c>
      <c r="O25" s="73">
        <v>5.0</v>
      </c>
      <c r="P25" s="73">
        <v>3.0</v>
      </c>
      <c r="Q25" s="73">
        <v>0.0</v>
      </c>
      <c r="R25" s="73">
        <v>1.0</v>
      </c>
      <c r="S25" s="73">
        <v>10.0</v>
      </c>
      <c r="T25" s="73">
        <v>7.0</v>
      </c>
      <c r="U25" s="13">
        <f t="shared" si="3"/>
        <v>50</v>
      </c>
    </row>
    <row r="26" ht="12.75" customHeight="1">
      <c r="A26" s="33"/>
      <c r="B26" s="27"/>
      <c r="C26" s="34"/>
      <c r="D26" s="19" t="s">
        <v>12</v>
      </c>
      <c r="E26" s="73">
        <v>5.0</v>
      </c>
      <c r="F26" s="73">
        <v>3.0</v>
      </c>
      <c r="G26" s="73">
        <v>1.0</v>
      </c>
      <c r="H26" s="73">
        <v>7.0</v>
      </c>
      <c r="I26" s="73">
        <v>6.0</v>
      </c>
      <c r="J26" s="73">
        <v>4.0</v>
      </c>
      <c r="K26" s="73">
        <v>4.0</v>
      </c>
      <c r="L26" s="73">
        <v>1.0</v>
      </c>
      <c r="M26" s="73">
        <v>3.0</v>
      </c>
      <c r="N26" s="73">
        <v>1.0</v>
      </c>
      <c r="O26" s="73">
        <v>4.0</v>
      </c>
      <c r="P26" s="73">
        <v>3.0</v>
      </c>
      <c r="Q26" s="73">
        <v>1.0</v>
      </c>
      <c r="R26" s="73">
        <v>2.0</v>
      </c>
      <c r="S26" s="73">
        <v>12.0</v>
      </c>
      <c r="T26" s="73">
        <v>9.0</v>
      </c>
      <c r="U26" s="13">
        <f t="shared" si="3"/>
        <v>66</v>
      </c>
    </row>
    <row r="27" ht="12.75" customHeight="1">
      <c r="A27" s="35"/>
      <c r="B27" s="28"/>
      <c r="C27" s="36"/>
      <c r="D27" s="13" t="s">
        <v>13</v>
      </c>
      <c r="E27" s="13">
        <f t="shared" ref="E27:T27" si="6">SUM(E25:E26)</f>
        <v>7</v>
      </c>
      <c r="F27" s="13">
        <f t="shared" si="6"/>
        <v>5</v>
      </c>
      <c r="G27" s="13">
        <f t="shared" si="6"/>
        <v>1</v>
      </c>
      <c r="H27" s="13">
        <f t="shared" si="6"/>
        <v>11</v>
      </c>
      <c r="I27" s="13">
        <f t="shared" si="6"/>
        <v>9</v>
      </c>
      <c r="J27" s="13">
        <f t="shared" si="6"/>
        <v>5</v>
      </c>
      <c r="K27" s="13">
        <f t="shared" si="6"/>
        <v>8</v>
      </c>
      <c r="L27" s="13">
        <f t="shared" si="6"/>
        <v>4</v>
      </c>
      <c r="M27" s="13">
        <f t="shared" si="6"/>
        <v>6</v>
      </c>
      <c r="N27" s="13">
        <f t="shared" si="6"/>
        <v>3</v>
      </c>
      <c r="O27" s="13">
        <f t="shared" si="6"/>
        <v>9</v>
      </c>
      <c r="P27" s="13">
        <f t="shared" si="6"/>
        <v>6</v>
      </c>
      <c r="Q27" s="13">
        <f t="shared" si="6"/>
        <v>1</v>
      </c>
      <c r="R27" s="13">
        <f t="shared" si="6"/>
        <v>3</v>
      </c>
      <c r="S27" s="13">
        <f t="shared" si="6"/>
        <v>22</v>
      </c>
      <c r="T27" s="13">
        <f t="shared" si="6"/>
        <v>16</v>
      </c>
      <c r="U27" s="13">
        <f t="shared" si="3"/>
        <v>116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T28" si="7">SUM(E19,E22,E25)</f>
        <v>124</v>
      </c>
      <c r="F28" s="13">
        <f t="shared" si="7"/>
        <v>75</v>
      </c>
      <c r="G28" s="13">
        <f t="shared" si="7"/>
        <v>72</v>
      </c>
      <c r="H28" s="13">
        <f t="shared" si="7"/>
        <v>107</v>
      </c>
      <c r="I28" s="13">
        <f t="shared" si="7"/>
        <v>103</v>
      </c>
      <c r="J28" s="13">
        <f t="shared" si="7"/>
        <v>100</v>
      </c>
      <c r="K28" s="13">
        <f t="shared" si="7"/>
        <v>82</v>
      </c>
      <c r="L28" s="13">
        <f t="shared" si="7"/>
        <v>109</v>
      </c>
      <c r="M28" s="13">
        <f t="shared" si="7"/>
        <v>110</v>
      </c>
      <c r="N28" s="13">
        <f t="shared" si="7"/>
        <v>84</v>
      </c>
      <c r="O28" s="13">
        <f t="shared" si="7"/>
        <v>105</v>
      </c>
      <c r="P28" s="13">
        <f t="shared" si="7"/>
        <v>88</v>
      </c>
      <c r="Q28" s="13">
        <f t="shared" si="7"/>
        <v>89</v>
      </c>
      <c r="R28" s="13">
        <f t="shared" si="7"/>
        <v>100</v>
      </c>
      <c r="S28" s="13">
        <f t="shared" si="7"/>
        <v>89</v>
      </c>
      <c r="T28" s="13">
        <f t="shared" si="7"/>
        <v>94</v>
      </c>
      <c r="U28" s="13">
        <f t="shared" si="3"/>
        <v>1531</v>
      </c>
    </row>
    <row r="29" ht="12.75" customHeight="1">
      <c r="A29" s="35"/>
      <c r="B29" s="27"/>
      <c r="C29" s="34"/>
      <c r="D29" s="13" t="s">
        <v>12</v>
      </c>
      <c r="E29" s="13">
        <f t="shared" ref="E29:T29" si="8">SUM(E20,E23,E26)</f>
        <v>109</v>
      </c>
      <c r="F29" s="13">
        <f t="shared" si="8"/>
        <v>93</v>
      </c>
      <c r="G29" s="13">
        <f t="shared" si="8"/>
        <v>85</v>
      </c>
      <c r="H29" s="13">
        <f t="shared" si="8"/>
        <v>121</v>
      </c>
      <c r="I29" s="13">
        <f t="shared" si="8"/>
        <v>123</v>
      </c>
      <c r="J29" s="13">
        <f t="shared" si="8"/>
        <v>109</v>
      </c>
      <c r="K29" s="13">
        <f t="shared" si="8"/>
        <v>95</v>
      </c>
      <c r="L29" s="13">
        <f t="shared" si="8"/>
        <v>117</v>
      </c>
      <c r="M29" s="13">
        <f t="shared" si="8"/>
        <v>120</v>
      </c>
      <c r="N29" s="13">
        <f t="shared" si="8"/>
        <v>95</v>
      </c>
      <c r="O29" s="13">
        <f t="shared" si="8"/>
        <v>120</v>
      </c>
      <c r="P29" s="13">
        <f t="shared" si="8"/>
        <v>110</v>
      </c>
      <c r="Q29" s="13">
        <f t="shared" si="8"/>
        <v>95</v>
      </c>
      <c r="R29" s="13">
        <f t="shared" si="8"/>
        <v>115</v>
      </c>
      <c r="S29" s="13">
        <f t="shared" si="8"/>
        <v>106</v>
      </c>
      <c r="T29" s="13">
        <f t="shared" si="8"/>
        <v>105</v>
      </c>
      <c r="U29" s="13">
        <f t="shared" si="3"/>
        <v>1718</v>
      </c>
    </row>
    <row r="30" ht="12.75" customHeight="1">
      <c r="A30" s="35"/>
      <c r="B30" s="28"/>
      <c r="C30" s="36"/>
      <c r="D30" s="13" t="s">
        <v>13</v>
      </c>
      <c r="E30" s="13">
        <f t="shared" ref="E30:T30" si="9">SUM(E28:E29)</f>
        <v>233</v>
      </c>
      <c r="F30" s="13">
        <f t="shared" si="9"/>
        <v>168</v>
      </c>
      <c r="G30" s="13">
        <f t="shared" si="9"/>
        <v>157</v>
      </c>
      <c r="H30" s="13">
        <f t="shared" si="9"/>
        <v>228</v>
      </c>
      <c r="I30" s="13">
        <f t="shared" si="9"/>
        <v>226</v>
      </c>
      <c r="J30" s="13">
        <f t="shared" si="9"/>
        <v>209</v>
      </c>
      <c r="K30" s="13">
        <f t="shared" si="9"/>
        <v>177</v>
      </c>
      <c r="L30" s="13">
        <f t="shared" si="9"/>
        <v>226</v>
      </c>
      <c r="M30" s="13">
        <f t="shared" si="9"/>
        <v>230</v>
      </c>
      <c r="N30" s="13">
        <f t="shared" si="9"/>
        <v>179</v>
      </c>
      <c r="O30" s="13">
        <f t="shared" si="9"/>
        <v>225</v>
      </c>
      <c r="P30" s="13">
        <f t="shared" si="9"/>
        <v>198</v>
      </c>
      <c r="Q30" s="13">
        <f t="shared" si="9"/>
        <v>184</v>
      </c>
      <c r="R30" s="13">
        <f t="shared" si="9"/>
        <v>215</v>
      </c>
      <c r="S30" s="13">
        <f t="shared" si="9"/>
        <v>195</v>
      </c>
      <c r="T30" s="13">
        <f t="shared" si="9"/>
        <v>199</v>
      </c>
      <c r="U30" s="13">
        <f t="shared" si="3"/>
        <v>3249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5"/>
    </row>
    <row r="33" ht="12.75" customHeight="1">
      <c r="A33" s="19">
        <v>1.0</v>
      </c>
      <c r="B33" s="20" t="s">
        <v>26</v>
      </c>
      <c r="C33" s="15"/>
      <c r="D33" s="16"/>
      <c r="E33" s="73">
        <v>295.0</v>
      </c>
      <c r="F33" s="73">
        <v>208.0</v>
      </c>
      <c r="G33" s="73">
        <v>206.0</v>
      </c>
      <c r="H33" s="73">
        <v>288.0</v>
      </c>
      <c r="I33" s="73">
        <v>294.0</v>
      </c>
      <c r="J33" s="73">
        <v>240.0</v>
      </c>
      <c r="K33" s="73">
        <v>226.0</v>
      </c>
      <c r="L33" s="73">
        <v>296.0</v>
      </c>
      <c r="M33" s="73">
        <v>288.0</v>
      </c>
      <c r="N33" s="73">
        <v>240.0</v>
      </c>
      <c r="O33" s="73">
        <v>273.0</v>
      </c>
      <c r="P33" s="73">
        <v>257.0</v>
      </c>
      <c r="Q33" s="73">
        <v>234.0</v>
      </c>
      <c r="R33" s="73">
        <v>273.0</v>
      </c>
      <c r="S33" s="73">
        <v>259.0</v>
      </c>
      <c r="T33" s="73">
        <v>230.0</v>
      </c>
      <c r="U33" s="13">
        <f t="shared" ref="U33:U36" si="10">SUM(E33:T33)</f>
        <v>4107</v>
      </c>
    </row>
    <row r="34" ht="12.75" customHeight="1">
      <c r="A34" s="19">
        <v>2.0</v>
      </c>
      <c r="B34" s="20" t="s">
        <v>27</v>
      </c>
      <c r="C34" s="15"/>
      <c r="D34" s="16"/>
      <c r="E34" s="77">
        <v>233.0</v>
      </c>
      <c r="F34" s="77">
        <v>168.0</v>
      </c>
      <c r="G34" s="77">
        <v>157.0</v>
      </c>
      <c r="H34" s="77">
        <v>228.0</v>
      </c>
      <c r="I34" s="77">
        <v>226.0</v>
      </c>
      <c r="J34" s="77">
        <v>209.0</v>
      </c>
      <c r="K34" s="77">
        <v>177.0</v>
      </c>
      <c r="L34" s="77">
        <v>226.0</v>
      </c>
      <c r="M34" s="77">
        <v>230.0</v>
      </c>
      <c r="N34" s="77">
        <v>179.0</v>
      </c>
      <c r="O34" s="77">
        <v>225.0</v>
      </c>
      <c r="P34" s="77">
        <v>198.0</v>
      </c>
      <c r="Q34" s="77">
        <v>184.0</v>
      </c>
      <c r="R34" s="77">
        <v>215.0</v>
      </c>
      <c r="S34" s="77">
        <v>195.0</v>
      </c>
      <c r="T34" s="77">
        <v>199.0</v>
      </c>
      <c r="U34" s="13">
        <f t="shared" si="10"/>
        <v>3249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1.0</v>
      </c>
      <c r="J35" s="73">
        <v>1.0</v>
      </c>
      <c r="K35" s="73">
        <v>1.0</v>
      </c>
      <c r="L35" s="73">
        <v>0.0</v>
      </c>
      <c r="M35" s="73">
        <v>1.0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13">
        <f t="shared" si="10"/>
        <v>4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T36" si="11">E33-(E34+E35)</f>
        <v>62</v>
      </c>
      <c r="F36" s="13">
        <f t="shared" si="11"/>
        <v>40</v>
      </c>
      <c r="G36" s="13">
        <f t="shared" si="11"/>
        <v>49</v>
      </c>
      <c r="H36" s="13">
        <f t="shared" si="11"/>
        <v>60</v>
      </c>
      <c r="I36" s="13">
        <f t="shared" si="11"/>
        <v>67</v>
      </c>
      <c r="J36" s="13">
        <f t="shared" si="11"/>
        <v>30</v>
      </c>
      <c r="K36" s="13">
        <f t="shared" si="11"/>
        <v>48</v>
      </c>
      <c r="L36" s="13">
        <f t="shared" si="11"/>
        <v>70</v>
      </c>
      <c r="M36" s="13">
        <f t="shared" si="11"/>
        <v>57</v>
      </c>
      <c r="N36" s="13">
        <f t="shared" si="11"/>
        <v>61</v>
      </c>
      <c r="O36" s="13">
        <f t="shared" si="11"/>
        <v>48</v>
      </c>
      <c r="P36" s="13">
        <f t="shared" si="11"/>
        <v>59</v>
      </c>
      <c r="Q36" s="13">
        <f t="shared" si="11"/>
        <v>50</v>
      </c>
      <c r="R36" s="13">
        <f t="shared" si="11"/>
        <v>58</v>
      </c>
      <c r="S36" s="13">
        <f t="shared" si="11"/>
        <v>64</v>
      </c>
      <c r="T36" s="13">
        <f t="shared" si="11"/>
        <v>31</v>
      </c>
      <c r="U36" s="13">
        <f t="shared" si="10"/>
        <v>854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78"/>
      <c r="U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5"/>
    </row>
    <row r="39" ht="12.75" customHeight="1">
      <c r="A39" s="30"/>
      <c r="B39" s="43" t="s">
        <v>32</v>
      </c>
      <c r="C39" s="23"/>
      <c r="D39" s="19" t="s">
        <v>11</v>
      </c>
      <c r="E39" s="73">
        <v>2.0</v>
      </c>
      <c r="F39" s="73">
        <v>1.0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1.0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13">
        <f t="shared" ref="U39:U41" si="12">SUM(E39:T39)</f>
        <v>4</v>
      </c>
    </row>
    <row r="40" ht="12.75" customHeight="1">
      <c r="A40" s="33"/>
      <c r="C40" s="27"/>
      <c r="D40" s="19" t="s">
        <v>12</v>
      </c>
      <c r="E40" s="73">
        <v>1.0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2.0</v>
      </c>
      <c r="T40" s="73">
        <v>0.0</v>
      </c>
      <c r="U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T41" si="13">SUM(E39:E40)</f>
        <v>3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3.0</v>
      </c>
      <c r="F45" s="73">
        <v>6.0</v>
      </c>
      <c r="G45" s="73">
        <v>2.0</v>
      </c>
      <c r="H45" s="73">
        <v>4.0</v>
      </c>
      <c r="I45" s="73">
        <v>4.0</v>
      </c>
      <c r="J45" s="73">
        <v>0.0</v>
      </c>
      <c r="K45" s="73">
        <v>4.0</v>
      </c>
      <c r="L45" s="73">
        <v>7.0</v>
      </c>
      <c r="M45" s="73">
        <v>5.0</v>
      </c>
      <c r="N45" s="73">
        <v>4.0</v>
      </c>
      <c r="O45" s="73">
        <v>3.0</v>
      </c>
      <c r="P45" s="73">
        <v>4.0</v>
      </c>
      <c r="Q45" s="73">
        <v>6.0</v>
      </c>
      <c r="R45" s="73">
        <v>10.0</v>
      </c>
      <c r="S45" s="73">
        <v>3.0</v>
      </c>
      <c r="T45" s="73">
        <v>1.0</v>
      </c>
      <c r="U45" s="13">
        <f t="shared" ref="U45:U54" si="14">SUM(E45:T45)</f>
        <v>66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9.0</v>
      </c>
      <c r="F46" s="73">
        <v>20.0</v>
      </c>
      <c r="G46" s="73">
        <v>4.0</v>
      </c>
      <c r="H46" s="73">
        <v>5.0</v>
      </c>
      <c r="I46" s="73">
        <v>6.0</v>
      </c>
      <c r="J46" s="73">
        <v>2.0</v>
      </c>
      <c r="K46" s="73">
        <v>18.0</v>
      </c>
      <c r="L46" s="73">
        <v>5.0</v>
      </c>
      <c r="M46" s="73">
        <v>1.0</v>
      </c>
      <c r="N46" s="73">
        <v>6.0</v>
      </c>
      <c r="O46" s="73">
        <v>14.0</v>
      </c>
      <c r="P46" s="73">
        <v>14.0</v>
      </c>
      <c r="Q46" s="73">
        <v>33.0</v>
      </c>
      <c r="R46" s="73">
        <v>17.0</v>
      </c>
      <c r="S46" s="73">
        <v>14.0</v>
      </c>
      <c r="T46" s="73">
        <v>5.0</v>
      </c>
      <c r="U46" s="13">
        <f t="shared" si="14"/>
        <v>173</v>
      </c>
    </row>
    <row r="47" ht="12.75" customHeight="1">
      <c r="A47" s="18"/>
      <c r="B47" s="49"/>
      <c r="C47" s="50" t="s">
        <v>40</v>
      </c>
      <c r="D47" s="51"/>
      <c r="E47" s="73">
        <v>2.0</v>
      </c>
      <c r="F47" s="73">
        <v>0.0</v>
      </c>
      <c r="G47" s="73">
        <v>0.0</v>
      </c>
      <c r="H47" s="73">
        <v>0.0</v>
      </c>
      <c r="I47" s="73">
        <v>0.0</v>
      </c>
      <c r="J47" s="73">
        <v>0.0</v>
      </c>
      <c r="K47" s="73">
        <v>1.0</v>
      </c>
      <c r="L47" s="73">
        <v>1.0</v>
      </c>
      <c r="M47" s="73">
        <v>0.0</v>
      </c>
      <c r="N47" s="73">
        <v>0.0</v>
      </c>
      <c r="O47" s="73">
        <v>0.0</v>
      </c>
      <c r="P47" s="73">
        <v>0.0</v>
      </c>
      <c r="Q47" s="73">
        <v>3.0</v>
      </c>
      <c r="R47" s="73">
        <v>2.0</v>
      </c>
      <c r="S47" s="73">
        <v>0.0</v>
      </c>
      <c r="T47" s="73">
        <v>2.0</v>
      </c>
      <c r="U47" s="13">
        <f t="shared" si="14"/>
        <v>11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0.0</v>
      </c>
      <c r="G48" s="73">
        <v>0.0</v>
      </c>
      <c r="H48" s="73">
        <v>1.0</v>
      </c>
      <c r="I48" s="73">
        <v>0.0</v>
      </c>
      <c r="J48" s="73">
        <v>0.0</v>
      </c>
      <c r="K48" s="73">
        <v>0.0</v>
      </c>
      <c r="L48" s="73">
        <v>0.0</v>
      </c>
      <c r="M48" s="73">
        <v>0.0</v>
      </c>
      <c r="N48" s="73">
        <v>1.0</v>
      </c>
      <c r="O48" s="73">
        <v>1.0</v>
      </c>
      <c r="P48" s="73">
        <v>0.0</v>
      </c>
      <c r="Q48" s="73">
        <v>0.0</v>
      </c>
      <c r="R48" s="73">
        <v>0.0</v>
      </c>
      <c r="S48" s="73">
        <v>0.0</v>
      </c>
      <c r="T48" s="73">
        <v>1.0</v>
      </c>
      <c r="U48" s="13">
        <f t="shared" si="14"/>
        <v>4</v>
      </c>
    </row>
    <row r="49" ht="12.75" customHeight="1">
      <c r="A49" s="18"/>
      <c r="B49" s="49"/>
      <c r="C49" s="50" t="s">
        <v>42</v>
      </c>
      <c r="D49" s="51"/>
      <c r="E49" s="73">
        <v>0.0</v>
      </c>
      <c r="F49" s="73">
        <v>0.0</v>
      </c>
      <c r="G49" s="73">
        <v>0.0</v>
      </c>
      <c r="H49" s="73">
        <v>2.0</v>
      </c>
      <c r="I49" s="73">
        <v>0.0</v>
      </c>
      <c r="J49" s="73">
        <v>0.0</v>
      </c>
      <c r="K49" s="73">
        <v>0.0</v>
      </c>
      <c r="L49" s="73">
        <v>1.0</v>
      </c>
      <c r="M49" s="73">
        <v>1.0</v>
      </c>
      <c r="N49" s="73">
        <v>0.0</v>
      </c>
      <c r="O49" s="73">
        <v>0.0</v>
      </c>
      <c r="P49" s="73">
        <v>1.0</v>
      </c>
      <c r="Q49" s="73">
        <v>1.0</v>
      </c>
      <c r="R49" s="73">
        <v>4.0</v>
      </c>
      <c r="S49" s="73">
        <v>2.0</v>
      </c>
      <c r="T49" s="73">
        <v>0.0</v>
      </c>
      <c r="U49" s="13">
        <f t="shared" si="14"/>
        <v>12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1.0</v>
      </c>
      <c r="H50" s="73">
        <v>1.0</v>
      </c>
      <c r="I50" s="73">
        <v>1.0</v>
      </c>
      <c r="J50" s="73">
        <v>1.0</v>
      </c>
      <c r="K50" s="73">
        <v>1.0</v>
      </c>
      <c r="L50" s="73">
        <v>1.0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1.0</v>
      </c>
      <c r="S50" s="73">
        <v>0.0</v>
      </c>
      <c r="T50" s="73">
        <v>0.0</v>
      </c>
      <c r="U50" s="13">
        <f t="shared" si="14"/>
        <v>7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  <c r="K51" s="73">
        <v>1.0</v>
      </c>
      <c r="L51" s="73">
        <v>0.0</v>
      </c>
      <c r="M51" s="73">
        <v>0.0</v>
      </c>
      <c r="N51" s="73">
        <v>1.0</v>
      </c>
      <c r="O51" s="73">
        <v>0.0</v>
      </c>
      <c r="P51" s="73">
        <v>0.0</v>
      </c>
      <c r="Q51" s="73">
        <v>0.0</v>
      </c>
      <c r="R51" s="73">
        <v>0.0</v>
      </c>
      <c r="S51" s="73">
        <v>0.0</v>
      </c>
      <c r="T51" s="73">
        <v>0.0</v>
      </c>
      <c r="U51" s="13">
        <f t="shared" si="14"/>
        <v>2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0.0</v>
      </c>
      <c r="H52" s="80">
        <v>0.0</v>
      </c>
      <c r="I52" s="80">
        <v>0.0</v>
      </c>
      <c r="J52" s="80">
        <v>0.0</v>
      </c>
      <c r="K52" s="80">
        <v>0.0</v>
      </c>
      <c r="L52" s="80">
        <v>1.0</v>
      </c>
      <c r="M52" s="80">
        <v>0.0</v>
      </c>
      <c r="N52" s="80">
        <v>0.0</v>
      </c>
      <c r="O52" s="80">
        <v>0.0</v>
      </c>
      <c r="P52" s="80">
        <v>1.0</v>
      </c>
      <c r="Q52" s="80">
        <v>2.0</v>
      </c>
      <c r="R52" s="80">
        <v>0.0</v>
      </c>
      <c r="S52" s="80">
        <v>0.0</v>
      </c>
      <c r="T52" s="80">
        <v>0.0</v>
      </c>
      <c r="U52" s="13">
        <f t="shared" si="14"/>
        <v>4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0.0</v>
      </c>
      <c r="N53" s="80">
        <v>0.0</v>
      </c>
      <c r="O53" s="80">
        <v>0.0</v>
      </c>
      <c r="P53" s="80">
        <v>0.0</v>
      </c>
      <c r="Q53" s="80">
        <v>0.0</v>
      </c>
      <c r="R53" s="80">
        <v>0.0</v>
      </c>
      <c r="S53" s="80">
        <v>0.0</v>
      </c>
      <c r="T53" s="80">
        <v>0.0</v>
      </c>
      <c r="U53" s="13">
        <f t="shared" si="14"/>
        <v>0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0.0</v>
      </c>
      <c r="H54" s="80">
        <v>0.0</v>
      </c>
      <c r="I54" s="80">
        <v>0.0</v>
      </c>
      <c r="J54" s="80">
        <v>0.0</v>
      </c>
      <c r="K54" s="80">
        <v>0.0</v>
      </c>
      <c r="L54" s="80">
        <v>0.0</v>
      </c>
      <c r="M54" s="80">
        <v>0.0</v>
      </c>
      <c r="N54" s="80">
        <v>0.0</v>
      </c>
      <c r="O54" s="80">
        <v>0.0</v>
      </c>
      <c r="P54" s="80">
        <v>0.0</v>
      </c>
      <c r="Q54" s="80">
        <v>0.0</v>
      </c>
      <c r="R54" s="80">
        <v>0.0</v>
      </c>
      <c r="S54" s="80">
        <v>0.0</v>
      </c>
      <c r="T54" s="80">
        <v>0.0</v>
      </c>
      <c r="U54" s="13">
        <f t="shared" si="14"/>
        <v>0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U55" si="15">SUM(E45:E54)</f>
        <v>14</v>
      </c>
      <c r="F55" s="13">
        <f t="shared" si="15"/>
        <v>26</v>
      </c>
      <c r="G55" s="13">
        <f t="shared" si="15"/>
        <v>7</v>
      </c>
      <c r="H55" s="13">
        <f t="shared" si="15"/>
        <v>13</v>
      </c>
      <c r="I55" s="13">
        <f t="shared" si="15"/>
        <v>11</v>
      </c>
      <c r="J55" s="13">
        <f t="shared" si="15"/>
        <v>3</v>
      </c>
      <c r="K55" s="13">
        <f t="shared" si="15"/>
        <v>25</v>
      </c>
      <c r="L55" s="13">
        <f t="shared" si="15"/>
        <v>16</v>
      </c>
      <c r="M55" s="13">
        <f t="shared" si="15"/>
        <v>7</v>
      </c>
      <c r="N55" s="13">
        <f t="shared" si="15"/>
        <v>12</v>
      </c>
      <c r="O55" s="13">
        <f t="shared" si="15"/>
        <v>18</v>
      </c>
      <c r="P55" s="13">
        <f t="shared" si="15"/>
        <v>20</v>
      </c>
      <c r="Q55" s="13">
        <f t="shared" si="15"/>
        <v>45</v>
      </c>
      <c r="R55" s="13">
        <f t="shared" si="15"/>
        <v>34</v>
      </c>
      <c r="S55" s="13">
        <f t="shared" si="15"/>
        <v>19</v>
      </c>
      <c r="T55" s="13">
        <f t="shared" si="15"/>
        <v>9</v>
      </c>
      <c r="U55" s="13">
        <f t="shared" si="15"/>
        <v>279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8.0</v>
      </c>
      <c r="F57" s="73">
        <v>9.0</v>
      </c>
      <c r="G57" s="73">
        <v>5.0</v>
      </c>
      <c r="H57" s="73">
        <v>15.0</v>
      </c>
      <c r="I57" s="73">
        <v>1.0</v>
      </c>
      <c r="J57" s="73">
        <v>0.0</v>
      </c>
      <c r="K57" s="73">
        <v>8.0</v>
      </c>
      <c r="L57" s="73">
        <v>9.0</v>
      </c>
      <c r="M57" s="73">
        <v>7.0</v>
      </c>
      <c r="N57" s="73">
        <v>7.0</v>
      </c>
      <c r="O57" s="73">
        <v>14.0</v>
      </c>
      <c r="P57" s="73">
        <v>9.0</v>
      </c>
      <c r="Q57" s="73">
        <v>13.0</v>
      </c>
      <c r="R57" s="73">
        <v>17.0</v>
      </c>
      <c r="S57" s="73">
        <v>10.0</v>
      </c>
      <c r="T57" s="73">
        <v>6.0</v>
      </c>
      <c r="U57" s="13">
        <f t="shared" ref="U57:U66" si="16">SUM(E57:T57)</f>
        <v>138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4.0</v>
      </c>
      <c r="F58" s="73">
        <v>8.0</v>
      </c>
      <c r="G58" s="73">
        <v>2.0</v>
      </c>
      <c r="H58" s="73">
        <v>7.0</v>
      </c>
      <c r="I58" s="73">
        <v>5.0</v>
      </c>
      <c r="J58" s="73">
        <v>0.0</v>
      </c>
      <c r="K58" s="73">
        <v>1.0</v>
      </c>
      <c r="L58" s="73">
        <v>4.0</v>
      </c>
      <c r="M58" s="73">
        <v>5.0</v>
      </c>
      <c r="N58" s="73">
        <v>5.0</v>
      </c>
      <c r="O58" s="73">
        <v>5.0</v>
      </c>
      <c r="P58" s="73">
        <v>1.0</v>
      </c>
      <c r="Q58" s="73">
        <v>4.0</v>
      </c>
      <c r="R58" s="73">
        <v>5.0</v>
      </c>
      <c r="S58" s="73">
        <v>6.0</v>
      </c>
      <c r="T58" s="73">
        <v>7.0</v>
      </c>
      <c r="U58" s="13">
        <f t="shared" si="16"/>
        <v>69</v>
      </c>
    </row>
    <row r="59" ht="12.75" customHeight="1">
      <c r="A59" s="18"/>
      <c r="B59" s="49"/>
      <c r="C59" s="50" t="s">
        <v>51</v>
      </c>
      <c r="D59" s="51"/>
      <c r="E59" s="73">
        <v>3.0</v>
      </c>
      <c r="F59" s="73">
        <v>4.0</v>
      </c>
      <c r="G59" s="73">
        <v>2.0</v>
      </c>
      <c r="H59" s="73">
        <v>9.0</v>
      </c>
      <c r="I59" s="73">
        <v>9.0</v>
      </c>
      <c r="J59" s="73">
        <v>2.0</v>
      </c>
      <c r="K59" s="73">
        <v>4.0</v>
      </c>
      <c r="L59" s="73">
        <v>13.0</v>
      </c>
      <c r="M59" s="73">
        <v>12.0</v>
      </c>
      <c r="N59" s="73">
        <v>2.0</v>
      </c>
      <c r="O59" s="73">
        <v>9.0</v>
      </c>
      <c r="P59" s="73">
        <v>12.0</v>
      </c>
      <c r="Q59" s="73">
        <v>7.0</v>
      </c>
      <c r="R59" s="73">
        <v>1.0</v>
      </c>
      <c r="S59" s="73">
        <v>7.0</v>
      </c>
      <c r="T59" s="73">
        <v>8.0</v>
      </c>
      <c r="U59" s="13">
        <f t="shared" si="16"/>
        <v>104</v>
      </c>
    </row>
    <row r="60" ht="12.75" customHeight="1">
      <c r="A60" s="18"/>
      <c r="B60" s="49"/>
      <c r="C60" s="50" t="s">
        <v>52</v>
      </c>
      <c r="D60" s="51"/>
      <c r="E60" s="73">
        <v>1.0</v>
      </c>
      <c r="F60" s="73">
        <v>1.0</v>
      </c>
      <c r="G60" s="73">
        <v>0.0</v>
      </c>
      <c r="H60" s="73">
        <v>2.0</v>
      </c>
      <c r="I60" s="73">
        <v>1.0</v>
      </c>
      <c r="J60" s="73">
        <v>0.0</v>
      </c>
      <c r="K60" s="73">
        <v>0.0</v>
      </c>
      <c r="L60" s="73">
        <v>1.0</v>
      </c>
      <c r="M60" s="73">
        <v>3.0</v>
      </c>
      <c r="N60" s="73">
        <v>0.0</v>
      </c>
      <c r="O60" s="73">
        <v>3.0</v>
      </c>
      <c r="P60" s="73">
        <v>2.0</v>
      </c>
      <c r="Q60" s="73">
        <v>3.0</v>
      </c>
      <c r="R60" s="73">
        <v>3.0</v>
      </c>
      <c r="S60" s="73">
        <v>2.0</v>
      </c>
      <c r="T60" s="73">
        <v>4.0</v>
      </c>
      <c r="U60" s="13">
        <f t="shared" si="16"/>
        <v>26</v>
      </c>
    </row>
    <row r="61" ht="12.75" customHeight="1">
      <c r="A61" s="18"/>
      <c r="B61" s="49"/>
      <c r="C61" s="50" t="s">
        <v>53</v>
      </c>
      <c r="D61" s="51"/>
      <c r="E61" s="73">
        <v>1.0</v>
      </c>
      <c r="F61" s="73">
        <v>0.0</v>
      </c>
      <c r="G61" s="73">
        <v>0.0</v>
      </c>
      <c r="H61" s="73">
        <v>1.0</v>
      </c>
      <c r="I61" s="73">
        <v>0.0</v>
      </c>
      <c r="J61" s="73">
        <v>1.0</v>
      </c>
      <c r="K61" s="73">
        <v>1.0</v>
      </c>
      <c r="L61" s="73">
        <v>1.0</v>
      </c>
      <c r="M61" s="73">
        <v>1.0</v>
      </c>
      <c r="N61" s="73">
        <v>3.0</v>
      </c>
      <c r="O61" s="73">
        <v>16.0</v>
      </c>
      <c r="P61" s="73">
        <v>1.0</v>
      </c>
      <c r="Q61" s="73">
        <v>9.0</v>
      </c>
      <c r="R61" s="73">
        <v>2.0</v>
      </c>
      <c r="S61" s="73">
        <v>2.0</v>
      </c>
      <c r="T61" s="73">
        <v>3.0</v>
      </c>
      <c r="U61" s="13">
        <f t="shared" si="16"/>
        <v>42</v>
      </c>
    </row>
    <row r="62" ht="12.75" customHeight="1">
      <c r="A62" s="18"/>
      <c r="B62" s="49"/>
      <c r="C62" s="50" t="s">
        <v>54</v>
      </c>
      <c r="D62" s="51"/>
      <c r="E62" s="73">
        <v>1.0</v>
      </c>
      <c r="F62" s="73">
        <v>1.0</v>
      </c>
      <c r="G62" s="73">
        <v>0.0</v>
      </c>
      <c r="H62" s="73">
        <v>1.0</v>
      </c>
      <c r="I62" s="73">
        <v>2.0</v>
      </c>
      <c r="J62" s="73">
        <v>0.0</v>
      </c>
      <c r="K62" s="73">
        <v>0.0</v>
      </c>
      <c r="L62" s="73">
        <v>1.0</v>
      </c>
      <c r="M62" s="73">
        <v>0.0</v>
      </c>
      <c r="N62" s="73">
        <v>0.0</v>
      </c>
      <c r="O62" s="73">
        <v>3.0</v>
      </c>
      <c r="P62" s="73">
        <v>1.0</v>
      </c>
      <c r="Q62" s="73">
        <v>0.0</v>
      </c>
      <c r="R62" s="73">
        <v>1.0</v>
      </c>
      <c r="S62" s="73">
        <v>2.0</v>
      </c>
      <c r="T62" s="73">
        <v>0.0</v>
      </c>
      <c r="U62" s="13">
        <f t="shared" si="16"/>
        <v>13</v>
      </c>
    </row>
    <row r="63" ht="12.75" customHeight="1">
      <c r="A63" s="18"/>
      <c r="B63" s="49"/>
      <c r="C63" s="50" t="s">
        <v>55</v>
      </c>
      <c r="D63" s="51"/>
      <c r="E63" s="73">
        <v>0.0</v>
      </c>
      <c r="F63" s="73">
        <v>0.0</v>
      </c>
      <c r="G63" s="73">
        <v>0.0</v>
      </c>
      <c r="H63" s="73">
        <v>4.0</v>
      </c>
      <c r="I63" s="73">
        <v>0.0</v>
      </c>
      <c r="J63" s="73">
        <v>0.0</v>
      </c>
      <c r="K63" s="73">
        <v>1.0</v>
      </c>
      <c r="L63" s="73">
        <v>0.0</v>
      </c>
      <c r="M63" s="73">
        <v>0.0</v>
      </c>
      <c r="N63" s="73">
        <v>0.0</v>
      </c>
      <c r="O63" s="73">
        <v>1.0</v>
      </c>
      <c r="P63" s="73">
        <v>1.0</v>
      </c>
      <c r="Q63" s="73">
        <v>1.0</v>
      </c>
      <c r="R63" s="73">
        <v>0.0</v>
      </c>
      <c r="S63" s="73">
        <v>0.0</v>
      </c>
      <c r="T63" s="73">
        <v>0.0</v>
      </c>
      <c r="U63" s="13">
        <f t="shared" si="16"/>
        <v>8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0.0</v>
      </c>
      <c r="G64" s="80">
        <v>0.0</v>
      </c>
      <c r="H64" s="80">
        <v>1.0</v>
      </c>
      <c r="I64" s="80">
        <v>2.0</v>
      </c>
      <c r="J64" s="80">
        <v>0.0</v>
      </c>
      <c r="K64" s="80">
        <v>0.0</v>
      </c>
      <c r="L64" s="80">
        <v>1.0</v>
      </c>
      <c r="M64" s="80">
        <v>0.0</v>
      </c>
      <c r="N64" s="80">
        <v>0.0</v>
      </c>
      <c r="O64" s="80">
        <v>0.0</v>
      </c>
      <c r="P64" s="80">
        <v>0.0</v>
      </c>
      <c r="Q64" s="80">
        <v>0.0</v>
      </c>
      <c r="R64" s="80">
        <v>1.0</v>
      </c>
      <c r="S64" s="80">
        <v>0.0</v>
      </c>
      <c r="T64" s="80">
        <v>0.0</v>
      </c>
      <c r="U64" s="13">
        <f t="shared" si="16"/>
        <v>5</v>
      </c>
    </row>
    <row r="65" ht="12.75" customHeight="1">
      <c r="A65" s="79"/>
      <c r="B65" s="49"/>
      <c r="C65" s="50" t="s">
        <v>57</v>
      </c>
      <c r="D65" s="51"/>
      <c r="E65" s="80">
        <v>1.0</v>
      </c>
      <c r="F65" s="80">
        <v>0.0</v>
      </c>
      <c r="G65" s="80">
        <v>0.0</v>
      </c>
      <c r="H65" s="80">
        <v>1.0</v>
      </c>
      <c r="I65" s="80">
        <v>0.0</v>
      </c>
      <c r="J65" s="80">
        <v>0.0</v>
      </c>
      <c r="K65" s="80">
        <v>0.0</v>
      </c>
      <c r="L65" s="80">
        <v>0.0</v>
      </c>
      <c r="M65" s="80">
        <v>0.0</v>
      </c>
      <c r="N65" s="80">
        <v>0.0</v>
      </c>
      <c r="O65" s="80">
        <v>0.0</v>
      </c>
      <c r="P65" s="80">
        <v>0.0</v>
      </c>
      <c r="Q65" s="80">
        <v>0.0</v>
      </c>
      <c r="R65" s="80">
        <v>1.0</v>
      </c>
      <c r="S65" s="80">
        <v>0.0</v>
      </c>
      <c r="T65" s="80">
        <v>0.0</v>
      </c>
      <c r="U65" s="13">
        <f t="shared" si="16"/>
        <v>3</v>
      </c>
    </row>
    <row r="66" ht="12.75" customHeight="1">
      <c r="A66" s="79"/>
      <c r="B66" s="49"/>
      <c r="C66" s="50" t="s">
        <v>58</v>
      </c>
      <c r="D66" s="51"/>
      <c r="E66" s="80">
        <v>0.0</v>
      </c>
      <c r="F66" s="80">
        <v>0.0</v>
      </c>
      <c r="G66" s="80">
        <v>0.0</v>
      </c>
      <c r="H66" s="80">
        <v>0.0</v>
      </c>
      <c r="I66" s="80">
        <v>1.0</v>
      </c>
      <c r="J66" s="80">
        <v>0.0</v>
      </c>
      <c r="K66" s="80">
        <v>0.0</v>
      </c>
      <c r="L66" s="80">
        <v>0.0</v>
      </c>
      <c r="M66" s="80">
        <v>1.0</v>
      </c>
      <c r="N66" s="80">
        <v>0.0</v>
      </c>
      <c r="O66" s="80">
        <v>0.0</v>
      </c>
      <c r="P66" s="80">
        <v>0.0</v>
      </c>
      <c r="Q66" s="80">
        <v>0.0</v>
      </c>
      <c r="R66" s="80">
        <v>1.0</v>
      </c>
      <c r="S66" s="80">
        <v>2.0</v>
      </c>
      <c r="T66" s="80">
        <v>0.0</v>
      </c>
      <c r="U66" s="13">
        <f t="shared" si="16"/>
        <v>5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U67" si="17">SUM(E57:E66)</f>
        <v>19</v>
      </c>
      <c r="F67" s="13">
        <f t="shared" si="17"/>
        <v>23</v>
      </c>
      <c r="G67" s="13">
        <f t="shared" si="17"/>
        <v>9</v>
      </c>
      <c r="H67" s="13">
        <f t="shared" si="17"/>
        <v>41</v>
      </c>
      <c r="I67" s="13">
        <f t="shared" si="17"/>
        <v>21</v>
      </c>
      <c r="J67" s="13">
        <f t="shared" si="17"/>
        <v>3</v>
      </c>
      <c r="K67" s="13">
        <f t="shared" si="17"/>
        <v>15</v>
      </c>
      <c r="L67" s="13">
        <f t="shared" si="17"/>
        <v>30</v>
      </c>
      <c r="M67" s="13">
        <f t="shared" si="17"/>
        <v>29</v>
      </c>
      <c r="N67" s="13">
        <f t="shared" si="17"/>
        <v>17</v>
      </c>
      <c r="O67" s="13">
        <f t="shared" si="17"/>
        <v>51</v>
      </c>
      <c r="P67" s="13">
        <f t="shared" si="17"/>
        <v>27</v>
      </c>
      <c r="Q67" s="13">
        <f t="shared" si="17"/>
        <v>37</v>
      </c>
      <c r="R67" s="13">
        <f t="shared" si="17"/>
        <v>32</v>
      </c>
      <c r="S67" s="13">
        <f t="shared" si="17"/>
        <v>31</v>
      </c>
      <c r="T67" s="13">
        <f t="shared" si="17"/>
        <v>28</v>
      </c>
      <c r="U67" s="13">
        <f t="shared" si="17"/>
        <v>413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31.0</v>
      </c>
      <c r="F69" s="73">
        <v>8.0</v>
      </c>
      <c r="G69" s="73">
        <v>12.0</v>
      </c>
      <c r="H69" s="73">
        <v>10.0</v>
      </c>
      <c r="I69" s="73">
        <v>9.0</v>
      </c>
      <c r="J69" s="73">
        <v>7.0</v>
      </c>
      <c r="K69" s="73">
        <v>5.0</v>
      </c>
      <c r="L69" s="73">
        <v>5.0</v>
      </c>
      <c r="M69" s="73">
        <v>8.0</v>
      </c>
      <c r="N69" s="73">
        <v>8.0</v>
      </c>
      <c r="O69" s="73">
        <v>9.0</v>
      </c>
      <c r="P69" s="73">
        <v>16.0</v>
      </c>
      <c r="Q69" s="73">
        <v>9.0</v>
      </c>
      <c r="R69" s="73">
        <v>6.0</v>
      </c>
      <c r="S69" s="73">
        <v>9.0</v>
      </c>
      <c r="T69" s="73">
        <v>5.0</v>
      </c>
      <c r="U69" s="13">
        <f t="shared" ref="U69:U78" si="18">SUM(E69:T69)</f>
        <v>157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16.0</v>
      </c>
      <c r="F70" s="73">
        <v>0.0</v>
      </c>
      <c r="G70" s="73">
        <v>1.0</v>
      </c>
      <c r="H70" s="73">
        <v>4.0</v>
      </c>
      <c r="I70" s="73">
        <v>4.0</v>
      </c>
      <c r="J70" s="73">
        <v>2.0</v>
      </c>
      <c r="K70" s="73">
        <v>0.0</v>
      </c>
      <c r="L70" s="73">
        <v>3.0</v>
      </c>
      <c r="M70" s="73">
        <v>3.0</v>
      </c>
      <c r="N70" s="73">
        <v>4.0</v>
      </c>
      <c r="O70" s="73">
        <v>5.0</v>
      </c>
      <c r="P70" s="73">
        <v>2.0</v>
      </c>
      <c r="Q70" s="73">
        <v>3.0</v>
      </c>
      <c r="R70" s="73">
        <v>10.0</v>
      </c>
      <c r="S70" s="73">
        <v>5.0</v>
      </c>
      <c r="T70" s="73">
        <v>2.0</v>
      </c>
      <c r="U70" s="13">
        <f t="shared" si="18"/>
        <v>64</v>
      </c>
    </row>
    <row r="71" ht="12.75" customHeight="1">
      <c r="A71" s="18"/>
      <c r="B71" s="49"/>
      <c r="C71" s="50" t="s">
        <v>61</v>
      </c>
      <c r="D71" s="51"/>
      <c r="E71" s="73">
        <v>55.0</v>
      </c>
      <c r="F71" s="73">
        <v>56.0</v>
      </c>
      <c r="G71" s="73">
        <v>86.0</v>
      </c>
      <c r="H71" s="73">
        <v>48.0</v>
      </c>
      <c r="I71" s="73">
        <v>66.0</v>
      </c>
      <c r="J71" s="73">
        <v>175.0</v>
      </c>
      <c r="K71" s="73">
        <v>60.0</v>
      </c>
      <c r="L71" s="73">
        <v>44.0</v>
      </c>
      <c r="M71" s="73">
        <v>101.0</v>
      </c>
      <c r="N71" s="73">
        <v>42.0</v>
      </c>
      <c r="O71" s="73">
        <v>54.0</v>
      </c>
      <c r="P71" s="73">
        <v>44.0</v>
      </c>
      <c r="Q71" s="73">
        <v>17.0</v>
      </c>
      <c r="R71" s="73">
        <v>26.0</v>
      </c>
      <c r="S71" s="73">
        <v>24.0</v>
      </c>
      <c r="T71" s="73">
        <v>53.0</v>
      </c>
      <c r="U71" s="13">
        <f t="shared" si="18"/>
        <v>951</v>
      </c>
    </row>
    <row r="72" ht="12.75" customHeight="1">
      <c r="A72" s="18"/>
      <c r="B72" s="49"/>
      <c r="C72" s="50" t="s">
        <v>62</v>
      </c>
      <c r="D72" s="51"/>
      <c r="E72" s="73">
        <v>5.0</v>
      </c>
      <c r="F72" s="73">
        <v>2.0</v>
      </c>
      <c r="G72" s="73">
        <v>3.0</v>
      </c>
      <c r="H72" s="73">
        <v>3.0</v>
      </c>
      <c r="I72" s="73">
        <v>4.0</v>
      </c>
      <c r="J72" s="73">
        <v>1.0</v>
      </c>
      <c r="K72" s="73">
        <v>4.0</v>
      </c>
      <c r="L72" s="73">
        <v>0.0</v>
      </c>
      <c r="M72" s="73">
        <v>1.0</v>
      </c>
      <c r="N72" s="73">
        <v>0.0</v>
      </c>
      <c r="O72" s="73">
        <v>1.0</v>
      </c>
      <c r="P72" s="73">
        <v>3.0</v>
      </c>
      <c r="Q72" s="73">
        <v>1.0</v>
      </c>
      <c r="R72" s="73">
        <v>3.0</v>
      </c>
      <c r="S72" s="73">
        <v>2.0</v>
      </c>
      <c r="T72" s="73">
        <v>0.0</v>
      </c>
      <c r="U72" s="13">
        <f t="shared" si="18"/>
        <v>33</v>
      </c>
    </row>
    <row r="73" ht="12.75" customHeight="1">
      <c r="A73" s="18"/>
      <c r="B73" s="49"/>
      <c r="C73" s="50" t="s">
        <v>63</v>
      </c>
      <c r="D73" s="51"/>
      <c r="E73" s="73">
        <v>6.0</v>
      </c>
      <c r="F73" s="73">
        <v>0.0</v>
      </c>
      <c r="G73" s="73">
        <v>0.0</v>
      </c>
      <c r="H73" s="73">
        <v>2.0</v>
      </c>
      <c r="I73" s="73">
        <v>4.0</v>
      </c>
      <c r="J73" s="73">
        <v>2.0</v>
      </c>
      <c r="K73" s="73">
        <v>0.0</v>
      </c>
      <c r="L73" s="73">
        <v>1.0</v>
      </c>
      <c r="M73" s="73">
        <v>1.0</v>
      </c>
      <c r="N73" s="73">
        <v>1.0</v>
      </c>
      <c r="O73" s="73">
        <v>3.0</v>
      </c>
      <c r="P73" s="73">
        <v>0.0</v>
      </c>
      <c r="Q73" s="73">
        <v>0.0</v>
      </c>
      <c r="R73" s="73">
        <v>1.0</v>
      </c>
      <c r="S73" s="73">
        <v>3.0</v>
      </c>
      <c r="T73" s="73">
        <v>0.0</v>
      </c>
      <c r="U73" s="13">
        <f t="shared" si="18"/>
        <v>24</v>
      </c>
    </row>
    <row r="74" ht="12.75" customHeight="1">
      <c r="A74" s="18"/>
      <c r="B74" s="49"/>
      <c r="C74" s="50" t="s">
        <v>64</v>
      </c>
      <c r="D74" s="51"/>
      <c r="E74" s="73">
        <v>2.0</v>
      </c>
      <c r="F74" s="73">
        <v>2.0</v>
      </c>
      <c r="G74" s="73">
        <v>0.0</v>
      </c>
      <c r="H74" s="73">
        <v>2.0</v>
      </c>
      <c r="I74" s="73">
        <v>0.0</v>
      </c>
      <c r="J74" s="73">
        <v>0.0</v>
      </c>
      <c r="K74" s="73">
        <v>0.0</v>
      </c>
      <c r="L74" s="73">
        <v>1.0</v>
      </c>
      <c r="M74" s="73">
        <v>0.0</v>
      </c>
      <c r="N74" s="73">
        <v>1.0</v>
      </c>
      <c r="O74" s="73">
        <v>1.0</v>
      </c>
      <c r="P74" s="73">
        <v>0.0</v>
      </c>
      <c r="Q74" s="73">
        <v>0.0</v>
      </c>
      <c r="R74" s="73">
        <v>1.0</v>
      </c>
      <c r="S74" s="73">
        <v>1.0</v>
      </c>
      <c r="T74" s="73">
        <v>2.0</v>
      </c>
      <c r="U74" s="13">
        <f t="shared" si="18"/>
        <v>13</v>
      </c>
    </row>
    <row r="75" ht="12.75" customHeight="1">
      <c r="A75" s="18"/>
      <c r="B75" s="49"/>
      <c r="C75" s="50" t="s">
        <v>65</v>
      </c>
      <c r="D75" s="51"/>
      <c r="E75" s="73">
        <v>3.0</v>
      </c>
      <c r="F75" s="73">
        <v>1.0</v>
      </c>
      <c r="G75" s="73">
        <v>0.0</v>
      </c>
      <c r="H75" s="73">
        <v>0.0</v>
      </c>
      <c r="I75" s="73">
        <v>1.0</v>
      </c>
      <c r="J75" s="73">
        <v>1.0</v>
      </c>
      <c r="K75" s="73">
        <v>0.0</v>
      </c>
      <c r="L75" s="73">
        <v>0.0</v>
      </c>
      <c r="M75" s="73">
        <v>1.0</v>
      </c>
      <c r="N75" s="73">
        <v>0.0</v>
      </c>
      <c r="O75" s="73">
        <v>0.0</v>
      </c>
      <c r="P75" s="73">
        <v>0.0</v>
      </c>
      <c r="Q75" s="73">
        <v>1.0</v>
      </c>
      <c r="R75" s="73">
        <v>1.0</v>
      </c>
      <c r="S75" s="73">
        <v>1.0</v>
      </c>
      <c r="T75" s="73">
        <v>0.0</v>
      </c>
      <c r="U75" s="13">
        <f t="shared" si="18"/>
        <v>10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0.0</v>
      </c>
      <c r="G76" s="80">
        <v>0.0</v>
      </c>
      <c r="H76" s="80">
        <v>0.0</v>
      </c>
      <c r="I76" s="80">
        <v>1.0</v>
      </c>
      <c r="J76" s="80">
        <v>0.0</v>
      </c>
      <c r="K76" s="80">
        <v>1.0</v>
      </c>
      <c r="L76" s="80">
        <v>0.0</v>
      </c>
      <c r="M76" s="80">
        <v>1.0</v>
      </c>
      <c r="N76" s="80">
        <v>0.0</v>
      </c>
      <c r="O76" s="80">
        <v>1.0</v>
      </c>
      <c r="P76" s="80">
        <v>0.0</v>
      </c>
      <c r="Q76" s="80">
        <v>1.0</v>
      </c>
      <c r="R76" s="80">
        <v>1.0</v>
      </c>
      <c r="S76" s="80">
        <v>0.0</v>
      </c>
      <c r="T76" s="80">
        <v>0.0</v>
      </c>
      <c r="U76" s="13">
        <f t="shared" si="18"/>
        <v>6</v>
      </c>
    </row>
    <row r="77" ht="12.75" customHeight="1">
      <c r="A77" s="79"/>
      <c r="B77" s="49"/>
      <c r="C77" s="50" t="s">
        <v>67</v>
      </c>
      <c r="D77" s="51"/>
      <c r="E77" s="80">
        <v>1.0</v>
      </c>
      <c r="F77" s="80">
        <v>0.0</v>
      </c>
      <c r="G77" s="80">
        <v>0.0</v>
      </c>
      <c r="H77" s="80">
        <v>0.0</v>
      </c>
      <c r="I77" s="80">
        <v>0.0</v>
      </c>
      <c r="J77" s="80">
        <v>0.0</v>
      </c>
      <c r="K77" s="80">
        <v>0.0</v>
      </c>
      <c r="L77" s="80">
        <v>0.0</v>
      </c>
      <c r="M77" s="80">
        <v>0.0</v>
      </c>
      <c r="N77" s="80">
        <v>0.0</v>
      </c>
      <c r="O77" s="80">
        <v>0.0</v>
      </c>
      <c r="P77" s="80">
        <v>0.0</v>
      </c>
      <c r="Q77" s="80">
        <v>0.0</v>
      </c>
      <c r="R77" s="80">
        <v>0.0</v>
      </c>
      <c r="S77" s="80">
        <v>0.0</v>
      </c>
      <c r="T77" s="80">
        <v>0.0</v>
      </c>
      <c r="U77" s="13">
        <f t="shared" si="18"/>
        <v>1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0.0</v>
      </c>
      <c r="G78" s="80">
        <v>0.0</v>
      </c>
      <c r="H78" s="80">
        <v>1.0</v>
      </c>
      <c r="I78" s="80">
        <v>0.0</v>
      </c>
      <c r="J78" s="80">
        <v>0.0</v>
      </c>
      <c r="K78" s="80">
        <v>0.0</v>
      </c>
      <c r="L78" s="80">
        <v>0.0</v>
      </c>
      <c r="M78" s="80">
        <v>0.0</v>
      </c>
      <c r="N78" s="80">
        <v>3.0</v>
      </c>
      <c r="O78" s="80">
        <v>0.0</v>
      </c>
      <c r="P78" s="80">
        <v>0.0</v>
      </c>
      <c r="Q78" s="80">
        <v>0.0</v>
      </c>
      <c r="R78" s="80">
        <v>0.0</v>
      </c>
      <c r="S78" s="80">
        <v>1.0</v>
      </c>
      <c r="T78" s="80">
        <v>0.0</v>
      </c>
      <c r="U78" s="13">
        <f t="shared" si="18"/>
        <v>5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U79" si="19">SUM(E69:E78)</f>
        <v>119</v>
      </c>
      <c r="F79" s="13">
        <f t="shared" si="19"/>
        <v>69</v>
      </c>
      <c r="G79" s="13">
        <f t="shared" si="19"/>
        <v>102</v>
      </c>
      <c r="H79" s="13">
        <f t="shared" si="19"/>
        <v>70</v>
      </c>
      <c r="I79" s="13">
        <f t="shared" si="19"/>
        <v>89</v>
      </c>
      <c r="J79" s="13">
        <f t="shared" si="19"/>
        <v>188</v>
      </c>
      <c r="K79" s="13">
        <f t="shared" si="19"/>
        <v>70</v>
      </c>
      <c r="L79" s="13">
        <f t="shared" si="19"/>
        <v>54</v>
      </c>
      <c r="M79" s="13">
        <f t="shared" si="19"/>
        <v>116</v>
      </c>
      <c r="N79" s="13">
        <f t="shared" si="19"/>
        <v>59</v>
      </c>
      <c r="O79" s="13">
        <f t="shared" si="19"/>
        <v>74</v>
      </c>
      <c r="P79" s="13">
        <f t="shared" si="19"/>
        <v>65</v>
      </c>
      <c r="Q79" s="13">
        <f t="shared" si="19"/>
        <v>32</v>
      </c>
      <c r="R79" s="13">
        <f t="shared" si="19"/>
        <v>49</v>
      </c>
      <c r="S79" s="13">
        <f t="shared" si="19"/>
        <v>46</v>
      </c>
      <c r="T79" s="13">
        <f t="shared" si="19"/>
        <v>62</v>
      </c>
      <c r="U79" s="13">
        <f t="shared" si="19"/>
        <v>1264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2.0</v>
      </c>
      <c r="F81" s="73">
        <v>1.0</v>
      </c>
      <c r="G81" s="73">
        <v>1.0</v>
      </c>
      <c r="H81" s="73">
        <v>2.0</v>
      </c>
      <c r="I81" s="73">
        <v>1.0</v>
      </c>
      <c r="J81" s="73">
        <v>0.0</v>
      </c>
      <c r="K81" s="73">
        <v>4.0</v>
      </c>
      <c r="L81" s="73">
        <v>3.0</v>
      </c>
      <c r="M81" s="73">
        <v>2.0</v>
      </c>
      <c r="N81" s="73">
        <v>4.0</v>
      </c>
      <c r="O81" s="73">
        <v>4.0</v>
      </c>
      <c r="P81" s="73">
        <v>4.0</v>
      </c>
      <c r="Q81" s="73">
        <v>4.0</v>
      </c>
      <c r="R81" s="73">
        <v>6.0</v>
      </c>
      <c r="S81" s="73">
        <v>9.0</v>
      </c>
      <c r="T81" s="73">
        <v>3.0</v>
      </c>
      <c r="U81" s="13">
        <f t="shared" ref="U81:U90" si="20">SUM(E81:T81)</f>
        <v>50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0.0</v>
      </c>
      <c r="F82" s="73">
        <v>3.0</v>
      </c>
      <c r="G82" s="73">
        <v>0.0</v>
      </c>
      <c r="H82" s="73">
        <v>5.0</v>
      </c>
      <c r="I82" s="73">
        <v>0.0</v>
      </c>
      <c r="J82" s="73">
        <v>0.0</v>
      </c>
      <c r="K82" s="73">
        <v>3.0</v>
      </c>
      <c r="L82" s="73">
        <v>2.0</v>
      </c>
      <c r="M82" s="73">
        <v>1.0</v>
      </c>
      <c r="N82" s="73">
        <v>1.0</v>
      </c>
      <c r="O82" s="73">
        <v>1.0</v>
      </c>
      <c r="P82" s="73">
        <v>6.0</v>
      </c>
      <c r="Q82" s="73">
        <v>3.0</v>
      </c>
      <c r="R82" s="73">
        <v>10.0</v>
      </c>
      <c r="S82" s="73">
        <v>2.0</v>
      </c>
      <c r="T82" s="73">
        <v>5.0</v>
      </c>
      <c r="U82" s="13">
        <f t="shared" si="20"/>
        <v>42</v>
      </c>
    </row>
    <row r="83" ht="12.75" customHeight="1">
      <c r="A83" s="18"/>
      <c r="B83" s="49"/>
      <c r="C83" s="50" t="s">
        <v>71</v>
      </c>
      <c r="D83" s="51"/>
      <c r="E83" s="73">
        <v>0.0</v>
      </c>
      <c r="F83" s="73">
        <v>1.0</v>
      </c>
      <c r="G83" s="73">
        <v>0.0</v>
      </c>
      <c r="H83" s="73">
        <v>2.0</v>
      </c>
      <c r="I83" s="73">
        <v>0.0</v>
      </c>
      <c r="J83" s="73">
        <v>0.0</v>
      </c>
      <c r="K83" s="73">
        <v>2.0</v>
      </c>
      <c r="L83" s="73">
        <v>1.0</v>
      </c>
      <c r="M83" s="73">
        <v>0.0</v>
      </c>
      <c r="N83" s="73">
        <v>0.0</v>
      </c>
      <c r="O83" s="73">
        <v>0.0</v>
      </c>
      <c r="P83" s="73">
        <v>1.0</v>
      </c>
      <c r="Q83" s="73">
        <v>0.0</v>
      </c>
      <c r="R83" s="73">
        <v>3.0</v>
      </c>
      <c r="S83" s="73">
        <v>1.0</v>
      </c>
      <c r="T83" s="73">
        <v>0.0</v>
      </c>
      <c r="U83" s="13">
        <f t="shared" si="20"/>
        <v>11</v>
      </c>
    </row>
    <row r="84" ht="12.75" customHeight="1">
      <c r="A84" s="18"/>
      <c r="B84" s="49"/>
      <c r="C84" s="50" t="s">
        <v>72</v>
      </c>
      <c r="D84" s="51"/>
      <c r="E84" s="73">
        <v>1.0</v>
      </c>
      <c r="F84" s="73">
        <v>1.0</v>
      </c>
      <c r="G84" s="73">
        <v>0.0</v>
      </c>
      <c r="H84" s="73">
        <v>2.0</v>
      </c>
      <c r="I84" s="73">
        <v>0.0</v>
      </c>
      <c r="J84" s="73">
        <v>1.0</v>
      </c>
      <c r="K84" s="73">
        <v>0.0</v>
      </c>
      <c r="L84" s="73">
        <v>0.0</v>
      </c>
      <c r="M84" s="73">
        <v>0.0</v>
      </c>
      <c r="N84" s="73">
        <v>0.0</v>
      </c>
      <c r="O84" s="73">
        <v>0.0</v>
      </c>
      <c r="P84" s="73">
        <v>0.0</v>
      </c>
      <c r="Q84" s="73">
        <v>1.0</v>
      </c>
      <c r="R84" s="73">
        <v>0.0</v>
      </c>
      <c r="S84" s="73">
        <v>0.0</v>
      </c>
      <c r="T84" s="73">
        <v>0.0</v>
      </c>
      <c r="U84" s="13">
        <f t="shared" si="20"/>
        <v>6</v>
      </c>
    </row>
    <row r="85" ht="12.75" customHeight="1">
      <c r="A85" s="18"/>
      <c r="B85" s="49"/>
      <c r="C85" s="50" t="s">
        <v>73</v>
      </c>
      <c r="D85" s="51"/>
      <c r="E85" s="73">
        <v>1.0</v>
      </c>
      <c r="F85" s="73">
        <v>0.0</v>
      </c>
      <c r="G85" s="73">
        <v>0.0</v>
      </c>
      <c r="H85" s="73">
        <v>0.0</v>
      </c>
      <c r="I85" s="73">
        <v>1.0</v>
      </c>
      <c r="J85" s="73">
        <v>0.0</v>
      </c>
      <c r="K85" s="73">
        <v>8.0</v>
      </c>
      <c r="L85" s="73">
        <v>5.0</v>
      </c>
      <c r="M85" s="73">
        <v>3.0</v>
      </c>
      <c r="N85" s="73">
        <v>2.0</v>
      </c>
      <c r="O85" s="73">
        <v>2.0</v>
      </c>
      <c r="P85" s="73">
        <v>0.0</v>
      </c>
      <c r="Q85" s="73">
        <v>1.0</v>
      </c>
      <c r="R85" s="73">
        <v>3.0</v>
      </c>
      <c r="S85" s="73">
        <v>0.0</v>
      </c>
      <c r="T85" s="73">
        <v>7.0</v>
      </c>
      <c r="U85" s="13">
        <f t="shared" si="20"/>
        <v>33</v>
      </c>
    </row>
    <row r="86" ht="12.75" customHeight="1">
      <c r="A86" s="18"/>
      <c r="B86" s="49"/>
      <c r="C86" s="50" t="s">
        <v>74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1.0</v>
      </c>
      <c r="J86" s="73">
        <v>0.0</v>
      </c>
      <c r="K86" s="73">
        <v>0.0</v>
      </c>
      <c r="L86" s="73">
        <v>1.0</v>
      </c>
      <c r="M86" s="73">
        <v>1.0</v>
      </c>
      <c r="N86" s="73">
        <v>0.0</v>
      </c>
      <c r="O86" s="73">
        <v>4.0</v>
      </c>
      <c r="P86" s="73">
        <v>0.0</v>
      </c>
      <c r="Q86" s="73">
        <v>1.0</v>
      </c>
      <c r="R86" s="73">
        <v>1.0</v>
      </c>
      <c r="S86" s="73">
        <v>0.0</v>
      </c>
      <c r="T86" s="73">
        <v>1.0</v>
      </c>
      <c r="U86" s="13">
        <f t="shared" si="20"/>
        <v>10</v>
      </c>
    </row>
    <row r="87" ht="12.75" customHeight="1">
      <c r="A87" s="18"/>
      <c r="B87" s="49"/>
      <c r="C87" s="50" t="s">
        <v>75</v>
      </c>
      <c r="D87" s="51"/>
      <c r="E87" s="73">
        <v>1.0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0.0</v>
      </c>
      <c r="P87" s="73">
        <v>0.0</v>
      </c>
      <c r="Q87" s="73">
        <v>0.0</v>
      </c>
      <c r="R87" s="73">
        <v>2.0</v>
      </c>
      <c r="S87" s="73">
        <v>0.0</v>
      </c>
      <c r="T87" s="73">
        <v>1.0</v>
      </c>
      <c r="U87" s="13">
        <f t="shared" si="20"/>
        <v>4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0.0</v>
      </c>
      <c r="L88" s="80">
        <v>0.0</v>
      </c>
      <c r="M88" s="80">
        <v>0.0</v>
      </c>
      <c r="N88" s="80">
        <v>0.0</v>
      </c>
      <c r="O88" s="80">
        <v>0.0</v>
      </c>
      <c r="P88" s="80">
        <v>0.0</v>
      </c>
      <c r="Q88" s="80">
        <v>0.0</v>
      </c>
      <c r="R88" s="80">
        <v>0.0</v>
      </c>
      <c r="S88" s="80">
        <v>0.0</v>
      </c>
      <c r="T88" s="80">
        <v>0.0</v>
      </c>
      <c r="U88" s="13">
        <f t="shared" si="20"/>
        <v>0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1.0</v>
      </c>
      <c r="L89" s="80">
        <v>0.0</v>
      </c>
      <c r="M89" s="80">
        <v>0.0</v>
      </c>
      <c r="N89" s="80">
        <v>1.0</v>
      </c>
      <c r="O89" s="80">
        <v>0.0</v>
      </c>
      <c r="P89" s="80">
        <v>0.0</v>
      </c>
      <c r="Q89" s="80">
        <v>0.0</v>
      </c>
      <c r="R89" s="80">
        <v>0.0</v>
      </c>
      <c r="S89" s="80">
        <v>0.0</v>
      </c>
      <c r="T89" s="80">
        <v>0.0</v>
      </c>
      <c r="U89" s="13">
        <f t="shared" si="20"/>
        <v>2</v>
      </c>
    </row>
    <row r="90" ht="12.75" customHeight="1">
      <c r="A90" s="79"/>
      <c r="B90" s="49"/>
      <c r="C90" s="50" t="s">
        <v>78</v>
      </c>
      <c r="D90" s="51"/>
      <c r="E90" s="80">
        <v>0.0</v>
      </c>
      <c r="F90" s="80">
        <v>0.0</v>
      </c>
      <c r="G90" s="80">
        <v>0.0</v>
      </c>
      <c r="H90" s="80">
        <v>0.0</v>
      </c>
      <c r="I90" s="80">
        <v>0.0</v>
      </c>
      <c r="J90" s="80">
        <v>0.0</v>
      </c>
      <c r="K90" s="80">
        <v>1.0</v>
      </c>
      <c r="L90" s="80">
        <v>0.0</v>
      </c>
      <c r="M90" s="80">
        <v>0.0</v>
      </c>
      <c r="N90" s="80">
        <v>0.0</v>
      </c>
      <c r="O90" s="80">
        <v>0.0</v>
      </c>
      <c r="P90" s="80">
        <v>0.0</v>
      </c>
      <c r="Q90" s="80">
        <v>1.0</v>
      </c>
      <c r="R90" s="80">
        <v>0.0</v>
      </c>
      <c r="S90" s="80">
        <v>0.0</v>
      </c>
      <c r="T90" s="80">
        <v>0.0</v>
      </c>
      <c r="U90" s="13">
        <f t="shared" si="20"/>
        <v>2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U91" si="21">SUM(E81:E90)</f>
        <v>5</v>
      </c>
      <c r="F91" s="13">
        <f t="shared" si="21"/>
        <v>6</v>
      </c>
      <c r="G91" s="13">
        <f t="shared" si="21"/>
        <v>1</v>
      </c>
      <c r="H91" s="13">
        <f t="shared" si="21"/>
        <v>11</v>
      </c>
      <c r="I91" s="13">
        <f t="shared" si="21"/>
        <v>3</v>
      </c>
      <c r="J91" s="13">
        <f t="shared" si="21"/>
        <v>1</v>
      </c>
      <c r="K91" s="13">
        <f t="shared" si="21"/>
        <v>19</v>
      </c>
      <c r="L91" s="13">
        <f t="shared" si="21"/>
        <v>12</v>
      </c>
      <c r="M91" s="13">
        <f t="shared" si="21"/>
        <v>7</v>
      </c>
      <c r="N91" s="13">
        <f t="shared" si="21"/>
        <v>8</v>
      </c>
      <c r="O91" s="13">
        <f t="shared" si="21"/>
        <v>11</v>
      </c>
      <c r="P91" s="13">
        <f t="shared" si="21"/>
        <v>11</v>
      </c>
      <c r="Q91" s="13">
        <f t="shared" si="21"/>
        <v>11</v>
      </c>
      <c r="R91" s="13">
        <f t="shared" si="21"/>
        <v>25</v>
      </c>
      <c r="S91" s="13">
        <f t="shared" si="21"/>
        <v>12</v>
      </c>
      <c r="T91" s="13">
        <f t="shared" si="21"/>
        <v>17</v>
      </c>
      <c r="U91" s="13">
        <f t="shared" si="21"/>
        <v>160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1.0</v>
      </c>
      <c r="F93" s="73">
        <v>3.0</v>
      </c>
      <c r="G93" s="73">
        <v>1.0</v>
      </c>
      <c r="H93" s="73">
        <v>1.0</v>
      </c>
      <c r="I93" s="73">
        <v>1.0</v>
      </c>
      <c r="J93" s="73">
        <v>1.0</v>
      </c>
      <c r="K93" s="73">
        <v>1.0</v>
      </c>
      <c r="L93" s="73">
        <v>3.0</v>
      </c>
      <c r="M93" s="73">
        <v>2.0</v>
      </c>
      <c r="N93" s="73">
        <v>2.0</v>
      </c>
      <c r="O93" s="73">
        <v>4.0</v>
      </c>
      <c r="P93" s="73">
        <v>0.0</v>
      </c>
      <c r="Q93" s="73">
        <v>1.0</v>
      </c>
      <c r="R93" s="73">
        <v>2.0</v>
      </c>
      <c r="S93" s="73">
        <v>0.0</v>
      </c>
      <c r="T93" s="73">
        <v>0.0</v>
      </c>
      <c r="U93" s="13">
        <f t="shared" ref="U93:U102" si="22">SUM(E93:T93)</f>
        <v>23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0.0</v>
      </c>
      <c r="F94" s="73">
        <v>1.0</v>
      </c>
      <c r="G94" s="73">
        <v>1.0</v>
      </c>
      <c r="H94" s="73">
        <v>2.0</v>
      </c>
      <c r="I94" s="73">
        <v>2.0</v>
      </c>
      <c r="J94" s="73">
        <v>0.0</v>
      </c>
      <c r="K94" s="73">
        <v>2.0</v>
      </c>
      <c r="L94" s="73">
        <v>1.0</v>
      </c>
      <c r="M94" s="73">
        <v>2.0</v>
      </c>
      <c r="N94" s="73">
        <v>0.0</v>
      </c>
      <c r="O94" s="73">
        <v>1.0</v>
      </c>
      <c r="P94" s="73">
        <v>0.0</v>
      </c>
      <c r="Q94" s="73">
        <v>0.0</v>
      </c>
      <c r="R94" s="73">
        <v>1.0</v>
      </c>
      <c r="S94" s="73">
        <v>0.0</v>
      </c>
      <c r="T94" s="73">
        <v>0.0</v>
      </c>
      <c r="U94" s="13">
        <f t="shared" si="22"/>
        <v>13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3.0</v>
      </c>
      <c r="S95" s="73">
        <v>0.0</v>
      </c>
      <c r="T95" s="73">
        <v>1.0</v>
      </c>
      <c r="U95" s="13">
        <f t="shared" si="22"/>
        <v>4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1.0</v>
      </c>
      <c r="I96" s="73">
        <v>0.0</v>
      </c>
      <c r="J96" s="73">
        <v>0.0</v>
      </c>
      <c r="K96" s="73">
        <v>1.0</v>
      </c>
      <c r="L96" s="73">
        <v>3.0</v>
      </c>
      <c r="M96" s="73">
        <v>0.0</v>
      </c>
      <c r="N96" s="73">
        <v>1.0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13">
        <f t="shared" si="22"/>
        <v>6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1.0</v>
      </c>
      <c r="R97" s="73">
        <v>0.0</v>
      </c>
      <c r="S97" s="73">
        <v>0.0</v>
      </c>
      <c r="T97" s="73">
        <v>0.0</v>
      </c>
      <c r="U97" s="13">
        <f t="shared" si="22"/>
        <v>1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2.0</v>
      </c>
      <c r="M98" s="73">
        <v>0.0</v>
      </c>
      <c r="N98" s="73">
        <v>1.0</v>
      </c>
      <c r="O98" s="73">
        <v>0.0</v>
      </c>
      <c r="P98" s="73">
        <v>0.0</v>
      </c>
      <c r="Q98" s="73">
        <v>0.0</v>
      </c>
      <c r="R98" s="73">
        <v>0.0</v>
      </c>
      <c r="S98" s="73">
        <v>1.0</v>
      </c>
      <c r="T98" s="73">
        <v>0.0</v>
      </c>
      <c r="U98" s="13">
        <f t="shared" si="22"/>
        <v>4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13">
        <f t="shared" si="22"/>
        <v>0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0.0</v>
      </c>
      <c r="T100" s="80">
        <v>0.0</v>
      </c>
      <c r="U100" s="13">
        <f t="shared" si="22"/>
        <v>0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2.0</v>
      </c>
      <c r="L101" s="80">
        <v>0.0</v>
      </c>
      <c r="M101" s="80">
        <v>0.0</v>
      </c>
      <c r="N101" s="80">
        <v>0.0</v>
      </c>
      <c r="O101" s="80">
        <v>0.0</v>
      </c>
      <c r="P101" s="80">
        <v>0.0</v>
      </c>
      <c r="Q101" s="80">
        <v>0.0</v>
      </c>
      <c r="R101" s="80">
        <v>0.0</v>
      </c>
      <c r="S101" s="80">
        <v>0.0</v>
      </c>
      <c r="T101" s="80">
        <v>0.0</v>
      </c>
      <c r="U101" s="13">
        <f t="shared" si="22"/>
        <v>2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U103" si="23">SUM(E93:E102)</f>
        <v>1</v>
      </c>
      <c r="F103" s="13">
        <f t="shared" si="23"/>
        <v>4</v>
      </c>
      <c r="G103" s="13">
        <f t="shared" si="23"/>
        <v>2</v>
      </c>
      <c r="H103" s="13">
        <f t="shared" si="23"/>
        <v>4</v>
      </c>
      <c r="I103" s="13">
        <f t="shared" si="23"/>
        <v>3</v>
      </c>
      <c r="J103" s="13">
        <f t="shared" si="23"/>
        <v>1</v>
      </c>
      <c r="K103" s="13">
        <f t="shared" si="23"/>
        <v>6</v>
      </c>
      <c r="L103" s="13">
        <f t="shared" si="23"/>
        <v>9</v>
      </c>
      <c r="M103" s="13">
        <f t="shared" si="23"/>
        <v>4</v>
      </c>
      <c r="N103" s="13">
        <f t="shared" si="23"/>
        <v>4</v>
      </c>
      <c r="O103" s="13">
        <f t="shared" si="23"/>
        <v>5</v>
      </c>
      <c r="P103" s="13">
        <f t="shared" si="23"/>
        <v>0</v>
      </c>
      <c r="Q103" s="13">
        <f t="shared" si="23"/>
        <v>2</v>
      </c>
      <c r="R103" s="13">
        <f t="shared" si="23"/>
        <v>6</v>
      </c>
      <c r="S103" s="13">
        <f t="shared" si="23"/>
        <v>1</v>
      </c>
      <c r="T103" s="13">
        <f t="shared" si="23"/>
        <v>1</v>
      </c>
      <c r="U103" s="13">
        <f t="shared" si="23"/>
        <v>53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13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1.0</v>
      </c>
      <c r="F105" s="73">
        <v>0.0</v>
      </c>
      <c r="G105" s="73">
        <v>0.0</v>
      </c>
      <c r="H105" s="73">
        <v>0.0</v>
      </c>
      <c r="I105" s="73">
        <v>1.0</v>
      </c>
      <c r="J105" s="73">
        <v>0.0</v>
      </c>
      <c r="K105" s="73">
        <v>0.0</v>
      </c>
      <c r="L105" s="73">
        <v>0.0</v>
      </c>
      <c r="M105" s="73">
        <v>1.0</v>
      </c>
      <c r="N105" s="73">
        <v>0.0</v>
      </c>
      <c r="O105" s="73">
        <v>0.0</v>
      </c>
      <c r="P105" s="73">
        <v>0.0</v>
      </c>
      <c r="Q105" s="73">
        <v>0.0</v>
      </c>
      <c r="R105" s="73">
        <v>0.0</v>
      </c>
      <c r="S105" s="73">
        <v>0.0</v>
      </c>
      <c r="T105" s="73">
        <v>1.0</v>
      </c>
      <c r="U105" s="13">
        <f t="shared" ref="U105:U114" si="24">SUM(E105:T105)</f>
        <v>4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1.0</v>
      </c>
      <c r="F106" s="73">
        <v>0.0</v>
      </c>
      <c r="G106" s="73">
        <v>0.0</v>
      </c>
      <c r="H106" s="73">
        <v>1.0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1.0</v>
      </c>
      <c r="O106" s="73">
        <v>0.0</v>
      </c>
      <c r="P106" s="73">
        <v>0.0</v>
      </c>
      <c r="Q106" s="73">
        <v>0.0</v>
      </c>
      <c r="R106" s="73">
        <v>1.0</v>
      </c>
      <c r="S106" s="73">
        <v>0.0</v>
      </c>
      <c r="T106" s="73">
        <v>0.0</v>
      </c>
      <c r="U106" s="13">
        <f t="shared" si="24"/>
        <v>4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1.0</v>
      </c>
      <c r="H107" s="80">
        <v>0.0</v>
      </c>
      <c r="I107" s="80">
        <v>0.0</v>
      </c>
      <c r="J107" s="80">
        <v>0.0</v>
      </c>
      <c r="K107" s="80">
        <v>0.0</v>
      </c>
      <c r="L107" s="80">
        <v>1.0</v>
      </c>
      <c r="M107" s="80">
        <v>0.0</v>
      </c>
      <c r="N107" s="80">
        <v>0.0</v>
      </c>
      <c r="O107" s="80">
        <v>0.0</v>
      </c>
      <c r="P107" s="80">
        <v>0.0</v>
      </c>
      <c r="Q107" s="80">
        <v>2.0</v>
      </c>
      <c r="R107" s="80">
        <v>0.0</v>
      </c>
      <c r="S107" s="80">
        <v>0.0</v>
      </c>
      <c r="T107" s="80">
        <v>1.0</v>
      </c>
      <c r="U107" s="13">
        <f t="shared" si="24"/>
        <v>5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U115" si="25">SUM(E105:E114)</f>
        <v>2</v>
      </c>
      <c r="F115" s="13">
        <f t="shared" si="25"/>
        <v>0</v>
      </c>
      <c r="G115" s="13">
        <f t="shared" si="25"/>
        <v>1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2</v>
      </c>
      <c r="R115" s="13">
        <f t="shared" si="25"/>
        <v>1</v>
      </c>
      <c r="S115" s="13">
        <f t="shared" si="25"/>
        <v>0</v>
      </c>
      <c r="T115" s="13">
        <f t="shared" si="25"/>
        <v>2</v>
      </c>
      <c r="U115" s="13">
        <f t="shared" si="25"/>
        <v>13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4.0</v>
      </c>
      <c r="F117" s="73">
        <v>0.0</v>
      </c>
      <c r="G117" s="73">
        <v>0.0</v>
      </c>
      <c r="H117" s="73">
        <v>1.0</v>
      </c>
      <c r="I117" s="73">
        <v>0.0</v>
      </c>
      <c r="J117" s="73">
        <v>0.0</v>
      </c>
      <c r="K117" s="73">
        <v>1.0</v>
      </c>
      <c r="L117" s="73">
        <v>1.0</v>
      </c>
      <c r="M117" s="73">
        <v>0.0</v>
      </c>
      <c r="N117" s="73">
        <v>0.0</v>
      </c>
      <c r="O117" s="73">
        <v>0.0</v>
      </c>
      <c r="P117" s="73">
        <v>2.0</v>
      </c>
      <c r="Q117" s="73">
        <v>1.0</v>
      </c>
      <c r="R117" s="73">
        <v>1.0</v>
      </c>
      <c r="S117" s="73">
        <v>2.0</v>
      </c>
      <c r="T117" s="73">
        <v>3.0</v>
      </c>
      <c r="U117" s="13">
        <f t="shared" ref="U117:U126" si="26">SUM(E117:T117)</f>
        <v>16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2.0</v>
      </c>
      <c r="F118" s="73">
        <v>0.0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1.0</v>
      </c>
      <c r="M118" s="73">
        <v>0.0</v>
      </c>
      <c r="N118" s="73">
        <v>0.0</v>
      </c>
      <c r="O118" s="73">
        <v>1.0</v>
      </c>
      <c r="P118" s="73">
        <v>0.0</v>
      </c>
      <c r="Q118" s="73">
        <v>1.0</v>
      </c>
      <c r="R118" s="73">
        <v>0.0</v>
      </c>
      <c r="S118" s="73">
        <v>0.0</v>
      </c>
      <c r="T118" s="73">
        <v>0.0</v>
      </c>
      <c r="U118" s="13">
        <f t="shared" si="26"/>
        <v>5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1.0</v>
      </c>
      <c r="M119" s="73">
        <v>0.0</v>
      </c>
      <c r="N119" s="73">
        <v>0.0</v>
      </c>
      <c r="O119" s="73">
        <v>0.0</v>
      </c>
      <c r="P119" s="73">
        <v>0.0</v>
      </c>
      <c r="Q119" s="73">
        <v>1.0</v>
      </c>
      <c r="R119" s="73">
        <v>1.0</v>
      </c>
      <c r="S119" s="73">
        <v>0.0</v>
      </c>
      <c r="T119" s="73">
        <v>0.0</v>
      </c>
      <c r="U119" s="13">
        <f t="shared" si="26"/>
        <v>3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1.0</v>
      </c>
      <c r="P120" s="73">
        <v>1.0</v>
      </c>
      <c r="Q120" s="73">
        <v>0.0</v>
      </c>
      <c r="R120" s="73">
        <v>0.0</v>
      </c>
      <c r="S120" s="73">
        <v>0.0</v>
      </c>
      <c r="T120" s="73">
        <v>0.0</v>
      </c>
      <c r="U120" s="13">
        <f t="shared" si="26"/>
        <v>2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1.0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80">
        <v>0.0</v>
      </c>
      <c r="U121" s="13">
        <f t="shared" si="26"/>
        <v>1</v>
      </c>
    </row>
    <row r="122" ht="12.75" customHeight="1">
      <c r="A122" s="79"/>
      <c r="B122" s="49"/>
      <c r="C122" s="50" t="s">
        <v>100</v>
      </c>
      <c r="D122" s="51"/>
      <c r="E122" s="80">
        <v>1.0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0.0</v>
      </c>
      <c r="R122" s="80">
        <v>1.0</v>
      </c>
      <c r="S122" s="80">
        <v>0.0</v>
      </c>
      <c r="T122" s="80">
        <v>0.0</v>
      </c>
      <c r="U122" s="13">
        <f t="shared" si="26"/>
        <v>2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U127" si="27">SUM(E117:E126)</f>
        <v>7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1</v>
      </c>
      <c r="J127" s="13">
        <f t="shared" si="27"/>
        <v>0</v>
      </c>
      <c r="K127" s="13">
        <f t="shared" si="27"/>
        <v>1</v>
      </c>
      <c r="L127" s="13">
        <f t="shared" si="27"/>
        <v>3</v>
      </c>
      <c r="M127" s="13">
        <f t="shared" si="27"/>
        <v>0</v>
      </c>
      <c r="N127" s="13">
        <f t="shared" si="27"/>
        <v>0</v>
      </c>
      <c r="O127" s="13">
        <f t="shared" si="27"/>
        <v>2</v>
      </c>
      <c r="P127" s="13">
        <f t="shared" si="27"/>
        <v>3</v>
      </c>
      <c r="Q127" s="13">
        <f t="shared" si="27"/>
        <v>3</v>
      </c>
      <c r="R127" s="13">
        <f t="shared" si="27"/>
        <v>3</v>
      </c>
      <c r="S127" s="13">
        <f t="shared" si="27"/>
        <v>2</v>
      </c>
      <c r="T127" s="13">
        <f t="shared" si="27"/>
        <v>3</v>
      </c>
      <c r="U127" s="13">
        <f t="shared" si="27"/>
        <v>29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1.0</v>
      </c>
      <c r="F129" s="73">
        <v>1.0</v>
      </c>
      <c r="G129" s="73">
        <v>0.0</v>
      </c>
      <c r="H129" s="73">
        <v>2.0</v>
      </c>
      <c r="I129" s="73">
        <v>3.0</v>
      </c>
      <c r="J129" s="73">
        <v>0.0</v>
      </c>
      <c r="K129" s="73">
        <v>1.0</v>
      </c>
      <c r="L129" s="73">
        <v>5.0</v>
      </c>
      <c r="M129" s="73">
        <v>4.0</v>
      </c>
      <c r="N129" s="73">
        <v>7.0</v>
      </c>
      <c r="O129" s="73">
        <v>2.0</v>
      </c>
      <c r="P129" s="73">
        <v>3.0</v>
      </c>
      <c r="Q129" s="73">
        <v>0.0</v>
      </c>
      <c r="R129" s="73">
        <v>1.0</v>
      </c>
      <c r="S129" s="73">
        <v>0.0</v>
      </c>
      <c r="T129" s="73">
        <v>5.0</v>
      </c>
      <c r="U129" s="13">
        <f t="shared" ref="U129:U138" si="28">SUM(E129:T129)</f>
        <v>35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0.0</v>
      </c>
      <c r="F130" s="73">
        <v>2.0</v>
      </c>
      <c r="G130" s="73">
        <v>0.0</v>
      </c>
      <c r="H130" s="73">
        <v>4.0</v>
      </c>
      <c r="I130" s="73">
        <v>19.0</v>
      </c>
      <c r="J130" s="73">
        <v>1.0</v>
      </c>
      <c r="K130" s="73">
        <v>0.0</v>
      </c>
      <c r="L130" s="73">
        <v>11.0</v>
      </c>
      <c r="M130" s="73">
        <v>3.0</v>
      </c>
      <c r="N130" s="73">
        <v>8.0</v>
      </c>
      <c r="O130" s="73">
        <v>1.0</v>
      </c>
      <c r="P130" s="73">
        <v>0.0</v>
      </c>
      <c r="Q130" s="73">
        <v>4.0</v>
      </c>
      <c r="R130" s="73">
        <v>4.0</v>
      </c>
      <c r="S130" s="73">
        <v>2.0</v>
      </c>
      <c r="T130" s="73">
        <v>5.0</v>
      </c>
      <c r="U130" s="13">
        <f t="shared" si="28"/>
        <v>64</v>
      </c>
    </row>
    <row r="131" ht="12.75" customHeight="1">
      <c r="A131" s="18"/>
      <c r="B131" s="49"/>
      <c r="C131" s="50" t="s">
        <v>104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1.0</v>
      </c>
      <c r="M131" s="73">
        <v>0.0</v>
      </c>
      <c r="N131" s="73">
        <v>3.0</v>
      </c>
      <c r="O131" s="73">
        <v>0.0</v>
      </c>
      <c r="P131" s="73">
        <v>1.0</v>
      </c>
      <c r="Q131" s="73">
        <v>0.0</v>
      </c>
      <c r="R131" s="73">
        <v>0.0</v>
      </c>
      <c r="S131" s="73">
        <v>0.0</v>
      </c>
      <c r="T131" s="73">
        <v>0.0</v>
      </c>
      <c r="U131" s="13">
        <f t="shared" si="28"/>
        <v>5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1.0</v>
      </c>
      <c r="J132" s="73">
        <v>0.0</v>
      </c>
      <c r="K132" s="73">
        <v>0.0</v>
      </c>
      <c r="L132" s="73">
        <v>1.0</v>
      </c>
      <c r="M132" s="73">
        <v>7.0</v>
      </c>
      <c r="N132" s="73">
        <v>2.0</v>
      </c>
      <c r="O132" s="73">
        <v>1.0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13">
        <f t="shared" si="28"/>
        <v>12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1.0</v>
      </c>
      <c r="N133" s="73">
        <v>1.0</v>
      </c>
      <c r="O133" s="73">
        <v>1.0</v>
      </c>
      <c r="P133" s="73">
        <v>0.0</v>
      </c>
      <c r="Q133" s="73">
        <v>0.0</v>
      </c>
      <c r="R133" s="73">
        <v>0.0</v>
      </c>
      <c r="S133" s="73">
        <v>0.0</v>
      </c>
      <c r="T133" s="73">
        <v>0.0</v>
      </c>
      <c r="U133" s="13">
        <f t="shared" si="28"/>
        <v>3</v>
      </c>
    </row>
    <row r="134" ht="12.75" customHeight="1">
      <c r="A134" s="18"/>
      <c r="B134" s="49"/>
      <c r="C134" s="50" t="s">
        <v>107</v>
      </c>
      <c r="D134" s="51"/>
      <c r="E134" s="73">
        <v>0.0</v>
      </c>
      <c r="F134" s="73">
        <v>1.0</v>
      </c>
      <c r="G134" s="73">
        <v>1.0</v>
      </c>
      <c r="H134" s="73">
        <v>0.0</v>
      </c>
      <c r="I134" s="73">
        <v>5.0</v>
      </c>
      <c r="J134" s="73">
        <v>0.0</v>
      </c>
      <c r="K134" s="73">
        <v>1.0</v>
      </c>
      <c r="L134" s="73">
        <v>6.0</v>
      </c>
      <c r="M134" s="73">
        <v>3.0</v>
      </c>
      <c r="N134" s="73">
        <v>10.0</v>
      </c>
      <c r="O134" s="73">
        <v>1.0</v>
      </c>
      <c r="P134" s="73">
        <v>3.0</v>
      </c>
      <c r="Q134" s="73">
        <v>0.0</v>
      </c>
      <c r="R134" s="73">
        <v>1.0</v>
      </c>
      <c r="S134" s="73">
        <v>0.0</v>
      </c>
      <c r="T134" s="73">
        <v>2.0</v>
      </c>
      <c r="U134" s="13">
        <f t="shared" si="28"/>
        <v>34</v>
      </c>
    </row>
    <row r="135" ht="12.75" customHeight="1">
      <c r="A135" s="18"/>
      <c r="B135" s="49"/>
      <c r="C135" s="50" t="s">
        <v>108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1.0</v>
      </c>
      <c r="K135" s="73">
        <v>1.0</v>
      </c>
      <c r="L135" s="73">
        <v>5.0</v>
      </c>
      <c r="M135" s="73">
        <v>0.0</v>
      </c>
      <c r="N135" s="73">
        <v>3.0</v>
      </c>
      <c r="O135" s="73">
        <v>0.0</v>
      </c>
      <c r="P135" s="73">
        <v>1.0</v>
      </c>
      <c r="Q135" s="73">
        <v>0.0</v>
      </c>
      <c r="R135" s="73">
        <v>2.0</v>
      </c>
      <c r="S135" s="73">
        <v>1.0</v>
      </c>
      <c r="T135" s="73">
        <v>0.0</v>
      </c>
      <c r="U135" s="13">
        <f t="shared" si="28"/>
        <v>14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0.0</v>
      </c>
      <c r="I136" s="80">
        <v>0.0</v>
      </c>
      <c r="J136" s="80">
        <v>0.0</v>
      </c>
      <c r="K136" s="80">
        <v>0.0</v>
      </c>
      <c r="L136" s="80">
        <v>1.0</v>
      </c>
      <c r="M136" s="80">
        <v>0.0</v>
      </c>
      <c r="N136" s="80">
        <v>0.0</v>
      </c>
      <c r="O136" s="80">
        <v>0.0</v>
      </c>
      <c r="P136" s="80">
        <v>3.0</v>
      </c>
      <c r="Q136" s="80">
        <v>0.0</v>
      </c>
      <c r="R136" s="80">
        <v>0.0</v>
      </c>
      <c r="S136" s="80">
        <v>0.0</v>
      </c>
      <c r="T136" s="80">
        <v>0.0</v>
      </c>
      <c r="U136" s="13">
        <f t="shared" si="28"/>
        <v>4</v>
      </c>
    </row>
    <row r="137" ht="12.75" customHeight="1">
      <c r="A137" s="79"/>
      <c r="B137" s="49"/>
      <c r="C137" s="50" t="s">
        <v>110</v>
      </c>
      <c r="D137" s="51"/>
      <c r="E137" s="80">
        <v>1.0</v>
      </c>
      <c r="F137" s="80">
        <v>0.0</v>
      </c>
      <c r="G137" s="80">
        <v>0.0</v>
      </c>
      <c r="H137" s="80">
        <v>0.0</v>
      </c>
      <c r="I137" s="80">
        <v>0.0</v>
      </c>
      <c r="J137" s="80">
        <v>1.0</v>
      </c>
      <c r="K137" s="80">
        <v>0.0</v>
      </c>
      <c r="L137" s="80">
        <v>1.0</v>
      </c>
      <c r="M137" s="80">
        <v>0.0</v>
      </c>
      <c r="N137" s="80">
        <v>0.0</v>
      </c>
      <c r="O137" s="80">
        <v>0.0</v>
      </c>
      <c r="P137" s="80">
        <v>0.0</v>
      </c>
      <c r="Q137" s="80">
        <v>0.0</v>
      </c>
      <c r="R137" s="80">
        <v>0.0</v>
      </c>
      <c r="S137" s="80">
        <v>0.0</v>
      </c>
      <c r="T137" s="80">
        <v>0.0</v>
      </c>
      <c r="U137" s="13">
        <f t="shared" si="28"/>
        <v>3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0.0</v>
      </c>
      <c r="I138" s="80">
        <v>0.0</v>
      </c>
      <c r="J138" s="80">
        <v>0.0</v>
      </c>
      <c r="K138" s="80">
        <v>0.0</v>
      </c>
      <c r="L138" s="80">
        <v>0.0</v>
      </c>
      <c r="M138" s="80">
        <v>0.0</v>
      </c>
      <c r="N138" s="80">
        <v>0.0</v>
      </c>
      <c r="O138" s="80">
        <v>1.0</v>
      </c>
      <c r="P138" s="80">
        <v>0.0</v>
      </c>
      <c r="Q138" s="80">
        <v>0.0</v>
      </c>
      <c r="R138" s="80">
        <v>0.0</v>
      </c>
      <c r="S138" s="80">
        <v>0.0</v>
      </c>
      <c r="T138" s="80">
        <v>0.0</v>
      </c>
      <c r="U138" s="13">
        <f t="shared" si="28"/>
        <v>1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U139" si="29">SUM(E129:E138)</f>
        <v>2</v>
      </c>
      <c r="F139" s="13">
        <f t="shared" si="29"/>
        <v>4</v>
      </c>
      <c r="G139" s="13">
        <f t="shared" si="29"/>
        <v>1</v>
      </c>
      <c r="H139" s="13">
        <f t="shared" si="29"/>
        <v>6</v>
      </c>
      <c r="I139" s="13">
        <f t="shared" si="29"/>
        <v>28</v>
      </c>
      <c r="J139" s="13">
        <f t="shared" si="29"/>
        <v>3</v>
      </c>
      <c r="K139" s="13">
        <f t="shared" si="29"/>
        <v>3</v>
      </c>
      <c r="L139" s="13">
        <f t="shared" si="29"/>
        <v>31</v>
      </c>
      <c r="M139" s="13">
        <f t="shared" si="29"/>
        <v>18</v>
      </c>
      <c r="N139" s="13">
        <f t="shared" si="29"/>
        <v>34</v>
      </c>
      <c r="O139" s="13">
        <f t="shared" si="29"/>
        <v>7</v>
      </c>
      <c r="P139" s="13">
        <f t="shared" si="29"/>
        <v>11</v>
      </c>
      <c r="Q139" s="13">
        <f t="shared" si="29"/>
        <v>4</v>
      </c>
      <c r="R139" s="13">
        <f t="shared" si="29"/>
        <v>8</v>
      </c>
      <c r="S139" s="13">
        <f t="shared" si="29"/>
        <v>3</v>
      </c>
      <c r="T139" s="13">
        <f t="shared" si="29"/>
        <v>12</v>
      </c>
      <c r="U139" s="13">
        <f t="shared" si="29"/>
        <v>175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19"/>
      <c r="U141" s="13">
        <f t="shared" ref="U141:U150" si="30">SUM(E141:T141)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1.0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19"/>
      <c r="U142" s="13">
        <f t="shared" si="30"/>
        <v>1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1.0</v>
      </c>
      <c r="T143" s="82"/>
      <c r="U143" s="13">
        <f t="shared" si="30"/>
        <v>1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0.0</v>
      </c>
      <c r="T144" s="82"/>
      <c r="U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1.0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1.0</v>
      </c>
      <c r="M153" s="73">
        <v>0.0</v>
      </c>
      <c r="N153" s="73">
        <v>0.0</v>
      </c>
      <c r="O153" s="73">
        <v>0.0</v>
      </c>
      <c r="P153" s="73">
        <v>0.0</v>
      </c>
      <c r="Q153" s="73">
        <v>0.0</v>
      </c>
      <c r="R153" s="73">
        <v>0.0</v>
      </c>
      <c r="S153" s="73">
        <v>1.0</v>
      </c>
      <c r="T153" s="19"/>
      <c r="U153" s="13">
        <f t="shared" ref="U153:U162" si="32">SUM(E153:T153)</f>
        <v>3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1.0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1.0</v>
      </c>
      <c r="M154" s="73">
        <v>0.0</v>
      </c>
      <c r="N154" s="73">
        <v>1.0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19"/>
      <c r="U154" s="13">
        <f t="shared" si="32"/>
        <v>3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1.0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19"/>
      <c r="U155" s="13">
        <f t="shared" si="32"/>
        <v>1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19"/>
      <c r="U156" s="13">
        <f t="shared" si="32"/>
        <v>0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1.0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19"/>
      <c r="U157" s="13">
        <f t="shared" si="32"/>
        <v>1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0.0</v>
      </c>
      <c r="N158" s="80">
        <v>0.0</v>
      </c>
      <c r="O158" s="80">
        <v>0.0</v>
      </c>
      <c r="P158" s="73">
        <v>0.0</v>
      </c>
      <c r="Q158" s="80">
        <v>0.0</v>
      </c>
      <c r="R158" s="80">
        <v>0.0</v>
      </c>
      <c r="S158" s="80">
        <v>0.0</v>
      </c>
      <c r="T158" s="82"/>
      <c r="U158" s="13">
        <f t="shared" si="32"/>
        <v>0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80">
        <v>0.0</v>
      </c>
      <c r="S159" s="80">
        <v>1.0</v>
      </c>
      <c r="T159" s="82"/>
      <c r="U159" s="13">
        <f t="shared" si="32"/>
        <v>1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1.0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82"/>
      <c r="U160" s="13">
        <f t="shared" si="32"/>
        <v>1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U163" si="33">SUM(E153:E162)</f>
        <v>2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2</v>
      </c>
      <c r="M163" s="13">
        <f t="shared" si="33"/>
        <v>1</v>
      </c>
      <c r="N163" s="13">
        <f t="shared" si="33"/>
        <v>2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2</v>
      </c>
      <c r="T163" s="13">
        <f t="shared" si="33"/>
        <v>0</v>
      </c>
      <c r="U163" s="13">
        <f t="shared" si="33"/>
        <v>10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0.0</v>
      </c>
      <c r="G165" s="73">
        <v>1.0</v>
      </c>
      <c r="H165" s="73">
        <v>1.0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0.0</v>
      </c>
      <c r="P165" s="73">
        <v>0.0</v>
      </c>
      <c r="Q165" s="73">
        <v>0.0</v>
      </c>
      <c r="R165" s="73">
        <v>1.0</v>
      </c>
      <c r="S165" s="73">
        <v>0.0</v>
      </c>
      <c r="T165" s="73">
        <v>1.0</v>
      </c>
      <c r="U165" s="13">
        <f t="shared" ref="U165:U174" si="34">SUM(E165:T165)</f>
        <v>4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1.0</v>
      </c>
      <c r="F166" s="80">
        <v>0.0</v>
      </c>
      <c r="G166" s="80">
        <v>0.0</v>
      </c>
      <c r="H166" s="80">
        <v>0.0</v>
      </c>
      <c r="I166" s="80">
        <v>1.0</v>
      </c>
      <c r="J166" s="80">
        <v>0.0</v>
      </c>
      <c r="K166" s="80">
        <v>1.0</v>
      </c>
      <c r="L166" s="80">
        <v>2.0</v>
      </c>
      <c r="M166" s="80">
        <v>1.0</v>
      </c>
      <c r="N166" s="80">
        <v>3.0</v>
      </c>
      <c r="O166" s="80">
        <v>0.0</v>
      </c>
      <c r="P166" s="80">
        <v>0.0</v>
      </c>
      <c r="Q166" s="80">
        <v>2.0</v>
      </c>
      <c r="R166" s="80">
        <v>0.0</v>
      </c>
      <c r="S166" s="80">
        <v>0.0</v>
      </c>
      <c r="T166" s="80">
        <v>0.0</v>
      </c>
      <c r="U166" s="13">
        <f t="shared" si="34"/>
        <v>11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U175" si="35">SUM(E165:E174)</f>
        <v>1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1</v>
      </c>
      <c r="J175" s="13">
        <f t="shared" si="35"/>
        <v>0</v>
      </c>
      <c r="K175" s="13">
        <f t="shared" si="35"/>
        <v>1</v>
      </c>
      <c r="L175" s="13">
        <f t="shared" si="35"/>
        <v>2</v>
      </c>
      <c r="M175" s="13">
        <f t="shared" si="35"/>
        <v>1</v>
      </c>
      <c r="N175" s="13">
        <f t="shared" si="35"/>
        <v>3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1</v>
      </c>
      <c r="S175" s="13">
        <f t="shared" si="35"/>
        <v>0</v>
      </c>
      <c r="T175" s="13">
        <f t="shared" si="35"/>
        <v>1</v>
      </c>
      <c r="U175" s="13">
        <f t="shared" si="35"/>
        <v>15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1.0</v>
      </c>
      <c r="F177" s="73">
        <v>1.0</v>
      </c>
      <c r="G177" s="73">
        <v>0.0</v>
      </c>
      <c r="H177" s="73">
        <v>0.0</v>
      </c>
      <c r="I177" s="73">
        <v>0.0</v>
      </c>
      <c r="J177" s="73">
        <v>0.0</v>
      </c>
      <c r="K177" s="73">
        <v>1.0</v>
      </c>
      <c r="L177" s="73">
        <v>3.0</v>
      </c>
      <c r="M177" s="73">
        <v>0.0</v>
      </c>
      <c r="N177" s="73">
        <v>1.0</v>
      </c>
      <c r="O177" s="73">
        <v>1.0</v>
      </c>
      <c r="P177" s="73">
        <v>0.0</v>
      </c>
      <c r="Q177" s="73">
        <v>1.0</v>
      </c>
      <c r="R177" s="73">
        <v>0.0</v>
      </c>
      <c r="S177" s="73">
        <v>3.0</v>
      </c>
      <c r="T177" s="73">
        <v>0.0</v>
      </c>
      <c r="U177" s="13">
        <f t="shared" ref="U177:U186" si="36">SUM(E177:T177)</f>
        <v>12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0.0</v>
      </c>
      <c r="F178" s="73">
        <v>1.0</v>
      </c>
      <c r="G178" s="73">
        <v>0.0</v>
      </c>
      <c r="H178" s="73">
        <v>1.0</v>
      </c>
      <c r="I178" s="73">
        <v>0.0</v>
      </c>
      <c r="J178" s="73">
        <v>2.0</v>
      </c>
      <c r="K178" s="73">
        <v>0.0</v>
      </c>
      <c r="L178" s="73">
        <v>0.0</v>
      </c>
      <c r="M178" s="73">
        <v>0.0</v>
      </c>
      <c r="N178" s="73">
        <v>2.0</v>
      </c>
      <c r="O178" s="73">
        <v>2.0</v>
      </c>
      <c r="P178" s="73">
        <v>3.0</v>
      </c>
      <c r="Q178" s="73">
        <v>1.0</v>
      </c>
      <c r="R178" s="73">
        <v>1.0</v>
      </c>
      <c r="S178" s="73">
        <v>3.0</v>
      </c>
      <c r="T178" s="73">
        <v>3.0</v>
      </c>
      <c r="U178" s="13">
        <f t="shared" si="36"/>
        <v>19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0.0</v>
      </c>
      <c r="H179" s="73">
        <v>1.0</v>
      </c>
      <c r="I179" s="73">
        <v>0.0</v>
      </c>
      <c r="J179" s="73">
        <v>0.0</v>
      </c>
      <c r="K179" s="73">
        <v>0.0</v>
      </c>
      <c r="L179" s="73">
        <v>4.0</v>
      </c>
      <c r="M179" s="73">
        <v>1.0</v>
      </c>
      <c r="N179" s="73">
        <v>0.0</v>
      </c>
      <c r="O179" s="73">
        <v>0.0</v>
      </c>
      <c r="P179" s="73">
        <v>1.0</v>
      </c>
      <c r="Q179" s="73">
        <v>0.0</v>
      </c>
      <c r="R179" s="73">
        <v>0.0</v>
      </c>
      <c r="S179" s="73">
        <v>0.0</v>
      </c>
      <c r="T179" s="73">
        <v>1.0</v>
      </c>
      <c r="U179" s="13">
        <f t="shared" si="36"/>
        <v>8</v>
      </c>
    </row>
    <row r="180" ht="12.75" customHeight="1">
      <c r="A180" s="18"/>
      <c r="B180" s="49"/>
      <c r="C180" s="50" t="s">
        <v>133</v>
      </c>
      <c r="D180" s="51"/>
      <c r="E180" s="73">
        <v>0.0</v>
      </c>
      <c r="F180" s="73">
        <v>0.0</v>
      </c>
      <c r="G180" s="73">
        <v>0.0</v>
      </c>
      <c r="H180" s="73">
        <v>1.0</v>
      </c>
      <c r="I180" s="73">
        <v>1.0</v>
      </c>
      <c r="J180" s="73">
        <v>0.0</v>
      </c>
      <c r="K180" s="73">
        <v>1.0</v>
      </c>
      <c r="L180" s="73">
        <v>1.0</v>
      </c>
      <c r="M180" s="73">
        <v>1.0</v>
      </c>
      <c r="N180" s="73">
        <v>0.0</v>
      </c>
      <c r="O180" s="73">
        <v>2.0</v>
      </c>
      <c r="P180" s="73">
        <v>0.0</v>
      </c>
      <c r="Q180" s="73">
        <v>0.0</v>
      </c>
      <c r="R180" s="73">
        <v>3.0</v>
      </c>
      <c r="S180" s="73">
        <v>0.0</v>
      </c>
      <c r="T180" s="73">
        <v>1.0</v>
      </c>
      <c r="U180" s="13">
        <f t="shared" si="36"/>
        <v>11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3.0</v>
      </c>
      <c r="N181" s="73">
        <v>1.0</v>
      </c>
      <c r="O181" s="73">
        <v>0.0</v>
      </c>
      <c r="P181" s="73">
        <v>2.0</v>
      </c>
      <c r="Q181" s="73">
        <v>0.0</v>
      </c>
      <c r="R181" s="73">
        <v>0.0</v>
      </c>
      <c r="S181" s="73">
        <v>1.0</v>
      </c>
      <c r="T181" s="73">
        <v>2.0</v>
      </c>
      <c r="U181" s="13">
        <f t="shared" si="36"/>
        <v>9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13">
        <f t="shared" si="36"/>
        <v>0</v>
      </c>
    </row>
    <row r="183" ht="12.75" customHeight="1">
      <c r="A183" s="18"/>
      <c r="B183" s="49"/>
      <c r="C183" s="50" t="s">
        <v>136</v>
      </c>
      <c r="D183" s="51"/>
      <c r="E183" s="73">
        <v>1.0</v>
      </c>
      <c r="F183" s="73">
        <v>0.0</v>
      </c>
      <c r="G183" s="73">
        <v>0.0</v>
      </c>
      <c r="H183" s="73">
        <v>0.0</v>
      </c>
      <c r="I183" s="73">
        <v>1.0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1.0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13">
        <f t="shared" si="36"/>
        <v>3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1.0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80">
        <v>0.0</v>
      </c>
      <c r="T184" s="80">
        <v>0.0</v>
      </c>
      <c r="U184" s="13">
        <f t="shared" si="36"/>
        <v>1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0.0</v>
      </c>
      <c r="G185" s="80">
        <v>0.0</v>
      </c>
      <c r="H185" s="80">
        <v>1.0</v>
      </c>
      <c r="I185" s="80">
        <v>0.0</v>
      </c>
      <c r="J185" s="80">
        <v>0.0</v>
      </c>
      <c r="K185" s="80">
        <v>0.0</v>
      </c>
      <c r="L185" s="80">
        <v>1.0</v>
      </c>
      <c r="M185" s="80">
        <v>0.0</v>
      </c>
      <c r="N185" s="80">
        <v>0.0</v>
      </c>
      <c r="O185" s="80">
        <v>0.0</v>
      </c>
      <c r="P185" s="80">
        <v>0.0</v>
      </c>
      <c r="Q185" s="80">
        <v>0.0</v>
      </c>
      <c r="R185" s="80">
        <v>0.0</v>
      </c>
      <c r="S185" s="80">
        <v>0.0</v>
      </c>
      <c r="T185" s="80">
        <v>0.0</v>
      </c>
      <c r="U185" s="13">
        <f t="shared" si="36"/>
        <v>2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0.0</v>
      </c>
      <c r="Q186" s="80">
        <v>0.0</v>
      </c>
      <c r="R186" s="80">
        <v>0.0</v>
      </c>
      <c r="S186" s="80">
        <v>0.0</v>
      </c>
      <c r="T186" s="80">
        <v>0.0</v>
      </c>
      <c r="U186" s="13">
        <f t="shared" si="36"/>
        <v>0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U187" si="37">SUM(E177:E186)</f>
        <v>2</v>
      </c>
      <c r="F187" s="13">
        <f t="shared" si="37"/>
        <v>2</v>
      </c>
      <c r="G187" s="13">
        <f t="shared" si="37"/>
        <v>0</v>
      </c>
      <c r="H187" s="13">
        <f t="shared" si="37"/>
        <v>4</v>
      </c>
      <c r="I187" s="13">
        <f t="shared" si="37"/>
        <v>3</v>
      </c>
      <c r="J187" s="13">
        <f t="shared" si="37"/>
        <v>2</v>
      </c>
      <c r="K187" s="13">
        <f t="shared" si="37"/>
        <v>2</v>
      </c>
      <c r="L187" s="13">
        <f t="shared" si="37"/>
        <v>9</v>
      </c>
      <c r="M187" s="13">
        <f t="shared" si="37"/>
        <v>5</v>
      </c>
      <c r="N187" s="13">
        <f t="shared" si="37"/>
        <v>4</v>
      </c>
      <c r="O187" s="13">
        <f t="shared" si="37"/>
        <v>6</v>
      </c>
      <c r="P187" s="13">
        <f t="shared" si="37"/>
        <v>6</v>
      </c>
      <c r="Q187" s="13">
        <f t="shared" si="37"/>
        <v>2</v>
      </c>
      <c r="R187" s="13">
        <f t="shared" si="37"/>
        <v>4</v>
      </c>
      <c r="S187" s="13">
        <f t="shared" si="37"/>
        <v>7</v>
      </c>
      <c r="T187" s="13">
        <f t="shared" si="37"/>
        <v>7</v>
      </c>
      <c r="U187" s="13">
        <f t="shared" si="37"/>
        <v>65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U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19"/>
      <c r="U189" s="13">
        <f t="shared" ref="U189:U198" si="38">SUM(E189:T189)</f>
        <v>0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1.0</v>
      </c>
      <c r="N190" s="73">
        <v>0.0</v>
      </c>
      <c r="O190" s="73">
        <v>1.0</v>
      </c>
      <c r="P190" s="73">
        <v>0.0</v>
      </c>
      <c r="Q190" s="73">
        <v>1.0</v>
      </c>
      <c r="R190" s="73">
        <v>0.0</v>
      </c>
      <c r="S190" s="73">
        <v>0.0</v>
      </c>
      <c r="T190" s="19"/>
      <c r="U190" s="13">
        <f t="shared" si="38"/>
        <v>3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1.0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19"/>
      <c r="U191" s="13">
        <f t="shared" si="38"/>
        <v>1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1.0</v>
      </c>
      <c r="S192" s="73">
        <v>0.0</v>
      </c>
      <c r="T192" s="19"/>
      <c r="U192" s="13">
        <f t="shared" si="38"/>
        <v>1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19"/>
      <c r="U193" s="13">
        <f t="shared" si="38"/>
        <v>0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1.0</v>
      </c>
      <c r="P194" s="73">
        <v>0.0</v>
      </c>
      <c r="Q194" s="73">
        <v>0.0</v>
      </c>
      <c r="R194" s="73">
        <v>0.0</v>
      </c>
      <c r="S194" s="73">
        <v>0.0</v>
      </c>
      <c r="T194" s="19"/>
      <c r="U194" s="13">
        <f t="shared" si="38"/>
        <v>1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19"/>
      <c r="U195" s="13">
        <f t="shared" si="38"/>
        <v>0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0.0</v>
      </c>
      <c r="S196" s="80">
        <v>0.0</v>
      </c>
      <c r="T196" s="82"/>
      <c r="U196" s="13">
        <f t="shared" si="38"/>
        <v>0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1.0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2"/>
      <c r="U197" s="13">
        <f t="shared" si="38"/>
        <v>1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2"/>
      <c r="U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U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2</v>
      </c>
      <c r="P199" s="13">
        <f t="shared" si="39"/>
        <v>0</v>
      </c>
      <c r="Q199" s="13">
        <f t="shared" si="39"/>
        <v>1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7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4.0</v>
      </c>
      <c r="F201" s="73">
        <v>1.0</v>
      </c>
      <c r="G201" s="73">
        <v>3.0</v>
      </c>
      <c r="H201" s="73">
        <v>13.0</v>
      </c>
      <c r="I201" s="73">
        <v>4.0</v>
      </c>
      <c r="J201" s="73">
        <v>0.0</v>
      </c>
      <c r="K201" s="73">
        <v>2.0</v>
      </c>
      <c r="L201" s="73">
        <v>3.0</v>
      </c>
      <c r="M201" s="73">
        <v>2.0</v>
      </c>
      <c r="N201" s="73">
        <v>2.0</v>
      </c>
      <c r="O201" s="73">
        <v>8.0</v>
      </c>
      <c r="P201" s="73">
        <v>3.0</v>
      </c>
      <c r="Q201" s="73">
        <v>2.0</v>
      </c>
      <c r="R201" s="73">
        <v>1.0</v>
      </c>
      <c r="S201" s="73">
        <v>11.0</v>
      </c>
      <c r="T201" s="73">
        <v>4.0</v>
      </c>
      <c r="U201" s="13">
        <f t="shared" ref="U201:U210" si="40">SUM(E201:T201)</f>
        <v>63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5.0</v>
      </c>
      <c r="F202" s="73">
        <v>2.0</v>
      </c>
      <c r="G202" s="73">
        <v>4.0</v>
      </c>
      <c r="H202" s="73">
        <v>7.0</v>
      </c>
      <c r="I202" s="73">
        <v>3.0</v>
      </c>
      <c r="J202" s="73">
        <v>0.0</v>
      </c>
      <c r="K202" s="73">
        <v>1.0</v>
      </c>
      <c r="L202" s="73">
        <v>5.0</v>
      </c>
      <c r="M202" s="73">
        <v>4.0</v>
      </c>
      <c r="N202" s="73">
        <v>1.0</v>
      </c>
      <c r="O202" s="73">
        <v>5.0</v>
      </c>
      <c r="P202" s="73">
        <v>0.0</v>
      </c>
      <c r="Q202" s="73">
        <v>1.0</v>
      </c>
      <c r="R202" s="73">
        <v>4.0</v>
      </c>
      <c r="S202" s="73">
        <v>2.0</v>
      </c>
      <c r="T202" s="73">
        <v>6.0</v>
      </c>
      <c r="U202" s="13">
        <f t="shared" si="40"/>
        <v>50</v>
      </c>
    </row>
    <row r="203" ht="12.75" customHeight="1">
      <c r="A203" s="18"/>
      <c r="B203" s="49"/>
      <c r="C203" s="50" t="s">
        <v>154</v>
      </c>
      <c r="D203" s="51"/>
      <c r="E203" s="73">
        <v>5.0</v>
      </c>
      <c r="F203" s="73">
        <v>1.0</v>
      </c>
      <c r="G203" s="73">
        <v>1.0</v>
      </c>
      <c r="H203" s="73">
        <v>3.0</v>
      </c>
      <c r="I203" s="73">
        <v>2.0</v>
      </c>
      <c r="J203" s="73">
        <v>0.0</v>
      </c>
      <c r="K203" s="73">
        <v>0.0</v>
      </c>
      <c r="L203" s="73">
        <v>1.0</v>
      </c>
      <c r="M203" s="73">
        <v>1.0</v>
      </c>
      <c r="N203" s="73">
        <v>0.0</v>
      </c>
      <c r="O203" s="73">
        <v>2.0</v>
      </c>
      <c r="P203" s="73">
        <v>0.0</v>
      </c>
      <c r="Q203" s="73">
        <v>1.0</v>
      </c>
      <c r="R203" s="73">
        <v>3.0</v>
      </c>
      <c r="S203" s="73">
        <v>5.0</v>
      </c>
      <c r="T203" s="73">
        <v>1.0</v>
      </c>
      <c r="U203" s="13">
        <f t="shared" si="40"/>
        <v>26</v>
      </c>
    </row>
    <row r="204" ht="12.75" customHeight="1">
      <c r="A204" s="18"/>
      <c r="B204" s="49"/>
      <c r="C204" s="50" t="s">
        <v>155</v>
      </c>
      <c r="D204" s="51"/>
      <c r="E204" s="73">
        <v>0.0</v>
      </c>
      <c r="F204" s="73">
        <v>1.0</v>
      </c>
      <c r="G204" s="73">
        <v>0.0</v>
      </c>
      <c r="H204" s="73">
        <v>0.0</v>
      </c>
      <c r="I204" s="73">
        <v>3.0</v>
      </c>
      <c r="J204" s="73">
        <v>0.0</v>
      </c>
      <c r="K204" s="73">
        <v>1.0</v>
      </c>
      <c r="L204" s="73">
        <v>1.0</v>
      </c>
      <c r="M204" s="73">
        <v>1.0</v>
      </c>
      <c r="N204" s="73">
        <v>2.0</v>
      </c>
      <c r="O204" s="73">
        <v>1.0</v>
      </c>
      <c r="P204" s="73">
        <v>0.0</v>
      </c>
      <c r="Q204" s="73">
        <v>1.0</v>
      </c>
      <c r="R204" s="73">
        <v>3.0</v>
      </c>
      <c r="S204" s="73">
        <v>1.0</v>
      </c>
      <c r="T204" s="73">
        <v>1.0</v>
      </c>
      <c r="U204" s="13">
        <f t="shared" si="40"/>
        <v>16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1.0</v>
      </c>
      <c r="G205" s="73">
        <v>0.0</v>
      </c>
      <c r="H205" s="73">
        <v>2.0</v>
      </c>
      <c r="I205" s="73">
        <v>0.0</v>
      </c>
      <c r="J205" s="73">
        <v>1.0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1.0</v>
      </c>
      <c r="R205" s="73">
        <v>0.0</v>
      </c>
      <c r="S205" s="73">
        <v>0.0</v>
      </c>
      <c r="T205" s="73">
        <v>0.0</v>
      </c>
      <c r="U205" s="13">
        <f t="shared" si="40"/>
        <v>5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1.0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1.0</v>
      </c>
      <c r="S206" s="73">
        <v>1.0</v>
      </c>
      <c r="T206" s="73">
        <v>0.0</v>
      </c>
      <c r="U206" s="13">
        <f t="shared" si="40"/>
        <v>3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0.0</v>
      </c>
      <c r="G207" s="73">
        <v>1.0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1.0</v>
      </c>
      <c r="Q207" s="73">
        <v>0.0</v>
      </c>
      <c r="R207" s="73">
        <v>0.0</v>
      </c>
      <c r="S207" s="73">
        <v>0.0</v>
      </c>
      <c r="T207" s="73">
        <v>1.0</v>
      </c>
      <c r="U207" s="13">
        <f t="shared" si="40"/>
        <v>3</v>
      </c>
    </row>
    <row r="208" ht="12.75" customHeight="1">
      <c r="A208" s="79"/>
      <c r="B208" s="49"/>
      <c r="C208" s="50" t="s">
        <v>159</v>
      </c>
      <c r="D208" s="51"/>
      <c r="E208" s="80">
        <v>1.0</v>
      </c>
      <c r="F208" s="80">
        <v>1.0</v>
      </c>
      <c r="G208" s="80">
        <v>0.0</v>
      </c>
      <c r="H208" s="80">
        <v>3.0</v>
      </c>
      <c r="I208" s="80">
        <v>0.0</v>
      </c>
      <c r="J208" s="80">
        <v>0.0</v>
      </c>
      <c r="K208" s="80">
        <v>0.0</v>
      </c>
      <c r="L208" s="80">
        <v>0.0</v>
      </c>
      <c r="M208" s="80">
        <v>0.0</v>
      </c>
      <c r="N208" s="80">
        <v>1.0</v>
      </c>
      <c r="O208" s="80">
        <v>0.0</v>
      </c>
      <c r="P208" s="80">
        <v>0.0</v>
      </c>
      <c r="Q208" s="80">
        <v>0.0</v>
      </c>
      <c r="R208" s="80">
        <v>2.0</v>
      </c>
      <c r="S208" s="80">
        <v>4.0</v>
      </c>
      <c r="T208" s="80">
        <v>0.0</v>
      </c>
      <c r="U208" s="13">
        <f t="shared" si="40"/>
        <v>12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0.0</v>
      </c>
      <c r="T209" s="80">
        <v>0.0</v>
      </c>
      <c r="U209" s="13">
        <f t="shared" si="40"/>
        <v>0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0.0</v>
      </c>
      <c r="H210" s="80">
        <v>0.0</v>
      </c>
      <c r="I210" s="80">
        <v>0.0</v>
      </c>
      <c r="J210" s="80">
        <v>0.0</v>
      </c>
      <c r="K210" s="80">
        <v>0.0</v>
      </c>
      <c r="L210" s="80">
        <v>0.0</v>
      </c>
      <c r="M210" s="80">
        <v>0.0</v>
      </c>
      <c r="N210" s="80">
        <v>0.0</v>
      </c>
      <c r="O210" s="80">
        <v>0.0</v>
      </c>
      <c r="P210" s="80">
        <v>0.0</v>
      </c>
      <c r="Q210" s="80">
        <v>0.0</v>
      </c>
      <c r="R210" s="80">
        <v>0.0</v>
      </c>
      <c r="S210" s="80">
        <v>1.0</v>
      </c>
      <c r="T210" s="80">
        <v>1.0</v>
      </c>
      <c r="U210" s="13">
        <f t="shared" si="40"/>
        <v>2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U211" si="41">SUM(E201:E210)</f>
        <v>15</v>
      </c>
      <c r="F211" s="13">
        <f t="shared" si="41"/>
        <v>7</v>
      </c>
      <c r="G211" s="13">
        <f t="shared" si="41"/>
        <v>9</v>
      </c>
      <c r="H211" s="13">
        <f t="shared" si="41"/>
        <v>28</v>
      </c>
      <c r="I211" s="13">
        <f t="shared" si="41"/>
        <v>12</v>
      </c>
      <c r="J211" s="13">
        <f t="shared" si="41"/>
        <v>1</v>
      </c>
      <c r="K211" s="13">
        <f t="shared" si="41"/>
        <v>5</v>
      </c>
      <c r="L211" s="13">
        <f t="shared" si="41"/>
        <v>10</v>
      </c>
      <c r="M211" s="13">
        <f t="shared" si="41"/>
        <v>8</v>
      </c>
      <c r="N211" s="13">
        <f t="shared" si="41"/>
        <v>6</v>
      </c>
      <c r="O211" s="13">
        <f t="shared" si="41"/>
        <v>16</v>
      </c>
      <c r="P211" s="13">
        <f t="shared" si="41"/>
        <v>4</v>
      </c>
      <c r="Q211" s="13">
        <f t="shared" si="41"/>
        <v>6</v>
      </c>
      <c r="R211" s="13">
        <f t="shared" si="41"/>
        <v>14</v>
      </c>
      <c r="S211" s="13">
        <f t="shared" si="41"/>
        <v>25</v>
      </c>
      <c r="T211" s="13">
        <f t="shared" si="41"/>
        <v>14</v>
      </c>
      <c r="U211" s="13">
        <f t="shared" si="41"/>
        <v>180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4.0</v>
      </c>
      <c r="F213" s="73">
        <v>4.0</v>
      </c>
      <c r="G213" s="73">
        <v>2.0</v>
      </c>
      <c r="H213" s="73">
        <v>4.0</v>
      </c>
      <c r="I213" s="73">
        <v>6.0</v>
      </c>
      <c r="J213" s="73">
        <v>0.0</v>
      </c>
      <c r="K213" s="73">
        <v>0.0</v>
      </c>
      <c r="L213" s="73">
        <v>3.0</v>
      </c>
      <c r="M213" s="73">
        <v>4.0</v>
      </c>
      <c r="N213" s="73">
        <v>5.0</v>
      </c>
      <c r="O213" s="73">
        <v>1.0</v>
      </c>
      <c r="P213" s="73">
        <v>6.0</v>
      </c>
      <c r="Q213" s="73">
        <v>2.0</v>
      </c>
      <c r="R213" s="73">
        <v>3.0</v>
      </c>
      <c r="S213" s="73">
        <v>3.0</v>
      </c>
      <c r="T213" s="73">
        <v>3.0</v>
      </c>
      <c r="U213" s="13">
        <f t="shared" ref="U213:U222" si="42">SUM(E213:T213)</f>
        <v>50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2.0</v>
      </c>
      <c r="F214" s="73">
        <v>1.0</v>
      </c>
      <c r="G214" s="73">
        <v>0.0</v>
      </c>
      <c r="H214" s="73">
        <v>2.0</v>
      </c>
      <c r="I214" s="73">
        <v>3.0</v>
      </c>
      <c r="J214" s="73">
        <v>1.0</v>
      </c>
      <c r="K214" s="73">
        <v>1.0</v>
      </c>
      <c r="L214" s="73">
        <v>1.0</v>
      </c>
      <c r="M214" s="73">
        <v>1.0</v>
      </c>
      <c r="N214" s="73">
        <v>2.0</v>
      </c>
      <c r="O214" s="73">
        <v>1.0</v>
      </c>
      <c r="P214" s="73">
        <v>1.0</v>
      </c>
      <c r="Q214" s="73">
        <v>1.0</v>
      </c>
      <c r="R214" s="73">
        <v>2.0</v>
      </c>
      <c r="S214" s="73">
        <v>2.0</v>
      </c>
      <c r="T214" s="73">
        <v>2.0</v>
      </c>
      <c r="U214" s="13">
        <f t="shared" si="42"/>
        <v>23</v>
      </c>
    </row>
    <row r="215" ht="12.75" customHeight="1">
      <c r="A215" s="18"/>
      <c r="B215" s="49"/>
      <c r="C215" s="50" t="s">
        <v>165</v>
      </c>
      <c r="D215" s="51"/>
      <c r="E215" s="73">
        <v>5.0</v>
      </c>
      <c r="F215" s="73">
        <v>0.0</v>
      </c>
      <c r="G215" s="73">
        <v>0.0</v>
      </c>
      <c r="H215" s="73">
        <v>0.0</v>
      </c>
      <c r="I215" s="73">
        <v>4.0</v>
      </c>
      <c r="J215" s="73">
        <v>0.0</v>
      </c>
      <c r="K215" s="73">
        <v>2.0</v>
      </c>
      <c r="L215" s="73">
        <v>2.0</v>
      </c>
      <c r="M215" s="73">
        <v>2.0</v>
      </c>
      <c r="N215" s="73">
        <v>1.0</v>
      </c>
      <c r="O215" s="73">
        <v>1.0</v>
      </c>
      <c r="P215" s="73">
        <v>0.0</v>
      </c>
      <c r="Q215" s="73">
        <v>1.0</v>
      </c>
      <c r="R215" s="73">
        <v>1.0</v>
      </c>
      <c r="S215" s="73">
        <v>1.0</v>
      </c>
      <c r="T215" s="73">
        <v>3.0</v>
      </c>
      <c r="U215" s="13">
        <f t="shared" si="42"/>
        <v>23</v>
      </c>
    </row>
    <row r="216" ht="12.75" customHeight="1">
      <c r="A216" s="18"/>
      <c r="B216" s="49"/>
      <c r="C216" s="50" t="s">
        <v>166</v>
      </c>
      <c r="D216" s="51"/>
      <c r="E216" s="73">
        <v>3.0</v>
      </c>
      <c r="F216" s="73">
        <v>1.0</v>
      </c>
      <c r="G216" s="73">
        <v>0.0</v>
      </c>
      <c r="H216" s="73">
        <v>0.0</v>
      </c>
      <c r="I216" s="73">
        <v>1.0</v>
      </c>
      <c r="J216" s="73">
        <v>0.0</v>
      </c>
      <c r="K216" s="73">
        <v>0.0</v>
      </c>
      <c r="L216" s="73">
        <v>0.0</v>
      </c>
      <c r="M216" s="73">
        <v>0.0</v>
      </c>
      <c r="N216" s="73">
        <v>1.0</v>
      </c>
      <c r="O216" s="73">
        <v>1.0</v>
      </c>
      <c r="P216" s="73">
        <v>0.0</v>
      </c>
      <c r="Q216" s="73">
        <v>1.0</v>
      </c>
      <c r="R216" s="73">
        <v>0.0</v>
      </c>
      <c r="S216" s="73">
        <v>0.0</v>
      </c>
      <c r="T216" s="73">
        <v>0.0</v>
      </c>
      <c r="U216" s="13">
        <f t="shared" si="42"/>
        <v>8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U223" si="43">SUM(E213:E222)</f>
        <v>14</v>
      </c>
      <c r="F223" s="13">
        <f t="shared" si="43"/>
        <v>6</v>
      </c>
      <c r="G223" s="13">
        <f t="shared" si="43"/>
        <v>2</v>
      </c>
      <c r="H223" s="13">
        <f t="shared" si="43"/>
        <v>6</v>
      </c>
      <c r="I223" s="13">
        <f t="shared" si="43"/>
        <v>14</v>
      </c>
      <c r="J223" s="13">
        <f t="shared" si="43"/>
        <v>1</v>
      </c>
      <c r="K223" s="13">
        <f t="shared" si="43"/>
        <v>3</v>
      </c>
      <c r="L223" s="13">
        <f t="shared" si="43"/>
        <v>6</v>
      </c>
      <c r="M223" s="13">
        <f t="shared" si="43"/>
        <v>7</v>
      </c>
      <c r="N223" s="13">
        <f t="shared" si="43"/>
        <v>9</v>
      </c>
      <c r="O223" s="13">
        <f t="shared" si="43"/>
        <v>4</v>
      </c>
      <c r="P223" s="13">
        <f t="shared" si="43"/>
        <v>7</v>
      </c>
      <c r="Q223" s="13">
        <f t="shared" si="43"/>
        <v>5</v>
      </c>
      <c r="R223" s="13">
        <f t="shared" si="43"/>
        <v>6</v>
      </c>
      <c r="S223" s="13">
        <f t="shared" si="43"/>
        <v>6</v>
      </c>
      <c r="T223" s="13">
        <f t="shared" si="43"/>
        <v>8</v>
      </c>
      <c r="U223" s="13">
        <f t="shared" si="43"/>
        <v>104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1.0</v>
      </c>
      <c r="O225" s="73">
        <v>1.0</v>
      </c>
      <c r="P225" s="73">
        <v>9.0</v>
      </c>
      <c r="Q225" s="73">
        <v>1.0</v>
      </c>
      <c r="R225" s="73">
        <v>1.0</v>
      </c>
      <c r="S225" s="73">
        <v>0.0</v>
      </c>
      <c r="T225" s="73">
        <v>0.0</v>
      </c>
      <c r="U225" s="13">
        <f t="shared" ref="U225:U234" si="44">SUM(E225:T225)</f>
        <v>13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1.0</v>
      </c>
      <c r="L226" s="73">
        <v>1.0</v>
      </c>
      <c r="M226" s="73">
        <v>0.0</v>
      </c>
      <c r="N226" s="73">
        <v>0.0</v>
      </c>
      <c r="O226" s="73">
        <v>0.0</v>
      </c>
      <c r="P226" s="73">
        <v>16.0</v>
      </c>
      <c r="Q226" s="73">
        <v>0.0</v>
      </c>
      <c r="R226" s="73">
        <v>0.0</v>
      </c>
      <c r="S226" s="73">
        <v>1.0</v>
      </c>
      <c r="T226" s="73">
        <v>2.0</v>
      </c>
      <c r="U226" s="13">
        <f t="shared" si="44"/>
        <v>21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1.0</v>
      </c>
      <c r="S227" s="73">
        <v>0.0</v>
      </c>
      <c r="T227" s="73">
        <v>0.0</v>
      </c>
      <c r="U227" s="13">
        <f t="shared" si="44"/>
        <v>1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1.0</v>
      </c>
      <c r="Q228" s="73">
        <v>0.0</v>
      </c>
      <c r="R228" s="73">
        <v>0.0</v>
      </c>
      <c r="S228" s="73">
        <v>0.0</v>
      </c>
      <c r="T228" s="73">
        <v>1.0</v>
      </c>
      <c r="U228" s="13">
        <f t="shared" si="44"/>
        <v>2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13">
        <f t="shared" si="44"/>
        <v>0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U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1</v>
      </c>
      <c r="M235" s="13">
        <f t="shared" si="45"/>
        <v>0</v>
      </c>
      <c r="N235" s="13">
        <f t="shared" si="45"/>
        <v>1</v>
      </c>
      <c r="O235" s="13">
        <f t="shared" si="45"/>
        <v>1</v>
      </c>
      <c r="P235" s="13">
        <f t="shared" si="45"/>
        <v>26</v>
      </c>
      <c r="Q235" s="13">
        <f t="shared" si="45"/>
        <v>1</v>
      </c>
      <c r="R235" s="13">
        <f t="shared" si="45"/>
        <v>2</v>
      </c>
      <c r="S235" s="13">
        <f t="shared" si="45"/>
        <v>1</v>
      </c>
      <c r="T235" s="13">
        <f t="shared" si="45"/>
        <v>3</v>
      </c>
      <c r="U235" s="13">
        <f t="shared" si="45"/>
        <v>37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0.0</v>
      </c>
      <c r="F237" s="73">
        <v>0.0</v>
      </c>
      <c r="G237" s="73">
        <v>4.0</v>
      </c>
      <c r="H237" s="73">
        <v>2.0</v>
      </c>
      <c r="I237" s="73">
        <v>0.0</v>
      </c>
      <c r="J237" s="73">
        <v>0.0</v>
      </c>
      <c r="K237" s="73">
        <v>0.0</v>
      </c>
      <c r="L237" s="73">
        <v>0.0</v>
      </c>
      <c r="M237" s="73">
        <v>0.0</v>
      </c>
      <c r="N237" s="73">
        <v>0.0</v>
      </c>
      <c r="O237" s="73">
        <v>3.0</v>
      </c>
      <c r="P237" s="73">
        <v>1.0</v>
      </c>
      <c r="Q237" s="73">
        <v>1.0</v>
      </c>
      <c r="R237" s="73">
        <v>1.0</v>
      </c>
      <c r="S237" s="73">
        <v>0.0</v>
      </c>
      <c r="T237" s="73">
        <v>2.0</v>
      </c>
      <c r="U237" s="13">
        <f t="shared" ref="U237:U246" si="46">SUM(E237:T237)</f>
        <v>14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2.0</v>
      </c>
      <c r="F238" s="73">
        <v>0.0</v>
      </c>
      <c r="G238" s="73">
        <v>0.0</v>
      </c>
      <c r="H238" s="73">
        <v>4.0</v>
      </c>
      <c r="I238" s="73">
        <v>0.0</v>
      </c>
      <c r="J238" s="73">
        <v>0.0</v>
      </c>
      <c r="K238" s="73">
        <v>0.0</v>
      </c>
      <c r="L238" s="73">
        <v>1.0</v>
      </c>
      <c r="M238" s="73">
        <v>0.0</v>
      </c>
      <c r="N238" s="73">
        <v>0.0</v>
      </c>
      <c r="O238" s="73">
        <v>0.0</v>
      </c>
      <c r="P238" s="73">
        <v>1.0</v>
      </c>
      <c r="Q238" s="73">
        <v>2.0</v>
      </c>
      <c r="R238" s="73">
        <v>0.0</v>
      </c>
      <c r="S238" s="73">
        <v>0.0</v>
      </c>
      <c r="T238" s="73">
        <v>1.0</v>
      </c>
      <c r="U238" s="13">
        <f t="shared" si="46"/>
        <v>11</v>
      </c>
    </row>
    <row r="239" ht="12.75" customHeight="1">
      <c r="A239" s="18"/>
      <c r="B239" s="49"/>
      <c r="C239" s="50" t="s">
        <v>176</v>
      </c>
      <c r="D239" s="51"/>
      <c r="E239" s="73">
        <v>2.0</v>
      </c>
      <c r="F239" s="73">
        <v>3.0</v>
      </c>
      <c r="G239" s="73">
        <v>0.0</v>
      </c>
      <c r="H239" s="73">
        <v>5.0</v>
      </c>
      <c r="I239" s="73">
        <v>8.0</v>
      </c>
      <c r="J239" s="73">
        <v>0.0</v>
      </c>
      <c r="K239" s="73">
        <v>1.0</v>
      </c>
      <c r="L239" s="73">
        <v>1.0</v>
      </c>
      <c r="M239" s="73">
        <v>2.0</v>
      </c>
      <c r="N239" s="73">
        <v>0.0</v>
      </c>
      <c r="O239" s="73">
        <v>0.0</v>
      </c>
      <c r="P239" s="73">
        <v>2.0</v>
      </c>
      <c r="Q239" s="73">
        <v>1.0</v>
      </c>
      <c r="R239" s="73">
        <v>0.0</v>
      </c>
      <c r="S239" s="73">
        <v>1.0</v>
      </c>
      <c r="T239" s="73">
        <v>1.0</v>
      </c>
      <c r="U239" s="13">
        <f t="shared" si="46"/>
        <v>27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1.0</v>
      </c>
      <c r="P240" s="73">
        <v>0.0</v>
      </c>
      <c r="Q240" s="73">
        <v>0.0</v>
      </c>
      <c r="R240" s="73">
        <v>2.0</v>
      </c>
      <c r="S240" s="73">
        <v>0.0</v>
      </c>
      <c r="T240" s="73">
        <v>0.0</v>
      </c>
      <c r="U240" s="13">
        <f t="shared" si="46"/>
        <v>3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1.0</v>
      </c>
      <c r="P241" s="73">
        <v>0.0</v>
      </c>
      <c r="Q241" s="73">
        <v>1.0</v>
      </c>
      <c r="R241" s="73">
        <v>0.0</v>
      </c>
      <c r="S241" s="73">
        <v>0.0</v>
      </c>
      <c r="T241" s="73">
        <v>0.0</v>
      </c>
      <c r="U241" s="13">
        <f t="shared" si="46"/>
        <v>2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0.0</v>
      </c>
      <c r="G242" s="73">
        <v>0.0</v>
      </c>
      <c r="H242" s="73">
        <v>1.0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13">
        <f t="shared" si="46"/>
        <v>1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1.0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1.0</v>
      </c>
      <c r="S243" s="73">
        <v>0.0</v>
      </c>
      <c r="T243" s="73">
        <v>0.0</v>
      </c>
      <c r="U243" s="13">
        <f t="shared" si="46"/>
        <v>2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80">
        <v>0.0</v>
      </c>
      <c r="T244" s="80">
        <v>0.0</v>
      </c>
      <c r="U244" s="13">
        <f t="shared" si="46"/>
        <v>0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80">
        <v>0.0</v>
      </c>
      <c r="S245" s="80">
        <v>0.0</v>
      </c>
      <c r="T245" s="80">
        <v>0.0</v>
      </c>
      <c r="U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1.0</v>
      </c>
      <c r="H246" s="80">
        <v>0.0</v>
      </c>
      <c r="I246" s="80">
        <v>0.0</v>
      </c>
      <c r="J246" s="80">
        <v>0.0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0.0</v>
      </c>
      <c r="T246" s="80">
        <v>0.0</v>
      </c>
      <c r="U246" s="13">
        <f t="shared" si="46"/>
        <v>1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U247" si="47">SUM(E237:E246)</f>
        <v>4</v>
      </c>
      <c r="F247" s="13">
        <f t="shared" si="47"/>
        <v>3</v>
      </c>
      <c r="G247" s="13">
        <f t="shared" si="47"/>
        <v>5</v>
      </c>
      <c r="H247" s="13">
        <f t="shared" si="47"/>
        <v>12</v>
      </c>
      <c r="I247" s="13">
        <f t="shared" si="47"/>
        <v>8</v>
      </c>
      <c r="J247" s="13">
        <f t="shared" si="47"/>
        <v>0</v>
      </c>
      <c r="K247" s="13">
        <f t="shared" si="47"/>
        <v>1</v>
      </c>
      <c r="L247" s="13">
        <f t="shared" si="47"/>
        <v>3</v>
      </c>
      <c r="M247" s="13">
        <f t="shared" si="47"/>
        <v>2</v>
      </c>
      <c r="N247" s="13">
        <f t="shared" si="47"/>
        <v>0</v>
      </c>
      <c r="O247" s="13">
        <f t="shared" si="47"/>
        <v>5</v>
      </c>
      <c r="P247" s="13">
        <f t="shared" si="47"/>
        <v>4</v>
      </c>
      <c r="Q247" s="13">
        <f t="shared" si="47"/>
        <v>5</v>
      </c>
      <c r="R247" s="13">
        <f t="shared" si="47"/>
        <v>4</v>
      </c>
      <c r="S247" s="13">
        <f t="shared" si="47"/>
        <v>1</v>
      </c>
      <c r="T247" s="13">
        <f t="shared" si="47"/>
        <v>4</v>
      </c>
      <c r="U247" s="13">
        <f t="shared" si="47"/>
        <v>61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1.0</v>
      </c>
      <c r="J249" s="73">
        <v>0.0</v>
      </c>
      <c r="K249" s="73">
        <v>1.0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13">
        <f t="shared" ref="U249:U258" si="48">SUM(E249:T249)</f>
        <v>2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1.0</v>
      </c>
      <c r="N250" s="73">
        <v>1.0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13">
        <f t="shared" si="48"/>
        <v>2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13">
        <f t="shared" si="48"/>
        <v>0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1.0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1.0</v>
      </c>
      <c r="U252" s="13">
        <f t="shared" si="48"/>
        <v>2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U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2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1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6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T262" si="50">E55+E67+E79+E91+E103+E115+E127+E139+E151+E163+E175+E187+E199+E211+E223+E235+E247+E259</f>
        <v>207</v>
      </c>
      <c r="F262" s="19">
        <f t="shared" si="50"/>
        <v>150</v>
      </c>
      <c r="G262" s="19">
        <f t="shared" si="50"/>
        <v>140</v>
      </c>
      <c r="H262" s="19">
        <f t="shared" si="50"/>
        <v>199</v>
      </c>
      <c r="I262" s="19">
        <f t="shared" si="50"/>
        <v>197</v>
      </c>
      <c r="J262" s="19">
        <f t="shared" si="50"/>
        <v>204</v>
      </c>
      <c r="K262" s="19">
        <f t="shared" si="50"/>
        <v>154</v>
      </c>
      <c r="L262" s="19">
        <f t="shared" si="50"/>
        <v>190</v>
      </c>
      <c r="M262" s="19">
        <f t="shared" si="50"/>
        <v>208</v>
      </c>
      <c r="N262" s="19">
        <f t="shared" si="50"/>
        <v>161</v>
      </c>
      <c r="O262" s="19">
        <f t="shared" si="50"/>
        <v>202</v>
      </c>
      <c r="P262" s="19">
        <f t="shared" si="50"/>
        <v>184</v>
      </c>
      <c r="Q262" s="19">
        <f t="shared" si="50"/>
        <v>158</v>
      </c>
      <c r="R262" s="19">
        <f t="shared" si="50"/>
        <v>190</v>
      </c>
      <c r="S262" s="19">
        <f t="shared" si="50"/>
        <v>157</v>
      </c>
      <c r="T262" s="19">
        <f t="shared" si="50"/>
        <v>172</v>
      </c>
      <c r="U262" s="13">
        <f t="shared" ref="U262:U264" si="51">SUM(E262:T262)</f>
        <v>2873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26.0</v>
      </c>
      <c r="F263" s="73">
        <v>18.0</v>
      </c>
      <c r="G263" s="73">
        <v>17.0</v>
      </c>
      <c r="H263" s="73">
        <v>29.0</v>
      </c>
      <c r="I263" s="73">
        <v>29.0</v>
      </c>
      <c r="J263" s="73">
        <v>5.0</v>
      </c>
      <c r="K263" s="73">
        <v>23.0</v>
      </c>
      <c r="L263" s="73">
        <v>36.0</v>
      </c>
      <c r="M263" s="73">
        <v>22.0</v>
      </c>
      <c r="N263" s="73">
        <v>18.0</v>
      </c>
      <c r="O263" s="73">
        <v>23.0</v>
      </c>
      <c r="P263" s="73">
        <v>14.0</v>
      </c>
      <c r="Q263" s="73">
        <v>26.0</v>
      </c>
      <c r="R263" s="73">
        <v>25.0</v>
      </c>
      <c r="S263" s="73">
        <v>38.0</v>
      </c>
      <c r="T263" s="73">
        <v>27.0</v>
      </c>
      <c r="U263" s="13">
        <f t="shared" si="51"/>
        <v>376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T264" si="52">SUM(E262:E263)</f>
        <v>233</v>
      </c>
      <c r="F264" s="13">
        <f t="shared" si="52"/>
        <v>168</v>
      </c>
      <c r="G264" s="13">
        <f t="shared" si="52"/>
        <v>157</v>
      </c>
      <c r="H264" s="13">
        <f t="shared" si="52"/>
        <v>228</v>
      </c>
      <c r="I264" s="13">
        <f t="shared" si="52"/>
        <v>226</v>
      </c>
      <c r="J264" s="13">
        <f t="shared" si="52"/>
        <v>209</v>
      </c>
      <c r="K264" s="13">
        <f t="shared" si="52"/>
        <v>177</v>
      </c>
      <c r="L264" s="13">
        <f t="shared" si="52"/>
        <v>226</v>
      </c>
      <c r="M264" s="13">
        <f t="shared" si="52"/>
        <v>230</v>
      </c>
      <c r="N264" s="13">
        <f t="shared" si="52"/>
        <v>179</v>
      </c>
      <c r="O264" s="13">
        <f t="shared" si="52"/>
        <v>225</v>
      </c>
      <c r="P264" s="13">
        <f t="shared" si="52"/>
        <v>198</v>
      </c>
      <c r="Q264" s="13">
        <f t="shared" si="52"/>
        <v>184</v>
      </c>
      <c r="R264" s="13">
        <f t="shared" si="52"/>
        <v>215</v>
      </c>
      <c r="S264" s="13">
        <f t="shared" si="52"/>
        <v>195</v>
      </c>
      <c r="T264" s="13">
        <f t="shared" si="52"/>
        <v>199</v>
      </c>
      <c r="U264" s="13">
        <f t="shared" si="51"/>
        <v>3249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8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1" width="8.71"/>
    <col customWidth="1" min="12" max="12" width="13.29"/>
    <col customWidth="1" min="1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36"/>
    </row>
    <row r="14" ht="12.75" customHeight="1">
      <c r="A14" s="18"/>
      <c r="B14" s="22" t="s">
        <v>10</v>
      </c>
      <c r="C14" s="23"/>
      <c r="D14" s="19" t="s">
        <v>11</v>
      </c>
      <c r="E14" s="73">
        <v>127.0</v>
      </c>
      <c r="F14" s="73">
        <v>92.0</v>
      </c>
      <c r="G14" s="73">
        <v>112.0</v>
      </c>
      <c r="H14" s="73">
        <v>127.0</v>
      </c>
      <c r="I14" s="73">
        <v>102.0</v>
      </c>
      <c r="J14" s="73">
        <v>109.0</v>
      </c>
      <c r="K14" s="73">
        <v>135.0</v>
      </c>
      <c r="L14" s="13">
        <f t="shared" ref="L14:L16" si="1">SUM(E14:K14)</f>
        <v>804</v>
      </c>
    </row>
    <row r="15" ht="12.75" customHeight="1">
      <c r="A15" s="18"/>
      <c r="B15" s="26"/>
      <c r="C15" s="27"/>
      <c r="D15" s="19" t="s">
        <v>12</v>
      </c>
      <c r="E15" s="73">
        <v>127.0</v>
      </c>
      <c r="F15" s="73">
        <v>99.0</v>
      </c>
      <c r="G15" s="73">
        <v>98.0</v>
      </c>
      <c r="H15" s="73">
        <v>129.0</v>
      </c>
      <c r="I15" s="73">
        <v>106.0</v>
      </c>
      <c r="J15" s="73">
        <v>117.0</v>
      </c>
      <c r="K15" s="73">
        <v>130.0</v>
      </c>
      <c r="L15" s="13">
        <f t="shared" si="1"/>
        <v>806</v>
      </c>
    </row>
    <row r="16" ht="12.75" customHeight="1">
      <c r="A16" s="25"/>
      <c r="B16" s="21"/>
      <c r="C16" s="28"/>
      <c r="D16" s="13" t="s">
        <v>13</v>
      </c>
      <c r="E16" s="13">
        <f t="shared" ref="E16:K16" si="2">SUM(E14:E15)</f>
        <v>254</v>
      </c>
      <c r="F16" s="13">
        <f t="shared" si="2"/>
        <v>191</v>
      </c>
      <c r="G16" s="13">
        <f t="shared" si="2"/>
        <v>210</v>
      </c>
      <c r="H16" s="13">
        <f t="shared" si="2"/>
        <v>256</v>
      </c>
      <c r="I16" s="13">
        <f t="shared" si="2"/>
        <v>208</v>
      </c>
      <c r="J16" s="13">
        <f t="shared" si="2"/>
        <v>226</v>
      </c>
      <c r="K16" s="13">
        <f t="shared" si="2"/>
        <v>265</v>
      </c>
      <c r="L16" s="13">
        <f t="shared" si="1"/>
        <v>1610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99.0</v>
      </c>
      <c r="F19" s="73">
        <v>70.0</v>
      </c>
      <c r="G19" s="73">
        <v>78.0</v>
      </c>
      <c r="H19" s="73">
        <v>86.0</v>
      </c>
      <c r="I19" s="73">
        <v>77.0</v>
      </c>
      <c r="J19" s="73">
        <v>81.0</v>
      </c>
      <c r="K19" s="73">
        <v>97.0</v>
      </c>
      <c r="L19" s="13">
        <f t="shared" ref="L19:L30" si="3">SUM(E19:K19)</f>
        <v>588</v>
      </c>
    </row>
    <row r="20" ht="12.75" customHeight="1">
      <c r="A20" s="33"/>
      <c r="B20" s="27"/>
      <c r="C20" s="34"/>
      <c r="D20" s="19" t="s">
        <v>12</v>
      </c>
      <c r="E20" s="73">
        <v>104.0</v>
      </c>
      <c r="F20" s="73">
        <v>86.0</v>
      </c>
      <c r="G20" s="73">
        <v>77.0</v>
      </c>
      <c r="H20" s="73">
        <v>104.0</v>
      </c>
      <c r="I20" s="73">
        <v>90.0</v>
      </c>
      <c r="J20" s="73">
        <v>92.0</v>
      </c>
      <c r="K20" s="73">
        <v>112.0</v>
      </c>
      <c r="L20" s="13">
        <f t="shared" si="3"/>
        <v>665</v>
      </c>
    </row>
    <row r="21" ht="12.75" customHeight="1">
      <c r="A21" s="35"/>
      <c r="B21" s="28"/>
      <c r="C21" s="36"/>
      <c r="D21" s="13" t="s">
        <v>13</v>
      </c>
      <c r="E21" s="13">
        <f t="shared" ref="E21:K21" si="4">SUM(E19:E20)</f>
        <v>203</v>
      </c>
      <c r="F21" s="13">
        <f t="shared" si="4"/>
        <v>156</v>
      </c>
      <c r="G21" s="13">
        <f t="shared" si="4"/>
        <v>155</v>
      </c>
      <c r="H21" s="13">
        <f t="shared" si="4"/>
        <v>190</v>
      </c>
      <c r="I21" s="13">
        <f t="shared" si="4"/>
        <v>167</v>
      </c>
      <c r="J21" s="13">
        <f t="shared" si="4"/>
        <v>173</v>
      </c>
      <c r="K21" s="13">
        <f t="shared" si="4"/>
        <v>209</v>
      </c>
      <c r="L21" s="13">
        <f t="shared" si="3"/>
        <v>1253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K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4.0</v>
      </c>
      <c r="F25" s="73">
        <v>2.0</v>
      </c>
      <c r="G25" s="73">
        <v>3.0</v>
      </c>
      <c r="H25" s="73">
        <v>6.0</v>
      </c>
      <c r="I25" s="73">
        <v>1.0</v>
      </c>
      <c r="J25" s="73">
        <v>2.0</v>
      </c>
      <c r="K25" s="73">
        <v>1.0</v>
      </c>
      <c r="L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73">
        <v>6.0</v>
      </c>
      <c r="F26" s="73">
        <v>3.0</v>
      </c>
      <c r="G26" s="73">
        <v>4.0</v>
      </c>
      <c r="H26" s="73">
        <v>6.0</v>
      </c>
      <c r="I26" s="73">
        <v>1.0</v>
      </c>
      <c r="J26" s="73">
        <v>1.0</v>
      </c>
      <c r="K26" s="73">
        <v>1.0</v>
      </c>
      <c r="L26" s="13">
        <f t="shared" si="3"/>
        <v>22</v>
      </c>
    </row>
    <row r="27" ht="12.75" customHeight="1">
      <c r="A27" s="35"/>
      <c r="B27" s="28"/>
      <c r="C27" s="36"/>
      <c r="D27" s="13" t="s">
        <v>13</v>
      </c>
      <c r="E27" s="13">
        <f t="shared" ref="E27:K27" si="6">SUM(E25:E26)</f>
        <v>10</v>
      </c>
      <c r="F27" s="13">
        <f t="shared" si="6"/>
        <v>5</v>
      </c>
      <c r="G27" s="13">
        <f t="shared" si="6"/>
        <v>7</v>
      </c>
      <c r="H27" s="13">
        <f t="shared" si="6"/>
        <v>12</v>
      </c>
      <c r="I27" s="13">
        <f t="shared" si="6"/>
        <v>2</v>
      </c>
      <c r="J27" s="13">
        <f t="shared" si="6"/>
        <v>3</v>
      </c>
      <c r="K27" s="13">
        <f t="shared" si="6"/>
        <v>2</v>
      </c>
      <c r="L27" s="13">
        <f t="shared" si="3"/>
        <v>41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K28" si="7">SUM(E19,E22,E25)</f>
        <v>103</v>
      </c>
      <c r="F28" s="13">
        <f t="shared" si="7"/>
        <v>72</v>
      </c>
      <c r="G28" s="13">
        <f t="shared" si="7"/>
        <v>81</v>
      </c>
      <c r="H28" s="13">
        <f t="shared" si="7"/>
        <v>92</v>
      </c>
      <c r="I28" s="13">
        <f t="shared" si="7"/>
        <v>78</v>
      </c>
      <c r="J28" s="13">
        <f t="shared" si="7"/>
        <v>83</v>
      </c>
      <c r="K28" s="13">
        <f t="shared" si="7"/>
        <v>98</v>
      </c>
      <c r="L28" s="13">
        <f t="shared" si="3"/>
        <v>607</v>
      </c>
    </row>
    <row r="29" ht="12.75" customHeight="1">
      <c r="A29" s="35"/>
      <c r="B29" s="27"/>
      <c r="C29" s="34"/>
      <c r="D29" s="13" t="s">
        <v>12</v>
      </c>
      <c r="E29" s="13">
        <f t="shared" ref="E29:K29" si="8">SUM(E20,E23,E26)</f>
        <v>110</v>
      </c>
      <c r="F29" s="13">
        <f t="shared" si="8"/>
        <v>89</v>
      </c>
      <c r="G29" s="13">
        <f t="shared" si="8"/>
        <v>81</v>
      </c>
      <c r="H29" s="13">
        <f t="shared" si="8"/>
        <v>110</v>
      </c>
      <c r="I29" s="13">
        <f t="shared" si="8"/>
        <v>91</v>
      </c>
      <c r="J29" s="13">
        <f t="shared" si="8"/>
        <v>93</v>
      </c>
      <c r="K29" s="13">
        <f t="shared" si="8"/>
        <v>113</v>
      </c>
      <c r="L29" s="13">
        <f t="shared" si="3"/>
        <v>687</v>
      </c>
    </row>
    <row r="30" ht="12.75" customHeight="1">
      <c r="A30" s="35"/>
      <c r="B30" s="28"/>
      <c r="C30" s="36"/>
      <c r="D30" s="13" t="s">
        <v>13</v>
      </c>
      <c r="E30" s="13">
        <f t="shared" ref="E30:K30" si="9">SUM(E28:E29)</f>
        <v>213</v>
      </c>
      <c r="F30" s="13">
        <f t="shared" si="9"/>
        <v>161</v>
      </c>
      <c r="G30" s="13">
        <f t="shared" si="9"/>
        <v>162</v>
      </c>
      <c r="H30" s="13">
        <f t="shared" si="9"/>
        <v>202</v>
      </c>
      <c r="I30" s="13">
        <f t="shared" si="9"/>
        <v>169</v>
      </c>
      <c r="J30" s="13">
        <f t="shared" si="9"/>
        <v>176</v>
      </c>
      <c r="K30" s="13">
        <f t="shared" si="9"/>
        <v>211</v>
      </c>
      <c r="L30" s="13">
        <f t="shared" si="3"/>
        <v>1294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75"/>
    </row>
    <row r="33" ht="12.75" customHeight="1">
      <c r="A33" s="19">
        <v>1.0</v>
      </c>
      <c r="B33" s="20" t="s">
        <v>26</v>
      </c>
      <c r="C33" s="15"/>
      <c r="D33" s="16"/>
      <c r="E33" s="73">
        <v>260.0</v>
      </c>
      <c r="F33" s="73">
        <v>196.0</v>
      </c>
      <c r="G33" s="73">
        <v>215.0</v>
      </c>
      <c r="H33" s="73">
        <v>262.0</v>
      </c>
      <c r="I33" s="73">
        <v>213.0</v>
      </c>
      <c r="J33" s="73">
        <v>231.0</v>
      </c>
      <c r="K33" s="73">
        <v>271.0</v>
      </c>
      <c r="L33" s="13">
        <f t="shared" ref="L33:L36" si="10">SUM(E33:K33)</f>
        <v>1648</v>
      </c>
    </row>
    <row r="34" ht="12.75" customHeight="1">
      <c r="A34" s="19">
        <v>2.0</v>
      </c>
      <c r="B34" s="20" t="s">
        <v>27</v>
      </c>
      <c r="C34" s="15"/>
      <c r="D34" s="16"/>
      <c r="E34" s="77">
        <v>213.0</v>
      </c>
      <c r="F34" s="77">
        <v>161.0</v>
      </c>
      <c r="G34" s="77">
        <v>162.0</v>
      </c>
      <c r="H34" s="77">
        <v>202.0</v>
      </c>
      <c r="I34" s="77">
        <v>169.0</v>
      </c>
      <c r="J34" s="77">
        <v>176.0</v>
      </c>
      <c r="K34" s="77">
        <v>211.0</v>
      </c>
      <c r="L34" s="13">
        <f t="shared" si="10"/>
        <v>1294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1.0</v>
      </c>
      <c r="L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K36" si="11">E33-(E34+E35)</f>
        <v>47</v>
      </c>
      <c r="F36" s="13">
        <f t="shared" si="11"/>
        <v>35</v>
      </c>
      <c r="G36" s="13">
        <f t="shared" si="11"/>
        <v>53</v>
      </c>
      <c r="H36" s="13">
        <f t="shared" si="11"/>
        <v>60</v>
      </c>
      <c r="I36" s="13">
        <f t="shared" si="11"/>
        <v>44</v>
      </c>
      <c r="J36" s="13">
        <f t="shared" si="11"/>
        <v>55</v>
      </c>
      <c r="K36" s="13">
        <f t="shared" si="11"/>
        <v>59</v>
      </c>
      <c r="L36" s="13">
        <f t="shared" si="10"/>
        <v>353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75"/>
    </row>
    <row r="39" ht="12.75" customHeight="1">
      <c r="A39" s="30"/>
      <c r="B39" s="43" t="s">
        <v>32</v>
      </c>
      <c r="C39" s="23"/>
      <c r="D39" s="19" t="s">
        <v>11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13">
        <f t="shared" ref="L39:L41" si="12">SUM(E39:K39)</f>
        <v>0</v>
      </c>
    </row>
    <row r="40" ht="12.75" customHeight="1">
      <c r="A40" s="33"/>
      <c r="C40" s="27"/>
      <c r="D40" s="19" t="s">
        <v>12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11.0</v>
      </c>
      <c r="F45" s="73">
        <v>3.0</v>
      </c>
      <c r="G45" s="73">
        <v>2.0</v>
      </c>
      <c r="H45" s="73">
        <v>4.0</v>
      </c>
      <c r="I45" s="73">
        <v>4.0</v>
      </c>
      <c r="J45" s="73">
        <v>2.0</v>
      </c>
      <c r="K45" s="73">
        <v>6.0</v>
      </c>
      <c r="L45" s="13">
        <f t="shared" ref="L45:L54" si="14">SUM(E45:K45)</f>
        <v>32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31.0</v>
      </c>
      <c r="F46" s="73">
        <v>8.0</v>
      </c>
      <c r="G46" s="73">
        <v>7.0</v>
      </c>
      <c r="H46" s="73">
        <v>13.0</v>
      </c>
      <c r="I46" s="73">
        <v>12.0</v>
      </c>
      <c r="J46" s="73">
        <v>7.0</v>
      </c>
      <c r="K46" s="73">
        <v>6.0</v>
      </c>
      <c r="L46" s="13">
        <f t="shared" si="14"/>
        <v>84</v>
      </c>
    </row>
    <row r="47" ht="12.75" customHeight="1">
      <c r="A47" s="18"/>
      <c r="B47" s="49"/>
      <c r="C47" s="50" t="s">
        <v>40</v>
      </c>
      <c r="D47" s="51"/>
      <c r="E47" s="73">
        <v>2.0</v>
      </c>
      <c r="F47" s="73">
        <v>0.0</v>
      </c>
      <c r="G47" s="73">
        <v>0.0</v>
      </c>
      <c r="H47" s="73">
        <v>2.0</v>
      </c>
      <c r="I47" s="73">
        <v>0.0</v>
      </c>
      <c r="J47" s="73">
        <v>0.0</v>
      </c>
      <c r="K47" s="73">
        <v>0.0</v>
      </c>
      <c r="L47" s="13">
        <f t="shared" si="14"/>
        <v>4</v>
      </c>
    </row>
    <row r="48" ht="12.75" customHeight="1">
      <c r="A48" s="18"/>
      <c r="B48" s="49"/>
      <c r="C48" s="50" t="s">
        <v>41</v>
      </c>
      <c r="D48" s="51"/>
      <c r="E48" s="73">
        <v>1.0</v>
      </c>
      <c r="F48" s="73">
        <v>1.0</v>
      </c>
      <c r="G48" s="73">
        <v>2.0</v>
      </c>
      <c r="H48" s="73">
        <v>0.0</v>
      </c>
      <c r="I48" s="73">
        <v>0.0</v>
      </c>
      <c r="J48" s="73">
        <v>0.0</v>
      </c>
      <c r="K48" s="73">
        <v>3.0</v>
      </c>
      <c r="L48" s="13">
        <f t="shared" si="14"/>
        <v>7</v>
      </c>
    </row>
    <row r="49" ht="12.75" customHeight="1">
      <c r="A49" s="18"/>
      <c r="B49" s="49"/>
      <c r="C49" s="50" t="s">
        <v>42</v>
      </c>
      <c r="D49" s="51"/>
      <c r="E49" s="73">
        <v>0.0</v>
      </c>
      <c r="F49" s="73">
        <v>0.0</v>
      </c>
      <c r="G49" s="73">
        <v>0.0</v>
      </c>
      <c r="H49" s="73">
        <v>0.0</v>
      </c>
      <c r="I49" s="73">
        <v>1.0</v>
      </c>
      <c r="J49" s="73">
        <v>0.0</v>
      </c>
      <c r="K49" s="73">
        <v>1.0</v>
      </c>
      <c r="L49" s="13">
        <f t="shared" si="14"/>
        <v>2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13">
        <f t="shared" si="14"/>
        <v>0</v>
      </c>
    </row>
    <row r="51" ht="12.75" customHeight="1">
      <c r="A51" s="18"/>
      <c r="B51" s="49"/>
      <c r="C51" s="50" t="s">
        <v>44</v>
      </c>
      <c r="D51" s="51"/>
      <c r="E51" s="73">
        <v>1.0</v>
      </c>
      <c r="F51" s="73">
        <v>0.0</v>
      </c>
      <c r="G51" s="73">
        <v>0.0</v>
      </c>
      <c r="H51" s="73">
        <v>0.0</v>
      </c>
      <c r="I51" s="73">
        <v>0.0</v>
      </c>
      <c r="J51" s="73">
        <v>0.0</v>
      </c>
      <c r="K51" s="73">
        <v>1.0</v>
      </c>
      <c r="L51" s="13">
        <f t="shared" si="14"/>
        <v>2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0.0</v>
      </c>
      <c r="H52" s="80">
        <v>0.0</v>
      </c>
      <c r="I52" s="80">
        <v>0.0</v>
      </c>
      <c r="J52" s="80">
        <v>0.0</v>
      </c>
      <c r="K52" s="80">
        <v>0.0</v>
      </c>
      <c r="L52" s="13">
        <f t="shared" si="14"/>
        <v>0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13">
        <f t="shared" si="14"/>
        <v>0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0.0</v>
      </c>
      <c r="H54" s="80">
        <v>1.0</v>
      </c>
      <c r="I54" s="80">
        <v>0.0</v>
      </c>
      <c r="J54" s="80">
        <v>0.0</v>
      </c>
      <c r="K54" s="80">
        <v>0.0</v>
      </c>
      <c r="L54" s="13">
        <f t="shared" si="14"/>
        <v>1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L55" si="15">SUM(E45:E54)</f>
        <v>46</v>
      </c>
      <c r="F55" s="13">
        <f t="shared" si="15"/>
        <v>12</v>
      </c>
      <c r="G55" s="13">
        <f t="shared" si="15"/>
        <v>11</v>
      </c>
      <c r="H55" s="13">
        <f t="shared" si="15"/>
        <v>20</v>
      </c>
      <c r="I55" s="13">
        <f t="shared" si="15"/>
        <v>17</v>
      </c>
      <c r="J55" s="13">
        <f t="shared" si="15"/>
        <v>9</v>
      </c>
      <c r="K55" s="13">
        <f t="shared" si="15"/>
        <v>17</v>
      </c>
      <c r="L55" s="13">
        <f t="shared" si="15"/>
        <v>132</v>
      </c>
    </row>
    <row r="56" ht="12.75" customHeight="1">
      <c r="A56" s="45"/>
      <c r="B56" s="44"/>
      <c r="C56" s="44"/>
      <c r="D56" s="44"/>
      <c r="E56" s="44"/>
      <c r="L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11.0</v>
      </c>
      <c r="F57" s="73">
        <v>11.0</v>
      </c>
      <c r="G57" s="73">
        <v>5.0</v>
      </c>
      <c r="H57" s="73">
        <v>5.0</v>
      </c>
      <c r="I57" s="73">
        <v>3.0</v>
      </c>
      <c r="J57" s="73">
        <v>5.0</v>
      </c>
      <c r="K57" s="73">
        <v>12.0</v>
      </c>
      <c r="L57" s="13">
        <f t="shared" ref="L57:L66" si="16">SUM(E57:K57)</f>
        <v>52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4.0</v>
      </c>
      <c r="F58" s="73">
        <v>4.0</v>
      </c>
      <c r="G58" s="73">
        <v>4.0</v>
      </c>
      <c r="H58" s="73">
        <v>3.0</v>
      </c>
      <c r="I58" s="73">
        <v>1.0</v>
      </c>
      <c r="J58" s="73">
        <v>2.0</v>
      </c>
      <c r="K58" s="73">
        <v>4.0</v>
      </c>
      <c r="L58" s="13">
        <f t="shared" si="16"/>
        <v>22</v>
      </c>
    </row>
    <row r="59" ht="12.75" customHeight="1">
      <c r="A59" s="18"/>
      <c r="B59" s="49"/>
      <c r="C59" s="50" t="s">
        <v>51</v>
      </c>
      <c r="D59" s="51"/>
      <c r="E59" s="73">
        <v>4.0</v>
      </c>
      <c r="F59" s="73">
        <v>7.0</v>
      </c>
      <c r="G59" s="73">
        <v>5.0</v>
      </c>
      <c r="H59" s="73">
        <v>13.0</v>
      </c>
      <c r="I59" s="73">
        <v>10.0</v>
      </c>
      <c r="J59" s="73">
        <v>10.0</v>
      </c>
      <c r="K59" s="73">
        <v>29.0</v>
      </c>
      <c r="L59" s="13">
        <f t="shared" si="16"/>
        <v>78</v>
      </c>
    </row>
    <row r="60" ht="12.75" customHeight="1">
      <c r="A60" s="18"/>
      <c r="B60" s="49"/>
      <c r="C60" s="50" t="s">
        <v>52</v>
      </c>
      <c r="D60" s="51"/>
      <c r="E60" s="73">
        <v>0.0</v>
      </c>
      <c r="F60" s="73">
        <v>3.0</v>
      </c>
      <c r="G60" s="73">
        <v>1.0</v>
      </c>
      <c r="H60" s="73">
        <v>0.0</v>
      </c>
      <c r="I60" s="73">
        <v>0.0</v>
      </c>
      <c r="J60" s="73">
        <v>1.0</v>
      </c>
      <c r="K60" s="73">
        <v>5.0</v>
      </c>
      <c r="L60" s="13">
        <f t="shared" si="16"/>
        <v>10</v>
      </c>
    </row>
    <row r="61" ht="12.75" customHeight="1">
      <c r="A61" s="18"/>
      <c r="B61" s="49"/>
      <c r="C61" s="50" t="s">
        <v>53</v>
      </c>
      <c r="D61" s="51"/>
      <c r="E61" s="73">
        <v>1.0</v>
      </c>
      <c r="F61" s="73">
        <v>2.0</v>
      </c>
      <c r="G61" s="73">
        <v>0.0</v>
      </c>
      <c r="H61" s="73">
        <v>1.0</v>
      </c>
      <c r="I61" s="73">
        <v>0.0</v>
      </c>
      <c r="J61" s="73">
        <v>2.0</v>
      </c>
      <c r="K61" s="73">
        <v>1.0</v>
      </c>
      <c r="L61" s="13">
        <f t="shared" si="16"/>
        <v>7</v>
      </c>
    </row>
    <row r="62" ht="12.75" customHeight="1">
      <c r="A62" s="18"/>
      <c r="B62" s="49"/>
      <c r="C62" s="50" t="s">
        <v>54</v>
      </c>
      <c r="D62" s="51"/>
      <c r="E62" s="73">
        <v>1.0</v>
      </c>
      <c r="F62" s="73">
        <v>2.0</v>
      </c>
      <c r="G62" s="73">
        <v>2.0</v>
      </c>
      <c r="H62" s="73">
        <v>2.0</v>
      </c>
      <c r="I62" s="73">
        <v>0.0</v>
      </c>
      <c r="J62" s="73">
        <v>1.0</v>
      </c>
      <c r="K62" s="73">
        <v>1.0</v>
      </c>
      <c r="L62" s="13">
        <f t="shared" si="16"/>
        <v>9</v>
      </c>
    </row>
    <row r="63" ht="12.75" customHeight="1">
      <c r="A63" s="18"/>
      <c r="B63" s="49"/>
      <c r="C63" s="50" t="s">
        <v>55</v>
      </c>
      <c r="D63" s="51"/>
      <c r="E63" s="73">
        <v>1.0</v>
      </c>
      <c r="F63" s="73">
        <v>0.0</v>
      </c>
      <c r="G63" s="73">
        <v>0.0</v>
      </c>
      <c r="H63" s="73">
        <v>0.0</v>
      </c>
      <c r="I63" s="73">
        <v>1.0</v>
      </c>
      <c r="J63" s="73">
        <v>0.0</v>
      </c>
      <c r="K63" s="73">
        <v>2.0</v>
      </c>
      <c r="L63" s="13">
        <f t="shared" si="16"/>
        <v>4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0.0</v>
      </c>
      <c r="G64" s="80">
        <v>0.0</v>
      </c>
      <c r="H64" s="80">
        <v>1.0</v>
      </c>
      <c r="I64" s="80">
        <v>1.0</v>
      </c>
      <c r="J64" s="80">
        <v>0.0</v>
      </c>
      <c r="K64" s="80">
        <v>1.0</v>
      </c>
      <c r="L64" s="13">
        <f t="shared" si="16"/>
        <v>3</v>
      </c>
    </row>
    <row r="65" ht="12.75" customHeight="1">
      <c r="A65" s="79"/>
      <c r="B65" s="49"/>
      <c r="C65" s="50" t="s">
        <v>57</v>
      </c>
      <c r="D65" s="51"/>
      <c r="E65" s="80">
        <v>1.0</v>
      </c>
      <c r="F65" s="80">
        <v>0.0</v>
      </c>
      <c r="G65" s="80">
        <v>0.0</v>
      </c>
      <c r="H65" s="80">
        <v>0.0</v>
      </c>
      <c r="I65" s="80">
        <v>0.0</v>
      </c>
      <c r="J65" s="80">
        <v>0.0</v>
      </c>
      <c r="K65" s="80">
        <v>0.0</v>
      </c>
      <c r="L65" s="13">
        <f t="shared" si="16"/>
        <v>1</v>
      </c>
    </row>
    <row r="66" ht="12.75" customHeight="1">
      <c r="A66" s="79"/>
      <c r="B66" s="49"/>
      <c r="C66" s="50" t="s">
        <v>58</v>
      </c>
      <c r="D66" s="51"/>
      <c r="E66" s="80">
        <v>0.0</v>
      </c>
      <c r="F66" s="80">
        <v>0.0</v>
      </c>
      <c r="G66" s="80">
        <v>1.0</v>
      </c>
      <c r="H66" s="80">
        <v>0.0</v>
      </c>
      <c r="I66" s="80">
        <v>1.0</v>
      </c>
      <c r="J66" s="80">
        <v>1.0</v>
      </c>
      <c r="K66" s="80">
        <v>0.0</v>
      </c>
      <c r="L66" s="13">
        <f t="shared" si="16"/>
        <v>3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L67" si="17">SUM(E57:E66)</f>
        <v>23</v>
      </c>
      <c r="F67" s="13">
        <f t="shared" si="17"/>
        <v>29</v>
      </c>
      <c r="G67" s="13">
        <f t="shared" si="17"/>
        <v>18</v>
      </c>
      <c r="H67" s="13">
        <f t="shared" si="17"/>
        <v>25</v>
      </c>
      <c r="I67" s="13">
        <f t="shared" si="17"/>
        <v>17</v>
      </c>
      <c r="J67" s="13">
        <f t="shared" si="17"/>
        <v>22</v>
      </c>
      <c r="K67" s="13">
        <f t="shared" si="17"/>
        <v>55</v>
      </c>
      <c r="L67" s="13">
        <f t="shared" si="17"/>
        <v>189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22.0</v>
      </c>
      <c r="F69" s="73">
        <v>8.0</v>
      </c>
      <c r="G69" s="73">
        <v>11.0</v>
      </c>
      <c r="H69" s="73">
        <v>13.0</v>
      </c>
      <c r="I69" s="73">
        <v>12.0</v>
      </c>
      <c r="J69" s="73">
        <v>6.0</v>
      </c>
      <c r="K69" s="73">
        <v>4.0</v>
      </c>
      <c r="L69" s="13">
        <f t="shared" ref="L69:L78" si="18">SUM(E69:K69)</f>
        <v>76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0.0</v>
      </c>
      <c r="F70" s="73">
        <v>4.0</v>
      </c>
      <c r="G70" s="73">
        <v>3.0</v>
      </c>
      <c r="H70" s="73">
        <v>4.0</v>
      </c>
      <c r="I70" s="73">
        <v>7.0</v>
      </c>
      <c r="J70" s="73">
        <v>5.0</v>
      </c>
      <c r="K70" s="73">
        <v>1.0</v>
      </c>
      <c r="L70" s="13">
        <f t="shared" si="18"/>
        <v>24</v>
      </c>
    </row>
    <row r="71" ht="12.75" customHeight="1">
      <c r="A71" s="18"/>
      <c r="B71" s="49"/>
      <c r="C71" s="50" t="s">
        <v>61</v>
      </c>
      <c r="D71" s="51"/>
      <c r="E71" s="73">
        <v>24.0</v>
      </c>
      <c r="F71" s="73">
        <v>23.0</v>
      </c>
      <c r="G71" s="73">
        <v>37.0</v>
      </c>
      <c r="H71" s="73">
        <v>54.0</v>
      </c>
      <c r="I71" s="73">
        <v>47.0</v>
      </c>
      <c r="J71" s="73">
        <v>17.0</v>
      </c>
      <c r="K71" s="73">
        <v>32.0</v>
      </c>
      <c r="L71" s="13">
        <f t="shared" si="18"/>
        <v>234</v>
      </c>
    </row>
    <row r="72" ht="12.75" customHeight="1">
      <c r="A72" s="18"/>
      <c r="B72" s="49"/>
      <c r="C72" s="50" t="s">
        <v>62</v>
      </c>
      <c r="D72" s="51"/>
      <c r="E72" s="73">
        <v>4.0</v>
      </c>
      <c r="F72" s="73">
        <v>4.0</v>
      </c>
      <c r="G72" s="73">
        <v>1.0</v>
      </c>
      <c r="H72" s="73">
        <v>2.0</v>
      </c>
      <c r="I72" s="73">
        <v>3.0</v>
      </c>
      <c r="J72" s="73">
        <v>8.0</v>
      </c>
      <c r="K72" s="73">
        <v>4.0</v>
      </c>
      <c r="L72" s="13">
        <f t="shared" si="18"/>
        <v>26</v>
      </c>
    </row>
    <row r="73" ht="12.75" customHeight="1">
      <c r="A73" s="18"/>
      <c r="B73" s="49"/>
      <c r="C73" s="50" t="s">
        <v>63</v>
      </c>
      <c r="D73" s="51"/>
      <c r="E73" s="73">
        <v>2.0</v>
      </c>
      <c r="F73" s="73">
        <v>1.0</v>
      </c>
      <c r="G73" s="73">
        <v>2.0</v>
      </c>
      <c r="H73" s="73">
        <v>1.0</v>
      </c>
      <c r="I73" s="73">
        <v>1.0</v>
      </c>
      <c r="J73" s="73">
        <v>2.0</v>
      </c>
      <c r="K73" s="73">
        <v>1.0</v>
      </c>
      <c r="L73" s="13">
        <f t="shared" si="18"/>
        <v>10</v>
      </c>
    </row>
    <row r="74" ht="12.75" customHeight="1">
      <c r="A74" s="18"/>
      <c r="B74" s="49"/>
      <c r="C74" s="50" t="s">
        <v>64</v>
      </c>
      <c r="D74" s="51"/>
      <c r="E74" s="73">
        <v>0.0</v>
      </c>
      <c r="F74" s="73">
        <v>0.0</v>
      </c>
      <c r="G74" s="73">
        <v>0.0</v>
      </c>
      <c r="H74" s="73">
        <v>1.0</v>
      </c>
      <c r="I74" s="73">
        <v>1.0</v>
      </c>
      <c r="J74" s="73">
        <v>0.0</v>
      </c>
      <c r="K74" s="73">
        <v>0.0</v>
      </c>
      <c r="L74" s="13">
        <f t="shared" si="18"/>
        <v>2</v>
      </c>
    </row>
    <row r="75" ht="12.75" customHeight="1">
      <c r="A75" s="18"/>
      <c r="B75" s="49"/>
      <c r="C75" s="50" t="s">
        <v>65</v>
      </c>
      <c r="D75" s="51"/>
      <c r="E75" s="73">
        <v>1.0</v>
      </c>
      <c r="F75" s="73">
        <v>0.0</v>
      </c>
      <c r="G75" s="73">
        <v>1.0</v>
      </c>
      <c r="H75" s="73">
        <v>0.0</v>
      </c>
      <c r="I75" s="73">
        <v>2.0</v>
      </c>
      <c r="J75" s="73">
        <v>1.0</v>
      </c>
      <c r="K75" s="73">
        <v>1.0</v>
      </c>
      <c r="L75" s="13">
        <f t="shared" si="18"/>
        <v>6</v>
      </c>
    </row>
    <row r="76" ht="12.75" customHeight="1">
      <c r="A76" s="79"/>
      <c r="B76" s="49"/>
      <c r="C76" s="50" t="s">
        <v>66</v>
      </c>
      <c r="D76" s="51"/>
      <c r="E76" s="80">
        <v>1.0</v>
      </c>
      <c r="F76" s="80">
        <v>3.0</v>
      </c>
      <c r="G76" s="80">
        <v>0.0</v>
      </c>
      <c r="H76" s="80">
        <v>0.0</v>
      </c>
      <c r="I76" s="80">
        <v>2.0</v>
      </c>
      <c r="J76" s="80">
        <v>3.0</v>
      </c>
      <c r="K76" s="80">
        <v>0.0</v>
      </c>
      <c r="L76" s="13">
        <f t="shared" si="18"/>
        <v>9</v>
      </c>
    </row>
    <row r="77" ht="12.75" customHeight="1">
      <c r="A77" s="79"/>
      <c r="B77" s="49"/>
      <c r="C77" s="50" t="s">
        <v>67</v>
      </c>
      <c r="D77" s="51"/>
      <c r="E77" s="80">
        <v>1.0</v>
      </c>
      <c r="F77" s="80">
        <v>0.0</v>
      </c>
      <c r="G77" s="80">
        <v>0.0</v>
      </c>
      <c r="H77" s="80">
        <v>0.0</v>
      </c>
      <c r="I77" s="80">
        <v>1.0</v>
      </c>
      <c r="J77" s="80">
        <v>0.0</v>
      </c>
      <c r="K77" s="80">
        <v>0.0</v>
      </c>
      <c r="L77" s="13">
        <f t="shared" si="18"/>
        <v>2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0.0</v>
      </c>
      <c r="G78" s="80">
        <v>0.0</v>
      </c>
      <c r="H78" s="80">
        <v>3.0</v>
      </c>
      <c r="I78" s="80">
        <v>0.0</v>
      </c>
      <c r="J78" s="80">
        <v>1.0</v>
      </c>
      <c r="K78" s="80">
        <v>0.0</v>
      </c>
      <c r="L78" s="13">
        <f t="shared" si="18"/>
        <v>4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L79" si="19">SUM(E69:E78)</f>
        <v>55</v>
      </c>
      <c r="F79" s="13">
        <f t="shared" si="19"/>
        <v>43</v>
      </c>
      <c r="G79" s="13">
        <f t="shared" si="19"/>
        <v>55</v>
      </c>
      <c r="H79" s="13">
        <f t="shared" si="19"/>
        <v>78</v>
      </c>
      <c r="I79" s="13">
        <f t="shared" si="19"/>
        <v>76</v>
      </c>
      <c r="J79" s="13">
        <f t="shared" si="19"/>
        <v>43</v>
      </c>
      <c r="K79" s="13">
        <f t="shared" si="19"/>
        <v>43</v>
      </c>
      <c r="L79" s="13">
        <f t="shared" si="19"/>
        <v>393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3.0</v>
      </c>
      <c r="F81" s="73">
        <v>4.0</v>
      </c>
      <c r="G81" s="73">
        <v>3.0</v>
      </c>
      <c r="H81" s="73">
        <v>4.0</v>
      </c>
      <c r="I81" s="73">
        <v>0.0</v>
      </c>
      <c r="J81" s="73">
        <v>1.0</v>
      </c>
      <c r="K81" s="73">
        <v>6.0</v>
      </c>
      <c r="L81" s="13">
        <f t="shared" ref="L81:L90" si="20">SUM(E81:K81)</f>
        <v>21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1.0</v>
      </c>
      <c r="F82" s="73">
        <v>0.0</v>
      </c>
      <c r="G82" s="73">
        <v>2.0</v>
      </c>
      <c r="H82" s="73">
        <v>1.0</v>
      </c>
      <c r="I82" s="73">
        <v>3.0</v>
      </c>
      <c r="J82" s="73">
        <v>1.0</v>
      </c>
      <c r="K82" s="73">
        <v>2.0</v>
      </c>
      <c r="L82" s="13">
        <f t="shared" si="20"/>
        <v>10</v>
      </c>
    </row>
    <row r="83" ht="12.75" customHeight="1">
      <c r="A83" s="18"/>
      <c r="B83" s="49"/>
      <c r="C83" s="50" t="s">
        <v>71</v>
      </c>
      <c r="D83" s="51"/>
      <c r="E83" s="73">
        <v>0.0</v>
      </c>
      <c r="F83" s="73">
        <v>2.0</v>
      </c>
      <c r="G83" s="73">
        <v>3.0</v>
      </c>
      <c r="H83" s="73">
        <v>2.0</v>
      </c>
      <c r="I83" s="73">
        <v>0.0</v>
      </c>
      <c r="J83" s="73">
        <v>0.0</v>
      </c>
      <c r="K83" s="73">
        <v>1.0</v>
      </c>
      <c r="L83" s="13">
        <f t="shared" si="20"/>
        <v>8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1.0</v>
      </c>
      <c r="G84" s="73">
        <v>0.0</v>
      </c>
      <c r="H84" s="73">
        <v>2.0</v>
      </c>
      <c r="I84" s="73">
        <v>2.0</v>
      </c>
      <c r="J84" s="73">
        <v>0.0</v>
      </c>
      <c r="K84" s="73">
        <v>1.0</v>
      </c>
      <c r="L84" s="13">
        <f t="shared" si="20"/>
        <v>6</v>
      </c>
    </row>
    <row r="85" ht="12.75" customHeight="1">
      <c r="A85" s="18"/>
      <c r="B85" s="49"/>
      <c r="C85" s="50" t="s">
        <v>73</v>
      </c>
      <c r="D85" s="51"/>
      <c r="E85" s="73">
        <v>4.0</v>
      </c>
      <c r="F85" s="73">
        <v>0.0</v>
      </c>
      <c r="G85" s="73">
        <v>1.0</v>
      </c>
      <c r="H85" s="73">
        <v>0.0</v>
      </c>
      <c r="I85" s="73">
        <v>0.0</v>
      </c>
      <c r="J85" s="73">
        <v>0.0</v>
      </c>
      <c r="K85" s="73">
        <v>0.0</v>
      </c>
      <c r="L85" s="13">
        <f t="shared" si="20"/>
        <v>5</v>
      </c>
    </row>
    <row r="86" ht="12.75" customHeight="1">
      <c r="A86" s="18"/>
      <c r="B86" s="49"/>
      <c r="C86" s="50" t="s">
        <v>74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2.0</v>
      </c>
      <c r="K86" s="73">
        <v>0.0</v>
      </c>
      <c r="L86" s="13">
        <f t="shared" si="20"/>
        <v>2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1.0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13">
        <f t="shared" si="20"/>
        <v>1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0.0</v>
      </c>
      <c r="L88" s="13">
        <f t="shared" si="20"/>
        <v>0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13">
        <f t="shared" si="20"/>
        <v>0</v>
      </c>
    </row>
    <row r="90" ht="12.75" customHeight="1">
      <c r="A90" s="79"/>
      <c r="B90" s="49"/>
      <c r="C90" s="50" t="s">
        <v>78</v>
      </c>
      <c r="D90" s="51"/>
      <c r="E90" s="80">
        <v>0.0</v>
      </c>
      <c r="F90" s="80">
        <v>0.0</v>
      </c>
      <c r="G90" s="80">
        <v>0.0</v>
      </c>
      <c r="H90" s="80">
        <v>0.0</v>
      </c>
      <c r="I90" s="80">
        <v>0.0</v>
      </c>
      <c r="J90" s="80">
        <v>0.0</v>
      </c>
      <c r="K90" s="80">
        <v>0.0</v>
      </c>
      <c r="L90" s="13">
        <f t="shared" si="20"/>
        <v>0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L91" si="21">SUM(E81:E90)</f>
        <v>8</v>
      </c>
      <c r="F91" s="13">
        <f t="shared" si="21"/>
        <v>8</v>
      </c>
      <c r="G91" s="13">
        <f t="shared" si="21"/>
        <v>9</v>
      </c>
      <c r="H91" s="13">
        <f t="shared" si="21"/>
        <v>9</v>
      </c>
      <c r="I91" s="13">
        <f t="shared" si="21"/>
        <v>5</v>
      </c>
      <c r="J91" s="13">
        <f t="shared" si="21"/>
        <v>4</v>
      </c>
      <c r="K91" s="13">
        <f t="shared" si="21"/>
        <v>10</v>
      </c>
      <c r="L91" s="13">
        <f t="shared" si="21"/>
        <v>53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2.0</v>
      </c>
      <c r="F93" s="73">
        <v>1.0</v>
      </c>
      <c r="G93" s="73">
        <v>0.0</v>
      </c>
      <c r="H93" s="73">
        <v>2.0</v>
      </c>
      <c r="I93" s="73">
        <v>0.0</v>
      </c>
      <c r="J93" s="73">
        <v>0.0</v>
      </c>
      <c r="K93" s="73">
        <v>0.0</v>
      </c>
      <c r="L93" s="13">
        <f t="shared" ref="L93:L102" si="22">SUM(E93:K93)</f>
        <v>5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1.0</v>
      </c>
      <c r="F94" s="73">
        <v>1.0</v>
      </c>
      <c r="G94" s="73">
        <v>2.0</v>
      </c>
      <c r="H94" s="73">
        <v>1.0</v>
      </c>
      <c r="I94" s="73">
        <v>1.0</v>
      </c>
      <c r="J94" s="73">
        <v>2.0</v>
      </c>
      <c r="K94" s="73">
        <v>0.0</v>
      </c>
      <c r="L94" s="13">
        <f t="shared" si="22"/>
        <v>8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13">
        <f t="shared" si="22"/>
        <v>0</v>
      </c>
    </row>
    <row r="96" ht="12.75" customHeight="1">
      <c r="A96" s="18"/>
      <c r="B96" s="49"/>
      <c r="C96" s="50" t="s">
        <v>83</v>
      </c>
      <c r="D96" s="56"/>
      <c r="E96" s="73">
        <v>1.0</v>
      </c>
      <c r="F96" s="73">
        <v>0.0</v>
      </c>
      <c r="G96" s="73">
        <v>0.0</v>
      </c>
      <c r="H96" s="73">
        <v>0.0</v>
      </c>
      <c r="I96" s="73">
        <v>1.0</v>
      </c>
      <c r="J96" s="73">
        <v>0.0</v>
      </c>
      <c r="K96" s="73">
        <v>0.0</v>
      </c>
      <c r="L96" s="13">
        <f t="shared" si="22"/>
        <v>2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13">
        <f t="shared" si="22"/>
        <v>0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1.0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13">
        <f t="shared" si="22"/>
        <v>1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1.0</v>
      </c>
      <c r="L99" s="13">
        <f t="shared" si="22"/>
        <v>1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13">
        <f t="shared" si="22"/>
        <v>0</v>
      </c>
    </row>
    <row r="101" ht="12.75" customHeight="1">
      <c r="A101" s="79"/>
      <c r="B101" s="49"/>
      <c r="C101" s="50" t="s">
        <v>88</v>
      </c>
      <c r="D101" s="56"/>
      <c r="E101" s="80">
        <v>1.0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13">
        <f t="shared" si="22"/>
        <v>1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1.0</v>
      </c>
      <c r="J102" s="80">
        <v>0.0</v>
      </c>
      <c r="K102" s="80">
        <v>0.0</v>
      </c>
      <c r="L102" s="13">
        <f t="shared" si="22"/>
        <v>1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L103" si="23">SUM(E93:E102)</f>
        <v>5</v>
      </c>
      <c r="F103" s="13">
        <f t="shared" si="23"/>
        <v>3</v>
      </c>
      <c r="G103" s="13">
        <f t="shared" si="23"/>
        <v>2</v>
      </c>
      <c r="H103" s="13">
        <f t="shared" si="23"/>
        <v>3</v>
      </c>
      <c r="I103" s="13">
        <f t="shared" si="23"/>
        <v>3</v>
      </c>
      <c r="J103" s="13">
        <f t="shared" si="23"/>
        <v>2</v>
      </c>
      <c r="K103" s="13">
        <f t="shared" si="23"/>
        <v>1</v>
      </c>
      <c r="L103" s="13">
        <f t="shared" si="23"/>
        <v>19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1.0</v>
      </c>
      <c r="F105" s="73">
        <v>2.0</v>
      </c>
      <c r="G105" s="73">
        <v>0.0</v>
      </c>
      <c r="H105" s="73">
        <v>0.0</v>
      </c>
      <c r="I105" s="73">
        <v>0.0</v>
      </c>
      <c r="J105" s="73">
        <v>1.0</v>
      </c>
      <c r="K105" s="73">
        <v>1.0</v>
      </c>
      <c r="L105" s="13">
        <f t="shared" ref="L105:L114" si="24">SUM(E105:K105)</f>
        <v>5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2.0</v>
      </c>
      <c r="I106" s="73">
        <v>0.0</v>
      </c>
      <c r="J106" s="73">
        <v>0.0</v>
      </c>
      <c r="K106" s="73">
        <v>1.0</v>
      </c>
      <c r="L106" s="13">
        <f t="shared" si="24"/>
        <v>3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0.0</v>
      </c>
      <c r="I107" s="80">
        <v>0.0</v>
      </c>
      <c r="J107" s="80">
        <v>1.0</v>
      </c>
      <c r="K107" s="80">
        <v>0.0</v>
      </c>
      <c r="L107" s="13">
        <f t="shared" si="24"/>
        <v>1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L115" si="25">SUM(E105:E114)</f>
        <v>1</v>
      </c>
      <c r="F115" s="13">
        <f t="shared" si="25"/>
        <v>2</v>
      </c>
      <c r="G115" s="13">
        <f t="shared" si="25"/>
        <v>0</v>
      </c>
      <c r="H115" s="13">
        <f t="shared" si="25"/>
        <v>2</v>
      </c>
      <c r="I115" s="13">
        <f t="shared" si="25"/>
        <v>0</v>
      </c>
      <c r="J115" s="13">
        <f t="shared" si="25"/>
        <v>2</v>
      </c>
      <c r="K115" s="13">
        <f t="shared" si="25"/>
        <v>2</v>
      </c>
      <c r="L115" s="13">
        <f t="shared" si="25"/>
        <v>9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0.0</v>
      </c>
      <c r="G117" s="73">
        <v>0.0</v>
      </c>
      <c r="H117" s="73">
        <v>1.0</v>
      </c>
      <c r="I117" s="73">
        <v>0.0</v>
      </c>
      <c r="J117" s="73">
        <v>1.0</v>
      </c>
      <c r="K117" s="73">
        <v>0.0</v>
      </c>
      <c r="L117" s="13">
        <f t="shared" ref="L117:L126" si="26">SUM(E117:K117)</f>
        <v>2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1.0</v>
      </c>
      <c r="K118" s="73">
        <v>0.0</v>
      </c>
      <c r="L118" s="13">
        <f t="shared" si="26"/>
        <v>1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13">
        <f t="shared" si="26"/>
        <v>0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13">
        <f t="shared" si="26"/>
        <v>0</v>
      </c>
    </row>
    <row r="121" ht="12.75" customHeight="1">
      <c r="A121" s="79"/>
      <c r="B121" s="49"/>
      <c r="C121" s="50" t="s">
        <v>99</v>
      </c>
      <c r="D121" s="51"/>
      <c r="E121" s="80">
        <v>1.0</v>
      </c>
      <c r="F121" s="80">
        <v>0.0</v>
      </c>
      <c r="G121" s="80">
        <v>0.0</v>
      </c>
      <c r="H121" s="80">
        <v>0.0</v>
      </c>
      <c r="I121" s="80">
        <v>0.0</v>
      </c>
      <c r="J121" s="80">
        <v>1.0</v>
      </c>
      <c r="K121" s="80">
        <v>0.0</v>
      </c>
      <c r="L121" s="13">
        <f t="shared" si="26"/>
        <v>2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0.0</v>
      </c>
      <c r="H122" s="80">
        <v>0.0</v>
      </c>
      <c r="I122" s="80">
        <v>1.0</v>
      </c>
      <c r="J122" s="80">
        <v>0.0</v>
      </c>
      <c r="K122" s="80">
        <v>0.0</v>
      </c>
      <c r="L122" s="13">
        <f t="shared" si="26"/>
        <v>1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L127" si="27">SUM(E117:E126)</f>
        <v>1</v>
      </c>
      <c r="F127" s="13">
        <f t="shared" si="27"/>
        <v>0</v>
      </c>
      <c r="G127" s="13">
        <f t="shared" si="27"/>
        <v>0</v>
      </c>
      <c r="H127" s="13">
        <f t="shared" si="27"/>
        <v>1</v>
      </c>
      <c r="I127" s="13">
        <f t="shared" si="27"/>
        <v>1</v>
      </c>
      <c r="J127" s="13">
        <f t="shared" si="27"/>
        <v>3</v>
      </c>
      <c r="K127" s="13">
        <f t="shared" si="27"/>
        <v>0</v>
      </c>
      <c r="L127" s="13">
        <f t="shared" si="27"/>
        <v>6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1.0</v>
      </c>
      <c r="F129" s="73">
        <v>2.0</v>
      </c>
      <c r="G129" s="73">
        <v>2.0</v>
      </c>
      <c r="H129" s="73">
        <v>4.0</v>
      </c>
      <c r="I129" s="73">
        <v>1.0</v>
      </c>
      <c r="J129" s="73">
        <v>0.0</v>
      </c>
      <c r="K129" s="73">
        <v>5.0</v>
      </c>
      <c r="L129" s="13">
        <f t="shared" ref="L129:L138" si="28">SUM(E129:K129)</f>
        <v>15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2.0</v>
      </c>
      <c r="F130" s="73">
        <v>2.0</v>
      </c>
      <c r="G130" s="73">
        <v>16.0</v>
      </c>
      <c r="H130" s="73">
        <v>1.0</v>
      </c>
      <c r="I130" s="73">
        <v>6.0</v>
      </c>
      <c r="J130" s="73">
        <v>1.0</v>
      </c>
      <c r="K130" s="73">
        <v>3.0</v>
      </c>
      <c r="L130" s="13">
        <f t="shared" si="28"/>
        <v>31</v>
      </c>
    </row>
    <row r="131" ht="12.75" customHeight="1">
      <c r="A131" s="18"/>
      <c r="B131" s="49"/>
      <c r="C131" s="50" t="s">
        <v>104</v>
      </c>
      <c r="D131" s="51"/>
      <c r="E131" s="73">
        <v>1.0</v>
      </c>
      <c r="F131" s="73">
        <v>1.0</v>
      </c>
      <c r="G131" s="73">
        <v>1.0</v>
      </c>
      <c r="H131" s="73">
        <v>0.0</v>
      </c>
      <c r="I131" s="73">
        <v>2.0</v>
      </c>
      <c r="J131" s="73">
        <v>0.0</v>
      </c>
      <c r="K131" s="73">
        <v>0.0</v>
      </c>
      <c r="L131" s="13">
        <f t="shared" si="28"/>
        <v>5</v>
      </c>
    </row>
    <row r="132" ht="12.75" customHeight="1">
      <c r="A132" s="18"/>
      <c r="B132" s="49"/>
      <c r="C132" s="50" t="s">
        <v>105</v>
      </c>
      <c r="D132" s="51"/>
      <c r="E132" s="73">
        <v>1.0</v>
      </c>
      <c r="F132" s="73">
        <v>0.0</v>
      </c>
      <c r="G132" s="73">
        <v>0.0</v>
      </c>
      <c r="H132" s="73">
        <v>1.0</v>
      </c>
      <c r="I132" s="73">
        <v>2.0</v>
      </c>
      <c r="J132" s="73">
        <v>0.0</v>
      </c>
      <c r="K132" s="73">
        <v>1.0</v>
      </c>
      <c r="L132" s="13">
        <f t="shared" si="28"/>
        <v>5</v>
      </c>
    </row>
    <row r="133" ht="12.75" customHeight="1">
      <c r="A133" s="18"/>
      <c r="B133" s="49"/>
      <c r="C133" s="50" t="s">
        <v>106</v>
      </c>
      <c r="D133" s="51"/>
      <c r="E133" s="73">
        <v>1.0</v>
      </c>
      <c r="F133" s="73">
        <v>0.0</v>
      </c>
      <c r="G133" s="73">
        <v>0.0</v>
      </c>
      <c r="H133" s="73">
        <v>1.0</v>
      </c>
      <c r="I133" s="73">
        <v>0.0</v>
      </c>
      <c r="J133" s="73">
        <v>1.0</v>
      </c>
      <c r="K133" s="73">
        <v>1.0</v>
      </c>
      <c r="L133" s="13">
        <f t="shared" si="28"/>
        <v>4</v>
      </c>
    </row>
    <row r="134" ht="12.75" customHeight="1">
      <c r="A134" s="18"/>
      <c r="B134" s="49"/>
      <c r="C134" s="50" t="s">
        <v>107</v>
      </c>
      <c r="D134" s="51"/>
      <c r="E134" s="73">
        <v>0.0</v>
      </c>
      <c r="F134" s="73">
        <v>0.0</v>
      </c>
      <c r="G134" s="73">
        <v>3.0</v>
      </c>
      <c r="H134" s="73">
        <v>5.0</v>
      </c>
      <c r="I134" s="73">
        <v>2.0</v>
      </c>
      <c r="J134" s="73">
        <v>1.0</v>
      </c>
      <c r="K134" s="73">
        <v>0.0</v>
      </c>
      <c r="L134" s="13">
        <f t="shared" si="28"/>
        <v>11</v>
      </c>
    </row>
    <row r="135" ht="12.75" customHeight="1">
      <c r="A135" s="18"/>
      <c r="B135" s="49"/>
      <c r="C135" s="50" t="s">
        <v>108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13">
        <f t="shared" si="28"/>
        <v>0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0.0</v>
      </c>
      <c r="I136" s="80">
        <v>1.0</v>
      </c>
      <c r="J136" s="80">
        <v>0.0</v>
      </c>
      <c r="K136" s="80">
        <v>0.0</v>
      </c>
      <c r="L136" s="13">
        <f t="shared" si="28"/>
        <v>1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0.0</v>
      </c>
      <c r="H137" s="80">
        <v>0.0</v>
      </c>
      <c r="I137" s="80">
        <v>0.0</v>
      </c>
      <c r="J137" s="80">
        <v>0.0</v>
      </c>
      <c r="K137" s="80">
        <v>0.0</v>
      </c>
      <c r="L137" s="13">
        <f t="shared" si="28"/>
        <v>0</v>
      </c>
    </row>
    <row r="138" ht="12.75" customHeight="1">
      <c r="A138" s="79"/>
      <c r="B138" s="49"/>
      <c r="C138" s="50" t="s">
        <v>111</v>
      </c>
      <c r="D138" s="51"/>
      <c r="E138" s="80">
        <v>1.0</v>
      </c>
      <c r="F138" s="80">
        <v>0.0</v>
      </c>
      <c r="G138" s="80">
        <v>0.0</v>
      </c>
      <c r="H138" s="80">
        <v>1.0</v>
      </c>
      <c r="I138" s="80">
        <v>0.0</v>
      </c>
      <c r="J138" s="80">
        <v>0.0</v>
      </c>
      <c r="K138" s="80">
        <v>0.0</v>
      </c>
      <c r="L138" s="13">
        <f t="shared" si="28"/>
        <v>2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L139" si="29">SUM(E129:E138)</f>
        <v>7</v>
      </c>
      <c r="F139" s="13">
        <f t="shared" si="29"/>
        <v>5</v>
      </c>
      <c r="G139" s="13">
        <f t="shared" si="29"/>
        <v>22</v>
      </c>
      <c r="H139" s="13">
        <f t="shared" si="29"/>
        <v>13</v>
      </c>
      <c r="I139" s="13">
        <f t="shared" si="29"/>
        <v>14</v>
      </c>
      <c r="J139" s="13">
        <f t="shared" si="29"/>
        <v>3</v>
      </c>
      <c r="K139" s="13">
        <f t="shared" si="29"/>
        <v>10</v>
      </c>
      <c r="L139" s="13">
        <f t="shared" si="29"/>
        <v>74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13">
        <f t="shared" ref="L141:L150" si="30">SUM(E141:K141)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13">
        <f t="shared" si="30"/>
        <v>0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L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1.0</v>
      </c>
      <c r="F153" s="73">
        <v>0.0</v>
      </c>
      <c r="G153" s="73">
        <v>0.0</v>
      </c>
      <c r="H153" s="73">
        <v>0.0</v>
      </c>
      <c r="I153" s="73">
        <v>0.0</v>
      </c>
      <c r="J153" s="73">
        <v>0.0</v>
      </c>
      <c r="K153" s="73">
        <v>1.0</v>
      </c>
      <c r="L153" s="13">
        <f t="shared" ref="L153:L162" si="32">SUM(E153:K153)</f>
        <v>2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2.0</v>
      </c>
      <c r="F154" s="73">
        <v>0.0</v>
      </c>
      <c r="G154" s="73">
        <v>1.0</v>
      </c>
      <c r="H154" s="73">
        <v>1.0</v>
      </c>
      <c r="I154" s="73">
        <v>0.0</v>
      </c>
      <c r="J154" s="73">
        <v>1.0</v>
      </c>
      <c r="K154" s="73">
        <v>0.0</v>
      </c>
      <c r="L154" s="13">
        <f t="shared" si="32"/>
        <v>5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13">
        <f t="shared" si="32"/>
        <v>0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13">
        <f t="shared" si="32"/>
        <v>0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13">
        <f t="shared" si="32"/>
        <v>0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13">
        <f t="shared" si="32"/>
        <v>0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13">
        <f t="shared" si="32"/>
        <v>0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13">
        <f t="shared" si="32"/>
        <v>0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L163" si="33">SUM(E153:E162)</f>
        <v>3</v>
      </c>
      <c r="F163" s="13">
        <f t="shared" si="33"/>
        <v>0</v>
      </c>
      <c r="G163" s="13">
        <f t="shared" si="33"/>
        <v>1</v>
      </c>
      <c r="H163" s="13">
        <f t="shared" si="33"/>
        <v>1</v>
      </c>
      <c r="I163" s="13">
        <f t="shared" si="33"/>
        <v>0</v>
      </c>
      <c r="J163" s="13">
        <f t="shared" si="33"/>
        <v>1</v>
      </c>
      <c r="K163" s="13">
        <f t="shared" si="33"/>
        <v>1</v>
      </c>
      <c r="L163" s="13">
        <f t="shared" si="33"/>
        <v>7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1.0</v>
      </c>
      <c r="G165" s="73">
        <v>0.0</v>
      </c>
      <c r="H165" s="73">
        <v>0.0</v>
      </c>
      <c r="I165" s="73">
        <v>0.0</v>
      </c>
      <c r="J165" s="73">
        <v>1.0</v>
      </c>
      <c r="K165" s="73">
        <v>1.0</v>
      </c>
      <c r="L165" s="13">
        <f t="shared" ref="L165:L174" si="34">SUM(E165:K165)</f>
        <v>3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2.0</v>
      </c>
      <c r="F166" s="80">
        <v>0.0</v>
      </c>
      <c r="G166" s="80">
        <v>0.0</v>
      </c>
      <c r="H166" s="80">
        <v>0.0</v>
      </c>
      <c r="I166" s="80">
        <v>0.0</v>
      </c>
      <c r="J166" s="80">
        <v>0.0</v>
      </c>
      <c r="K166" s="80">
        <v>0.0</v>
      </c>
      <c r="L166" s="13">
        <f t="shared" si="34"/>
        <v>2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L175" si="35">SUM(E165:E174)</f>
        <v>2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1</v>
      </c>
      <c r="L175" s="13">
        <f t="shared" si="35"/>
        <v>5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0.0</v>
      </c>
      <c r="F177" s="73">
        <v>0.0</v>
      </c>
      <c r="G177" s="73">
        <v>1.0</v>
      </c>
      <c r="H177" s="73">
        <v>1.0</v>
      </c>
      <c r="I177" s="73">
        <v>0.0</v>
      </c>
      <c r="J177" s="73">
        <v>0.0</v>
      </c>
      <c r="K177" s="73">
        <v>1.0</v>
      </c>
      <c r="L177" s="13">
        <f t="shared" ref="L177:L186" si="36">SUM(E177:K177)</f>
        <v>3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3.0</v>
      </c>
      <c r="F178" s="73">
        <v>1.0</v>
      </c>
      <c r="G178" s="73">
        <v>0.0</v>
      </c>
      <c r="H178" s="73">
        <v>0.0</v>
      </c>
      <c r="I178" s="73">
        <v>0.0</v>
      </c>
      <c r="J178" s="73">
        <v>5.0</v>
      </c>
      <c r="K178" s="73">
        <v>6.0</v>
      </c>
      <c r="L178" s="13">
        <f t="shared" si="36"/>
        <v>15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13">
        <f t="shared" si="36"/>
        <v>0</v>
      </c>
    </row>
    <row r="180" ht="12.75" customHeight="1">
      <c r="A180" s="18"/>
      <c r="B180" s="49"/>
      <c r="C180" s="50" t="s">
        <v>133</v>
      </c>
      <c r="D180" s="51"/>
      <c r="E180" s="73">
        <v>0.0</v>
      </c>
      <c r="F180" s="73">
        <v>0.0</v>
      </c>
      <c r="G180" s="73">
        <v>0.0</v>
      </c>
      <c r="H180" s="73">
        <v>2.0</v>
      </c>
      <c r="I180" s="73">
        <v>1.0</v>
      </c>
      <c r="J180" s="73">
        <v>0.0</v>
      </c>
      <c r="K180" s="73">
        <v>0.0</v>
      </c>
      <c r="L180" s="13">
        <f t="shared" si="36"/>
        <v>3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0.0</v>
      </c>
      <c r="G181" s="73">
        <v>0.0</v>
      </c>
      <c r="H181" s="73">
        <v>1.0</v>
      </c>
      <c r="I181" s="73">
        <v>1.0</v>
      </c>
      <c r="J181" s="73">
        <v>1.0</v>
      </c>
      <c r="K181" s="73">
        <v>1.0</v>
      </c>
      <c r="L181" s="13">
        <f t="shared" si="36"/>
        <v>4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1.0</v>
      </c>
      <c r="I182" s="73">
        <v>0.0</v>
      </c>
      <c r="J182" s="73">
        <v>0.0</v>
      </c>
      <c r="K182" s="73">
        <v>0.0</v>
      </c>
      <c r="L182" s="13">
        <f t="shared" si="36"/>
        <v>1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13">
        <f t="shared" si="36"/>
        <v>0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0.0</v>
      </c>
      <c r="J184" s="80">
        <v>0.0</v>
      </c>
      <c r="K184" s="80">
        <v>0.0</v>
      </c>
      <c r="L184" s="13">
        <f t="shared" si="36"/>
        <v>0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0.0</v>
      </c>
      <c r="G185" s="80">
        <v>0.0</v>
      </c>
      <c r="H185" s="80">
        <v>0.0</v>
      </c>
      <c r="I185" s="80">
        <v>0.0</v>
      </c>
      <c r="J185" s="80">
        <v>0.0</v>
      </c>
      <c r="K185" s="80">
        <v>0.0</v>
      </c>
      <c r="L185" s="13">
        <f t="shared" si="36"/>
        <v>0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1.0</v>
      </c>
      <c r="L186" s="13">
        <f t="shared" si="36"/>
        <v>1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L187" si="37">SUM(E177:E186)</f>
        <v>3</v>
      </c>
      <c r="F187" s="13">
        <f t="shared" si="37"/>
        <v>1</v>
      </c>
      <c r="G187" s="13">
        <f t="shared" si="37"/>
        <v>1</v>
      </c>
      <c r="H187" s="13">
        <f t="shared" si="37"/>
        <v>5</v>
      </c>
      <c r="I187" s="13">
        <f t="shared" si="37"/>
        <v>2</v>
      </c>
      <c r="J187" s="13">
        <f t="shared" si="37"/>
        <v>6</v>
      </c>
      <c r="K187" s="13">
        <f t="shared" si="37"/>
        <v>9</v>
      </c>
      <c r="L187" s="13">
        <f t="shared" si="37"/>
        <v>27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1.0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13">
        <f t="shared" ref="L189:L198" si="38">SUM(E189:K189)</f>
        <v>1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13">
        <f t="shared" si="38"/>
        <v>0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1.0</v>
      </c>
      <c r="K191" s="73">
        <v>0.0</v>
      </c>
      <c r="L191" s="13">
        <f t="shared" si="38"/>
        <v>1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1.0</v>
      </c>
      <c r="I192" s="73">
        <v>0.0</v>
      </c>
      <c r="J192" s="73">
        <v>0.0</v>
      </c>
      <c r="K192" s="73">
        <v>0.0</v>
      </c>
      <c r="L192" s="13">
        <f t="shared" si="38"/>
        <v>1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13">
        <f t="shared" si="38"/>
        <v>0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13">
        <f t="shared" si="38"/>
        <v>0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13">
        <f t="shared" si="38"/>
        <v>0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13">
        <f t="shared" si="38"/>
        <v>0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13">
        <f t="shared" si="38"/>
        <v>0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L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3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5.0</v>
      </c>
      <c r="F201" s="73">
        <v>11.0</v>
      </c>
      <c r="G201" s="73">
        <v>3.0</v>
      </c>
      <c r="H201" s="73">
        <v>1.0</v>
      </c>
      <c r="I201" s="73">
        <v>4.0</v>
      </c>
      <c r="J201" s="73">
        <v>12.0</v>
      </c>
      <c r="K201" s="73">
        <v>4.0</v>
      </c>
      <c r="L201" s="13">
        <f t="shared" ref="L201:L210" si="40">SUM(E201:K201)</f>
        <v>40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2.0</v>
      </c>
      <c r="F202" s="73">
        <v>8.0</v>
      </c>
      <c r="G202" s="73">
        <v>5.0</v>
      </c>
      <c r="H202" s="73">
        <v>4.0</v>
      </c>
      <c r="I202" s="73">
        <v>0.0</v>
      </c>
      <c r="J202" s="73">
        <v>4.0</v>
      </c>
      <c r="K202" s="73">
        <v>5.0</v>
      </c>
      <c r="L202" s="13">
        <f t="shared" si="40"/>
        <v>28</v>
      </c>
    </row>
    <row r="203" ht="12.75" customHeight="1">
      <c r="A203" s="18"/>
      <c r="B203" s="49"/>
      <c r="C203" s="50" t="s">
        <v>154</v>
      </c>
      <c r="D203" s="51"/>
      <c r="E203" s="73">
        <v>9.0</v>
      </c>
      <c r="F203" s="73">
        <v>5.0</v>
      </c>
      <c r="G203" s="73">
        <v>1.0</v>
      </c>
      <c r="H203" s="73">
        <v>2.0</v>
      </c>
      <c r="I203" s="73">
        <v>1.0</v>
      </c>
      <c r="J203" s="73">
        <v>3.0</v>
      </c>
      <c r="K203" s="73">
        <v>2.0</v>
      </c>
      <c r="L203" s="13">
        <f t="shared" si="40"/>
        <v>23</v>
      </c>
    </row>
    <row r="204" ht="12.75" customHeight="1">
      <c r="A204" s="18"/>
      <c r="B204" s="49"/>
      <c r="C204" s="50" t="s">
        <v>155</v>
      </c>
      <c r="D204" s="51"/>
      <c r="E204" s="73">
        <v>2.0</v>
      </c>
      <c r="F204" s="73">
        <v>0.0</v>
      </c>
      <c r="G204" s="73">
        <v>0.0</v>
      </c>
      <c r="H204" s="73">
        <v>0.0</v>
      </c>
      <c r="I204" s="73">
        <v>1.0</v>
      </c>
      <c r="J204" s="73">
        <v>3.0</v>
      </c>
      <c r="K204" s="73">
        <v>1.0</v>
      </c>
      <c r="L204" s="13">
        <f t="shared" si="40"/>
        <v>7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1.0</v>
      </c>
      <c r="J205" s="73">
        <v>0.0</v>
      </c>
      <c r="K205" s="73">
        <v>0.0</v>
      </c>
      <c r="L205" s="13">
        <f t="shared" si="40"/>
        <v>1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13">
        <f t="shared" si="40"/>
        <v>0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1.0</v>
      </c>
      <c r="G207" s="73">
        <v>1.0</v>
      </c>
      <c r="H207" s="73">
        <v>0.0</v>
      </c>
      <c r="I207" s="73">
        <v>0.0</v>
      </c>
      <c r="J207" s="73">
        <v>0.0</v>
      </c>
      <c r="K207" s="73">
        <v>0.0</v>
      </c>
      <c r="L207" s="13">
        <f t="shared" si="40"/>
        <v>2</v>
      </c>
    </row>
    <row r="208" ht="12.75" customHeight="1">
      <c r="A208" s="79"/>
      <c r="B208" s="49"/>
      <c r="C208" s="50" t="s">
        <v>159</v>
      </c>
      <c r="D208" s="51"/>
      <c r="E208" s="80">
        <v>1.0</v>
      </c>
      <c r="F208" s="80">
        <v>1.0</v>
      </c>
      <c r="G208" s="80">
        <v>1.0</v>
      </c>
      <c r="H208" s="80">
        <v>0.0</v>
      </c>
      <c r="I208" s="80">
        <v>0.0</v>
      </c>
      <c r="J208" s="80">
        <v>0.0</v>
      </c>
      <c r="K208" s="80">
        <v>0.0</v>
      </c>
      <c r="L208" s="13">
        <f t="shared" si="40"/>
        <v>3</v>
      </c>
    </row>
    <row r="209" ht="12.75" customHeight="1">
      <c r="A209" s="79"/>
      <c r="B209" s="49"/>
      <c r="C209" s="50" t="s">
        <v>160</v>
      </c>
      <c r="D209" s="51"/>
      <c r="E209" s="80">
        <v>1.0</v>
      </c>
      <c r="F209" s="80">
        <v>0.0</v>
      </c>
      <c r="G209" s="80">
        <v>0.0</v>
      </c>
      <c r="H209" s="80">
        <v>0.0</v>
      </c>
      <c r="I209" s="80">
        <v>0.0</v>
      </c>
      <c r="J209" s="80">
        <v>1.0</v>
      </c>
      <c r="K209" s="80">
        <v>0.0</v>
      </c>
      <c r="L209" s="13">
        <f t="shared" si="40"/>
        <v>2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0.0</v>
      </c>
      <c r="H210" s="80">
        <v>0.0</v>
      </c>
      <c r="I210" s="80">
        <v>0.0</v>
      </c>
      <c r="J210" s="80">
        <v>1.0</v>
      </c>
      <c r="K210" s="80">
        <v>0.0</v>
      </c>
      <c r="L210" s="13">
        <f t="shared" si="40"/>
        <v>1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L211" si="41">SUM(E201:E210)</f>
        <v>20</v>
      </c>
      <c r="F211" s="13">
        <f t="shared" si="41"/>
        <v>26</v>
      </c>
      <c r="G211" s="13">
        <f t="shared" si="41"/>
        <v>11</v>
      </c>
      <c r="H211" s="13">
        <f t="shared" si="41"/>
        <v>7</v>
      </c>
      <c r="I211" s="13">
        <f t="shared" si="41"/>
        <v>7</v>
      </c>
      <c r="J211" s="13">
        <f t="shared" si="41"/>
        <v>24</v>
      </c>
      <c r="K211" s="13">
        <f t="shared" si="41"/>
        <v>12</v>
      </c>
      <c r="L211" s="13">
        <f t="shared" si="41"/>
        <v>107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6.0</v>
      </c>
      <c r="F213" s="73">
        <v>1.0</v>
      </c>
      <c r="G213" s="73">
        <v>3.0</v>
      </c>
      <c r="H213" s="73">
        <v>0.0</v>
      </c>
      <c r="I213" s="73">
        <v>4.0</v>
      </c>
      <c r="J213" s="73">
        <v>4.0</v>
      </c>
      <c r="K213" s="73">
        <v>2.0</v>
      </c>
      <c r="L213" s="13">
        <f t="shared" ref="L213:L222" si="42">SUM(E213:K213)</f>
        <v>20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1.0</v>
      </c>
      <c r="F214" s="73">
        <v>0.0</v>
      </c>
      <c r="G214" s="73">
        <v>1.0</v>
      </c>
      <c r="H214" s="73">
        <v>0.0</v>
      </c>
      <c r="I214" s="73">
        <v>2.0</v>
      </c>
      <c r="J214" s="73">
        <v>0.0</v>
      </c>
      <c r="K214" s="73">
        <v>0.0</v>
      </c>
      <c r="L214" s="13">
        <f t="shared" si="42"/>
        <v>4</v>
      </c>
    </row>
    <row r="215" ht="12.75" customHeight="1">
      <c r="A215" s="18"/>
      <c r="B215" s="49"/>
      <c r="C215" s="50" t="s">
        <v>165</v>
      </c>
      <c r="D215" s="51"/>
      <c r="E215" s="73">
        <v>2.0</v>
      </c>
      <c r="F215" s="73">
        <v>0.0</v>
      </c>
      <c r="G215" s="73">
        <v>0.0</v>
      </c>
      <c r="H215" s="73">
        <v>1.0</v>
      </c>
      <c r="I215" s="73">
        <v>1.0</v>
      </c>
      <c r="J215" s="73">
        <v>1.0</v>
      </c>
      <c r="K215" s="73">
        <v>3.0</v>
      </c>
      <c r="L215" s="13">
        <f t="shared" si="42"/>
        <v>8</v>
      </c>
    </row>
    <row r="216" ht="12.75" customHeight="1">
      <c r="A216" s="18"/>
      <c r="B216" s="49"/>
      <c r="C216" s="50" t="s">
        <v>166</v>
      </c>
      <c r="D216" s="51"/>
      <c r="E216" s="73">
        <v>0.0</v>
      </c>
      <c r="F216" s="73">
        <v>0.0</v>
      </c>
      <c r="G216" s="73">
        <v>0.0</v>
      </c>
      <c r="H216" s="73">
        <v>1.0</v>
      </c>
      <c r="I216" s="73">
        <v>0.0</v>
      </c>
      <c r="J216" s="73">
        <v>0.0</v>
      </c>
      <c r="K216" s="73">
        <v>0.0</v>
      </c>
      <c r="L216" s="13">
        <f t="shared" si="42"/>
        <v>1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L223" si="43">SUM(E213:E222)</f>
        <v>9</v>
      </c>
      <c r="F223" s="13">
        <f t="shared" si="43"/>
        <v>1</v>
      </c>
      <c r="G223" s="13">
        <f t="shared" si="43"/>
        <v>4</v>
      </c>
      <c r="H223" s="13">
        <f t="shared" si="43"/>
        <v>2</v>
      </c>
      <c r="I223" s="13">
        <f t="shared" si="43"/>
        <v>7</v>
      </c>
      <c r="J223" s="13">
        <f t="shared" si="43"/>
        <v>5</v>
      </c>
      <c r="K223" s="13">
        <f t="shared" si="43"/>
        <v>5</v>
      </c>
      <c r="L223" s="13">
        <f t="shared" si="43"/>
        <v>33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3.0</v>
      </c>
      <c r="G225" s="73">
        <v>0.0</v>
      </c>
      <c r="H225" s="73">
        <v>0.0</v>
      </c>
      <c r="I225" s="73">
        <v>1.0</v>
      </c>
      <c r="J225" s="73">
        <v>0.0</v>
      </c>
      <c r="K225" s="73">
        <v>0.0</v>
      </c>
      <c r="L225" s="13">
        <f t="shared" ref="L225:L234" si="44">SUM(E225:K225)</f>
        <v>4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1.0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13">
        <f t="shared" si="44"/>
        <v>1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1.0</v>
      </c>
      <c r="I227" s="73">
        <v>0.0</v>
      </c>
      <c r="J227" s="73">
        <v>1.0</v>
      </c>
      <c r="K227" s="73">
        <v>0.0</v>
      </c>
      <c r="L227" s="13">
        <f t="shared" si="44"/>
        <v>2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13">
        <f t="shared" si="44"/>
        <v>0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1.0</v>
      </c>
      <c r="I229" s="73">
        <v>0.0</v>
      </c>
      <c r="J229" s="73">
        <v>0.0</v>
      </c>
      <c r="K229" s="73">
        <v>0.0</v>
      </c>
      <c r="L229" s="13">
        <f t="shared" si="44"/>
        <v>1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L235" si="45">SUM(E225:E234)</f>
        <v>0</v>
      </c>
      <c r="F235" s="13">
        <f t="shared" si="45"/>
        <v>4</v>
      </c>
      <c r="G235" s="13">
        <f t="shared" si="45"/>
        <v>0</v>
      </c>
      <c r="H235" s="13">
        <f t="shared" si="45"/>
        <v>2</v>
      </c>
      <c r="I235" s="13">
        <f t="shared" si="45"/>
        <v>1</v>
      </c>
      <c r="J235" s="13">
        <f t="shared" si="45"/>
        <v>1</v>
      </c>
      <c r="K235" s="13">
        <f t="shared" si="45"/>
        <v>0</v>
      </c>
      <c r="L235" s="13">
        <f t="shared" si="45"/>
        <v>8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0.0</v>
      </c>
      <c r="F237" s="73">
        <v>0.0</v>
      </c>
      <c r="G237" s="73">
        <v>0.0</v>
      </c>
      <c r="H237" s="73">
        <v>2.0</v>
      </c>
      <c r="I237" s="73">
        <v>0.0</v>
      </c>
      <c r="J237" s="73">
        <v>1.0</v>
      </c>
      <c r="K237" s="73">
        <v>4.0</v>
      </c>
      <c r="L237" s="13">
        <f t="shared" ref="L237:L246" si="46">SUM(E237:K237)</f>
        <v>7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2.0</v>
      </c>
      <c r="F238" s="73">
        <v>0.0</v>
      </c>
      <c r="G238" s="73">
        <v>0.0</v>
      </c>
      <c r="H238" s="73">
        <v>1.0</v>
      </c>
      <c r="I238" s="73">
        <v>0.0</v>
      </c>
      <c r="J238" s="73">
        <v>1.0</v>
      </c>
      <c r="K238" s="73">
        <v>0.0</v>
      </c>
      <c r="L238" s="13">
        <f t="shared" si="46"/>
        <v>4</v>
      </c>
    </row>
    <row r="239" ht="12.75" customHeight="1">
      <c r="A239" s="18"/>
      <c r="B239" s="49"/>
      <c r="C239" s="50" t="s">
        <v>176</v>
      </c>
      <c r="D239" s="51"/>
      <c r="E239" s="73">
        <v>2.0</v>
      </c>
      <c r="F239" s="73">
        <v>0.0</v>
      </c>
      <c r="G239" s="73">
        <v>0.0</v>
      </c>
      <c r="H239" s="73">
        <v>1.0</v>
      </c>
      <c r="I239" s="73">
        <v>0.0</v>
      </c>
      <c r="J239" s="73">
        <v>2.0</v>
      </c>
      <c r="K239" s="73">
        <v>3.0</v>
      </c>
      <c r="L239" s="13">
        <f t="shared" si="46"/>
        <v>8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13">
        <f t="shared" si="46"/>
        <v>0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1.0</v>
      </c>
      <c r="L241" s="13">
        <f t="shared" si="46"/>
        <v>1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13">
        <f t="shared" si="46"/>
        <v>0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1.0</v>
      </c>
      <c r="L243" s="13">
        <f t="shared" si="46"/>
        <v>1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13">
        <f t="shared" si="46"/>
        <v>0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0.0</v>
      </c>
      <c r="I246" s="80">
        <v>1.0</v>
      </c>
      <c r="J246" s="80">
        <v>0.0</v>
      </c>
      <c r="K246" s="80">
        <v>0.0</v>
      </c>
      <c r="L246" s="13">
        <f t="shared" si="46"/>
        <v>1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L247" si="47">SUM(E237:E246)</f>
        <v>4</v>
      </c>
      <c r="F247" s="13">
        <f t="shared" si="47"/>
        <v>0</v>
      </c>
      <c r="G247" s="13">
        <f t="shared" si="47"/>
        <v>0</v>
      </c>
      <c r="H247" s="13">
        <f t="shared" si="47"/>
        <v>4</v>
      </c>
      <c r="I247" s="13">
        <f t="shared" si="47"/>
        <v>1</v>
      </c>
      <c r="J247" s="13">
        <f t="shared" si="47"/>
        <v>4</v>
      </c>
      <c r="K247" s="13">
        <f t="shared" si="47"/>
        <v>9</v>
      </c>
      <c r="L247" s="13">
        <f t="shared" si="47"/>
        <v>22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1.0</v>
      </c>
      <c r="J249" s="73">
        <v>0.0</v>
      </c>
      <c r="K249" s="73">
        <v>0.0</v>
      </c>
      <c r="L249" s="13">
        <f t="shared" ref="L249:L258" si="48">SUM(E249:K249)</f>
        <v>1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0.0</v>
      </c>
      <c r="G250" s="73">
        <v>1.0</v>
      </c>
      <c r="H250" s="73">
        <v>0.0</v>
      </c>
      <c r="I250" s="73">
        <v>0.0</v>
      </c>
      <c r="J250" s="73">
        <v>1.0</v>
      </c>
      <c r="K250" s="73">
        <v>0.0</v>
      </c>
      <c r="L250" s="13">
        <f t="shared" si="48"/>
        <v>2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1.0</v>
      </c>
      <c r="H251" s="73">
        <v>0.0</v>
      </c>
      <c r="I251" s="73">
        <v>0.0</v>
      </c>
      <c r="J251" s="73">
        <v>0.0</v>
      </c>
      <c r="K251" s="73">
        <v>0.0</v>
      </c>
      <c r="L251" s="13">
        <f t="shared" si="48"/>
        <v>1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13">
        <f t="shared" si="48"/>
        <v>0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L259" si="49">SUM(E249:E258)</f>
        <v>0</v>
      </c>
      <c r="F259" s="13">
        <f t="shared" si="49"/>
        <v>0</v>
      </c>
      <c r="G259" s="13">
        <f t="shared" si="49"/>
        <v>2</v>
      </c>
      <c r="H259" s="13">
        <f t="shared" si="49"/>
        <v>0</v>
      </c>
      <c r="I259" s="13">
        <f t="shared" si="49"/>
        <v>1</v>
      </c>
      <c r="J259" s="13">
        <f t="shared" si="49"/>
        <v>1</v>
      </c>
      <c r="K259" s="13">
        <f t="shared" si="49"/>
        <v>0</v>
      </c>
      <c r="L259" s="13">
        <f t="shared" si="49"/>
        <v>4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K262" si="50">E55+E67+E79+E91+E103+E115+E127+E139+E151+E163+E175+E187+E199+E211+E223+E235+E247+E259</f>
        <v>187</v>
      </c>
      <c r="F262" s="19">
        <f t="shared" si="50"/>
        <v>136</v>
      </c>
      <c r="G262" s="19">
        <f t="shared" si="50"/>
        <v>136</v>
      </c>
      <c r="H262" s="19">
        <f t="shared" si="50"/>
        <v>173</v>
      </c>
      <c r="I262" s="19">
        <f t="shared" si="50"/>
        <v>152</v>
      </c>
      <c r="J262" s="19">
        <f t="shared" si="50"/>
        <v>132</v>
      </c>
      <c r="K262" s="19">
        <f t="shared" si="50"/>
        <v>175</v>
      </c>
      <c r="L262" s="13">
        <f t="shared" ref="L262:L264" si="51">SUM(E262:K262)</f>
        <v>1091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26.0</v>
      </c>
      <c r="F263" s="73">
        <v>25.0</v>
      </c>
      <c r="G263" s="73">
        <v>26.0</v>
      </c>
      <c r="H263" s="73">
        <v>29.0</v>
      </c>
      <c r="I263" s="73">
        <v>17.0</v>
      </c>
      <c r="J263" s="73">
        <v>44.0</v>
      </c>
      <c r="K263" s="73">
        <v>36.0</v>
      </c>
      <c r="L263" s="13">
        <f t="shared" si="51"/>
        <v>203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K264" si="52">SUM(E262:E263)</f>
        <v>213</v>
      </c>
      <c r="F264" s="13">
        <f t="shared" si="52"/>
        <v>161</v>
      </c>
      <c r="G264" s="13">
        <f t="shared" si="52"/>
        <v>162</v>
      </c>
      <c r="H264" s="13">
        <f t="shared" si="52"/>
        <v>202</v>
      </c>
      <c r="I264" s="13">
        <f t="shared" si="52"/>
        <v>169</v>
      </c>
      <c r="J264" s="13">
        <f t="shared" si="52"/>
        <v>176</v>
      </c>
      <c r="K264" s="13">
        <f t="shared" si="52"/>
        <v>211</v>
      </c>
      <c r="L264" s="13">
        <f t="shared" si="51"/>
        <v>1294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K12"/>
    <mergeCell ref="L12: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K15">
    <cfRule type="containsBlanks" dxfId="1" priority="1">
      <formula>LEN(TRIM(E14))=0</formula>
    </cfRule>
  </conditionalFormatting>
  <conditionalFormatting sqref="E19:K20">
    <cfRule type="containsBlanks" dxfId="1" priority="2">
      <formula>LEN(TRIM(E19))=0</formula>
    </cfRule>
  </conditionalFormatting>
  <conditionalFormatting sqref="E22:K23 E25:K26 E33:K33 E35:K35 E39:K40">
    <cfRule type="containsBlanks" dxfId="1" priority="3">
      <formula>LEN(TRIM(E22))=0</formula>
    </cfRule>
  </conditionalFormatting>
  <conditionalFormatting sqref="E30:K30">
    <cfRule type="expression" dxfId="0" priority="4">
      <formula>E30&lt;&gt;E47</formula>
    </cfRule>
  </conditionalFormatting>
  <conditionalFormatting sqref="E30:K30">
    <cfRule type="expression" dxfId="0" priority="5">
      <formula>E30&lt;&gt;E34</formula>
    </cfRule>
  </conditionalFormatting>
  <conditionalFormatting sqref="E34:K34">
    <cfRule type="expression" dxfId="2" priority="6">
      <formula>E30&lt;&gt;E34</formula>
    </cfRule>
  </conditionalFormatting>
  <conditionalFormatting sqref="E34:K34">
    <cfRule type="expression" dxfId="3" priority="7">
      <formula>E30=E34</formula>
    </cfRule>
  </conditionalFormatting>
  <conditionalFormatting sqref="E34:K34">
    <cfRule type="expression" dxfId="0" priority="8">
      <formula>E34&lt;&gt;E30</formula>
    </cfRule>
  </conditionalFormatting>
  <conditionalFormatting sqref="E34:K34">
    <cfRule type="expression" dxfId="0" priority="9">
      <formula>E34&lt;&gt;E64</formula>
    </cfRule>
  </conditionalFormatting>
  <conditionalFormatting sqref="E45:K54">
    <cfRule type="containsBlanks" dxfId="1" priority="10">
      <formula>LEN(TRIM(E45))=0</formula>
    </cfRule>
  </conditionalFormatting>
  <conditionalFormatting sqref="E57:K66">
    <cfRule type="containsBlanks" dxfId="1" priority="11">
      <formula>LEN(TRIM(E57))=0</formula>
    </cfRule>
  </conditionalFormatting>
  <conditionalFormatting sqref="E69:K78">
    <cfRule type="containsBlanks" dxfId="1" priority="12">
      <formula>LEN(TRIM(E69))=0</formula>
    </cfRule>
  </conditionalFormatting>
  <conditionalFormatting sqref="E81:K90">
    <cfRule type="containsBlanks" dxfId="1" priority="13">
      <formula>LEN(TRIM(E81))=0</formula>
    </cfRule>
  </conditionalFormatting>
  <conditionalFormatting sqref="E93:K102">
    <cfRule type="containsBlanks" dxfId="1" priority="14">
      <formula>LEN(TRIM(E93))=0</formula>
    </cfRule>
  </conditionalFormatting>
  <conditionalFormatting sqref="E105:K114">
    <cfRule type="containsBlanks" dxfId="1" priority="15">
      <formula>LEN(TRIM(E105))=0</formula>
    </cfRule>
  </conditionalFormatting>
  <conditionalFormatting sqref="E117:K126">
    <cfRule type="containsBlanks" dxfId="1" priority="16">
      <formula>LEN(TRIM(E117))=0</formula>
    </cfRule>
  </conditionalFormatting>
  <conditionalFormatting sqref="E129:K138">
    <cfRule type="containsBlanks" dxfId="1" priority="17">
      <formula>LEN(TRIM(E129))=0</formula>
    </cfRule>
  </conditionalFormatting>
  <conditionalFormatting sqref="E141:K150">
    <cfRule type="containsBlanks" dxfId="1" priority="18">
      <formula>LEN(TRIM(E141))=0</formula>
    </cfRule>
  </conditionalFormatting>
  <conditionalFormatting sqref="E153:K162">
    <cfRule type="containsBlanks" dxfId="1" priority="19">
      <formula>LEN(TRIM(E153))=0</formula>
    </cfRule>
  </conditionalFormatting>
  <conditionalFormatting sqref="E165:K174">
    <cfRule type="containsBlanks" dxfId="1" priority="20">
      <formula>LEN(TRIM(E165))=0</formula>
    </cfRule>
  </conditionalFormatting>
  <conditionalFormatting sqref="E177:K186">
    <cfRule type="containsBlanks" dxfId="1" priority="21">
      <formula>LEN(TRIM(E177))=0</formula>
    </cfRule>
  </conditionalFormatting>
  <conditionalFormatting sqref="E189:K198">
    <cfRule type="containsBlanks" dxfId="1" priority="22">
      <formula>LEN(TRIM(E189))=0</formula>
    </cfRule>
  </conditionalFormatting>
  <conditionalFormatting sqref="E201:K210">
    <cfRule type="containsBlanks" dxfId="1" priority="23">
      <formula>LEN(TRIM(E201))=0</formula>
    </cfRule>
  </conditionalFormatting>
  <conditionalFormatting sqref="E213:K222">
    <cfRule type="containsBlanks" dxfId="1" priority="24">
      <formula>LEN(TRIM(E213))=0</formula>
    </cfRule>
  </conditionalFormatting>
  <conditionalFormatting sqref="E225:K234">
    <cfRule type="containsBlanks" dxfId="1" priority="25">
      <formula>LEN(TRIM(E225))=0</formula>
    </cfRule>
  </conditionalFormatting>
  <conditionalFormatting sqref="E237:K246">
    <cfRule type="containsBlanks" dxfId="1" priority="26">
      <formula>LEN(TRIM(E237))=0</formula>
    </cfRule>
  </conditionalFormatting>
  <conditionalFormatting sqref="E249:K258">
    <cfRule type="containsBlanks" dxfId="1" priority="27">
      <formula>LEN(TRIM(E249))=0</formula>
    </cfRule>
  </conditionalFormatting>
  <conditionalFormatting sqref="E262:K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239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36"/>
    </row>
    <row r="14" ht="12.75" customHeight="1">
      <c r="A14" s="18"/>
      <c r="B14" s="22" t="s">
        <v>10</v>
      </c>
      <c r="C14" s="23"/>
      <c r="D14" s="19" t="s">
        <v>11</v>
      </c>
      <c r="E14" s="73">
        <v>129.0</v>
      </c>
      <c r="F14" s="73">
        <v>143.0</v>
      </c>
      <c r="G14" s="73">
        <v>148.0</v>
      </c>
      <c r="H14" s="73">
        <v>139.0</v>
      </c>
      <c r="I14" s="73">
        <v>130.0</v>
      </c>
      <c r="J14" s="73">
        <v>128.0</v>
      </c>
      <c r="K14" s="73">
        <v>147.0</v>
      </c>
      <c r="L14" s="73">
        <v>119.0</v>
      </c>
      <c r="M14" s="13">
        <f t="shared" ref="M14:M16" si="1">SUM(E14:L14)</f>
        <v>1083</v>
      </c>
    </row>
    <row r="15" ht="12.75" customHeight="1">
      <c r="A15" s="18"/>
      <c r="B15" s="26"/>
      <c r="C15" s="27"/>
      <c r="D15" s="19" t="s">
        <v>12</v>
      </c>
      <c r="E15" s="73">
        <v>136.0</v>
      </c>
      <c r="F15" s="73">
        <v>151.0</v>
      </c>
      <c r="G15" s="73">
        <v>146.0</v>
      </c>
      <c r="H15" s="73">
        <v>151.0</v>
      </c>
      <c r="I15" s="73">
        <v>159.0</v>
      </c>
      <c r="J15" s="73">
        <v>136.0</v>
      </c>
      <c r="K15" s="73">
        <v>146.0</v>
      </c>
      <c r="L15" s="73">
        <v>130.0</v>
      </c>
      <c r="M15" s="13">
        <f t="shared" si="1"/>
        <v>1155</v>
      </c>
    </row>
    <row r="16" ht="12.75" customHeight="1">
      <c r="A16" s="25"/>
      <c r="B16" s="21"/>
      <c r="C16" s="28"/>
      <c r="D16" s="13" t="s">
        <v>13</v>
      </c>
      <c r="E16" s="13">
        <f t="shared" ref="E16:L16" si="2">SUM(E14:E15)</f>
        <v>265</v>
      </c>
      <c r="F16" s="13">
        <f t="shared" si="2"/>
        <v>294</v>
      </c>
      <c r="G16" s="13">
        <f t="shared" si="2"/>
        <v>294</v>
      </c>
      <c r="H16" s="13">
        <f t="shared" si="2"/>
        <v>290</v>
      </c>
      <c r="I16" s="13">
        <f t="shared" si="2"/>
        <v>289</v>
      </c>
      <c r="J16" s="13">
        <f t="shared" si="2"/>
        <v>264</v>
      </c>
      <c r="K16" s="13">
        <f t="shared" si="2"/>
        <v>293</v>
      </c>
      <c r="L16" s="13">
        <f t="shared" si="2"/>
        <v>249</v>
      </c>
      <c r="M16" s="13">
        <f t="shared" si="1"/>
        <v>2238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85.0</v>
      </c>
      <c r="F19" s="73">
        <v>103.0</v>
      </c>
      <c r="G19" s="73">
        <v>108.0</v>
      </c>
      <c r="H19" s="73">
        <v>113.0</v>
      </c>
      <c r="I19" s="73">
        <v>100.0</v>
      </c>
      <c r="J19" s="73">
        <v>85.0</v>
      </c>
      <c r="K19" s="73">
        <v>98.0</v>
      </c>
      <c r="L19" s="73">
        <v>83.0</v>
      </c>
      <c r="M19" s="13">
        <f t="shared" ref="M19:M30" si="3">SUM(E19:L19)</f>
        <v>775</v>
      </c>
    </row>
    <row r="20" ht="12.75" customHeight="1">
      <c r="A20" s="33"/>
      <c r="B20" s="27"/>
      <c r="C20" s="34"/>
      <c r="D20" s="19" t="s">
        <v>12</v>
      </c>
      <c r="E20" s="73">
        <v>94.0</v>
      </c>
      <c r="F20" s="73">
        <v>122.0</v>
      </c>
      <c r="G20" s="73">
        <v>120.0</v>
      </c>
      <c r="H20" s="73">
        <v>126.0</v>
      </c>
      <c r="I20" s="73">
        <v>137.0</v>
      </c>
      <c r="J20" s="73">
        <v>102.0</v>
      </c>
      <c r="K20" s="73">
        <v>108.0</v>
      </c>
      <c r="L20" s="73">
        <v>105.0</v>
      </c>
      <c r="M20" s="13">
        <f t="shared" si="3"/>
        <v>914</v>
      </c>
    </row>
    <row r="21" ht="12.75" customHeight="1">
      <c r="A21" s="35"/>
      <c r="B21" s="28"/>
      <c r="C21" s="36"/>
      <c r="D21" s="13" t="s">
        <v>13</v>
      </c>
      <c r="E21" s="13">
        <f t="shared" ref="E21:L21" si="4">SUM(E19:E20)</f>
        <v>179</v>
      </c>
      <c r="F21" s="13">
        <f t="shared" si="4"/>
        <v>225</v>
      </c>
      <c r="G21" s="13">
        <f t="shared" si="4"/>
        <v>228</v>
      </c>
      <c r="H21" s="13">
        <f t="shared" si="4"/>
        <v>239</v>
      </c>
      <c r="I21" s="13">
        <f t="shared" si="4"/>
        <v>237</v>
      </c>
      <c r="J21" s="13">
        <f t="shared" si="4"/>
        <v>187</v>
      </c>
      <c r="K21" s="13">
        <f t="shared" si="4"/>
        <v>206</v>
      </c>
      <c r="L21" s="13">
        <f t="shared" si="4"/>
        <v>188</v>
      </c>
      <c r="M21" s="13">
        <f t="shared" si="3"/>
        <v>1689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1.0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L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0.0</v>
      </c>
      <c r="F25" s="73">
        <v>0.0</v>
      </c>
      <c r="G25" s="73">
        <v>0.0</v>
      </c>
      <c r="H25" s="73">
        <v>2.0</v>
      </c>
      <c r="I25" s="73">
        <v>0.0</v>
      </c>
      <c r="J25" s="73">
        <v>0.0</v>
      </c>
      <c r="K25" s="73">
        <v>2.0</v>
      </c>
      <c r="L25" s="73">
        <v>0.0</v>
      </c>
      <c r="M25" s="13">
        <f t="shared" si="3"/>
        <v>4</v>
      </c>
    </row>
    <row r="26" ht="12.75" customHeight="1">
      <c r="A26" s="33"/>
      <c r="B26" s="27"/>
      <c r="C26" s="34"/>
      <c r="D26" s="19" t="s">
        <v>12</v>
      </c>
      <c r="E26" s="73">
        <v>1.0</v>
      </c>
      <c r="F26" s="73">
        <v>4.0</v>
      </c>
      <c r="G26" s="73">
        <v>0.0</v>
      </c>
      <c r="H26" s="73">
        <v>1.0</v>
      </c>
      <c r="I26" s="73">
        <v>2.0</v>
      </c>
      <c r="J26" s="73">
        <v>1.0</v>
      </c>
      <c r="K26" s="73">
        <v>1.0</v>
      </c>
      <c r="L26" s="73">
        <v>2.0</v>
      </c>
      <c r="M26" s="13">
        <f t="shared" si="3"/>
        <v>12</v>
      </c>
    </row>
    <row r="27" ht="12.75" customHeight="1">
      <c r="A27" s="35"/>
      <c r="B27" s="28"/>
      <c r="C27" s="36"/>
      <c r="D27" s="13" t="s">
        <v>13</v>
      </c>
      <c r="E27" s="13">
        <f t="shared" ref="E27:L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1</v>
      </c>
      <c r="K27" s="13">
        <f t="shared" si="6"/>
        <v>3</v>
      </c>
      <c r="L27" s="13">
        <f t="shared" si="6"/>
        <v>2</v>
      </c>
      <c r="M27" s="13">
        <f t="shared" si="3"/>
        <v>16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L28" si="7">SUM(E19,E22,E25)</f>
        <v>85</v>
      </c>
      <c r="F28" s="13">
        <f t="shared" si="7"/>
        <v>104</v>
      </c>
      <c r="G28" s="13">
        <f t="shared" si="7"/>
        <v>108</v>
      </c>
      <c r="H28" s="13">
        <f t="shared" si="7"/>
        <v>115</v>
      </c>
      <c r="I28" s="13">
        <f t="shared" si="7"/>
        <v>100</v>
      </c>
      <c r="J28" s="13">
        <f t="shared" si="7"/>
        <v>85</v>
      </c>
      <c r="K28" s="13">
        <f t="shared" si="7"/>
        <v>100</v>
      </c>
      <c r="L28" s="13">
        <f t="shared" si="7"/>
        <v>83</v>
      </c>
      <c r="M28" s="13">
        <f t="shared" si="3"/>
        <v>780</v>
      </c>
    </row>
    <row r="29" ht="12.75" customHeight="1">
      <c r="A29" s="35"/>
      <c r="B29" s="27"/>
      <c r="C29" s="34"/>
      <c r="D29" s="13" t="s">
        <v>12</v>
      </c>
      <c r="E29" s="13">
        <f t="shared" ref="E29:L29" si="8">SUM(E20,E23,E26)</f>
        <v>95</v>
      </c>
      <c r="F29" s="13">
        <f t="shared" si="8"/>
        <v>126</v>
      </c>
      <c r="G29" s="13">
        <f t="shared" si="8"/>
        <v>120</v>
      </c>
      <c r="H29" s="13">
        <f t="shared" si="8"/>
        <v>127</v>
      </c>
      <c r="I29" s="13">
        <f t="shared" si="8"/>
        <v>139</v>
      </c>
      <c r="J29" s="13">
        <f t="shared" si="8"/>
        <v>103</v>
      </c>
      <c r="K29" s="13">
        <f t="shared" si="8"/>
        <v>109</v>
      </c>
      <c r="L29" s="13">
        <f t="shared" si="8"/>
        <v>107</v>
      </c>
      <c r="M29" s="13">
        <f t="shared" si="3"/>
        <v>926</v>
      </c>
    </row>
    <row r="30" ht="12.75" customHeight="1">
      <c r="A30" s="35"/>
      <c r="B30" s="28"/>
      <c r="C30" s="36"/>
      <c r="D30" s="13" t="s">
        <v>13</v>
      </c>
      <c r="E30" s="13">
        <f t="shared" ref="E30:L30" si="9">SUM(E28:E29)</f>
        <v>180</v>
      </c>
      <c r="F30" s="13">
        <f t="shared" si="9"/>
        <v>230</v>
      </c>
      <c r="G30" s="13">
        <f t="shared" si="9"/>
        <v>228</v>
      </c>
      <c r="H30" s="13">
        <f t="shared" si="9"/>
        <v>242</v>
      </c>
      <c r="I30" s="13">
        <f t="shared" si="9"/>
        <v>239</v>
      </c>
      <c r="J30" s="13">
        <f t="shared" si="9"/>
        <v>188</v>
      </c>
      <c r="K30" s="13">
        <f t="shared" si="9"/>
        <v>209</v>
      </c>
      <c r="L30" s="13">
        <f t="shared" si="9"/>
        <v>190</v>
      </c>
      <c r="M30" s="13">
        <f t="shared" si="3"/>
        <v>1706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75"/>
    </row>
    <row r="33" ht="12.75" customHeight="1">
      <c r="A33" s="19">
        <v>1.0</v>
      </c>
      <c r="B33" s="20" t="s">
        <v>26</v>
      </c>
      <c r="C33" s="15"/>
      <c r="D33" s="16"/>
      <c r="E33" s="73">
        <v>271.0</v>
      </c>
      <c r="F33" s="73">
        <v>300.0</v>
      </c>
      <c r="G33" s="73">
        <v>300.0</v>
      </c>
      <c r="H33" s="73">
        <v>296.0</v>
      </c>
      <c r="I33" s="73">
        <v>295.0</v>
      </c>
      <c r="J33" s="73">
        <v>270.0</v>
      </c>
      <c r="K33" s="73">
        <v>299.0</v>
      </c>
      <c r="L33" s="73">
        <v>253.0</v>
      </c>
      <c r="M33" s="13">
        <f t="shared" ref="M33:M36" si="10">SUM(E33:L33)</f>
        <v>2284</v>
      </c>
    </row>
    <row r="34" ht="12.75" customHeight="1">
      <c r="A34" s="19">
        <v>2.0</v>
      </c>
      <c r="B34" s="20" t="s">
        <v>27</v>
      </c>
      <c r="C34" s="15"/>
      <c r="D34" s="16"/>
      <c r="E34" s="77">
        <v>180.0</v>
      </c>
      <c r="F34" s="77">
        <v>230.0</v>
      </c>
      <c r="G34" s="77">
        <v>228.0</v>
      </c>
      <c r="H34" s="77">
        <v>242.0</v>
      </c>
      <c r="I34" s="77">
        <v>239.0</v>
      </c>
      <c r="J34" s="77">
        <v>188.0</v>
      </c>
      <c r="K34" s="77">
        <v>209.0</v>
      </c>
      <c r="L34" s="77">
        <v>190.0</v>
      </c>
      <c r="M34" s="13">
        <f t="shared" si="10"/>
        <v>1706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1.0</v>
      </c>
      <c r="L35" s="73">
        <v>0.0</v>
      </c>
      <c r="M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L36" si="11">E33-(E34+E35)</f>
        <v>91</v>
      </c>
      <c r="F36" s="13">
        <f t="shared" si="11"/>
        <v>70</v>
      </c>
      <c r="G36" s="13">
        <f t="shared" si="11"/>
        <v>72</v>
      </c>
      <c r="H36" s="13">
        <f t="shared" si="11"/>
        <v>54</v>
      </c>
      <c r="I36" s="13">
        <f t="shared" si="11"/>
        <v>56</v>
      </c>
      <c r="J36" s="13">
        <f t="shared" si="11"/>
        <v>82</v>
      </c>
      <c r="K36" s="13">
        <f t="shared" si="11"/>
        <v>89</v>
      </c>
      <c r="L36" s="13">
        <f t="shared" si="11"/>
        <v>63</v>
      </c>
      <c r="M36" s="13">
        <f t="shared" si="10"/>
        <v>577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75"/>
    </row>
    <row r="39" ht="12.75" customHeight="1">
      <c r="A39" s="30"/>
      <c r="B39" s="43" t="s">
        <v>32</v>
      </c>
      <c r="C39" s="23"/>
      <c r="D39" s="19" t="s">
        <v>11</v>
      </c>
      <c r="E39" s="73">
        <v>1.0</v>
      </c>
      <c r="F39" s="73">
        <v>0.0</v>
      </c>
      <c r="G39" s="73">
        <v>1.0</v>
      </c>
      <c r="H39" s="73">
        <v>1.0</v>
      </c>
      <c r="I39" s="73">
        <v>1.0</v>
      </c>
      <c r="J39" s="73">
        <v>0.0</v>
      </c>
      <c r="K39" s="73">
        <v>3.0</v>
      </c>
      <c r="L39" s="73">
        <v>1.0</v>
      </c>
      <c r="M39" s="13">
        <f t="shared" ref="M39:M41" si="12">SUM(E39:L39)</f>
        <v>8</v>
      </c>
    </row>
    <row r="40" ht="12.75" customHeight="1">
      <c r="A40" s="33"/>
      <c r="C40" s="27"/>
      <c r="D40" s="19" t="s">
        <v>12</v>
      </c>
      <c r="E40" s="73">
        <v>2.0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1.0</v>
      </c>
      <c r="L40" s="73">
        <v>0.0</v>
      </c>
      <c r="M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L41" si="13">SUM(E39:E40)</f>
        <v>3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1</v>
      </c>
      <c r="J41" s="13">
        <f t="shared" si="13"/>
        <v>0</v>
      </c>
      <c r="K41" s="13">
        <f t="shared" si="13"/>
        <v>4</v>
      </c>
      <c r="L41" s="13">
        <f t="shared" si="13"/>
        <v>1</v>
      </c>
      <c r="M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7.0</v>
      </c>
      <c r="F45" s="73">
        <v>6.0</v>
      </c>
      <c r="G45" s="73">
        <v>4.0</v>
      </c>
      <c r="H45" s="73">
        <v>1.0</v>
      </c>
      <c r="I45" s="73">
        <v>2.0</v>
      </c>
      <c r="J45" s="73">
        <v>2.0</v>
      </c>
      <c r="K45" s="73">
        <v>10.0</v>
      </c>
      <c r="L45" s="73">
        <v>3.0</v>
      </c>
      <c r="M45" s="13">
        <f t="shared" ref="M45:M54" si="14">SUM(E45:L45)</f>
        <v>35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12.0</v>
      </c>
      <c r="F46" s="73">
        <v>11.0</v>
      </c>
      <c r="G46" s="73">
        <v>27.0</v>
      </c>
      <c r="H46" s="73">
        <v>33.0</v>
      </c>
      <c r="I46" s="73">
        <v>21.0</v>
      </c>
      <c r="J46" s="73">
        <v>4.0</v>
      </c>
      <c r="K46" s="73">
        <v>14.0</v>
      </c>
      <c r="L46" s="73">
        <v>4.0</v>
      </c>
      <c r="M46" s="13">
        <f t="shared" si="14"/>
        <v>126</v>
      </c>
    </row>
    <row r="47" ht="12.75" customHeight="1">
      <c r="A47" s="18"/>
      <c r="B47" s="49"/>
      <c r="C47" s="50" t="s">
        <v>40</v>
      </c>
      <c r="D47" s="51"/>
      <c r="E47" s="73">
        <v>0.0</v>
      </c>
      <c r="F47" s="73">
        <v>0.0</v>
      </c>
      <c r="G47" s="73">
        <v>0.0</v>
      </c>
      <c r="H47" s="73">
        <v>0.0</v>
      </c>
      <c r="I47" s="73">
        <v>3.0</v>
      </c>
      <c r="J47" s="73">
        <v>1.0</v>
      </c>
      <c r="K47" s="73">
        <v>2.0</v>
      </c>
      <c r="L47" s="73">
        <v>0.0</v>
      </c>
      <c r="M47" s="13">
        <f t="shared" si="14"/>
        <v>6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0.0</v>
      </c>
      <c r="G48" s="73">
        <v>0.0</v>
      </c>
      <c r="H48" s="73">
        <v>1.0</v>
      </c>
      <c r="I48" s="73">
        <v>1.0</v>
      </c>
      <c r="J48" s="73">
        <v>0.0</v>
      </c>
      <c r="K48" s="73">
        <v>0.0</v>
      </c>
      <c r="L48" s="73">
        <v>0.0</v>
      </c>
      <c r="M48" s="13">
        <f t="shared" si="14"/>
        <v>2</v>
      </c>
    </row>
    <row r="49" ht="12.75" customHeight="1">
      <c r="A49" s="18"/>
      <c r="B49" s="49"/>
      <c r="C49" s="50" t="s">
        <v>42</v>
      </c>
      <c r="D49" s="51"/>
      <c r="E49" s="73">
        <v>0.0</v>
      </c>
      <c r="F49" s="73">
        <v>3.0</v>
      </c>
      <c r="G49" s="73">
        <v>0.0</v>
      </c>
      <c r="H49" s="73">
        <v>1.0</v>
      </c>
      <c r="I49" s="73">
        <v>0.0</v>
      </c>
      <c r="J49" s="73">
        <v>0.0</v>
      </c>
      <c r="K49" s="73">
        <v>1.0</v>
      </c>
      <c r="L49" s="73">
        <v>0.0</v>
      </c>
      <c r="M49" s="13">
        <f t="shared" si="14"/>
        <v>5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0.0</v>
      </c>
      <c r="H50" s="73">
        <v>0.0</v>
      </c>
      <c r="I50" s="73">
        <v>0.0</v>
      </c>
      <c r="J50" s="73">
        <v>1.0</v>
      </c>
      <c r="K50" s="73">
        <v>0.0</v>
      </c>
      <c r="L50" s="73">
        <v>0.0</v>
      </c>
      <c r="M50" s="13">
        <f t="shared" si="14"/>
        <v>1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1.0</v>
      </c>
      <c r="G51" s="73">
        <v>0.0</v>
      </c>
      <c r="H51" s="73">
        <v>0.0</v>
      </c>
      <c r="I51" s="73">
        <v>0.0</v>
      </c>
      <c r="J51" s="73">
        <v>0.0</v>
      </c>
      <c r="K51" s="73">
        <v>1.0</v>
      </c>
      <c r="L51" s="73">
        <v>0.0</v>
      </c>
      <c r="M51" s="13">
        <f t="shared" si="14"/>
        <v>2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0.0</v>
      </c>
      <c r="H52" s="80">
        <v>0.0</v>
      </c>
      <c r="I52" s="80">
        <v>0.0</v>
      </c>
      <c r="J52" s="80">
        <v>0.0</v>
      </c>
      <c r="K52" s="80">
        <v>0.0</v>
      </c>
      <c r="L52" s="80">
        <v>0.0</v>
      </c>
      <c r="M52" s="13">
        <f t="shared" si="14"/>
        <v>0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1.0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13">
        <f t="shared" si="14"/>
        <v>1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1.0</v>
      </c>
      <c r="G54" s="80">
        <v>0.0</v>
      </c>
      <c r="H54" s="80">
        <v>0.0</v>
      </c>
      <c r="I54" s="80">
        <v>0.0</v>
      </c>
      <c r="J54" s="80">
        <v>0.0</v>
      </c>
      <c r="K54" s="80">
        <v>0.0</v>
      </c>
      <c r="L54" s="80">
        <v>0.0</v>
      </c>
      <c r="M54" s="13">
        <f t="shared" si="14"/>
        <v>1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M55" si="15">SUM(E45:E54)</f>
        <v>19</v>
      </c>
      <c r="F55" s="13">
        <f t="shared" si="15"/>
        <v>22</v>
      </c>
      <c r="G55" s="13">
        <f t="shared" si="15"/>
        <v>32</v>
      </c>
      <c r="H55" s="13">
        <f t="shared" si="15"/>
        <v>36</v>
      </c>
      <c r="I55" s="13">
        <f t="shared" si="15"/>
        <v>27</v>
      </c>
      <c r="J55" s="13">
        <f t="shared" si="15"/>
        <v>8</v>
      </c>
      <c r="K55" s="13">
        <f t="shared" si="15"/>
        <v>28</v>
      </c>
      <c r="L55" s="13">
        <f t="shared" si="15"/>
        <v>7</v>
      </c>
      <c r="M55" s="13">
        <f t="shared" si="15"/>
        <v>179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14.0</v>
      </c>
      <c r="F57" s="73">
        <v>17.0</v>
      </c>
      <c r="G57" s="73">
        <v>15.0</v>
      </c>
      <c r="H57" s="73">
        <v>6.0</v>
      </c>
      <c r="I57" s="73">
        <v>8.0</v>
      </c>
      <c r="J57" s="73">
        <v>6.0</v>
      </c>
      <c r="K57" s="73">
        <v>5.0</v>
      </c>
      <c r="L57" s="73">
        <v>12.0</v>
      </c>
      <c r="M57" s="13">
        <f t="shared" ref="M57:M66" si="16">SUM(E57:L57)</f>
        <v>83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6.0</v>
      </c>
      <c r="F58" s="73">
        <v>4.0</v>
      </c>
      <c r="G58" s="73">
        <v>6.0</v>
      </c>
      <c r="H58" s="73">
        <v>5.0</v>
      </c>
      <c r="I58" s="73">
        <v>5.0</v>
      </c>
      <c r="J58" s="73">
        <v>4.0</v>
      </c>
      <c r="K58" s="73">
        <v>2.0</v>
      </c>
      <c r="L58" s="73">
        <v>7.0</v>
      </c>
      <c r="M58" s="13">
        <f t="shared" si="16"/>
        <v>39</v>
      </c>
    </row>
    <row r="59" ht="12.75" customHeight="1">
      <c r="A59" s="18"/>
      <c r="B59" s="49"/>
      <c r="C59" s="50" t="s">
        <v>51</v>
      </c>
      <c r="D59" s="51"/>
      <c r="E59" s="73">
        <v>3.0</v>
      </c>
      <c r="F59" s="73">
        <v>8.0</v>
      </c>
      <c r="G59" s="73">
        <v>5.0</v>
      </c>
      <c r="H59" s="73">
        <v>10.0</v>
      </c>
      <c r="I59" s="73">
        <v>17.0</v>
      </c>
      <c r="J59" s="73">
        <v>8.0</v>
      </c>
      <c r="K59" s="73">
        <v>5.0</v>
      </c>
      <c r="L59" s="73">
        <v>7.0</v>
      </c>
      <c r="M59" s="13">
        <f t="shared" si="16"/>
        <v>63</v>
      </c>
    </row>
    <row r="60" ht="12.75" customHeight="1">
      <c r="A60" s="18"/>
      <c r="B60" s="49"/>
      <c r="C60" s="50" t="s">
        <v>52</v>
      </c>
      <c r="D60" s="51"/>
      <c r="E60" s="73">
        <v>0.0</v>
      </c>
      <c r="F60" s="73">
        <v>2.0</v>
      </c>
      <c r="G60" s="73">
        <v>1.0</v>
      </c>
      <c r="H60" s="73">
        <v>4.0</v>
      </c>
      <c r="I60" s="73">
        <v>4.0</v>
      </c>
      <c r="J60" s="73">
        <v>1.0</v>
      </c>
      <c r="K60" s="73">
        <v>2.0</v>
      </c>
      <c r="L60" s="73">
        <v>2.0</v>
      </c>
      <c r="M60" s="13">
        <f t="shared" si="16"/>
        <v>16</v>
      </c>
    </row>
    <row r="61" ht="12.75" customHeight="1">
      <c r="A61" s="18"/>
      <c r="B61" s="49"/>
      <c r="C61" s="50" t="s">
        <v>53</v>
      </c>
      <c r="D61" s="51"/>
      <c r="E61" s="73">
        <v>1.0</v>
      </c>
      <c r="F61" s="73">
        <v>3.0</v>
      </c>
      <c r="G61" s="73">
        <v>1.0</v>
      </c>
      <c r="H61" s="73">
        <v>3.0</v>
      </c>
      <c r="I61" s="73">
        <v>2.0</v>
      </c>
      <c r="J61" s="73">
        <v>0.0</v>
      </c>
      <c r="K61" s="73">
        <v>2.0</v>
      </c>
      <c r="L61" s="73">
        <v>0.0</v>
      </c>
      <c r="M61" s="13">
        <f t="shared" si="16"/>
        <v>12</v>
      </c>
    </row>
    <row r="62" ht="12.75" customHeight="1">
      <c r="A62" s="18"/>
      <c r="B62" s="49"/>
      <c r="C62" s="50" t="s">
        <v>54</v>
      </c>
      <c r="D62" s="51"/>
      <c r="E62" s="73">
        <v>2.0</v>
      </c>
      <c r="F62" s="73">
        <v>1.0</v>
      </c>
      <c r="G62" s="73">
        <v>0.0</v>
      </c>
      <c r="H62" s="73">
        <v>0.0</v>
      </c>
      <c r="I62" s="73">
        <v>2.0</v>
      </c>
      <c r="J62" s="73">
        <v>2.0</v>
      </c>
      <c r="K62" s="73">
        <v>3.0</v>
      </c>
      <c r="L62" s="73">
        <v>3.0</v>
      </c>
      <c r="M62" s="13">
        <f t="shared" si="16"/>
        <v>13</v>
      </c>
    </row>
    <row r="63" ht="12.75" customHeight="1">
      <c r="A63" s="18"/>
      <c r="B63" s="49"/>
      <c r="C63" s="50" t="s">
        <v>55</v>
      </c>
      <c r="D63" s="51"/>
      <c r="E63" s="73">
        <v>1.0</v>
      </c>
      <c r="F63" s="73">
        <v>2.0</v>
      </c>
      <c r="G63" s="73">
        <v>1.0</v>
      </c>
      <c r="H63" s="73">
        <v>0.0</v>
      </c>
      <c r="I63" s="73">
        <v>1.0</v>
      </c>
      <c r="J63" s="73">
        <v>0.0</v>
      </c>
      <c r="K63" s="73">
        <v>0.0</v>
      </c>
      <c r="L63" s="73">
        <v>0.0</v>
      </c>
      <c r="M63" s="13">
        <f t="shared" si="16"/>
        <v>5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0.0</v>
      </c>
      <c r="G64" s="80">
        <v>1.0</v>
      </c>
      <c r="H64" s="80">
        <v>0.0</v>
      </c>
      <c r="I64" s="80">
        <v>0.0</v>
      </c>
      <c r="J64" s="80">
        <v>0.0</v>
      </c>
      <c r="K64" s="80">
        <v>0.0</v>
      </c>
      <c r="L64" s="80">
        <v>0.0</v>
      </c>
      <c r="M64" s="13">
        <f t="shared" si="16"/>
        <v>1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1.0</v>
      </c>
      <c r="H65" s="80">
        <v>1.0</v>
      </c>
      <c r="I65" s="80">
        <v>0.0</v>
      </c>
      <c r="J65" s="80">
        <v>0.0</v>
      </c>
      <c r="K65" s="80">
        <v>1.0</v>
      </c>
      <c r="L65" s="80">
        <v>0.0</v>
      </c>
      <c r="M65" s="13">
        <f t="shared" si="16"/>
        <v>3</v>
      </c>
    </row>
    <row r="66" ht="12.75" customHeight="1">
      <c r="A66" s="79"/>
      <c r="B66" s="49"/>
      <c r="C66" s="50" t="s">
        <v>58</v>
      </c>
      <c r="D66" s="51"/>
      <c r="E66" s="80">
        <v>3.0</v>
      </c>
      <c r="F66" s="80">
        <v>0.0</v>
      </c>
      <c r="G66" s="80">
        <v>1.0</v>
      </c>
      <c r="H66" s="80">
        <v>0.0</v>
      </c>
      <c r="I66" s="80">
        <v>0.0</v>
      </c>
      <c r="J66" s="80">
        <v>0.0</v>
      </c>
      <c r="K66" s="80">
        <v>0.0</v>
      </c>
      <c r="L66" s="80">
        <v>0.0</v>
      </c>
      <c r="M66" s="13">
        <f t="shared" si="16"/>
        <v>4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M67" si="17">SUM(E57:E66)</f>
        <v>30</v>
      </c>
      <c r="F67" s="13">
        <f t="shared" si="17"/>
        <v>37</v>
      </c>
      <c r="G67" s="13">
        <f t="shared" si="17"/>
        <v>32</v>
      </c>
      <c r="H67" s="13">
        <f t="shared" si="17"/>
        <v>29</v>
      </c>
      <c r="I67" s="13">
        <f t="shared" si="17"/>
        <v>39</v>
      </c>
      <c r="J67" s="13">
        <f t="shared" si="17"/>
        <v>21</v>
      </c>
      <c r="K67" s="13">
        <f t="shared" si="17"/>
        <v>20</v>
      </c>
      <c r="L67" s="13">
        <f t="shared" si="17"/>
        <v>31</v>
      </c>
      <c r="M67" s="13">
        <f t="shared" si="17"/>
        <v>239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16.0</v>
      </c>
      <c r="F69" s="73">
        <v>13.0</v>
      </c>
      <c r="G69" s="73">
        <v>11.0</v>
      </c>
      <c r="H69" s="73">
        <v>12.0</v>
      </c>
      <c r="I69" s="73">
        <v>12.0</v>
      </c>
      <c r="J69" s="73">
        <v>11.0</v>
      </c>
      <c r="K69" s="73">
        <v>14.0</v>
      </c>
      <c r="L69" s="73">
        <v>9.0</v>
      </c>
      <c r="M69" s="13">
        <f t="shared" ref="M69:M78" si="18">SUM(E69:L69)</f>
        <v>98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2.0</v>
      </c>
      <c r="F70" s="73">
        <v>2.0</v>
      </c>
      <c r="G70" s="73">
        <v>5.0</v>
      </c>
      <c r="H70" s="73">
        <v>3.0</v>
      </c>
      <c r="I70" s="73">
        <v>4.0</v>
      </c>
      <c r="J70" s="73">
        <v>6.0</v>
      </c>
      <c r="K70" s="73">
        <v>8.0</v>
      </c>
      <c r="L70" s="73">
        <v>0.0</v>
      </c>
      <c r="M70" s="13">
        <f t="shared" si="18"/>
        <v>30</v>
      </c>
    </row>
    <row r="71" ht="12.75" customHeight="1">
      <c r="A71" s="18"/>
      <c r="B71" s="49"/>
      <c r="C71" s="50" t="s">
        <v>61</v>
      </c>
      <c r="D71" s="51"/>
      <c r="E71" s="73">
        <v>8.0</v>
      </c>
      <c r="F71" s="73">
        <v>27.0</v>
      </c>
      <c r="G71" s="73">
        <v>24.0</v>
      </c>
      <c r="H71" s="73">
        <v>44.0</v>
      </c>
      <c r="I71" s="73">
        <v>43.0</v>
      </c>
      <c r="J71" s="73">
        <v>71.0</v>
      </c>
      <c r="K71" s="73">
        <v>35.0</v>
      </c>
      <c r="L71" s="73">
        <v>57.0</v>
      </c>
      <c r="M71" s="13">
        <f t="shared" si="18"/>
        <v>309</v>
      </c>
    </row>
    <row r="72" ht="12.75" customHeight="1">
      <c r="A72" s="18"/>
      <c r="B72" s="49"/>
      <c r="C72" s="50" t="s">
        <v>62</v>
      </c>
      <c r="D72" s="51"/>
      <c r="E72" s="73">
        <v>1.0</v>
      </c>
      <c r="F72" s="73">
        <v>2.0</v>
      </c>
      <c r="G72" s="73">
        <v>2.0</v>
      </c>
      <c r="H72" s="73">
        <v>12.0</v>
      </c>
      <c r="I72" s="73">
        <v>2.0</v>
      </c>
      <c r="J72" s="73">
        <v>4.0</v>
      </c>
      <c r="K72" s="73">
        <v>4.0</v>
      </c>
      <c r="L72" s="73">
        <v>6.0</v>
      </c>
      <c r="M72" s="13">
        <f t="shared" si="18"/>
        <v>33</v>
      </c>
    </row>
    <row r="73" ht="12.75" customHeight="1">
      <c r="A73" s="18"/>
      <c r="B73" s="49"/>
      <c r="C73" s="50" t="s">
        <v>63</v>
      </c>
      <c r="D73" s="51"/>
      <c r="E73" s="73">
        <v>0.0</v>
      </c>
      <c r="F73" s="73">
        <v>0.0</v>
      </c>
      <c r="G73" s="73">
        <v>0.0</v>
      </c>
      <c r="H73" s="73">
        <v>4.0</v>
      </c>
      <c r="I73" s="73">
        <v>2.0</v>
      </c>
      <c r="J73" s="73">
        <v>1.0</v>
      </c>
      <c r="K73" s="73">
        <v>7.0</v>
      </c>
      <c r="L73" s="73">
        <v>1.0</v>
      </c>
      <c r="M73" s="13">
        <f t="shared" si="18"/>
        <v>15</v>
      </c>
    </row>
    <row r="74" ht="12.75" customHeight="1">
      <c r="A74" s="18"/>
      <c r="B74" s="49"/>
      <c r="C74" s="50" t="s">
        <v>64</v>
      </c>
      <c r="D74" s="51"/>
      <c r="E74" s="73">
        <v>1.0</v>
      </c>
      <c r="F74" s="73">
        <v>1.0</v>
      </c>
      <c r="G74" s="73">
        <v>2.0</v>
      </c>
      <c r="H74" s="73">
        <v>2.0</v>
      </c>
      <c r="I74" s="73">
        <v>1.0</v>
      </c>
      <c r="J74" s="73">
        <v>1.0</v>
      </c>
      <c r="K74" s="73">
        <v>1.0</v>
      </c>
      <c r="L74" s="73">
        <v>1.0</v>
      </c>
      <c r="M74" s="13">
        <f t="shared" si="18"/>
        <v>10</v>
      </c>
    </row>
    <row r="75" ht="12.75" customHeight="1">
      <c r="A75" s="18"/>
      <c r="B75" s="49"/>
      <c r="C75" s="50" t="s">
        <v>65</v>
      </c>
      <c r="D75" s="51"/>
      <c r="E75" s="73">
        <v>1.0</v>
      </c>
      <c r="F75" s="73">
        <v>1.0</v>
      </c>
      <c r="G75" s="73">
        <v>3.0</v>
      </c>
      <c r="H75" s="73">
        <v>2.0</v>
      </c>
      <c r="I75" s="73">
        <v>1.0</v>
      </c>
      <c r="J75" s="73">
        <v>1.0</v>
      </c>
      <c r="K75" s="73">
        <v>1.0</v>
      </c>
      <c r="L75" s="73">
        <v>1.0</v>
      </c>
      <c r="M75" s="13">
        <f t="shared" si="18"/>
        <v>11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0.0</v>
      </c>
      <c r="G76" s="80">
        <v>0.0</v>
      </c>
      <c r="H76" s="80">
        <v>0.0</v>
      </c>
      <c r="I76" s="80">
        <v>0.0</v>
      </c>
      <c r="J76" s="80">
        <v>0.0</v>
      </c>
      <c r="K76" s="80">
        <v>0.0</v>
      </c>
      <c r="L76" s="80">
        <v>1.0</v>
      </c>
      <c r="M76" s="13">
        <f t="shared" si="18"/>
        <v>1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1.0</v>
      </c>
      <c r="G77" s="80">
        <v>1.0</v>
      </c>
      <c r="H77" s="80">
        <v>0.0</v>
      </c>
      <c r="I77" s="80">
        <v>0.0</v>
      </c>
      <c r="J77" s="80">
        <v>0.0</v>
      </c>
      <c r="K77" s="80">
        <v>1.0</v>
      </c>
      <c r="L77" s="80">
        <v>0.0</v>
      </c>
      <c r="M77" s="13">
        <f t="shared" si="18"/>
        <v>3</v>
      </c>
    </row>
    <row r="78" ht="12.75" customHeight="1">
      <c r="A78" s="79"/>
      <c r="B78" s="49"/>
      <c r="C78" s="50" t="s">
        <v>68</v>
      </c>
      <c r="D78" s="51"/>
      <c r="E78" s="80">
        <v>2.0</v>
      </c>
      <c r="F78" s="80">
        <v>0.0</v>
      </c>
      <c r="G78" s="80">
        <v>0.0</v>
      </c>
      <c r="H78" s="80">
        <v>1.0</v>
      </c>
      <c r="I78" s="80">
        <v>0.0</v>
      </c>
      <c r="J78" s="80">
        <v>0.0</v>
      </c>
      <c r="K78" s="80">
        <v>0.0</v>
      </c>
      <c r="L78" s="80">
        <v>1.0</v>
      </c>
      <c r="M78" s="13">
        <f t="shared" si="18"/>
        <v>4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M79" si="19">SUM(E69:E78)</f>
        <v>31</v>
      </c>
      <c r="F79" s="13">
        <f t="shared" si="19"/>
        <v>47</v>
      </c>
      <c r="G79" s="13">
        <f t="shared" si="19"/>
        <v>48</v>
      </c>
      <c r="H79" s="13">
        <f t="shared" si="19"/>
        <v>80</v>
      </c>
      <c r="I79" s="13">
        <f t="shared" si="19"/>
        <v>65</v>
      </c>
      <c r="J79" s="13">
        <f t="shared" si="19"/>
        <v>95</v>
      </c>
      <c r="K79" s="13">
        <f t="shared" si="19"/>
        <v>71</v>
      </c>
      <c r="L79" s="13">
        <f t="shared" si="19"/>
        <v>77</v>
      </c>
      <c r="M79" s="13">
        <f t="shared" si="19"/>
        <v>514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4.0</v>
      </c>
      <c r="F81" s="73">
        <v>3.0</v>
      </c>
      <c r="G81" s="73">
        <v>1.0</v>
      </c>
      <c r="H81" s="73">
        <v>4.0</v>
      </c>
      <c r="I81" s="73">
        <v>4.0</v>
      </c>
      <c r="J81" s="73">
        <v>0.0</v>
      </c>
      <c r="K81" s="73">
        <v>1.0</v>
      </c>
      <c r="L81" s="73">
        <v>5.0</v>
      </c>
      <c r="M81" s="13">
        <f t="shared" ref="M81:M90" si="20">SUM(E81:L81)</f>
        <v>22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7.0</v>
      </c>
      <c r="F82" s="73">
        <v>3.0</v>
      </c>
      <c r="G82" s="73">
        <v>2.0</v>
      </c>
      <c r="H82" s="73">
        <v>1.0</v>
      </c>
      <c r="I82" s="73">
        <v>8.0</v>
      </c>
      <c r="J82" s="73">
        <v>1.0</v>
      </c>
      <c r="K82" s="73">
        <v>3.0</v>
      </c>
      <c r="L82" s="73">
        <v>1.0</v>
      </c>
      <c r="M82" s="13">
        <f t="shared" si="20"/>
        <v>26</v>
      </c>
    </row>
    <row r="83" ht="12.75" customHeight="1">
      <c r="A83" s="18"/>
      <c r="B83" s="49"/>
      <c r="C83" s="50" t="s">
        <v>71</v>
      </c>
      <c r="D83" s="51"/>
      <c r="E83" s="73">
        <v>3.0</v>
      </c>
      <c r="F83" s="73">
        <v>1.0</v>
      </c>
      <c r="G83" s="73">
        <v>0.0</v>
      </c>
      <c r="H83" s="73">
        <v>1.0</v>
      </c>
      <c r="I83" s="73">
        <v>0.0</v>
      </c>
      <c r="J83" s="73">
        <v>1.0</v>
      </c>
      <c r="K83" s="73">
        <v>1.0</v>
      </c>
      <c r="L83" s="73">
        <v>0.0</v>
      </c>
      <c r="M83" s="13">
        <f t="shared" si="20"/>
        <v>7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3.0</v>
      </c>
      <c r="G84" s="73">
        <v>1.0</v>
      </c>
      <c r="H84" s="73">
        <v>0.0</v>
      </c>
      <c r="I84" s="73">
        <v>1.0</v>
      </c>
      <c r="J84" s="73">
        <v>1.0</v>
      </c>
      <c r="K84" s="73">
        <v>0.0</v>
      </c>
      <c r="L84" s="73">
        <v>1.0</v>
      </c>
      <c r="M84" s="13">
        <f t="shared" si="20"/>
        <v>7</v>
      </c>
    </row>
    <row r="85" ht="12.75" customHeight="1">
      <c r="A85" s="18"/>
      <c r="B85" s="49"/>
      <c r="C85" s="50" t="s">
        <v>73</v>
      </c>
      <c r="D85" s="51"/>
      <c r="E85" s="73">
        <v>1.0</v>
      </c>
      <c r="F85" s="73">
        <v>4.0</v>
      </c>
      <c r="G85" s="73">
        <v>1.0</v>
      </c>
      <c r="H85" s="73">
        <v>2.0</v>
      </c>
      <c r="I85" s="73">
        <v>2.0</v>
      </c>
      <c r="J85" s="73">
        <v>0.0</v>
      </c>
      <c r="K85" s="73">
        <v>1.0</v>
      </c>
      <c r="L85" s="73">
        <v>1.0</v>
      </c>
      <c r="M85" s="13">
        <f t="shared" si="20"/>
        <v>12</v>
      </c>
    </row>
    <row r="86" ht="12.75" customHeight="1">
      <c r="A86" s="18"/>
      <c r="B86" s="49"/>
      <c r="C86" s="50" t="s">
        <v>74</v>
      </c>
      <c r="D86" s="51"/>
      <c r="E86" s="73">
        <v>1.0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13">
        <f t="shared" si="20"/>
        <v>1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1.0</v>
      </c>
      <c r="G87" s="73">
        <v>0.0</v>
      </c>
      <c r="H87" s="73">
        <v>3.0</v>
      </c>
      <c r="I87" s="73">
        <v>0.0</v>
      </c>
      <c r="J87" s="73">
        <v>0.0</v>
      </c>
      <c r="K87" s="73">
        <v>0.0</v>
      </c>
      <c r="L87" s="73">
        <v>0.0</v>
      </c>
      <c r="M87" s="13">
        <f t="shared" si="20"/>
        <v>4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0.0</v>
      </c>
      <c r="L88" s="80">
        <v>0.0</v>
      </c>
      <c r="M88" s="13">
        <f t="shared" si="20"/>
        <v>0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13">
        <f t="shared" si="20"/>
        <v>0</v>
      </c>
    </row>
    <row r="90" ht="12.75" customHeight="1">
      <c r="A90" s="79"/>
      <c r="B90" s="49"/>
      <c r="C90" s="50" t="s">
        <v>78</v>
      </c>
      <c r="D90" s="51"/>
      <c r="E90" s="80">
        <v>0.0</v>
      </c>
      <c r="F90" s="80">
        <v>0.0</v>
      </c>
      <c r="G90" s="80">
        <v>0.0</v>
      </c>
      <c r="H90" s="80">
        <v>0.0</v>
      </c>
      <c r="I90" s="80">
        <v>0.0</v>
      </c>
      <c r="J90" s="80">
        <v>0.0</v>
      </c>
      <c r="K90" s="80">
        <v>0.0</v>
      </c>
      <c r="L90" s="80">
        <v>0.0</v>
      </c>
      <c r="M90" s="13">
        <f t="shared" si="20"/>
        <v>0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M91" si="21">SUM(E81:E90)</f>
        <v>16</v>
      </c>
      <c r="F91" s="13">
        <f t="shared" si="21"/>
        <v>15</v>
      </c>
      <c r="G91" s="13">
        <f t="shared" si="21"/>
        <v>5</v>
      </c>
      <c r="H91" s="13">
        <f t="shared" si="21"/>
        <v>11</v>
      </c>
      <c r="I91" s="13">
        <f t="shared" si="21"/>
        <v>15</v>
      </c>
      <c r="J91" s="13">
        <f t="shared" si="21"/>
        <v>3</v>
      </c>
      <c r="K91" s="13">
        <f t="shared" si="21"/>
        <v>6</v>
      </c>
      <c r="L91" s="13">
        <f t="shared" si="21"/>
        <v>8</v>
      </c>
      <c r="M91" s="13">
        <f t="shared" si="21"/>
        <v>79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3.0</v>
      </c>
      <c r="F93" s="73">
        <v>1.0</v>
      </c>
      <c r="G93" s="73">
        <v>0.0</v>
      </c>
      <c r="H93" s="73">
        <v>2.0</v>
      </c>
      <c r="I93" s="73">
        <v>1.0</v>
      </c>
      <c r="J93" s="73">
        <v>0.0</v>
      </c>
      <c r="K93" s="73">
        <v>0.0</v>
      </c>
      <c r="L93" s="73">
        <v>1.0</v>
      </c>
      <c r="M93" s="13">
        <f t="shared" ref="M93:M102" si="22">SUM(E93:L93)</f>
        <v>8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1.0</v>
      </c>
      <c r="F94" s="73">
        <v>2.0</v>
      </c>
      <c r="G94" s="73">
        <v>3.0</v>
      </c>
      <c r="H94" s="73">
        <v>16.0</v>
      </c>
      <c r="I94" s="73">
        <v>1.0</v>
      </c>
      <c r="J94" s="73">
        <v>3.0</v>
      </c>
      <c r="K94" s="73">
        <v>3.0</v>
      </c>
      <c r="L94" s="73">
        <v>1.0</v>
      </c>
      <c r="M94" s="13">
        <f t="shared" si="22"/>
        <v>30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1.0</v>
      </c>
      <c r="M95" s="13">
        <f t="shared" si="22"/>
        <v>1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1.0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13">
        <f t="shared" si="22"/>
        <v>1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13">
        <f t="shared" si="22"/>
        <v>0</v>
      </c>
    </row>
    <row r="98" ht="12.75" customHeight="1">
      <c r="A98" s="18"/>
      <c r="B98" s="49"/>
      <c r="C98" s="50" t="s">
        <v>85</v>
      </c>
      <c r="D98" s="51"/>
      <c r="E98" s="73">
        <v>4.0</v>
      </c>
      <c r="F98" s="73">
        <v>0.0</v>
      </c>
      <c r="G98" s="73">
        <v>1.0</v>
      </c>
      <c r="H98" s="73">
        <v>0.0</v>
      </c>
      <c r="I98" s="73">
        <v>0.0</v>
      </c>
      <c r="J98" s="73">
        <v>1.0</v>
      </c>
      <c r="K98" s="73">
        <v>0.0</v>
      </c>
      <c r="L98" s="73">
        <v>0.0</v>
      </c>
      <c r="M98" s="13">
        <f t="shared" si="22"/>
        <v>6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1.0</v>
      </c>
      <c r="K99" s="73">
        <v>0.0</v>
      </c>
      <c r="L99" s="73">
        <v>0.0</v>
      </c>
      <c r="M99" s="13">
        <f t="shared" si="22"/>
        <v>1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13">
        <f t="shared" si="22"/>
        <v>0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2.0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80">
        <v>1.0</v>
      </c>
      <c r="M101" s="13">
        <f t="shared" si="22"/>
        <v>3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1.0</v>
      </c>
      <c r="I102" s="80">
        <v>0.0</v>
      </c>
      <c r="J102" s="80">
        <v>0.0</v>
      </c>
      <c r="K102" s="80">
        <v>0.0</v>
      </c>
      <c r="L102" s="80">
        <v>0.0</v>
      </c>
      <c r="M102" s="13">
        <f t="shared" si="22"/>
        <v>1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M103" si="23">SUM(E93:E102)</f>
        <v>8</v>
      </c>
      <c r="F103" s="13">
        <f t="shared" si="23"/>
        <v>6</v>
      </c>
      <c r="G103" s="13">
        <f t="shared" si="23"/>
        <v>4</v>
      </c>
      <c r="H103" s="13">
        <f t="shared" si="23"/>
        <v>19</v>
      </c>
      <c r="I103" s="13">
        <f t="shared" si="23"/>
        <v>2</v>
      </c>
      <c r="J103" s="13">
        <f t="shared" si="23"/>
        <v>5</v>
      </c>
      <c r="K103" s="13">
        <f t="shared" si="23"/>
        <v>3</v>
      </c>
      <c r="L103" s="13">
        <f t="shared" si="23"/>
        <v>4</v>
      </c>
      <c r="M103" s="13">
        <f t="shared" si="23"/>
        <v>51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13">
        <f t="shared" ref="M105:M114" si="24">SUM(E105:L105)</f>
        <v>0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1.0</v>
      </c>
      <c r="F106" s="73">
        <v>0.0</v>
      </c>
      <c r="G106" s="73">
        <v>1.0</v>
      </c>
      <c r="H106" s="73">
        <v>0.0</v>
      </c>
      <c r="I106" s="73">
        <v>1.0</v>
      </c>
      <c r="J106" s="73">
        <v>0.0</v>
      </c>
      <c r="K106" s="73">
        <v>0.0</v>
      </c>
      <c r="L106" s="73">
        <v>0.0</v>
      </c>
      <c r="M106" s="13">
        <f t="shared" si="24"/>
        <v>3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1.0</v>
      </c>
      <c r="G107" s="80">
        <v>1.0</v>
      </c>
      <c r="H107" s="80">
        <v>0.0</v>
      </c>
      <c r="I107" s="80">
        <v>1.0</v>
      </c>
      <c r="J107" s="80">
        <v>0.0</v>
      </c>
      <c r="K107" s="80">
        <v>0.0</v>
      </c>
      <c r="L107" s="80">
        <v>0.0</v>
      </c>
      <c r="M107" s="13">
        <f t="shared" si="24"/>
        <v>3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M115" si="25">SUM(E105:E114)</f>
        <v>1</v>
      </c>
      <c r="F115" s="13">
        <f t="shared" si="25"/>
        <v>1</v>
      </c>
      <c r="G115" s="13">
        <f t="shared" si="25"/>
        <v>2</v>
      </c>
      <c r="H115" s="13">
        <f t="shared" si="25"/>
        <v>0</v>
      </c>
      <c r="I115" s="13">
        <f t="shared" si="25"/>
        <v>2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6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1.0</v>
      </c>
      <c r="F117" s="73">
        <v>1.0</v>
      </c>
      <c r="G117" s="73">
        <v>0.0</v>
      </c>
      <c r="H117" s="73">
        <v>1.0</v>
      </c>
      <c r="I117" s="73">
        <v>0.0</v>
      </c>
      <c r="J117" s="73">
        <v>1.0</v>
      </c>
      <c r="K117" s="73">
        <v>0.0</v>
      </c>
      <c r="L117" s="73">
        <v>0.0</v>
      </c>
      <c r="M117" s="13">
        <f t="shared" ref="M117:M126" si="26">SUM(E117:L117)</f>
        <v>4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1.0</v>
      </c>
      <c r="J118" s="73">
        <v>2.0</v>
      </c>
      <c r="K118" s="73">
        <v>0.0</v>
      </c>
      <c r="L118" s="73">
        <v>0.0</v>
      </c>
      <c r="M118" s="13">
        <f t="shared" si="26"/>
        <v>3</v>
      </c>
    </row>
    <row r="119" ht="12.75" customHeight="1">
      <c r="A119" s="18"/>
      <c r="B119" s="49"/>
      <c r="C119" s="50" t="s">
        <v>97</v>
      </c>
      <c r="D119" s="51"/>
      <c r="E119" s="73">
        <v>1.0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13">
        <f t="shared" si="26"/>
        <v>1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1.0</v>
      </c>
      <c r="G120" s="73">
        <v>0.0</v>
      </c>
      <c r="H120" s="73">
        <v>0.0</v>
      </c>
      <c r="I120" s="73">
        <v>1.0</v>
      </c>
      <c r="J120" s="73">
        <v>0.0</v>
      </c>
      <c r="K120" s="73">
        <v>0.0</v>
      </c>
      <c r="L120" s="73">
        <v>0.0</v>
      </c>
      <c r="M120" s="13">
        <f t="shared" si="26"/>
        <v>2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0.0</v>
      </c>
      <c r="M121" s="13">
        <f t="shared" si="26"/>
        <v>0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13">
        <f t="shared" si="26"/>
        <v>0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M127" si="27">SUM(E117:E126)</f>
        <v>2</v>
      </c>
      <c r="F127" s="13">
        <f t="shared" si="27"/>
        <v>2</v>
      </c>
      <c r="G127" s="13">
        <f t="shared" si="27"/>
        <v>0</v>
      </c>
      <c r="H127" s="13">
        <f t="shared" si="27"/>
        <v>1</v>
      </c>
      <c r="I127" s="13">
        <f t="shared" si="27"/>
        <v>2</v>
      </c>
      <c r="J127" s="13">
        <f t="shared" si="27"/>
        <v>3</v>
      </c>
      <c r="K127" s="13">
        <f t="shared" si="27"/>
        <v>0</v>
      </c>
      <c r="L127" s="13">
        <f t="shared" si="27"/>
        <v>0</v>
      </c>
      <c r="M127" s="13">
        <f t="shared" si="27"/>
        <v>10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2.0</v>
      </c>
      <c r="F129" s="73">
        <v>6.0</v>
      </c>
      <c r="G129" s="73">
        <v>5.0</v>
      </c>
      <c r="H129" s="73">
        <v>2.0</v>
      </c>
      <c r="I129" s="73">
        <v>4.0</v>
      </c>
      <c r="J129" s="73">
        <v>1.0</v>
      </c>
      <c r="K129" s="73">
        <v>0.0</v>
      </c>
      <c r="L129" s="73">
        <v>0.0</v>
      </c>
      <c r="M129" s="13">
        <f t="shared" ref="M129:M138" si="28">SUM(E129:L129)</f>
        <v>20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5.0</v>
      </c>
      <c r="F130" s="73">
        <v>11.0</v>
      </c>
      <c r="G130" s="73">
        <v>1.0</v>
      </c>
      <c r="H130" s="73">
        <v>5.0</v>
      </c>
      <c r="I130" s="73">
        <v>1.0</v>
      </c>
      <c r="J130" s="73">
        <v>0.0</v>
      </c>
      <c r="K130" s="73">
        <v>1.0</v>
      </c>
      <c r="L130" s="73">
        <v>2.0</v>
      </c>
      <c r="M130" s="13">
        <f t="shared" si="28"/>
        <v>26</v>
      </c>
    </row>
    <row r="131" ht="12.75" customHeight="1">
      <c r="A131" s="18"/>
      <c r="B131" s="49"/>
      <c r="C131" s="50" t="s">
        <v>104</v>
      </c>
      <c r="D131" s="51"/>
      <c r="E131" s="73">
        <v>2.0</v>
      </c>
      <c r="F131" s="73">
        <v>0.0</v>
      </c>
      <c r="G131" s="73">
        <v>0.0</v>
      </c>
      <c r="H131" s="73">
        <v>2.0</v>
      </c>
      <c r="I131" s="73">
        <v>1.0</v>
      </c>
      <c r="J131" s="73">
        <v>0.0</v>
      </c>
      <c r="K131" s="73">
        <v>0.0</v>
      </c>
      <c r="L131" s="73">
        <v>0.0</v>
      </c>
      <c r="M131" s="13">
        <f t="shared" si="28"/>
        <v>5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1.0</v>
      </c>
      <c r="G132" s="73">
        <v>0.0</v>
      </c>
      <c r="H132" s="73">
        <v>0.0</v>
      </c>
      <c r="I132" s="73">
        <v>1.0</v>
      </c>
      <c r="J132" s="73">
        <v>0.0</v>
      </c>
      <c r="K132" s="73">
        <v>0.0</v>
      </c>
      <c r="L132" s="73">
        <v>1.0</v>
      </c>
      <c r="M132" s="13">
        <f t="shared" si="28"/>
        <v>3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13">
        <f t="shared" si="28"/>
        <v>0</v>
      </c>
    </row>
    <row r="134" ht="12.75" customHeight="1">
      <c r="A134" s="18"/>
      <c r="B134" s="49"/>
      <c r="C134" s="50" t="s">
        <v>107</v>
      </c>
      <c r="D134" s="51"/>
      <c r="E134" s="73">
        <v>2.0</v>
      </c>
      <c r="F134" s="73">
        <v>1.0</v>
      </c>
      <c r="G134" s="73">
        <v>0.0</v>
      </c>
      <c r="H134" s="73">
        <v>0.0</v>
      </c>
      <c r="I134" s="73">
        <v>2.0</v>
      </c>
      <c r="J134" s="73">
        <v>1.0</v>
      </c>
      <c r="K134" s="73">
        <v>4.0</v>
      </c>
      <c r="L134" s="73">
        <v>0.0</v>
      </c>
      <c r="M134" s="13">
        <f t="shared" si="28"/>
        <v>10</v>
      </c>
    </row>
    <row r="135" ht="12.75" customHeight="1">
      <c r="A135" s="18"/>
      <c r="B135" s="49"/>
      <c r="C135" s="50" t="s">
        <v>108</v>
      </c>
      <c r="D135" s="51"/>
      <c r="E135" s="73">
        <v>0.0</v>
      </c>
      <c r="F135" s="73">
        <v>0.0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0.0</v>
      </c>
      <c r="M135" s="13">
        <f t="shared" si="28"/>
        <v>0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0.0</v>
      </c>
      <c r="I136" s="80">
        <v>0.0</v>
      </c>
      <c r="J136" s="80">
        <v>0.0</v>
      </c>
      <c r="K136" s="80">
        <v>0.0</v>
      </c>
      <c r="L136" s="80">
        <v>0.0</v>
      </c>
      <c r="M136" s="13">
        <f t="shared" si="28"/>
        <v>0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0.0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13">
        <f t="shared" si="28"/>
        <v>0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0.0</v>
      </c>
      <c r="I138" s="80">
        <v>0.0</v>
      </c>
      <c r="J138" s="80">
        <v>0.0</v>
      </c>
      <c r="K138" s="80">
        <v>0.0</v>
      </c>
      <c r="L138" s="80">
        <v>1.0</v>
      </c>
      <c r="M138" s="13">
        <f t="shared" si="28"/>
        <v>1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M139" si="29">SUM(E129:E138)</f>
        <v>11</v>
      </c>
      <c r="F139" s="13">
        <f t="shared" si="29"/>
        <v>19</v>
      </c>
      <c r="G139" s="13">
        <f t="shared" si="29"/>
        <v>6</v>
      </c>
      <c r="H139" s="13">
        <f t="shared" si="29"/>
        <v>9</v>
      </c>
      <c r="I139" s="13">
        <f t="shared" si="29"/>
        <v>9</v>
      </c>
      <c r="J139" s="13">
        <f t="shared" si="29"/>
        <v>2</v>
      </c>
      <c r="K139" s="13">
        <f t="shared" si="29"/>
        <v>5</v>
      </c>
      <c r="L139" s="13">
        <f t="shared" si="29"/>
        <v>4</v>
      </c>
      <c r="M139" s="13">
        <f t="shared" si="29"/>
        <v>65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13">
        <f t="shared" ref="M141:M150" si="30">SUM(E141:L141)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13">
        <f t="shared" si="30"/>
        <v>0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M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1.0</v>
      </c>
      <c r="G153" s="73">
        <v>0.0</v>
      </c>
      <c r="H153" s="73">
        <v>0.0</v>
      </c>
      <c r="I153" s="73">
        <v>1.0</v>
      </c>
      <c r="J153" s="73">
        <v>1.0</v>
      </c>
      <c r="K153" s="73">
        <v>1.0</v>
      </c>
      <c r="L153" s="73">
        <v>0.0</v>
      </c>
      <c r="M153" s="13">
        <f t="shared" ref="M153:M162" si="32">SUM(E153:L153)</f>
        <v>4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0.0</v>
      </c>
      <c r="H154" s="73">
        <v>0.0</v>
      </c>
      <c r="I154" s="73">
        <v>1.0</v>
      </c>
      <c r="J154" s="73">
        <v>0.0</v>
      </c>
      <c r="K154" s="73">
        <v>0.0</v>
      </c>
      <c r="L154" s="73">
        <v>0.0</v>
      </c>
      <c r="M154" s="13">
        <f t="shared" si="32"/>
        <v>1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13">
        <f t="shared" si="32"/>
        <v>0</v>
      </c>
    </row>
    <row r="156" ht="12.75" customHeight="1">
      <c r="A156" s="18"/>
      <c r="B156" s="49"/>
      <c r="C156" s="50" t="s">
        <v>121</v>
      </c>
      <c r="D156" s="51"/>
      <c r="E156" s="83">
        <v>1.0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13">
        <f t="shared" si="32"/>
        <v>1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13">
        <f t="shared" si="32"/>
        <v>0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13">
        <f t="shared" si="32"/>
        <v>0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13">
        <f t="shared" si="32"/>
        <v>0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13">
        <f t="shared" si="32"/>
        <v>0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M163" si="33">SUM(E153:E162)</f>
        <v>1</v>
      </c>
      <c r="F163" s="13">
        <f t="shared" si="33"/>
        <v>1</v>
      </c>
      <c r="G163" s="13">
        <f t="shared" si="33"/>
        <v>0</v>
      </c>
      <c r="H163" s="13">
        <f t="shared" si="33"/>
        <v>0</v>
      </c>
      <c r="I163" s="13">
        <f t="shared" si="33"/>
        <v>2</v>
      </c>
      <c r="J163" s="13">
        <f t="shared" si="33"/>
        <v>1</v>
      </c>
      <c r="K163" s="13">
        <f t="shared" si="33"/>
        <v>1</v>
      </c>
      <c r="L163" s="13">
        <f t="shared" si="33"/>
        <v>0</v>
      </c>
      <c r="M163" s="13">
        <f t="shared" si="33"/>
        <v>6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1.0</v>
      </c>
      <c r="M165" s="13">
        <f t="shared" ref="M165:M174" si="34">SUM(E165:L165)</f>
        <v>1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0.0</v>
      </c>
      <c r="F166" s="80">
        <v>0.0</v>
      </c>
      <c r="G166" s="80">
        <v>2.0</v>
      </c>
      <c r="H166" s="80">
        <v>2.0</v>
      </c>
      <c r="I166" s="80">
        <v>2.0</v>
      </c>
      <c r="J166" s="80">
        <v>0.0</v>
      </c>
      <c r="K166" s="80">
        <v>0.0</v>
      </c>
      <c r="L166" s="80">
        <v>0.0</v>
      </c>
      <c r="M166" s="13">
        <f t="shared" si="34"/>
        <v>6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M175" si="35">SUM(E165:E174)</f>
        <v>0</v>
      </c>
      <c r="F175" s="13">
        <f t="shared" si="35"/>
        <v>0</v>
      </c>
      <c r="G175" s="13">
        <f t="shared" si="35"/>
        <v>2</v>
      </c>
      <c r="H175" s="13">
        <f t="shared" si="35"/>
        <v>2</v>
      </c>
      <c r="I175" s="13">
        <f t="shared" si="35"/>
        <v>2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7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1.0</v>
      </c>
      <c r="F177" s="73">
        <v>1.0</v>
      </c>
      <c r="G177" s="73">
        <v>2.0</v>
      </c>
      <c r="H177" s="73">
        <v>0.0</v>
      </c>
      <c r="I177" s="73">
        <v>0.0</v>
      </c>
      <c r="J177" s="73">
        <v>1.0</v>
      </c>
      <c r="K177" s="73">
        <v>1.0</v>
      </c>
      <c r="L177" s="73">
        <v>1.0</v>
      </c>
      <c r="M177" s="13">
        <f t="shared" ref="M177:M186" si="36">SUM(E177:L177)</f>
        <v>7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7.0</v>
      </c>
      <c r="F178" s="73">
        <v>1.0</v>
      </c>
      <c r="G178" s="73">
        <v>0.0</v>
      </c>
      <c r="H178" s="73">
        <v>0.0</v>
      </c>
      <c r="I178" s="73">
        <v>4.0</v>
      </c>
      <c r="J178" s="73">
        <v>3.0</v>
      </c>
      <c r="K178" s="73">
        <v>1.0</v>
      </c>
      <c r="L178" s="73">
        <v>2.0</v>
      </c>
      <c r="M178" s="13">
        <f t="shared" si="36"/>
        <v>18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1.0</v>
      </c>
      <c r="M179" s="13">
        <f t="shared" si="36"/>
        <v>1</v>
      </c>
    </row>
    <row r="180" ht="12.75" customHeight="1">
      <c r="A180" s="18"/>
      <c r="B180" s="49"/>
      <c r="C180" s="50" t="s">
        <v>133</v>
      </c>
      <c r="D180" s="51"/>
      <c r="E180" s="73">
        <v>0.0</v>
      </c>
      <c r="F180" s="73">
        <v>0.0</v>
      </c>
      <c r="G180" s="73">
        <v>0.0</v>
      </c>
      <c r="H180" s="73">
        <v>2.0</v>
      </c>
      <c r="I180" s="73">
        <v>0.0</v>
      </c>
      <c r="J180" s="73">
        <v>0.0</v>
      </c>
      <c r="K180" s="73">
        <v>1.0</v>
      </c>
      <c r="L180" s="73">
        <v>0.0</v>
      </c>
      <c r="M180" s="13">
        <f t="shared" si="36"/>
        <v>3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5.0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13">
        <f t="shared" si="36"/>
        <v>5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1.0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13">
        <f t="shared" si="36"/>
        <v>1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13">
        <f t="shared" si="36"/>
        <v>0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0.0</v>
      </c>
      <c r="J184" s="80">
        <v>0.0</v>
      </c>
      <c r="K184" s="80">
        <v>0.0</v>
      </c>
      <c r="L184" s="80">
        <v>0.0</v>
      </c>
      <c r="M184" s="13">
        <f t="shared" si="36"/>
        <v>0</v>
      </c>
    </row>
    <row r="185" ht="12.75" customHeight="1">
      <c r="A185" s="79"/>
      <c r="B185" s="49"/>
      <c r="C185" s="50" t="s">
        <v>138</v>
      </c>
      <c r="D185" s="51"/>
      <c r="E185" s="80">
        <v>1.0</v>
      </c>
      <c r="F185" s="80">
        <v>0.0</v>
      </c>
      <c r="G185" s="80">
        <v>0.0</v>
      </c>
      <c r="H185" s="80">
        <v>1.0</v>
      </c>
      <c r="I185" s="80">
        <v>0.0</v>
      </c>
      <c r="J185" s="80">
        <v>0.0</v>
      </c>
      <c r="K185" s="80">
        <v>0.0</v>
      </c>
      <c r="L185" s="80">
        <v>2.0</v>
      </c>
      <c r="M185" s="13">
        <f t="shared" si="36"/>
        <v>4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13">
        <f t="shared" si="36"/>
        <v>0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M187" si="37">SUM(E177:E186)</f>
        <v>9</v>
      </c>
      <c r="F187" s="13">
        <f t="shared" si="37"/>
        <v>7</v>
      </c>
      <c r="G187" s="13">
        <f t="shared" si="37"/>
        <v>3</v>
      </c>
      <c r="H187" s="13">
        <f t="shared" si="37"/>
        <v>3</v>
      </c>
      <c r="I187" s="13">
        <f t="shared" si="37"/>
        <v>4</v>
      </c>
      <c r="J187" s="13">
        <f t="shared" si="37"/>
        <v>4</v>
      </c>
      <c r="K187" s="13">
        <f t="shared" si="37"/>
        <v>3</v>
      </c>
      <c r="L187" s="13">
        <f t="shared" si="37"/>
        <v>6</v>
      </c>
      <c r="M187" s="13">
        <f t="shared" si="37"/>
        <v>39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1.0</v>
      </c>
      <c r="H189" s="73">
        <v>0.0</v>
      </c>
      <c r="I189" s="73">
        <v>0.0</v>
      </c>
      <c r="J189" s="73">
        <v>0.0</v>
      </c>
      <c r="K189" s="73">
        <v>1.0</v>
      </c>
      <c r="L189" s="73">
        <v>0.0</v>
      </c>
      <c r="M189" s="13">
        <f t="shared" ref="M189:M198" si="38">SUM(E189:L189)</f>
        <v>2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13">
        <f t="shared" si="38"/>
        <v>0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13">
        <f t="shared" si="38"/>
        <v>0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13">
        <f t="shared" si="38"/>
        <v>0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1.0</v>
      </c>
      <c r="K193" s="73">
        <v>0.0</v>
      </c>
      <c r="L193" s="73">
        <v>0.0</v>
      </c>
      <c r="M193" s="13">
        <f t="shared" si="38"/>
        <v>1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13">
        <f t="shared" si="38"/>
        <v>0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13">
        <f t="shared" si="38"/>
        <v>0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13">
        <f t="shared" si="38"/>
        <v>0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13">
        <f t="shared" si="38"/>
        <v>0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M199" si="39">SUM(E189:E198)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0</v>
      </c>
      <c r="M199" s="13">
        <f t="shared" si="39"/>
        <v>3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4.0</v>
      </c>
      <c r="F201" s="73">
        <v>10.0</v>
      </c>
      <c r="G201" s="73">
        <v>20.0</v>
      </c>
      <c r="H201" s="73">
        <v>3.0</v>
      </c>
      <c r="I201" s="73">
        <v>5.0</v>
      </c>
      <c r="J201" s="73">
        <v>6.0</v>
      </c>
      <c r="K201" s="73">
        <v>6.0</v>
      </c>
      <c r="L201" s="73">
        <v>7.0</v>
      </c>
      <c r="M201" s="13">
        <f t="shared" ref="M201:M210" si="40">SUM(E201:L201)</f>
        <v>61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6.0</v>
      </c>
      <c r="F202" s="73">
        <v>3.0</v>
      </c>
      <c r="G202" s="73">
        <v>5.0</v>
      </c>
      <c r="H202" s="73">
        <v>2.0</v>
      </c>
      <c r="I202" s="73">
        <v>7.0</v>
      </c>
      <c r="J202" s="73">
        <v>6.0</v>
      </c>
      <c r="K202" s="73">
        <v>4.0</v>
      </c>
      <c r="L202" s="73">
        <v>5.0</v>
      </c>
      <c r="M202" s="13">
        <f t="shared" si="40"/>
        <v>38</v>
      </c>
    </row>
    <row r="203" ht="12.75" customHeight="1">
      <c r="A203" s="18"/>
      <c r="B203" s="49"/>
      <c r="C203" s="50" t="s">
        <v>154</v>
      </c>
      <c r="D203" s="51"/>
      <c r="E203" s="73">
        <v>0.0</v>
      </c>
      <c r="F203" s="73">
        <v>5.0</v>
      </c>
      <c r="G203" s="73">
        <v>3.0</v>
      </c>
      <c r="H203" s="73">
        <v>4.0</v>
      </c>
      <c r="I203" s="73">
        <v>2.0</v>
      </c>
      <c r="J203" s="73">
        <v>3.0</v>
      </c>
      <c r="K203" s="73">
        <v>6.0</v>
      </c>
      <c r="L203" s="73">
        <v>2.0</v>
      </c>
      <c r="M203" s="13">
        <f t="shared" si="40"/>
        <v>25</v>
      </c>
    </row>
    <row r="204" ht="12.75" customHeight="1">
      <c r="A204" s="18"/>
      <c r="B204" s="49"/>
      <c r="C204" s="50" t="s">
        <v>155</v>
      </c>
      <c r="D204" s="51"/>
      <c r="E204" s="73">
        <v>0.0</v>
      </c>
      <c r="F204" s="73">
        <v>0.0</v>
      </c>
      <c r="G204" s="73">
        <v>2.0</v>
      </c>
      <c r="H204" s="73">
        <v>0.0</v>
      </c>
      <c r="I204" s="73">
        <v>1.0</v>
      </c>
      <c r="J204" s="73">
        <v>0.0</v>
      </c>
      <c r="K204" s="73">
        <v>0.0</v>
      </c>
      <c r="L204" s="73">
        <v>1.0</v>
      </c>
      <c r="M204" s="13">
        <f t="shared" si="40"/>
        <v>4</v>
      </c>
    </row>
    <row r="205" ht="12.75" customHeight="1">
      <c r="A205" s="18"/>
      <c r="B205" s="49"/>
      <c r="C205" s="50" t="s">
        <v>156</v>
      </c>
      <c r="D205" s="51"/>
      <c r="E205" s="73">
        <v>1.0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1.0</v>
      </c>
      <c r="L205" s="73">
        <v>0.0</v>
      </c>
      <c r="M205" s="13">
        <f t="shared" si="40"/>
        <v>2</v>
      </c>
    </row>
    <row r="206" ht="12.75" customHeight="1">
      <c r="A206" s="18"/>
      <c r="B206" s="49"/>
      <c r="C206" s="50" t="s">
        <v>157</v>
      </c>
      <c r="D206" s="51"/>
      <c r="E206" s="73">
        <v>2.0</v>
      </c>
      <c r="F206" s="73">
        <v>2.0</v>
      </c>
      <c r="G206" s="73">
        <v>1.0</v>
      </c>
      <c r="H206" s="73">
        <v>0.0</v>
      </c>
      <c r="I206" s="73">
        <v>1.0</v>
      </c>
      <c r="J206" s="73">
        <v>0.0</v>
      </c>
      <c r="K206" s="73">
        <v>0.0</v>
      </c>
      <c r="L206" s="73">
        <v>0.0</v>
      </c>
      <c r="M206" s="13">
        <f t="shared" si="40"/>
        <v>6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1.0</v>
      </c>
      <c r="G207" s="73">
        <v>2.0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13">
        <f t="shared" si="40"/>
        <v>3</v>
      </c>
    </row>
    <row r="208" ht="12.75" customHeight="1">
      <c r="A208" s="79"/>
      <c r="B208" s="49"/>
      <c r="C208" s="50" t="s">
        <v>159</v>
      </c>
      <c r="D208" s="51"/>
      <c r="E208" s="80">
        <v>0.0</v>
      </c>
      <c r="F208" s="80">
        <v>2.0</v>
      </c>
      <c r="G208" s="80">
        <v>1.0</v>
      </c>
      <c r="H208" s="80">
        <v>1.0</v>
      </c>
      <c r="I208" s="80">
        <v>2.0</v>
      </c>
      <c r="J208" s="80">
        <v>1.0</v>
      </c>
      <c r="K208" s="80">
        <v>3.0</v>
      </c>
      <c r="L208" s="80">
        <v>0.0</v>
      </c>
      <c r="M208" s="13">
        <f t="shared" si="40"/>
        <v>10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13">
        <f t="shared" si="40"/>
        <v>0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1.0</v>
      </c>
      <c r="G210" s="80">
        <v>0.0</v>
      </c>
      <c r="H210" s="80">
        <v>0.0</v>
      </c>
      <c r="I210" s="80">
        <v>1.0</v>
      </c>
      <c r="J210" s="80">
        <v>0.0</v>
      </c>
      <c r="K210" s="80">
        <v>0.0</v>
      </c>
      <c r="L210" s="80">
        <v>0.0</v>
      </c>
      <c r="M210" s="13">
        <f t="shared" si="40"/>
        <v>2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M211" si="41">SUM(E201:E210)</f>
        <v>13</v>
      </c>
      <c r="F211" s="13">
        <f t="shared" si="41"/>
        <v>24</v>
      </c>
      <c r="G211" s="13">
        <f t="shared" si="41"/>
        <v>34</v>
      </c>
      <c r="H211" s="13">
        <f t="shared" si="41"/>
        <v>10</v>
      </c>
      <c r="I211" s="13">
        <f t="shared" si="41"/>
        <v>19</v>
      </c>
      <c r="J211" s="13">
        <f t="shared" si="41"/>
        <v>16</v>
      </c>
      <c r="K211" s="13">
        <f t="shared" si="41"/>
        <v>20</v>
      </c>
      <c r="L211" s="13">
        <f t="shared" si="41"/>
        <v>15</v>
      </c>
      <c r="M211" s="13">
        <f t="shared" si="41"/>
        <v>151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2.0</v>
      </c>
      <c r="F213" s="73">
        <v>5.0</v>
      </c>
      <c r="G213" s="73">
        <v>2.0</v>
      </c>
      <c r="H213" s="73">
        <v>2.0</v>
      </c>
      <c r="I213" s="73">
        <v>0.0</v>
      </c>
      <c r="J213" s="73">
        <v>0.0</v>
      </c>
      <c r="K213" s="73">
        <v>1.0</v>
      </c>
      <c r="L213" s="73">
        <v>4.0</v>
      </c>
      <c r="M213" s="13">
        <f t="shared" ref="M213:M222" si="42">SUM(E213:L213)</f>
        <v>16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0.0</v>
      </c>
      <c r="F214" s="73">
        <v>2.0</v>
      </c>
      <c r="G214" s="73">
        <v>1.0</v>
      </c>
      <c r="H214" s="73">
        <v>1.0</v>
      </c>
      <c r="I214" s="73">
        <v>3.0</v>
      </c>
      <c r="J214" s="73">
        <v>3.0</v>
      </c>
      <c r="K214" s="73">
        <v>4.0</v>
      </c>
      <c r="L214" s="73">
        <v>1.0</v>
      </c>
      <c r="M214" s="13">
        <f t="shared" si="42"/>
        <v>15</v>
      </c>
    </row>
    <row r="215" ht="12.75" customHeight="1">
      <c r="A215" s="18"/>
      <c r="B215" s="49"/>
      <c r="C215" s="50" t="s">
        <v>165</v>
      </c>
      <c r="D215" s="51"/>
      <c r="E215" s="73">
        <v>3.0</v>
      </c>
      <c r="F215" s="73">
        <v>2.0</v>
      </c>
      <c r="G215" s="73">
        <v>1.0</v>
      </c>
      <c r="H215" s="73">
        <v>3.0</v>
      </c>
      <c r="I215" s="73">
        <v>1.0</v>
      </c>
      <c r="J215" s="73">
        <v>0.0</v>
      </c>
      <c r="K215" s="73">
        <v>1.0</v>
      </c>
      <c r="L215" s="73">
        <v>0.0</v>
      </c>
      <c r="M215" s="13">
        <f t="shared" si="42"/>
        <v>11</v>
      </c>
    </row>
    <row r="216" ht="12.75" customHeight="1">
      <c r="A216" s="18"/>
      <c r="B216" s="49"/>
      <c r="C216" s="50" t="s">
        <v>166</v>
      </c>
      <c r="D216" s="51"/>
      <c r="E216" s="73">
        <v>1.0</v>
      </c>
      <c r="F216" s="73">
        <v>1.0</v>
      </c>
      <c r="G216" s="73">
        <v>0.0</v>
      </c>
      <c r="H216" s="73">
        <v>0.0</v>
      </c>
      <c r="I216" s="73">
        <v>1.0</v>
      </c>
      <c r="J216" s="73">
        <v>0.0</v>
      </c>
      <c r="K216" s="73">
        <v>0.0</v>
      </c>
      <c r="L216" s="73">
        <v>0.0</v>
      </c>
      <c r="M216" s="13">
        <f t="shared" si="42"/>
        <v>3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M223" si="43">SUM(E213:E222)</f>
        <v>6</v>
      </c>
      <c r="F223" s="13">
        <f t="shared" si="43"/>
        <v>10</v>
      </c>
      <c r="G223" s="13">
        <f t="shared" si="43"/>
        <v>4</v>
      </c>
      <c r="H223" s="13">
        <f t="shared" si="43"/>
        <v>6</v>
      </c>
      <c r="I223" s="13">
        <f t="shared" si="43"/>
        <v>5</v>
      </c>
      <c r="J223" s="13">
        <f t="shared" si="43"/>
        <v>3</v>
      </c>
      <c r="K223" s="13">
        <f t="shared" si="43"/>
        <v>6</v>
      </c>
      <c r="L223" s="13">
        <f t="shared" si="43"/>
        <v>5</v>
      </c>
      <c r="M223" s="13">
        <f t="shared" si="43"/>
        <v>45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2.0</v>
      </c>
      <c r="F225" s="73">
        <v>0.0</v>
      </c>
      <c r="G225" s="73">
        <v>0.0</v>
      </c>
      <c r="H225" s="73">
        <v>1.0</v>
      </c>
      <c r="I225" s="73">
        <v>0.0</v>
      </c>
      <c r="J225" s="73">
        <v>0.0</v>
      </c>
      <c r="K225" s="73">
        <v>1.0</v>
      </c>
      <c r="L225" s="73">
        <v>1.0</v>
      </c>
      <c r="M225" s="13">
        <f t="shared" ref="M225:M234" si="44">SUM(E225:L225)</f>
        <v>5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1.0</v>
      </c>
      <c r="F226" s="73">
        <v>0.0</v>
      </c>
      <c r="G226" s="73">
        <v>0.0</v>
      </c>
      <c r="H226" s="73">
        <v>0.0</v>
      </c>
      <c r="I226" s="73">
        <v>0.0</v>
      </c>
      <c r="J226" s="73">
        <v>1.0</v>
      </c>
      <c r="K226" s="73">
        <v>1.0</v>
      </c>
      <c r="L226" s="73">
        <v>0.0</v>
      </c>
      <c r="M226" s="13">
        <f t="shared" si="44"/>
        <v>3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1.0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13">
        <f t="shared" si="44"/>
        <v>1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2.0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13">
        <f t="shared" si="44"/>
        <v>2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1.0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13">
        <f t="shared" si="44"/>
        <v>1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M235" si="45">SUM(E225:E234)</f>
        <v>3</v>
      </c>
      <c r="F235" s="13">
        <f t="shared" si="45"/>
        <v>4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2</v>
      </c>
      <c r="L235" s="13">
        <f t="shared" si="45"/>
        <v>1</v>
      </c>
      <c r="M235" s="13">
        <f t="shared" si="45"/>
        <v>12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0.0</v>
      </c>
      <c r="F237" s="73">
        <v>0.0</v>
      </c>
      <c r="G237" s="73">
        <v>0.0</v>
      </c>
      <c r="H237" s="73">
        <v>0.0</v>
      </c>
      <c r="I237" s="73">
        <v>0.0</v>
      </c>
      <c r="J237" s="73">
        <v>0.0</v>
      </c>
      <c r="K237" s="73">
        <v>0.0</v>
      </c>
      <c r="L237" s="73">
        <v>0.0</v>
      </c>
      <c r="M237" s="13">
        <f t="shared" ref="M237:M246" si="46">SUM(E237:L237)</f>
        <v>0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0.0</v>
      </c>
      <c r="F238" s="73">
        <v>1.0</v>
      </c>
      <c r="G238" s="73">
        <v>0.0</v>
      </c>
      <c r="H238" s="73">
        <v>0.0</v>
      </c>
      <c r="I238" s="73">
        <v>0.0</v>
      </c>
      <c r="J238" s="73">
        <v>0.0</v>
      </c>
      <c r="K238" s="73">
        <v>1.0</v>
      </c>
      <c r="L238" s="73">
        <v>0.0</v>
      </c>
      <c r="M238" s="13">
        <f t="shared" si="46"/>
        <v>2</v>
      </c>
    </row>
    <row r="239" ht="12.75" customHeight="1">
      <c r="A239" s="18"/>
      <c r="B239" s="49"/>
      <c r="C239" s="50" t="s">
        <v>176</v>
      </c>
      <c r="D239" s="51"/>
      <c r="E239" s="73">
        <v>2.0</v>
      </c>
      <c r="F239" s="73">
        <v>2.0</v>
      </c>
      <c r="G239" s="73">
        <v>5.0</v>
      </c>
      <c r="H239" s="73">
        <v>1.0</v>
      </c>
      <c r="I239" s="73">
        <v>7.0</v>
      </c>
      <c r="J239" s="73">
        <v>0.0</v>
      </c>
      <c r="K239" s="73">
        <v>14.0</v>
      </c>
      <c r="L239" s="73">
        <v>0.0</v>
      </c>
      <c r="M239" s="13">
        <f t="shared" si="46"/>
        <v>31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1.0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13">
        <f t="shared" si="46"/>
        <v>1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13">
        <f t="shared" si="46"/>
        <v>0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0.0</v>
      </c>
      <c r="G242" s="73">
        <v>1.0</v>
      </c>
      <c r="H242" s="73">
        <v>0.0</v>
      </c>
      <c r="I242" s="73">
        <v>1.0</v>
      </c>
      <c r="J242" s="73">
        <v>0.0</v>
      </c>
      <c r="K242" s="73">
        <v>0.0</v>
      </c>
      <c r="L242" s="73">
        <v>0.0</v>
      </c>
      <c r="M242" s="13">
        <f t="shared" si="46"/>
        <v>2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13">
        <f t="shared" si="46"/>
        <v>0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13">
        <f t="shared" si="46"/>
        <v>0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1.0</v>
      </c>
      <c r="F246" s="80">
        <v>0.0</v>
      </c>
      <c r="G246" s="80">
        <v>0.0</v>
      </c>
      <c r="H246" s="80">
        <v>0.0</v>
      </c>
      <c r="I246" s="80">
        <v>1.0</v>
      </c>
      <c r="J246" s="80">
        <v>0.0</v>
      </c>
      <c r="K246" s="80">
        <v>0.0</v>
      </c>
      <c r="L246" s="80">
        <v>0.0</v>
      </c>
      <c r="M246" s="13">
        <f t="shared" si="46"/>
        <v>2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M247" si="47">SUM(E237:E246)</f>
        <v>3</v>
      </c>
      <c r="F247" s="13">
        <f t="shared" si="47"/>
        <v>3</v>
      </c>
      <c r="G247" s="13">
        <f t="shared" si="47"/>
        <v>7</v>
      </c>
      <c r="H247" s="13">
        <f t="shared" si="47"/>
        <v>1</v>
      </c>
      <c r="I247" s="13">
        <f t="shared" si="47"/>
        <v>9</v>
      </c>
      <c r="J247" s="13">
        <f t="shared" si="47"/>
        <v>0</v>
      </c>
      <c r="K247" s="13">
        <f t="shared" si="47"/>
        <v>15</v>
      </c>
      <c r="L247" s="13">
        <f t="shared" si="47"/>
        <v>0</v>
      </c>
      <c r="M247" s="13">
        <f t="shared" si="47"/>
        <v>38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3.0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13">
        <f t="shared" ref="M249:M258" si="48">SUM(E249:L249)</f>
        <v>3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5.0</v>
      </c>
      <c r="F250" s="73">
        <v>0.0</v>
      </c>
      <c r="G250" s="73">
        <v>0.0</v>
      </c>
      <c r="H250" s="73">
        <v>0.0</v>
      </c>
      <c r="I250" s="73">
        <v>1.0</v>
      </c>
      <c r="J250" s="73">
        <v>0.0</v>
      </c>
      <c r="K250" s="73">
        <v>0.0</v>
      </c>
      <c r="L250" s="73">
        <v>0.0</v>
      </c>
      <c r="M250" s="13">
        <f t="shared" si="48"/>
        <v>6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13">
        <f t="shared" si="48"/>
        <v>0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1.0</v>
      </c>
      <c r="J252" s="73">
        <v>0.0</v>
      </c>
      <c r="K252" s="73">
        <v>0.0</v>
      </c>
      <c r="L252" s="73">
        <v>0.0</v>
      </c>
      <c r="M252" s="13">
        <f t="shared" si="48"/>
        <v>1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M259" si="49">SUM(E249:E258)</f>
        <v>8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2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10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L262" si="50">E55+E67+E79+E91+E103+E115+E127+E139+E151+E163+E175+E187+E199+E211+E223+E235+E247+E259</f>
        <v>161</v>
      </c>
      <c r="F262" s="19">
        <f t="shared" si="50"/>
        <v>198</v>
      </c>
      <c r="G262" s="19">
        <f t="shared" si="50"/>
        <v>180</v>
      </c>
      <c r="H262" s="19">
        <f t="shared" si="50"/>
        <v>208</v>
      </c>
      <c r="I262" s="19">
        <f t="shared" si="50"/>
        <v>204</v>
      </c>
      <c r="J262" s="19">
        <f t="shared" si="50"/>
        <v>163</v>
      </c>
      <c r="K262" s="19">
        <f t="shared" si="50"/>
        <v>181</v>
      </c>
      <c r="L262" s="19">
        <f t="shared" si="50"/>
        <v>159</v>
      </c>
      <c r="M262" s="13">
        <f t="shared" ref="M262:M264" si="51">SUM(E262:L262)</f>
        <v>1454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19.0</v>
      </c>
      <c r="F263" s="73">
        <v>32.0</v>
      </c>
      <c r="G263" s="73">
        <v>48.0</v>
      </c>
      <c r="H263" s="73">
        <v>34.0</v>
      </c>
      <c r="I263" s="73">
        <v>35.0</v>
      </c>
      <c r="J263" s="73">
        <v>25.0</v>
      </c>
      <c r="K263" s="73">
        <v>28.0</v>
      </c>
      <c r="L263" s="73">
        <v>31.0</v>
      </c>
      <c r="M263" s="13">
        <f t="shared" si="51"/>
        <v>252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L264" si="52">SUM(E262:E263)</f>
        <v>180</v>
      </c>
      <c r="F264" s="13">
        <f t="shared" si="52"/>
        <v>230</v>
      </c>
      <c r="G264" s="13">
        <f t="shared" si="52"/>
        <v>228</v>
      </c>
      <c r="H264" s="13">
        <f t="shared" si="52"/>
        <v>242</v>
      </c>
      <c r="I264" s="13">
        <f t="shared" si="52"/>
        <v>239</v>
      </c>
      <c r="J264" s="13">
        <f t="shared" si="52"/>
        <v>188</v>
      </c>
      <c r="K264" s="13">
        <f t="shared" si="52"/>
        <v>209</v>
      </c>
      <c r="L264" s="13">
        <f t="shared" si="52"/>
        <v>190</v>
      </c>
      <c r="M264" s="13">
        <f t="shared" si="51"/>
        <v>1706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E34&lt;&gt;E64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8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36"/>
    </row>
    <row r="14" ht="12.75" customHeight="1">
      <c r="A14" s="18"/>
      <c r="B14" s="22" t="s">
        <v>10</v>
      </c>
      <c r="C14" s="23"/>
      <c r="D14" s="19" t="s">
        <v>11</v>
      </c>
      <c r="E14" s="73">
        <v>136.0</v>
      </c>
      <c r="F14" s="73">
        <v>117.0</v>
      </c>
      <c r="G14" s="73">
        <v>134.0</v>
      </c>
      <c r="H14" s="73">
        <v>137.0</v>
      </c>
      <c r="I14" s="73">
        <v>136.0</v>
      </c>
      <c r="J14" s="73">
        <v>103.0</v>
      </c>
      <c r="K14" s="73">
        <v>131.0</v>
      </c>
      <c r="L14" s="73">
        <v>126.0</v>
      </c>
      <c r="M14" s="73">
        <v>100.0</v>
      </c>
      <c r="N14" s="73">
        <v>130.0</v>
      </c>
      <c r="O14" s="73">
        <v>146.0</v>
      </c>
      <c r="P14" s="13">
        <f t="shared" ref="P14:P16" si="1">SUM(E14:O14)</f>
        <v>1396</v>
      </c>
    </row>
    <row r="15" ht="12.75" customHeight="1">
      <c r="A15" s="18"/>
      <c r="B15" s="26"/>
      <c r="C15" s="27"/>
      <c r="D15" s="19" t="s">
        <v>12</v>
      </c>
      <c r="E15" s="73">
        <v>136.0</v>
      </c>
      <c r="F15" s="73">
        <v>131.0</v>
      </c>
      <c r="G15" s="73">
        <v>135.0</v>
      </c>
      <c r="H15" s="73">
        <v>131.0</v>
      </c>
      <c r="I15" s="73">
        <v>142.0</v>
      </c>
      <c r="J15" s="73">
        <v>98.0</v>
      </c>
      <c r="K15" s="73">
        <v>148.0</v>
      </c>
      <c r="L15" s="73">
        <v>98.0</v>
      </c>
      <c r="M15" s="73">
        <v>122.0</v>
      </c>
      <c r="N15" s="73">
        <v>151.0</v>
      </c>
      <c r="O15" s="73">
        <v>142.0</v>
      </c>
      <c r="P15" s="13">
        <f t="shared" si="1"/>
        <v>1434</v>
      </c>
    </row>
    <row r="16" ht="12.75" customHeight="1">
      <c r="A16" s="25"/>
      <c r="B16" s="21"/>
      <c r="C16" s="28"/>
      <c r="D16" s="13" t="s">
        <v>13</v>
      </c>
      <c r="E16" s="13">
        <f t="shared" ref="E16:O16" si="2">SUM(E14:E15)</f>
        <v>272</v>
      </c>
      <c r="F16" s="13">
        <f t="shared" si="2"/>
        <v>248</v>
      </c>
      <c r="G16" s="13">
        <f t="shared" si="2"/>
        <v>269</v>
      </c>
      <c r="H16" s="13">
        <f t="shared" si="2"/>
        <v>268</v>
      </c>
      <c r="I16" s="13">
        <f t="shared" si="2"/>
        <v>278</v>
      </c>
      <c r="J16" s="13">
        <f t="shared" si="2"/>
        <v>201</v>
      </c>
      <c r="K16" s="13">
        <f t="shared" si="2"/>
        <v>279</v>
      </c>
      <c r="L16" s="13">
        <f t="shared" si="2"/>
        <v>224</v>
      </c>
      <c r="M16" s="13">
        <f t="shared" si="2"/>
        <v>222</v>
      </c>
      <c r="N16" s="13">
        <f t="shared" si="2"/>
        <v>281</v>
      </c>
      <c r="O16" s="13">
        <f t="shared" si="2"/>
        <v>288</v>
      </c>
      <c r="P16" s="13">
        <f t="shared" si="1"/>
        <v>2830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82.0</v>
      </c>
      <c r="F19" s="73">
        <v>79.0</v>
      </c>
      <c r="G19" s="73">
        <v>87.0</v>
      </c>
      <c r="H19" s="73">
        <v>101.0</v>
      </c>
      <c r="I19" s="73">
        <v>98.0</v>
      </c>
      <c r="J19" s="73">
        <v>86.0</v>
      </c>
      <c r="K19" s="73">
        <v>99.0</v>
      </c>
      <c r="L19" s="73">
        <v>93.0</v>
      </c>
      <c r="M19" s="73">
        <v>76.0</v>
      </c>
      <c r="N19" s="73">
        <v>88.0</v>
      </c>
      <c r="O19" s="73">
        <v>106.0</v>
      </c>
      <c r="P19" s="13">
        <f t="shared" ref="P19:P30" si="3">SUM(E19:O19)</f>
        <v>995</v>
      </c>
    </row>
    <row r="20" ht="12.75" customHeight="1">
      <c r="A20" s="33"/>
      <c r="B20" s="27"/>
      <c r="C20" s="34"/>
      <c r="D20" s="19" t="s">
        <v>12</v>
      </c>
      <c r="E20" s="73">
        <v>90.0</v>
      </c>
      <c r="F20" s="73">
        <v>102.0</v>
      </c>
      <c r="G20" s="73">
        <v>111.0</v>
      </c>
      <c r="H20" s="73">
        <v>102.0</v>
      </c>
      <c r="I20" s="73">
        <v>105.0</v>
      </c>
      <c r="J20" s="73">
        <v>85.0</v>
      </c>
      <c r="K20" s="73">
        <v>122.0</v>
      </c>
      <c r="L20" s="73">
        <v>80.0</v>
      </c>
      <c r="M20" s="73">
        <v>95.0</v>
      </c>
      <c r="N20" s="73">
        <v>122.0</v>
      </c>
      <c r="O20" s="73">
        <v>114.0</v>
      </c>
      <c r="P20" s="13">
        <f t="shared" si="3"/>
        <v>1128</v>
      </c>
    </row>
    <row r="21" ht="12.75" customHeight="1">
      <c r="A21" s="35"/>
      <c r="B21" s="28"/>
      <c r="C21" s="36"/>
      <c r="D21" s="13" t="s">
        <v>13</v>
      </c>
      <c r="E21" s="13">
        <f t="shared" ref="E21:O21" si="4">SUM(E19:E20)</f>
        <v>172</v>
      </c>
      <c r="F21" s="13">
        <f t="shared" si="4"/>
        <v>181</v>
      </c>
      <c r="G21" s="13">
        <f t="shared" si="4"/>
        <v>198</v>
      </c>
      <c r="H21" s="13">
        <f t="shared" si="4"/>
        <v>203</v>
      </c>
      <c r="I21" s="13">
        <f t="shared" si="4"/>
        <v>203</v>
      </c>
      <c r="J21" s="13">
        <f t="shared" si="4"/>
        <v>171</v>
      </c>
      <c r="K21" s="13">
        <f t="shared" si="4"/>
        <v>221</v>
      </c>
      <c r="L21" s="13">
        <f t="shared" si="4"/>
        <v>173</v>
      </c>
      <c r="M21" s="13">
        <f t="shared" si="4"/>
        <v>171</v>
      </c>
      <c r="N21" s="13">
        <f t="shared" si="4"/>
        <v>210</v>
      </c>
      <c r="O21" s="13">
        <f t="shared" si="4"/>
        <v>220</v>
      </c>
      <c r="P21" s="13">
        <f t="shared" si="3"/>
        <v>2123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3.0</v>
      </c>
      <c r="F25" s="73">
        <v>1.0</v>
      </c>
      <c r="G25" s="73">
        <v>2.0</v>
      </c>
      <c r="H25" s="73">
        <v>1.0</v>
      </c>
      <c r="I25" s="73">
        <v>3.0</v>
      </c>
      <c r="J25" s="73">
        <v>0.0</v>
      </c>
      <c r="K25" s="73">
        <v>2.0</v>
      </c>
      <c r="L25" s="73">
        <v>0.0</v>
      </c>
      <c r="M25" s="73">
        <v>6.0</v>
      </c>
      <c r="N25" s="73">
        <v>5.0</v>
      </c>
      <c r="O25" s="73">
        <v>6.0</v>
      </c>
      <c r="P25" s="13">
        <f t="shared" si="3"/>
        <v>29</v>
      </c>
    </row>
    <row r="26" ht="12.75" customHeight="1">
      <c r="A26" s="33"/>
      <c r="B26" s="27"/>
      <c r="C26" s="34"/>
      <c r="D26" s="19" t="s">
        <v>12</v>
      </c>
      <c r="E26" s="73">
        <v>1.0</v>
      </c>
      <c r="F26" s="73">
        <v>1.0</v>
      </c>
      <c r="G26" s="73">
        <v>2.0</v>
      </c>
      <c r="H26" s="73">
        <v>1.0</v>
      </c>
      <c r="I26" s="73">
        <v>4.0</v>
      </c>
      <c r="J26" s="73">
        <v>0.0</v>
      </c>
      <c r="K26" s="73">
        <v>1.0</v>
      </c>
      <c r="L26" s="73">
        <v>0.0</v>
      </c>
      <c r="M26" s="73">
        <v>3.0</v>
      </c>
      <c r="N26" s="73">
        <v>8.0</v>
      </c>
      <c r="O26" s="73">
        <v>2.0</v>
      </c>
      <c r="P26" s="13">
        <f t="shared" si="3"/>
        <v>23</v>
      </c>
    </row>
    <row r="27" ht="12.75" customHeight="1">
      <c r="A27" s="35"/>
      <c r="B27" s="28"/>
      <c r="C27" s="36"/>
      <c r="D27" s="13" t="s">
        <v>13</v>
      </c>
      <c r="E27" s="13">
        <f t="shared" ref="E27:O27" si="6">SUM(E25:E26)</f>
        <v>4</v>
      </c>
      <c r="F27" s="13">
        <f t="shared" si="6"/>
        <v>2</v>
      </c>
      <c r="G27" s="13">
        <f t="shared" si="6"/>
        <v>4</v>
      </c>
      <c r="H27" s="13">
        <f t="shared" si="6"/>
        <v>2</v>
      </c>
      <c r="I27" s="13">
        <f t="shared" si="6"/>
        <v>7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9</v>
      </c>
      <c r="N27" s="13">
        <f t="shared" si="6"/>
        <v>13</v>
      </c>
      <c r="O27" s="13">
        <f t="shared" si="6"/>
        <v>8</v>
      </c>
      <c r="P27" s="13">
        <f t="shared" si="3"/>
        <v>52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O28" si="7">SUM(E19,E22,E25)</f>
        <v>85</v>
      </c>
      <c r="F28" s="13">
        <f t="shared" si="7"/>
        <v>80</v>
      </c>
      <c r="G28" s="13">
        <f t="shared" si="7"/>
        <v>89</v>
      </c>
      <c r="H28" s="13">
        <f t="shared" si="7"/>
        <v>102</v>
      </c>
      <c r="I28" s="13">
        <f t="shared" si="7"/>
        <v>101</v>
      </c>
      <c r="J28" s="13">
        <f t="shared" si="7"/>
        <v>86</v>
      </c>
      <c r="K28" s="13">
        <f t="shared" si="7"/>
        <v>101</v>
      </c>
      <c r="L28" s="13">
        <f t="shared" si="7"/>
        <v>93</v>
      </c>
      <c r="M28" s="13">
        <f t="shared" si="7"/>
        <v>82</v>
      </c>
      <c r="N28" s="13">
        <f t="shared" si="7"/>
        <v>93</v>
      </c>
      <c r="O28" s="13">
        <f t="shared" si="7"/>
        <v>112</v>
      </c>
      <c r="P28" s="13">
        <f t="shared" si="3"/>
        <v>1024</v>
      </c>
    </row>
    <row r="29" ht="12.75" customHeight="1">
      <c r="A29" s="35"/>
      <c r="B29" s="27"/>
      <c r="C29" s="34"/>
      <c r="D29" s="13" t="s">
        <v>12</v>
      </c>
      <c r="E29" s="13">
        <f t="shared" ref="E29:O29" si="8">SUM(E20,E23,E26)</f>
        <v>91</v>
      </c>
      <c r="F29" s="13">
        <f t="shared" si="8"/>
        <v>103</v>
      </c>
      <c r="G29" s="13">
        <f t="shared" si="8"/>
        <v>113</v>
      </c>
      <c r="H29" s="13">
        <f t="shared" si="8"/>
        <v>103</v>
      </c>
      <c r="I29" s="13">
        <f t="shared" si="8"/>
        <v>109</v>
      </c>
      <c r="J29" s="13">
        <f t="shared" si="8"/>
        <v>85</v>
      </c>
      <c r="K29" s="13">
        <f t="shared" si="8"/>
        <v>123</v>
      </c>
      <c r="L29" s="13">
        <f t="shared" si="8"/>
        <v>80</v>
      </c>
      <c r="M29" s="13">
        <f t="shared" si="8"/>
        <v>98</v>
      </c>
      <c r="N29" s="13">
        <f t="shared" si="8"/>
        <v>130</v>
      </c>
      <c r="O29" s="13">
        <f t="shared" si="8"/>
        <v>116</v>
      </c>
      <c r="P29" s="13">
        <f t="shared" si="3"/>
        <v>1151</v>
      </c>
    </row>
    <row r="30" ht="12.75" customHeight="1">
      <c r="A30" s="35"/>
      <c r="B30" s="28"/>
      <c r="C30" s="36"/>
      <c r="D30" s="13" t="s">
        <v>13</v>
      </c>
      <c r="E30" s="13">
        <f t="shared" ref="E30:O30" si="9">SUM(E28:E29)</f>
        <v>176</v>
      </c>
      <c r="F30" s="13">
        <f t="shared" si="9"/>
        <v>183</v>
      </c>
      <c r="G30" s="13">
        <f t="shared" si="9"/>
        <v>202</v>
      </c>
      <c r="H30" s="13">
        <f t="shared" si="9"/>
        <v>205</v>
      </c>
      <c r="I30" s="13">
        <f t="shared" si="9"/>
        <v>210</v>
      </c>
      <c r="J30" s="13">
        <f t="shared" si="9"/>
        <v>171</v>
      </c>
      <c r="K30" s="13">
        <f t="shared" si="9"/>
        <v>224</v>
      </c>
      <c r="L30" s="13">
        <f t="shared" si="9"/>
        <v>173</v>
      </c>
      <c r="M30" s="13">
        <f t="shared" si="9"/>
        <v>180</v>
      </c>
      <c r="N30" s="13">
        <f t="shared" si="9"/>
        <v>223</v>
      </c>
      <c r="O30" s="13">
        <f t="shared" si="9"/>
        <v>228</v>
      </c>
      <c r="P30" s="13">
        <f t="shared" si="3"/>
        <v>2175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5"/>
    </row>
    <row r="33" ht="12.75" customHeight="1">
      <c r="A33" s="19">
        <v>1.0</v>
      </c>
      <c r="B33" s="20" t="s">
        <v>26</v>
      </c>
      <c r="C33" s="15"/>
      <c r="D33" s="16"/>
      <c r="E33" s="73">
        <v>278.0</v>
      </c>
      <c r="F33" s="73">
        <v>253.0</v>
      </c>
      <c r="G33" s="73">
        <v>275.0</v>
      </c>
      <c r="H33" s="73">
        <v>272.0</v>
      </c>
      <c r="I33" s="73">
        <v>284.0</v>
      </c>
      <c r="J33" s="73">
        <v>206.0</v>
      </c>
      <c r="K33" s="73">
        <v>285.0</v>
      </c>
      <c r="L33" s="73">
        <v>229.0</v>
      </c>
      <c r="M33" s="73">
        <v>228.0</v>
      </c>
      <c r="N33" s="73">
        <v>287.0</v>
      </c>
      <c r="O33" s="73">
        <v>294.0</v>
      </c>
      <c r="P33" s="13">
        <f t="shared" ref="P33:P36" si="10">SUM(E33:O33)</f>
        <v>2891</v>
      </c>
    </row>
    <row r="34" ht="12.75" customHeight="1">
      <c r="A34" s="19">
        <v>2.0</v>
      </c>
      <c r="B34" s="20" t="s">
        <v>27</v>
      </c>
      <c r="C34" s="15"/>
      <c r="D34" s="16"/>
      <c r="E34" s="77">
        <v>176.0</v>
      </c>
      <c r="F34" s="77">
        <v>183.0</v>
      </c>
      <c r="G34" s="77">
        <v>202.0</v>
      </c>
      <c r="H34" s="77">
        <v>205.0</v>
      </c>
      <c r="I34" s="77">
        <v>210.0</v>
      </c>
      <c r="J34" s="77">
        <v>171.0</v>
      </c>
      <c r="K34" s="77">
        <v>224.0</v>
      </c>
      <c r="L34" s="77">
        <v>173.0</v>
      </c>
      <c r="M34" s="77">
        <v>180.0</v>
      </c>
      <c r="N34" s="77">
        <v>223.0</v>
      </c>
      <c r="O34" s="77">
        <v>228.0</v>
      </c>
      <c r="P34" s="13">
        <f t="shared" si="10"/>
        <v>2175</v>
      </c>
    </row>
    <row r="35" ht="12.75" customHeight="1">
      <c r="A35" s="19">
        <v>3.0</v>
      </c>
      <c r="B35" s="20" t="s">
        <v>28</v>
      </c>
      <c r="C35" s="15"/>
      <c r="D35" s="16"/>
      <c r="E35" s="73">
        <v>1.0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1.0</v>
      </c>
      <c r="N35" s="73">
        <v>0.0</v>
      </c>
      <c r="O35" s="73">
        <v>0.0</v>
      </c>
      <c r="P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O36" si="11">E33-(E34+E35)</f>
        <v>101</v>
      </c>
      <c r="F36" s="13">
        <f t="shared" si="11"/>
        <v>70</v>
      </c>
      <c r="G36" s="13">
        <f t="shared" si="11"/>
        <v>73</v>
      </c>
      <c r="H36" s="13">
        <f t="shared" si="11"/>
        <v>67</v>
      </c>
      <c r="I36" s="13">
        <f t="shared" si="11"/>
        <v>74</v>
      </c>
      <c r="J36" s="13">
        <f t="shared" si="11"/>
        <v>35</v>
      </c>
      <c r="K36" s="13">
        <f t="shared" si="11"/>
        <v>61</v>
      </c>
      <c r="L36" s="13">
        <f t="shared" si="11"/>
        <v>56</v>
      </c>
      <c r="M36" s="13">
        <f t="shared" si="11"/>
        <v>47</v>
      </c>
      <c r="N36" s="13">
        <f t="shared" si="11"/>
        <v>64</v>
      </c>
      <c r="O36" s="13">
        <f t="shared" si="11"/>
        <v>66</v>
      </c>
      <c r="P36" s="13">
        <f t="shared" si="10"/>
        <v>714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5"/>
    </row>
    <row r="39" ht="12.75" customHeight="1">
      <c r="A39" s="30"/>
      <c r="B39" s="43" t="s">
        <v>32</v>
      </c>
      <c r="C39" s="23"/>
      <c r="D39" s="19" t="s">
        <v>11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1.0</v>
      </c>
      <c r="L39" s="73">
        <v>0.0</v>
      </c>
      <c r="M39" s="73">
        <v>0.0</v>
      </c>
      <c r="N39" s="73">
        <v>0.0</v>
      </c>
      <c r="O39" s="73">
        <v>0.0</v>
      </c>
      <c r="P39" s="13">
        <f t="shared" ref="P39:P41" si="12">SUM(E39:O39)</f>
        <v>1</v>
      </c>
    </row>
    <row r="40" ht="12.75" customHeight="1">
      <c r="A40" s="33"/>
      <c r="C40" s="27"/>
      <c r="D40" s="19" t="s">
        <v>12</v>
      </c>
      <c r="E40" s="73">
        <v>1.0</v>
      </c>
      <c r="F40" s="73">
        <v>0.0</v>
      </c>
      <c r="G40" s="73">
        <v>1.0</v>
      </c>
      <c r="H40" s="73">
        <v>0.0</v>
      </c>
      <c r="I40" s="73">
        <v>0.0</v>
      </c>
      <c r="J40" s="73">
        <v>0.0</v>
      </c>
      <c r="K40" s="73">
        <v>1.0</v>
      </c>
      <c r="L40" s="73">
        <v>0.0</v>
      </c>
      <c r="M40" s="73">
        <v>0.0</v>
      </c>
      <c r="N40" s="73">
        <v>0.0</v>
      </c>
      <c r="O40" s="73">
        <v>0.0</v>
      </c>
      <c r="P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O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2.0</v>
      </c>
      <c r="F45" s="73">
        <v>6.0</v>
      </c>
      <c r="G45" s="73">
        <v>1.0</v>
      </c>
      <c r="H45" s="73">
        <v>4.0</v>
      </c>
      <c r="I45" s="73">
        <v>4.0</v>
      </c>
      <c r="J45" s="73">
        <v>5.0</v>
      </c>
      <c r="K45" s="73">
        <v>2.0</v>
      </c>
      <c r="L45" s="73">
        <v>3.0</v>
      </c>
      <c r="M45" s="73">
        <v>4.0</v>
      </c>
      <c r="N45" s="73">
        <v>5.0</v>
      </c>
      <c r="O45" s="73">
        <v>3.0</v>
      </c>
      <c r="P45" s="13">
        <f t="shared" ref="P45:P54" si="14">SUM(E45:O45)</f>
        <v>39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5.0</v>
      </c>
      <c r="F46" s="73">
        <v>2.0</v>
      </c>
      <c r="G46" s="73">
        <v>6.0</v>
      </c>
      <c r="H46" s="73">
        <v>1.0</v>
      </c>
      <c r="I46" s="73">
        <v>3.0</v>
      </c>
      <c r="J46" s="73">
        <v>8.0</v>
      </c>
      <c r="K46" s="73">
        <v>4.0</v>
      </c>
      <c r="L46" s="73">
        <v>17.0</v>
      </c>
      <c r="M46" s="73">
        <v>10.0</v>
      </c>
      <c r="N46" s="73">
        <v>6.0</v>
      </c>
      <c r="O46" s="73">
        <v>10.0</v>
      </c>
      <c r="P46" s="13">
        <f t="shared" si="14"/>
        <v>72</v>
      </c>
    </row>
    <row r="47" ht="12.75" customHeight="1">
      <c r="A47" s="18"/>
      <c r="B47" s="49"/>
      <c r="C47" s="50" t="s">
        <v>40</v>
      </c>
      <c r="D47" s="51"/>
      <c r="E47" s="73">
        <v>0.0</v>
      </c>
      <c r="F47" s="73">
        <v>0.0</v>
      </c>
      <c r="G47" s="73">
        <v>1.0</v>
      </c>
      <c r="H47" s="73">
        <v>2.0</v>
      </c>
      <c r="I47" s="73">
        <v>1.0</v>
      </c>
      <c r="J47" s="73">
        <v>4.0</v>
      </c>
      <c r="K47" s="73">
        <v>0.0</v>
      </c>
      <c r="L47" s="73">
        <v>2.0</v>
      </c>
      <c r="M47" s="73">
        <v>1.0</v>
      </c>
      <c r="N47" s="73">
        <v>0.0</v>
      </c>
      <c r="O47" s="73">
        <v>1.0</v>
      </c>
      <c r="P47" s="13">
        <f t="shared" si="14"/>
        <v>12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0.0</v>
      </c>
      <c r="G48" s="73">
        <v>2.0</v>
      </c>
      <c r="H48" s="73">
        <v>0.0</v>
      </c>
      <c r="I48" s="73">
        <v>0.0</v>
      </c>
      <c r="J48" s="73">
        <v>1.0</v>
      </c>
      <c r="K48" s="73">
        <v>1.0</v>
      </c>
      <c r="L48" s="73">
        <v>1.0</v>
      </c>
      <c r="M48" s="73">
        <v>0.0</v>
      </c>
      <c r="N48" s="73">
        <v>2.0</v>
      </c>
      <c r="O48" s="73">
        <v>0.0</v>
      </c>
      <c r="P48" s="13">
        <f t="shared" si="14"/>
        <v>7</v>
      </c>
    </row>
    <row r="49" ht="12.75" customHeight="1">
      <c r="A49" s="18"/>
      <c r="B49" s="49"/>
      <c r="C49" s="50" t="s">
        <v>42</v>
      </c>
      <c r="D49" s="51"/>
      <c r="E49" s="73">
        <v>0.0</v>
      </c>
      <c r="F49" s="73">
        <v>0.0</v>
      </c>
      <c r="G49" s="73">
        <v>0.0</v>
      </c>
      <c r="H49" s="73">
        <v>1.0</v>
      </c>
      <c r="I49" s="73">
        <v>0.0</v>
      </c>
      <c r="J49" s="73">
        <v>0.0</v>
      </c>
      <c r="K49" s="73">
        <v>0.0</v>
      </c>
      <c r="L49" s="73">
        <v>0.0</v>
      </c>
      <c r="M49" s="73">
        <v>1.0</v>
      </c>
      <c r="N49" s="73">
        <v>0.0</v>
      </c>
      <c r="O49" s="73">
        <v>1.0</v>
      </c>
      <c r="P49" s="13">
        <f t="shared" si="14"/>
        <v>3</v>
      </c>
    </row>
    <row r="50" ht="12.75" customHeight="1">
      <c r="A50" s="18"/>
      <c r="B50" s="49"/>
      <c r="C50" s="50" t="s">
        <v>43</v>
      </c>
      <c r="D50" s="51"/>
      <c r="E50" s="73">
        <v>1.0</v>
      </c>
      <c r="F50" s="73">
        <v>0.0</v>
      </c>
      <c r="G50" s="73">
        <v>1.0</v>
      </c>
      <c r="H50" s="73">
        <v>0.0</v>
      </c>
      <c r="I50" s="73">
        <v>1.0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13">
        <f t="shared" si="14"/>
        <v>3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1.0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1.0</v>
      </c>
      <c r="N51" s="73">
        <v>0.0</v>
      </c>
      <c r="O51" s="73">
        <v>0.0</v>
      </c>
      <c r="P51" s="13">
        <f t="shared" si="14"/>
        <v>2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0.0</v>
      </c>
      <c r="H52" s="80">
        <v>0.0</v>
      </c>
      <c r="I52" s="80">
        <v>0.0</v>
      </c>
      <c r="J52" s="80">
        <v>0.0</v>
      </c>
      <c r="K52" s="80">
        <v>0.0</v>
      </c>
      <c r="L52" s="80">
        <v>0.0</v>
      </c>
      <c r="M52" s="80">
        <v>0.0</v>
      </c>
      <c r="N52" s="80">
        <v>0.0</v>
      </c>
      <c r="O52" s="80">
        <v>0.0</v>
      </c>
      <c r="P52" s="13">
        <f t="shared" si="14"/>
        <v>0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0.0</v>
      </c>
      <c r="N53" s="80">
        <v>0.0</v>
      </c>
      <c r="O53" s="80">
        <v>0.0</v>
      </c>
      <c r="P53" s="13">
        <f t="shared" si="14"/>
        <v>0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0.0</v>
      </c>
      <c r="H54" s="80">
        <v>0.0</v>
      </c>
      <c r="I54" s="80">
        <v>0.0</v>
      </c>
      <c r="J54" s="80">
        <v>0.0</v>
      </c>
      <c r="K54" s="80">
        <v>0.0</v>
      </c>
      <c r="L54" s="80">
        <v>0.0</v>
      </c>
      <c r="M54" s="80">
        <v>0.0</v>
      </c>
      <c r="N54" s="80">
        <v>0.0</v>
      </c>
      <c r="O54" s="80">
        <v>1.0</v>
      </c>
      <c r="P54" s="13">
        <f t="shared" si="14"/>
        <v>1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P55" si="15">SUM(E45:E54)</f>
        <v>8</v>
      </c>
      <c r="F55" s="13">
        <f t="shared" si="15"/>
        <v>8</v>
      </c>
      <c r="G55" s="13">
        <f t="shared" si="15"/>
        <v>12</v>
      </c>
      <c r="H55" s="13">
        <f t="shared" si="15"/>
        <v>8</v>
      </c>
      <c r="I55" s="13">
        <f t="shared" si="15"/>
        <v>9</v>
      </c>
      <c r="J55" s="13">
        <f t="shared" si="15"/>
        <v>18</v>
      </c>
      <c r="K55" s="13">
        <f t="shared" si="15"/>
        <v>7</v>
      </c>
      <c r="L55" s="13">
        <f t="shared" si="15"/>
        <v>23</v>
      </c>
      <c r="M55" s="13">
        <f t="shared" si="15"/>
        <v>17</v>
      </c>
      <c r="N55" s="13">
        <f t="shared" si="15"/>
        <v>13</v>
      </c>
      <c r="O55" s="13">
        <f t="shared" si="15"/>
        <v>16</v>
      </c>
      <c r="P55" s="13">
        <f t="shared" si="15"/>
        <v>139</v>
      </c>
    </row>
    <row r="56" ht="12.75" customHeight="1">
      <c r="A56" s="45"/>
      <c r="B56" s="44"/>
      <c r="C56" s="44"/>
      <c r="D56" s="44"/>
      <c r="E56" s="44"/>
      <c r="P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10.0</v>
      </c>
      <c r="F57" s="73">
        <v>10.0</v>
      </c>
      <c r="G57" s="73">
        <v>3.0</v>
      </c>
      <c r="H57" s="73">
        <v>12.0</v>
      </c>
      <c r="I57" s="73">
        <v>14.0</v>
      </c>
      <c r="J57" s="73">
        <v>9.0</v>
      </c>
      <c r="K57" s="73">
        <v>12.0</v>
      </c>
      <c r="L57" s="73">
        <v>9.0</v>
      </c>
      <c r="M57" s="73">
        <v>6.0</v>
      </c>
      <c r="N57" s="73">
        <v>12.0</v>
      </c>
      <c r="O57" s="73">
        <v>13.0</v>
      </c>
      <c r="P57" s="13">
        <f t="shared" ref="P57:P66" si="16">SUM(E57:O57)</f>
        <v>110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10.0</v>
      </c>
      <c r="F58" s="73">
        <v>3.0</v>
      </c>
      <c r="G58" s="73">
        <v>4.0</v>
      </c>
      <c r="H58" s="73">
        <v>5.0</v>
      </c>
      <c r="I58" s="73">
        <v>3.0</v>
      </c>
      <c r="J58" s="73">
        <v>3.0</v>
      </c>
      <c r="K58" s="73">
        <v>1.0</v>
      </c>
      <c r="L58" s="73">
        <v>1.0</v>
      </c>
      <c r="M58" s="73">
        <v>3.0</v>
      </c>
      <c r="N58" s="73">
        <v>5.0</v>
      </c>
      <c r="O58" s="73">
        <v>1.0</v>
      </c>
      <c r="P58" s="13">
        <f t="shared" si="16"/>
        <v>39</v>
      </c>
    </row>
    <row r="59" ht="12.75" customHeight="1">
      <c r="A59" s="18"/>
      <c r="B59" s="49"/>
      <c r="C59" s="50" t="s">
        <v>51</v>
      </c>
      <c r="D59" s="51"/>
      <c r="E59" s="73">
        <v>10.0</v>
      </c>
      <c r="F59" s="73">
        <v>9.0</v>
      </c>
      <c r="G59" s="73">
        <v>5.0</v>
      </c>
      <c r="H59" s="73">
        <v>6.0</v>
      </c>
      <c r="I59" s="73">
        <v>10.0</v>
      </c>
      <c r="J59" s="73">
        <v>21.0</v>
      </c>
      <c r="K59" s="73">
        <v>20.0</v>
      </c>
      <c r="L59" s="73">
        <v>10.0</v>
      </c>
      <c r="M59" s="73">
        <v>5.0</v>
      </c>
      <c r="N59" s="73">
        <v>11.0</v>
      </c>
      <c r="O59" s="73">
        <v>14.0</v>
      </c>
      <c r="P59" s="13">
        <f t="shared" si="16"/>
        <v>121</v>
      </c>
    </row>
    <row r="60" ht="12.75" customHeight="1">
      <c r="A60" s="18"/>
      <c r="B60" s="49"/>
      <c r="C60" s="50" t="s">
        <v>52</v>
      </c>
      <c r="D60" s="51"/>
      <c r="E60" s="73">
        <v>2.0</v>
      </c>
      <c r="F60" s="73">
        <v>1.0</v>
      </c>
      <c r="G60" s="73">
        <v>1.0</v>
      </c>
      <c r="H60" s="73">
        <v>1.0</v>
      </c>
      <c r="I60" s="73">
        <v>5.0</v>
      </c>
      <c r="J60" s="73">
        <v>2.0</v>
      </c>
      <c r="K60" s="73">
        <v>4.0</v>
      </c>
      <c r="L60" s="73">
        <v>2.0</v>
      </c>
      <c r="M60" s="73">
        <v>0.0</v>
      </c>
      <c r="N60" s="73">
        <v>0.0</v>
      </c>
      <c r="O60" s="73">
        <v>4.0</v>
      </c>
      <c r="P60" s="13">
        <f t="shared" si="16"/>
        <v>22</v>
      </c>
    </row>
    <row r="61" ht="12.75" customHeight="1">
      <c r="A61" s="18"/>
      <c r="B61" s="49"/>
      <c r="C61" s="50" t="s">
        <v>53</v>
      </c>
      <c r="D61" s="51"/>
      <c r="E61" s="73">
        <v>3.0</v>
      </c>
      <c r="F61" s="73">
        <v>1.0</v>
      </c>
      <c r="G61" s="73">
        <v>1.0</v>
      </c>
      <c r="H61" s="73">
        <v>2.0</v>
      </c>
      <c r="I61" s="73">
        <v>1.0</v>
      </c>
      <c r="J61" s="73">
        <v>1.0</v>
      </c>
      <c r="K61" s="73">
        <v>0.0</v>
      </c>
      <c r="L61" s="73">
        <v>3.0</v>
      </c>
      <c r="M61" s="73">
        <v>1.0</v>
      </c>
      <c r="N61" s="73">
        <v>14.0</v>
      </c>
      <c r="O61" s="73">
        <v>8.0</v>
      </c>
      <c r="P61" s="13">
        <f t="shared" si="16"/>
        <v>35</v>
      </c>
    </row>
    <row r="62" ht="12.75" customHeight="1">
      <c r="A62" s="18"/>
      <c r="B62" s="49"/>
      <c r="C62" s="50" t="s">
        <v>54</v>
      </c>
      <c r="D62" s="51"/>
      <c r="E62" s="73">
        <v>0.0</v>
      </c>
      <c r="F62" s="73">
        <v>1.0</v>
      </c>
      <c r="G62" s="73">
        <v>1.0</v>
      </c>
      <c r="H62" s="73">
        <v>1.0</v>
      </c>
      <c r="I62" s="73">
        <v>0.0</v>
      </c>
      <c r="J62" s="73">
        <v>1.0</v>
      </c>
      <c r="K62" s="73">
        <v>3.0</v>
      </c>
      <c r="L62" s="73">
        <v>0.0</v>
      </c>
      <c r="M62" s="73">
        <v>0.0</v>
      </c>
      <c r="N62" s="73">
        <v>0.0</v>
      </c>
      <c r="O62" s="73">
        <v>2.0</v>
      </c>
      <c r="P62" s="13">
        <f t="shared" si="16"/>
        <v>9</v>
      </c>
    </row>
    <row r="63" ht="12.75" customHeight="1">
      <c r="A63" s="18"/>
      <c r="B63" s="49"/>
      <c r="C63" s="50" t="s">
        <v>55</v>
      </c>
      <c r="D63" s="51"/>
      <c r="E63" s="73">
        <v>1.0</v>
      </c>
      <c r="F63" s="73">
        <v>0.0</v>
      </c>
      <c r="G63" s="73">
        <v>1.0</v>
      </c>
      <c r="H63" s="73">
        <v>0.0</v>
      </c>
      <c r="I63" s="73">
        <v>0.0</v>
      </c>
      <c r="J63" s="73">
        <v>1.0</v>
      </c>
      <c r="K63" s="73">
        <v>0.0</v>
      </c>
      <c r="L63" s="73">
        <v>0.0</v>
      </c>
      <c r="M63" s="73">
        <v>0.0</v>
      </c>
      <c r="N63" s="73">
        <v>0.0</v>
      </c>
      <c r="O63" s="73">
        <v>1.0</v>
      </c>
      <c r="P63" s="13">
        <f t="shared" si="16"/>
        <v>4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0.0</v>
      </c>
      <c r="G64" s="80">
        <v>0.0</v>
      </c>
      <c r="H64" s="80">
        <v>1.0</v>
      </c>
      <c r="I64" s="80">
        <v>0.0</v>
      </c>
      <c r="J64" s="80">
        <v>1.0</v>
      </c>
      <c r="K64" s="80">
        <v>0.0</v>
      </c>
      <c r="L64" s="80">
        <v>0.0</v>
      </c>
      <c r="M64" s="80">
        <v>0.0</v>
      </c>
      <c r="N64" s="80">
        <v>0.0</v>
      </c>
      <c r="O64" s="80">
        <v>3.0</v>
      </c>
      <c r="P64" s="13">
        <f t="shared" si="16"/>
        <v>5</v>
      </c>
    </row>
    <row r="65" ht="12.75" customHeight="1">
      <c r="A65" s="79"/>
      <c r="B65" s="49"/>
      <c r="C65" s="50" t="s">
        <v>57</v>
      </c>
      <c r="D65" s="51"/>
      <c r="E65" s="80">
        <v>1.0</v>
      </c>
      <c r="F65" s="80">
        <v>0.0</v>
      </c>
      <c r="G65" s="80">
        <v>0.0</v>
      </c>
      <c r="H65" s="80">
        <v>0.0</v>
      </c>
      <c r="I65" s="80">
        <v>0.0</v>
      </c>
      <c r="J65" s="80">
        <v>0.0</v>
      </c>
      <c r="K65" s="80">
        <v>0.0</v>
      </c>
      <c r="L65" s="80">
        <v>1.0</v>
      </c>
      <c r="M65" s="80">
        <v>0.0</v>
      </c>
      <c r="N65" s="80">
        <v>0.0</v>
      </c>
      <c r="O65" s="80">
        <v>0.0</v>
      </c>
      <c r="P65" s="13">
        <f t="shared" si="16"/>
        <v>2</v>
      </c>
    </row>
    <row r="66" ht="12.75" customHeight="1">
      <c r="A66" s="79"/>
      <c r="B66" s="49"/>
      <c r="C66" s="50" t="s">
        <v>58</v>
      </c>
      <c r="D66" s="51"/>
      <c r="E66" s="80">
        <v>1.0</v>
      </c>
      <c r="F66" s="80">
        <v>0.0</v>
      </c>
      <c r="G66" s="80">
        <v>0.0</v>
      </c>
      <c r="H66" s="80">
        <v>0.0</v>
      </c>
      <c r="I66" s="80">
        <v>0.0</v>
      </c>
      <c r="J66" s="80">
        <v>0.0</v>
      </c>
      <c r="K66" s="80">
        <v>0.0</v>
      </c>
      <c r="L66" s="80">
        <v>1.0</v>
      </c>
      <c r="M66" s="80">
        <v>0.0</v>
      </c>
      <c r="N66" s="80">
        <v>0.0</v>
      </c>
      <c r="O66" s="80">
        <v>1.0</v>
      </c>
      <c r="P66" s="13">
        <f t="shared" si="16"/>
        <v>3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P67" si="17">SUM(E57:E66)</f>
        <v>38</v>
      </c>
      <c r="F67" s="13">
        <f t="shared" si="17"/>
        <v>25</v>
      </c>
      <c r="G67" s="13">
        <f t="shared" si="17"/>
        <v>16</v>
      </c>
      <c r="H67" s="13">
        <f t="shared" si="17"/>
        <v>28</v>
      </c>
      <c r="I67" s="13">
        <f t="shared" si="17"/>
        <v>33</v>
      </c>
      <c r="J67" s="13">
        <f t="shared" si="17"/>
        <v>39</v>
      </c>
      <c r="K67" s="13">
        <f t="shared" si="17"/>
        <v>40</v>
      </c>
      <c r="L67" s="13">
        <f t="shared" si="17"/>
        <v>27</v>
      </c>
      <c r="M67" s="13">
        <f t="shared" si="17"/>
        <v>15</v>
      </c>
      <c r="N67" s="13">
        <f t="shared" si="17"/>
        <v>42</v>
      </c>
      <c r="O67" s="13">
        <f t="shared" si="17"/>
        <v>47</v>
      </c>
      <c r="P67" s="13">
        <f t="shared" si="17"/>
        <v>350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13.0</v>
      </c>
      <c r="F69" s="73">
        <v>7.0</v>
      </c>
      <c r="G69" s="73">
        <v>19.0</v>
      </c>
      <c r="H69" s="73">
        <v>24.0</v>
      </c>
      <c r="I69" s="73">
        <v>17.0</v>
      </c>
      <c r="J69" s="73">
        <v>7.0</v>
      </c>
      <c r="K69" s="73">
        <v>14.0</v>
      </c>
      <c r="L69" s="73">
        <v>15.0</v>
      </c>
      <c r="M69" s="73">
        <v>7.0</v>
      </c>
      <c r="N69" s="73">
        <v>9.0</v>
      </c>
      <c r="O69" s="73">
        <v>8.0</v>
      </c>
      <c r="P69" s="13">
        <f t="shared" ref="P69:P78" si="18">SUM(E69:O69)</f>
        <v>140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2.0</v>
      </c>
      <c r="F70" s="73">
        <v>0.0</v>
      </c>
      <c r="G70" s="73">
        <v>2.0</v>
      </c>
      <c r="H70" s="73">
        <v>7.0</v>
      </c>
      <c r="I70" s="73">
        <v>0.0</v>
      </c>
      <c r="J70" s="73">
        <v>1.0</v>
      </c>
      <c r="K70" s="73">
        <v>1.0</v>
      </c>
      <c r="L70" s="73">
        <v>2.0</v>
      </c>
      <c r="M70" s="73">
        <v>3.0</v>
      </c>
      <c r="N70" s="73">
        <v>3.0</v>
      </c>
      <c r="O70" s="73">
        <v>4.0</v>
      </c>
      <c r="P70" s="13">
        <f t="shared" si="18"/>
        <v>25</v>
      </c>
    </row>
    <row r="71" ht="12.75" customHeight="1">
      <c r="A71" s="18"/>
      <c r="B71" s="49"/>
      <c r="C71" s="50" t="s">
        <v>61</v>
      </c>
      <c r="D71" s="51"/>
      <c r="E71" s="73">
        <v>28.0</v>
      </c>
      <c r="F71" s="73">
        <v>51.0</v>
      </c>
      <c r="G71" s="73">
        <v>71.0</v>
      </c>
      <c r="H71" s="73">
        <v>65.0</v>
      </c>
      <c r="I71" s="73">
        <v>95.0</v>
      </c>
      <c r="J71" s="73">
        <v>34.0</v>
      </c>
      <c r="K71" s="73">
        <v>64.0</v>
      </c>
      <c r="L71" s="73">
        <v>46.0</v>
      </c>
      <c r="M71" s="73">
        <v>68.0</v>
      </c>
      <c r="N71" s="73">
        <v>33.0</v>
      </c>
      <c r="O71" s="73">
        <v>17.0</v>
      </c>
      <c r="P71" s="13">
        <f t="shared" si="18"/>
        <v>572</v>
      </c>
    </row>
    <row r="72" ht="12.75" customHeight="1">
      <c r="A72" s="18"/>
      <c r="B72" s="49"/>
      <c r="C72" s="50" t="s">
        <v>62</v>
      </c>
      <c r="D72" s="51"/>
      <c r="E72" s="73">
        <v>3.0</v>
      </c>
      <c r="F72" s="73">
        <v>2.0</v>
      </c>
      <c r="G72" s="73">
        <v>4.0</v>
      </c>
      <c r="H72" s="73">
        <v>6.0</v>
      </c>
      <c r="I72" s="73">
        <v>1.0</v>
      </c>
      <c r="J72" s="73">
        <v>1.0</v>
      </c>
      <c r="K72" s="73">
        <v>6.0</v>
      </c>
      <c r="L72" s="73">
        <v>0.0</v>
      </c>
      <c r="M72" s="73">
        <v>4.0</v>
      </c>
      <c r="N72" s="73">
        <v>3.0</v>
      </c>
      <c r="O72" s="73">
        <v>4.0</v>
      </c>
      <c r="P72" s="13">
        <f t="shared" si="18"/>
        <v>34</v>
      </c>
    </row>
    <row r="73" ht="12.75" customHeight="1">
      <c r="A73" s="18"/>
      <c r="B73" s="49"/>
      <c r="C73" s="50" t="s">
        <v>63</v>
      </c>
      <c r="D73" s="51"/>
      <c r="E73" s="73">
        <v>1.0</v>
      </c>
      <c r="F73" s="73">
        <v>0.0</v>
      </c>
      <c r="G73" s="73">
        <v>1.0</v>
      </c>
      <c r="H73" s="73">
        <v>0.0</v>
      </c>
      <c r="I73" s="73">
        <v>2.0</v>
      </c>
      <c r="J73" s="73">
        <v>3.0</v>
      </c>
      <c r="K73" s="73">
        <v>2.0</v>
      </c>
      <c r="L73" s="73">
        <v>0.0</v>
      </c>
      <c r="M73" s="73">
        <v>0.0</v>
      </c>
      <c r="N73" s="73">
        <v>2.0</v>
      </c>
      <c r="O73" s="73">
        <v>1.0</v>
      </c>
      <c r="P73" s="13">
        <f t="shared" si="18"/>
        <v>12</v>
      </c>
    </row>
    <row r="74" ht="12.75" customHeight="1">
      <c r="A74" s="18"/>
      <c r="B74" s="49"/>
      <c r="C74" s="50" t="s">
        <v>64</v>
      </c>
      <c r="D74" s="51"/>
      <c r="E74" s="73">
        <v>2.0</v>
      </c>
      <c r="F74" s="73">
        <v>0.0</v>
      </c>
      <c r="G74" s="73">
        <v>1.0</v>
      </c>
      <c r="H74" s="73">
        <v>2.0</v>
      </c>
      <c r="I74" s="73">
        <v>0.0</v>
      </c>
      <c r="J74" s="73">
        <v>0.0</v>
      </c>
      <c r="K74" s="73">
        <v>2.0</v>
      </c>
      <c r="L74" s="73">
        <v>0.0</v>
      </c>
      <c r="M74" s="73">
        <v>1.0</v>
      </c>
      <c r="N74" s="73">
        <v>1.0</v>
      </c>
      <c r="O74" s="73">
        <v>0.0</v>
      </c>
      <c r="P74" s="13">
        <f t="shared" si="18"/>
        <v>9</v>
      </c>
    </row>
    <row r="75" ht="12.75" customHeight="1">
      <c r="A75" s="18"/>
      <c r="B75" s="49"/>
      <c r="C75" s="50" t="s">
        <v>65</v>
      </c>
      <c r="D75" s="51"/>
      <c r="E75" s="73">
        <v>0.0</v>
      </c>
      <c r="F75" s="73">
        <v>2.0</v>
      </c>
      <c r="G75" s="73">
        <v>0.0</v>
      </c>
      <c r="H75" s="73">
        <v>1.0</v>
      </c>
      <c r="I75" s="73">
        <v>0.0</v>
      </c>
      <c r="J75" s="73">
        <v>0.0</v>
      </c>
      <c r="K75" s="73">
        <v>2.0</v>
      </c>
      <c r="L75" s="73">
        <v>0.0</v>
      </c>
      <c r="M75" s="73">
        <v>0.0</v>
      </c>
      <c r="N75" s="73">
        <v>1.0</v>
      </c>
      <c r="O75" s="73">
        <v>0.0</v>
      </c>
      <c r="P75" s="13">
        <f t="shared" si="18"/>
        <v>6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0.0</v>
      </c>
      <c r="G76" s="80">
        <v>1.0</v>
      </c>
      <c r="H76" s="80">
        <v>0.0</v>
      </c>
      <c r="I76" s="80">
        <v>0.0</v>
      </c>
      <c r="J76" s="80">
        <v>0.0</v>
      </c>
      <c r="K76" s="80">
        <v>0.0</v>
      </c>
      <c r="L76" s="80">
        <v>0.0</v>
      </c>
      <c r="M76" s="80">
        <v>0.0</v>
      </c>
      <c r="N76" s="80">
        <v>0.0</v>
      </c>
      <c r="O76" s="80">
        <v>0.0</v>
      </c>
      <c r="P76" s="13">
        <f t="shared" si="18"/>
        <v>1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1.0</v>
      </c>
      <c r="G77" s="80">
        <v>0.0</v>
      </c>
      <c r="H77" s="80">
        <v>0.0</v>
      </c>
      <c r="I77" s="80">
        <v>0.0</v>
      </c>
      <c r="J77" s="80">
        <v>0.0</v>
      </c>
      <c r="K77" s="80">
        <v>0.0</v>
      </c>
      <c r="L77" s="80">
        <v>2.0</v>
      </c>
      <c r="M77" s="80">
        <v>0.0</v>
      </c>
      <c r="N77" s="80">
        <v>0.0</v>
      </c>
      <c r="O77" s="80">
        <v>0.0</v>
      </c>
      <c r="P77" s="13">
        <f t="shared" si="18"/>
        <v>3</v>
      </c>
    </row>
    <row r="78" ht="12.75" customHeight="1">
      <c r="A78" s="79"/>
      <c r="B78" s="49"/>
      <c r="C78" s="50" t="s">
        <v>68</v>
      </c>
      <c r="D78" s="51"/>
      <c r="E78" s="80">
        <v>2.0</v>
      </c>
      <c r="F78" s="80">
        <v>0.0</v>
      </c>
      <c r="G78" s="80">
        <v>1.0</v>
      </c>
      <c r="H78" s="80">
        <v>0.0</v>
      </c>
      <c r="I78" s="80">
        <v>1.0</v>
      </c>
      <c r="J78" s="80">
        <v>0.0</v>
      </c>
      <c r="K78" s="80">
        <v>0.0</v>
      </c>
      <c r="L78" s="80">
        <v>1.0</v>
      </c>
      <c r="M78" s="80">
        <v>0.0</v>
      </c>
      <c r="N78" s="80">
        <v>0.0</v>
      </c>
      <c r="O78" s="80">
        <v>1.0</v>
      </c>
      <c r="P78" s="13">
        <f t="shared" si="18"/>
        <v>6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P79" si="19">SUM(E69:E78)</f>
        <v>51</v>
      </c>
      <c r="F79" s="13">
        <f t="shared" si="19"/>
        <v>63</v>
      </c>
      <c r="G79" s="13">
        <f t="shared" si="19"/>
        <v>100</v>
      </c>
      <c r="H79" s="13">
        <f t="shared" si="19"/>
        <v>105</v>
      </c>
      <c r="I79" s="13">
        <f t="shared" si="19"/>
        <v>116</v>
      </c>
      <c r="J79" s="13">
        <f t="shared" si="19"/>
        <v>46</v>
      </c>
      <c r="K79" s="13">
        <f t="shared" si="19"/>
        <v>91</v>
      </c>
      <c r="L79" s="13">
        <f t="shared" si="19"/>
        <v>66</v>
      </c>
      <c r="M79" s="13">
        <f t="shared" si="19"/>
        <v>83</v>
      </c>
      <c r="N79" s="13">
        <f t="shared" si="19"/>
        <v>52</v>
      </c>
      <c r="O79" s="13">
        <f t="shared" si="19"/>
        <v>35</v>
      </c>
      <c r="P79" s="13">
        <f t="shared" si="19"/>
        <v>808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2.0</v>
      </c>
      <c r="F81" s="73">
        <v>2.0</v>
      </c>
      <c r="G81" s="73">
        <v>2.0</v>
      </c>
      <c r="H81" s="73">
        <v>2.0</v>
      </c>
      <c r="I81" s="73">
        <v>0.0</v>
      </c>
      <c r="J81" s="73">
        <v>0.0</v>
      </c>
      <c r="K81" s="73">
        <v>3.0</v>
      </c>
      <c r="L81" s="73">
        <v>0.0</v>
      </c>
      <c r="M81" s="73">
        <v>1.0</v>
      </c>
      <c r="N81" s="73">
        <v>5.0</v>
      </c>
      <c r="O81" s="73">
        <v>2.0</v>
      </c>
      <c r="P81" s="13">
        <f t="shared" ref="P81:P90" si="20">SUM(E81:O81)</f>
        <v>19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5.0</v>
      </c>
      <c r="F82" s="73">
        <v>0.0</v>
      </c>
      <c r="G82" s="73">
        <v>1.0</v>
      </c>
      <c r="H82" s="73">
        <v>1.0</v>
      </c>
      <c r="I82" s="73">
        <v>1.0</v>
      </c>
      <c r="J82" s="73">
        <v>1.0</v>
      </c>
      <c r="K82" s="73">
        <v>1.0</v>
      </c>
      <c r="L82" s="73">
        <v>0.0</v>
      </c>
      <c r="M82" s="73">
        <v>2.0</v>
      </c>
      <c r="N82" s="73">
        <v>3.0</v>
      </c>
      <c r="O82" s="73">
        <v>0.0</v>
      </c>
      <c r="P82" s="13">
        <f t="shared" si="20"/>
        <v>15</v>
      </c>
    </row>
    <row r="83" ht="12.75" customHeight="1">
      <c r="A83" s="18"/>
      <c r="B83" s="49"/>
      <c r="C83" s="50" t="s">
        <v>71</v>
      </c>
      <c r="D83" s="51"/>
      <c r="E83" s="73">
        <v>0.0</v>
      </c>
      <c r="F83" s="73">
        <v>0.0</v>
      </c>
      <c r="G83" s="73">
        <v>0.0</v>
      </c>
      <c r="H83" s="73">
        <v>0.0</v>
      </c>
      <c r="I83" s="73">
        <v>0.0</v>
      </c>
      <c r="J83" s="73">
        <v>0.0</v>
      </c>
      <c r="K83" s="73">
        <v>0.0</v>
      </c>
      <c r="L83" s="73">
        <v>1.0</v>
      </c>
      <c r="M83" s="73">
        <v>0.0</v>
      </c>
      <c r="N83" s="73">
        <v>1.0</v>
      </c>
      <c r="O83" s="73">
        <v>2.0</v>
      </c>
      <c r="P83" s="13">
        <f t="shared" si="20"/>
        <v>4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0.0</v>
      </c>
      <c r="G84" s="73">
        <v>1.0</v>
      </c>
      <c r="H84" s="73">
        <v>0.0</v>
      </c>
      <c r="I84" s="73">
        <v>0.0</v>
      </c>
      <c r="J84" s="73">
        <v>0.0</v>
      </c>
      <c r="K84" s="73">
        <v>0.0</v>
      </c>
      <c r="L84" s="73">
        <v>1.0</v>
      </c>
      <c r="M84" s="73">
        <v>0.0</v>
      </c>
      <c r="N84" s="73">
        <v>1.0</v>
      </c>
      <c r="O84" s="73">
        <v>0.0</v>
      </c>
      <c r="P84" s="13">
        <f t="shared" si="20"/>
        <v>3</v>
      </c>
    </row>
    <row r="85" ht="12.75" customHeight="1">
      <c r="A85" s="18"/>
      <c r="B85" s="49"/>
      <c r="C85" s="50" t="s">
        <v>73</v>
      </c>
      <c r="D85" s="51"/>
      <c r="E85" s="73">
        <v>0.0</v>
      </c>
      <c r="F85" s="73">
        <v>1.0</v>
      </c>
      <c r="G85" s="73">
        <v>0.0</v>
      </c>
      <c r="H85" s="73">
        <v>0.0</v>
      </c>
      <c r="I85" s="73">
        <v>0.0</v>
      </c>
      <c r="J85" s="73">
        <v>0.0</v>
      </c>
      <c r="K85" s="73">
        <v>1.0</v>
      </c>
      <c r="L85" s="73">
        <v>0.0</v>
      </c>
      <c r="M85" s="73">
        <v>2.0</v>
      </c>
      <c r="N85" s="73">
        <v>5.0</v>
      </c>
      <c r="O85" s="73">
        <v>0.0</v>
      </c>
      <c r="P85" s="13">
        <f t="shared" si="20"/>
        <v>9</v>
      </c>
    </row>
    <row r="86" ht="12.75" customHeight="1">
      <c r="A86" s="18"/>
      <c r="B86" s="49"/>
      <c r="C86" s="50" t="s">
        <v>74</v>
      </c>
      <c r="D86" s="51"/>
      <c r="E86" s="73">
        <v>1.0</v>
      </c>
      <c r="F86" s="73">
        <v>1.0</v>
      </c>
      <c r="G86" s="73">
        <v>2.0</v>
      </c>
      <c r="H86" s="73">
        <v>0.0</v>
      </c>
      <c r="I86" s="73">
        <v>0.0</v>
      </c>
      <c r="J86" s="73">
        <v>0.0</v>
      </c>
      <c r="K86" s="73">
        <v>0.0</v>
      </c>
      <c r="L86" s="73">
        <v>0.0</v>
      </c>
      <c r="M86" s="73">
        <v>0.0</v>
      </c>
      <c r="N86" s="73">
        <v>0.0</v>
      </c>
      <c r="O86" s="73">
        <v>0.0</v>
      </c>
      <c r="P86" s="13">
        <f t="shared" si="20"/>
        <v>4</v>
      </c>
    </row>
    <row r="87" ht="12.75" customHeight="1">
      <c r="A87" s="18"/>
      <c r="B87" s="49"/>
      <c r="C87" s="50" t="s">
        <v>75</v>
      </c>
      <c r="D87" s="51"/>
      <c r="E87" s="73">
        <v>1.0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1.0</v>
      </c>
      <c r="N87" s="73">
        <v>0.0</v>
      </c>
      <c r="O87" s="73">
        <v>0.0</v>
      </c>
      <c r="P87" s="13">
        <f t="shared" si="20"/>
        <v>2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1.0</v>
      </c>
      <c r="K88" s="80">
        <v>0.0</v>
      </c>
      <c r="L88" s="80">
        <v>0.0</v>
      </c>
      <c r="M88" s="80">
        <v>0.0</v>
      </c>
      <c r="N88" s="80">
        <v>0.0</v>
      </c>
      <c r="O88" s="80">
        <v>0.0</v>
      </c>
      <c r="P88" s="13">
        <f t="shared" si="20"/>
        <v>1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0.0</v>
      </c>
      <c r="N89" s="80">
        <v>0.0</v>
      </c>
      <c r="O89" s="80">
        <v>0.0</v>
      </c>
      <c r="P89" s="13">
        <f t="shared" si="20"/>
        <v>0</v>
      </c>
    </row>
    <row r="90" ht="12.75" customHeight="1">
      <c r="A90" s="79"/>
      <c r="B90" s="49"/>
      <c r="C90" s="50" t="s">
        <v>78</v>
      </c>
      <c r="D90" s="51"/>
      <c r="E90" s="80">
        <v>1.0</v>
      </c>
      <c r="F90" s="80">
        <v>0.0</v>
      </c>
      <c r="G90" s="80">
        <v>0.0</v>
      </c>
      <c r="H90" s="80">
        <v>0.0</v>
      </c>
      <c r="I90" s="80">
        <v>0.0</v>
      </c>
      <c r="J90" s="80">
        <v>0.0</v>
      </c>
      <c r="K90" s="80">
        <v>0.0</v>
      </c>
      <c r="L90" s="80">
        <v>0.0</v>
      </c>
      <c r="M90" s="80">
        <v>0.0</v>
      </c>
      <c r="N90" s="80">
        <v>0.0</v>
      </c>
      <c r="O90" s="80">
        <v>0.0</v>
      </c>
      <c r="P90" s="13">
        <f t="shared" si="20"/>
        <v>1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P91" si="21">SUM(E81:E90)</f>
        <v>10</v>
      </c>
      <c r="F91" s="13">
        <f t="shared" si="21"/>
        <v>4</v>
      </c>
      <c r="G91" s="13">
        <f t="shared" si="21"/>
        <v>6</v>
      </c>
      <c r="H91" s="13">
        <f t="shared" si="21"/>
        <v>3</v>
      </c>
      <c r="I91" s="13">
        <f t="shared" si="21"/>
        <v>1</v>
      </c>
      <c r="J91" s="13">
        <f t="shared" si="21"/>
        <v>2</v>
      </c>
      <c r="K91" s="13">
        <f t="shared" si="21"/>
        <v>5</v>
      </c>
      <c r="L91" s="13">
        <f t="shared" si="21"/>
        <v>2</v>
      </c>
      <c r="M91" s="13">
        <f t="shared" si="21"/>
        <v>6</v>
      </c>
      <c r="N91" s="13">
        <f t="shared" si="21"/>
        <v>15</v>
      </c>
      <c r="O91" s="13">
        <f t="shared" si="21"/>
        <v>4</v>
      </c>
      <c r="P91" s="13">
        <f t="shared" si="21"/>
        <v>58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0.0</v>
      </c>
      <c r="F93" s="73">
        <v>3.0</v>
      </c>
      <c r="G93" s="73">
        <v>2.0</v>
      </c>
      <c r="H93" s="73">
        <v>2.0</v>
      </c>
      <c r="I93" s="73">
        <v>0.0</v>
      </c>
      <c r="J93" s="73">
        <v>0.0</v>
      </c>
      <c r="K93" s="73">
        <v>1.0</v>
      </c>
      <c r="L93" s="73">
        <v>1.0</v>
      </c>
      <c r="M93" s="73">
        <v>3.0</v>
      </c>
      <c r="N93" s="73">
        <v>3.0</v>
      </c>
      <c r="O93" s="73">
        <v>1.0</v>
      </c>
      <c r="P93" s="13">
        <f t="shared" ref="P93:P102" si="22">SUM(E93:O93)</f>
        <v>16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1.0</v>
      </c>
      <c r="F94" s="73">
        <v>12.0</v>
      </c>
      <c r="G94" s="73">
        <v>2.0</v>
      </c>
      <c r="H94" s="73">
        <v>1.0</v>
      </c>
      <c r="I94" s="73">
        <v>0.0</v>
      </c>
      <c r="J94" s="73">
        <v>1.0</v>
      </c>
      <c r="K94" s="73">
        <v>2.0</v>
      </c>
      <c r="L94" s="73">
        <v>6.0</v>
      </c>
      <c r="M94" s="73">
        <v>4.0</v>
      </c>
      <c r="N94" s="73">
        <v>10.0</v>
      </c>
      <c r="O94" s="73">
        <v>12.0</v>
      </c>
      <c r="P94" s="13">
        <f t="shared" si="22"/>
        <v>51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1.0</v>
      </c>
      <c r="N95" s="73">
        <v>0.0</v>
      </c>
      <c r="O95" s="73">
        <v>0.0</v>
      </c>
      <c r="P95" s="13">
        <f t="shared" si="22"/>
        <v>1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1.0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13">
        <f t="shared" si="22"/>
        <v>1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1.0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1.0</v>
      </c>
      <c r="O97" s="73">
        <v>0.0</v>
      </c>
      <c r="P97" s="13">
        <f t="shared" si="22"/>
        <v>2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2.0</v>
      </c>
      <c r="P98" s="13">
        <f t="shared" si="22"/>
        <v>2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13">
        <f t="shared" si="22"/>
        <v>0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13">
        <f t="shared" si="22"/>
        <v>0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80">
        <v>0.0</v>
      </c>
      <c r="M101" s="80">
        <v>0.0</v>
      </c>
      <c r="N101" s="80">
        <v>0.0</v>
      </c>
      <c r="O101" s="80">
        <v>0.0</v>
      </c>
      <c r="P101" s="13">
        <f t="shared" si="22"/>
        <v>0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1.0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13">
        <f t="shared" si="22"/>
        <v>1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P103" si="23">SUM(E93:E102)</f>
        <v>1</v>
      </c>
      <c r="F103" s="13">
        <f t="shared" si="23"/>
        <v>15</v>
      </c>
      <c r="G103" s="13">
        <f t="shared" si="23"/>
        <v>7</v>
      </c>
      <c r="H103" s="13">
        <f t="shared" si="23"/>
        <v>3</v>
      </c>
      <c r="I103" s="13">
        <f t="shared" si="23"/>
        <v>0</v>
      </c>
      <c r="J103" s="13">
        <f t="shared" si="23"/>
        <v>1</v>
      </c>
      <c r="K103" s="13">
        <f t="shared" si="23"/>
        <v>3</v>
      </c>
      <c r="L103" s="13">
        <f t="shared" si="23"/>
        <v>7</v>
      </c>
      <c r="M103" s="13">
        <f t="shared" si="23"/>
        <v>8</v>
      </c>
      <c r="N103" s="13">
        <f t="shared" si="23"/>
        <v>14</v>
      </c>
      <c r="O103" s="13">
        <f t="shared" si="23"/>
        <v>15</v>
      </c>
      <c r="P103" s="13">
        <f t="shared" si="23"/>
        <v>74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0.0</v>
      </c>
      <c r="G105" s="73">
        <v>0.0</v>
      </c>
      <c r="H105" s="73">
        <v>0.0</v>
      </c>
      <c r="I105" s="73">
        <v>1.0</v>
      </c>
      <c r="J105" s="73">
        <v>0.0</v>
      </c>
      <c r="K105" s="73">
        <v>1.0</v>
      </c>
      <c r="L105" s="73">
        <v>1.0</v>
      </c>
      <c r="M105" s="73">
        <v>0.0</v>
      </c>
      <c r="N105" s="73">
        <v>0.0</v>
      </c>
      <c r="O105" s="73">
        <v>0.0</v>
      </c>
      <c r="P105" s="13">
        <f t="shared" ref="P105:P114" si="24">SUM(E105:O105)</f>
        <v>3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1.0</v>
      </c>
      <c r="J106" s="73">
        <v>0.0</v>
      </c>
      <c r="K106" s="73">
        <v>0.0</v>
      </c>
      <c r="L106" s="73">
        <v>0.0</v>
      </c>
      <c r="M106" s="73">
        <v>1.0</v>
      </c>
      <c r="N106" s="73">
        <v>0.0</v>
      </c>
      <c r="O106" s="73">
        <v>0.0</v>
      </c>
      <c r="P106" s="13">
        <f t="shared" si="24"/>
        <v>2</v>
      </c>
    </row>
    <row r="107" ht="12.75" customHeight="1">
      <c r="A107" s="79"/>
      <c r="B107" s="49"/>
      <c r="C107" s="50" t="s">
        <v>93</v>
      </c>
      <c r="D107" s="51"/>
      <c r="E107" s="80">
        <v>1.0</v>
      </c>
      <c r="F107" s="80">
        <v>0.0</v>
      </c>
      <c r="G107" s="80">
        <v>0.0</v>
      </c>
      <c r="H107" s="80">
        <v>0.0</v>
      </c>
      <c r="I107" s="80">
        <v>0.0</v>
      </c>
      <c r="J107" s="80">
        <v>0.0</v>
      </c>
      <c r="K107" s="80">
        <v>1.0</v>
      </c>
      <c r="L107" s="80">
        <v>0.0</v>
      </c>
      <c r="M107" s="80">
        <v>0.0</v>
      </c>
      <c r="N107" s="80">
        <v>0.0</v>
      </c>
      <c r="O107" s="80">
        <v>0.0</v>
      </c>
      <c r="P107" s="13">
        <f t="shared" si="24"/>
        <v>2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P115" si="25">SUM(E105:E114)</f>
        <v>1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0</v>
      </c>
      <c r="K115" s="13">
        <f t="shared" si="25"/>
        <v>2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7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2.0</v>
      </c>
      <c r="F117" s="73">
        <v>0.0</v>
      </c>
      <c r="G117" s="73">
        <v>0.0</v>
      </c>
      <c r="H117" s="73">
        <v>1.0</v>
      </c>
      <c r="I117" s="73">
        <v>1.0</v>
      </c>
      <c r="J117" s="73">
        <v>1.0</v>
      </c>
      <c r="K117" s="73">
        <v>2.0</v>
      </c>
      <c r="L117" s="73">
        <v>2.0</v>
      </c>
      <c r="M117" s="73">
        <v>2.0</v>
      </c>
      <c r="N117" s="73">
        <v>2.0</v>
      </c>
      <c r="O117" s="73">
        <v>0.0</v>
      </c>
      <c r="P117" s="13">
        <f t="shared" ref="P117:P126" si="26">SUM(E117:O117)</f>
        <v>13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1.0</v>
      </c>
      <c r="F118" s="73">
        <v>1.0</v>
      </c>
      <c r="G118" s="73">
        <v>1.0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1.0</v>
      </c>
      <c r="N118" s="73">
        <v>3.0</v>
      </c>
      <c r="O118" s="73">
        <v>1.0</v>
      </c>
      <c r="P118" s="13">
        <f t="shared" si="26"/>
        <v>8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2.0</v>
      </c>
      <c r="N119" s="73">
        <v>2.0</v>
      </c>
      <c r="O119" s="73">
        <v>0.0</v>
      </c>
      <c r="P119" s="13">
        <f t="shared" si="26"/>
        <v>4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1.0</v>
      </c>
      <c r="N120" s="73">
        <v>0.0</v>
      </c>
      <c r="O120" s="73">
        <v>1.0</v>
      </c>
      <c r="P120" s="13">
        <f t="shared" si="26"/>
        <v>2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1.0</v>
      </c>
      <c r="M121" s="80">
        <v>0.0</v>
      </c>
      <c r="N121" s="80">
        <v>2.0</v>
      </c>
      <c r="O121" s="80">
        <v>0.0</v>
      </c>
      <c r="P121" s="13">
        <f t="shared" si="26"/>
        <v>3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13">
        <f t="shared" si="26"/>
        <v>0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P127" si="27">SUM(E117:E126)</f>
        <v>3</v>
      </c>
      <c r="F127" s="13">
        <f t="shared" si="27"/>
        <v>1</v>
      </c>
      <c r="G127" s="13">
        <f t="shared" si="27"/>
        <v>1</v>
      </c>
      <c r="H127" s="13">
        <f t="shared" si="27"/>
        <v>1</v>
      </c>
      <c r="I127" s="13">
        <f t="shared" si="27"/>
        <v>1</v>
      </c>
      <c r="J127" s="13">
        <f t="shared" si="27"/>
        <v>1</v>
      </c>
      <c r="K127" s="13">
        <f t="shared" si="27"/>
        <v>2</v>
      </c>
      <c r="L127" s="13">
        <f t="shared" si="27"/>
        <v>3</v>
      </c>
      <c r="M127" s="13">
        <f t="shared" si="27"/>
        <v>6</v>
      </c>
      <c r="N127" s="13">
        <f t="shared" si="27"/>
        <v>9</v>
      </c>
      <c r="O127" s="13">
        <f t="shared" si="27"/>
        <v>2</v>
      </c>
      <c r="P127" s="13">
        <f t="shared" si="27"/>
        <v>30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1.0</v>
      </c>
      <c r="F129" s="73">
        <v>8.0</v>
      </c>
      <c r="G129" s="73">
        <v>7.0</v>
      </c>
      <c r="H129" s="73">
        <v>4.0</v>
      </c>
      <c r="I129" s="73">
        <v>1.0</v>
      </c>
      <c r="J129" s="73">
        <v>3.0</v>
      </c>
      <c r="K129" s="73">
        <v>0.0</v>
      </c>
      <c r="L129" s="73">
        <v>2.0</v>
      </c>
      <c r="M129" s="73">
        <v>2.0</v>
      </c>
      <c r="N129" s="73">
        <v>3.0</v>
      </c>
      <c r="O129" s="73">
        <v>1.0</v>
      </c>
      <c r="P129" s="13">
        <f t="shared" ref="P129:P138" si="28">SUM(E129:O129)</f>
        <v>32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2.0</v>
      </c>
      <c r="F130" s="73">
        <v>6.0</v>
      </c>
      <c r="G130" s="73">
        <v>1.0</v>
      </c>
      <c r="H130" s="73">
        <v>2.0</v>
      </c>
      <c r="I130" s="73">
        <v>1.0</v>
      </c>
      <c r="J130" s="73">
        <v>2.0</v>
      </c>
      <c r="K130" s="73">
        <v>1.0</v>
      </c>
      <c r="L130" s="73">
        <v>7.0</v>
      </c>
      <c r="M130" s="73">
        <v>2.0</v>
      </c>
      <c r="N130" s="73">
        <v>0.0</v>
      </c>
      <c r="O130" s="73">
        <v>2.0</v>
      </c>
      <c r="P130" s="13">
        <f t="shared" si="28"/>
        <v>26</v>
      </c>
    </row>
    <row r="131" ht="12.75" customHeight="1">
      <c r="A131" s="18"/>
      <c r="B131" s="49"/>
      <c r="C131" s="50" t="s">
        <v>104</v>
      </c>
      <c r="D131" s="51"/>
      <c r="E131" s="73">
        <v>1.0</v>
      </c>
      <c r="F131" s="73">
        <v>1.0</v>
      </c>
      <c r="G131" s="73">
        <v>0.0</v>
      </c>
      <c r="H131" s="73">
        <v>1.0</v>
      </c>
      <c r="I131" s="73">
        <v>0.0</v>
      </c>
      <c r="J131" s="73">
        <v>0.0</v>
      </c>
      <c r="K131" s="73">
        <v>0.0</v>
      </c>
      <c r="L131" s="73">
        <v>2.0</v>
      </c>
      <c r="M131" s="73">
        <v>0.0</v>
      </c>
      <c r="N131" s="73">
        <v>1.0</v>
      </c>
      <c r="O131" s="73">
        <v>1.0</v>
      </c>
      <c r="P131" s="13">
        <f t="shared" si="28"/>
        <v>7</v>
      </c>
    </row>
    <row r="132" ht="12.75" customHeight="1">
      <c r="A132" s="18"/>
      <c r="B132" s="49"/>
      <c r="C132" s="50" t="s">
        <v>105</v>
      </c>
      <c r="D132" s="51"/>
      <c r="E132" s="73">
        <v>1.0</v>
      </c>
      <c r="F132" s="73">
        <v>0.0</v>
      </c>
      <c r="G132" s="73">
        <v>0.0</v>
      </c>
      <c r="H132" s="73">
        <v>0.0</v>
      </c>
      <c r="I132" s="73">
        <v>0.0</v>
      </c>
      <c r="J132" s="73">
        <v>1.0</v>
      </c>
      <c r="K132" s="73">
        <v>0.0</v>
      </c>
      <c r="L132" s="73">
        <v>0.0</v>
      </c>
      <c r="M132" s="73">
        <v>0.0</v>
      </c>
      <c r="N132" s="73">
        <v>0.0</v>
      </c>
      <c r="O132" s="73">
        <v>0.0</v>
      </c>
      <c r="P132" s="13">
        <f t="shared" si="28"/>
        <v>2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13">
        <f t="shared" si="28"/>
        <v>0</v>
      </c>
    </row>
    <row r="134" ht="12.75" customHeight="1">
      <c r="A134" s="18"/>
      <c r="B134" s="49"/>
      <c r="C134" s="50" t="s">
        <v>107</v>
      </c>
      <c r="D134" s="51"/>
      <c r="E134" s="73">
        <v>3.0</v>
      </c>
      <c r="F134" s="73">
        <v>3.0</v>
      </c>
      <c r="G134" s="73">
        <v>1.0</v>
      </c>
      <c r="H134" s="73">
        <v>2.0</v>
      </c>
      <c r="I134" s="73">
        <v>1.0</v>
      </c>
      <c r="J134" s="73">
        <v>0.0</v>
      </c>
      <c r="K134" s="73">
        <v>1.0</v>
      </c>
      <c r="L134" s="73">
        <v>0.0</v>
      </c>
      <c r="M134" s="73">
        <v>1.0</v>
      </c>
      <c r="N134" s="73">
        <v>1.0</v>
      </c>
      <c r="O134" s="73">
        <v>1.0</v>
      </c>
      <c r="P134" s="13">
        <f t="shared" si="28"/>
        <v>14</v>
      </c>
    </row>
    <row r="135" ht="12.75" customHeight="1">
      <c r="A135" s="18"/>
      <c r="B135" s="49"/>
      <c r="C135" s="50" t="s">
        <v>108</v>
      </c>
      <c r="D135" s="51"/>
      <c r="E135" s="73">
        <v>2.0</v>
      </c>
      <c r="F135" s="73">
        <v>1.0</v>
      </c>
      <c r="G135" s="73">
        <v>0.0</v>
      </c>
      <c r="H135" s="73">
        <v>1.0</v>
      </c>
      <c r="I135" s="73">
        <v>0.0</v>
      </c>
      <c r="J135" s="73">
        <v>0.0</v>
      </c>
      <c r="K135" s="73">
        <v>0.0</v>
      </c>
      <c r="L135" s="73">
        <v>0.0</v>
      </c>
      <c r="M135" s="73">
        <v>1.0</v>
      </c>
      <c r="N135" s="73">
        <v>0.0</v>
      </c>
      <c r="O135" s="73">
        <v>0.0</v>
      </c>
      <c r="P135" s="13">
        <f t="shared" si="28"/>
        <v>5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1.0</v>
      </c>
      <c r="I136" s="80">
        <v>0.0</v>
      </c>
      <c r="J136" s="80">
        <v>0.0</v>
      </c>
      <c r="K136" s="80">
        <v>0.0</v>
      </c>
      <c r="L136" s="80">
        <v>2.0</v>
      </c>
      <c r="M136" s="80">
        <v>0.0</v>
      </c>
      <c r="N136" s="80">
        <v>0.0</v>
      </c>
      <c r="O136" s="80">
        <v>0.0</v>
      </c>
      <c r="P136" s="13">
        <f t="shared" si="28"/>
        <v>3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0.0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80">
        <v>0.0</v>
      </c>
      <c r="N137" s="80">
        <v>0.0</v>
      </c>
      <c r="O137" s="80">
        <v>0.0</v>
      </c>
      <c r="P137" s="13">
        <f t="shared" si="28"/>
        <v>0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0.0</v>
      </c>
      <c r="I138" s="80">
        <v>0.0</v>
      </c>
      <c r="J138" s="80">
        <v>0.0</v>
      </c>
      <c r="K138" s="80">
        <v>0.0</v>
      </c>
      <c r="L138" s="80">
        <v>0.0</v>
      </c>
      <c r="M138" s="80">
        <v>0.0</v>
      </c>
      <c r="N138" s="80">
        <v>0.0</v>
      </c>
      <c r="O138" s="80">
        <v>0.0</v>
      </c>
      <c r="P138" s="13">
        <f t="shared" si="28"/>
        <v>0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P139" si="29">SUM(E129:E138)</f>
        <v>10</v>
      </c>
      <c r="F139" s="13">
        <f t="shared" si="29"/>
        <v>19</v>
      </c>
      <c r="G139" s="13">
        <f t="shared" si="29"/>
        <v>9</v>
      </c>
      <c r="H139" s="13">
        <f t="shared" si="29"/>
        <v>11</v>
      </c>
      <c r="I139" s="13">
        <f t="shared" si="29"/>
        <v>3</v>
      </c>
      <c r="J139" s="13">
        <f t="shared" si="29"/>
        <v>6</v>
      </c>
      <c r="K139" s="13">
        <f t="shared" si="29"/>
        <v>2</v>
      </c>
      <c r="L139" s="13">
        <f t="shared" si="29"/>
        <v>13</v>
      </c>
      <c r="M139" s="13">
        <f t="shared" si="29"/>
        <v>6</v>
      </c>
      <c r="N139" s="13">
        <f t="shared" si="29"/>
        <v>5</v>
      </c>
      <c r="O139" s="13">
        <f t="shared" si="29"/>
        <v>5</v>
      </c>
      <c r="P139" s="13">
        <f t="shared" si="29"/>
        <v>89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1.0</v>
      </c>
      <c r="N141" s="73">
        <v>0.0</v>
      </c>
      <c r="O141" s="73">
        <v>0.0</v>
      </c>
      <c r="P141" s="13">
        <f t="shared" ref="P141:P150" si="30">SUM(E141:O141)</f>
        <v>1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13">
        <f t="shared" si="30"/>
        <v>0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P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0.0</v>
      </c>
      <c r="G153" s="73">
        <v>1.0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1.0</v>
      </c>
      <c r="O153" s="73">
        <v>0.0</v>
      </c>
      <c r="P153" s="13">
        <f t="shared" ref="P153:P162" si="32">SUM(E153:O153)</f>
        <v>2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1.0</v>
      </c>
      <c r="H154" s="73">
        <v>0.0</v>
      </c>
      <c r="I154" s="73">
        <v>1.0</v>
      </c>
      <c r="J154" s="73">
        <v>0.0</v>
      </c>
      <c r="K154" s="73">
        <v>0.0</v>
      </c>
      <c r="L154" s="73">
        <v>0.0</v>
      </c>
      <c r="M154" s="73">
        <v>0.0</v>
      </c>
      <c r="N154" s="73">
        <v>1.0</v>
      </c>
      <c r="O154" s="73">
        <v>0.0</v>
      </c>
      <c r="P154" s="13">
        <f t="shared" si="32"/>
        <v>3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13">
        <f t="shared" si="32"/>
        <v>0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0.0</v>
      </c>
      <c r="I156" s="73">
        <v>1.0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13">
        <f t="shared" si="32"/>
        <v>1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1.0</v>
      </c>
      <c r="P157" s="13">
        <f t="shared" si="32"/>
        <v>1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0.0</v>
      </c>
      <c r="N158" s="80">
        <v>0.0</v>
      </c>
      <c r="O158" s="80">
        <v>0.0</v>
      </c>
      <c r="P158" s="13">
        <f t="shared" si="32"/>
        <v>0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80">
        <v>0.0</v>
      </c>
      <c r="N159" s="80">
        <v>0.0</v>
      </c>
      <c r="O159" s="80">
        <v>0.0</v>
      </c>
      <c r="P159" s="13">
        <f t="shared" si="32"/>
        <v>0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1.0</v>
      </c>
      <c r="P160" s="13">
        <f t="shared" si="32"/>
        <v>1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P163" si="33">SUM(E153:E162)</f>
        <v>0</v>
      </c>
      <c r="F163" s="13">
        <f t="shared" si="33"/>
        <v>0</v>
      </c>
      <c r="G163" s="13">
        <f t="shared" si="33"/>
        <v>2</v>
      </c>
      <c r="H163" s="13">
        <f t="shared" si="33"/>
        <v>0</v>
      </c>
      <c r="I163" s="13">
        <f t="shared" si="33"/>
        <v>2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2</v>
      </c>
      <c r="O163" s="13">
        <f t="shared" si="33"/>
        <v>2</v>
      </c>
      <c r="P163" s="13">
        <f t="shared" si="33"/>
        <v>8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1.0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1.0</v>
      </c>
      <c r="O165" s="73">
        <v>0.0</v>
      </c>
      <c r="P165" s="13">
        <f t="shared" ref="P165:P174" si="34">SUM(E165:O165)</f>
        <v>2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0.0</v>
      </c>
      <c r="F166" s="80">
        <v>1.0</v>
      </c>
      <c r="G166" s="80">
        <v>0.0</v>
      </c>
      <c r="H166" s="80">
        <v>0.0</v>
      </c>
      <c r="I166" s="80">
        <v>0.0</v>
      </c>
      <c r="J166" s="80">
        <v>0.0</v>
      </c>
      <c r="K166" s="80">
        <v>0.0</v>
      </c>
      <c r="L166" s="80">
        <v>0.0</v>
      </c>
      <c r="M166" s="80">
        <v>0.0</v>
      </c>
      <c r="N166" s="80">
        <v>0.0</v>
      </c>
      <c r="O166" s="80">
        <v>0.0</v>
      </c>
      <c r="P166" s="13">
        <f t="shared" si="34"/>
        <v>1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P175" si="35">SUM(E165:E174)</f>
        <v>0</v>
      </c>
      <c r="F175" s="13">
        <f t="shared" si="35"/>
        <v>2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2.0</v>
      </c>
      <c r="F177" s="73">
        <v>0.0</v>
      </c>
      <c r="G177" s="73">
        <v>0.0</v>
      </c>
      <c r="H177" s="73">
        <v>0.0</v>
      </c>
      <c r="I177" s="73">
        <v>1.0</v>
      </c>
      <c r="J177" s="73">
        <v>0.0</v>
      </c>
      <c r="K177" s="73">
        <v>2.0</v>
      </c>
      <c r="L177" s="73">
        <v>0.0</v>
      </c>
      <c r="M177" s="73">
        <v>1.0</v>
      </c>
      <c r="N177" s="73">
        <v>0.0</v>
      </c>
      <c r="O177" s="73">
        <v>0.0</v>
      </c>
      <c r="P177" s="13">
        <f t="shared" ref="P177:P186" si="36">SUM(E177:O177)</f>
        <v>6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2.0</v>
      </c>
      <c r="F178" s="73">
        <v>3.0</v>
      </c>
      <c r="G178" s="73">
        <v>1.0</v>
      </c>
      <c r="H178" s="73">
        <v>1.0</v>
      </c>
      <c r="I178" s="73">
        <v>0.0</v>
      </c>
      <c r="J178" s="73">
        <v>0.0</v>
      </c>
      <c r="K178" s="73">
        <v>0.0</v>
      </c>
      <c r="L178" s="73">
        <v>1.0</v>
      </c>
      <c r="M178" s="73">
        <v>2.0</v>
      </c>
      <c r="N178" s="73">
        <v>1.0</v>
      </c>
      <c r="O178" s="73">
        <v>0.0</v>
      </c>
      <c r="P178" s="13">
        <f t="shared" si="36"/>
        <v>11</v>
      </c>
    </row>
    <row r="179" ht="12.75" customHeight="1">
      <c r="A179" s="18"/>
      <c r="B179" s="49"/>
      <c r="C179" s="50" t="s">
        <v>132</v>
      </c>
      <c r="D179" s="51"/>
      <c r="E179" s="73">
        <v>1.0</v>
      </c>
      <c r="F179" s="73">
        <v>0.0</v>
      </c>
      <c r="G179" s="73">
        <v>0.0</v>
      </c>
      <c r="H179" s="73">
        <v>0.0</v>
      </c>
      <c r="I179" s="73">
        <v>0.0</v>
      </c>
      <c r="J179" s="73">
        <v>1.0</v>
      </c>
      <c r="K179" s="73">
        <v>0.0</v>
      </c>
      <c r="L179" s="73">
        <v>0.0</v>
      </c>
      <c r="M179" s="73">
        <v>0.0</v>
      </c>
      <c r="N179" s="73">
        <v>1.0</v>
      </c>
      <c r="O179" s="73">
        <v>0.0</v>
      </c>
      <c r="P179" s="13">
        <f t="shared" si="36"/>
        <v>3</v>
      </c>
    </row>
    <row r="180" ht="12.75" customHeight="1">
      <c r="A180" s="18"/>
      <c r="B180" s="49"/>
      <c r="C180" s="50" t="s">
        <v>133</v>
      </c>
      <c r="D180" s="51"/>
      <c r="E180" s="73">
        <v>0.0</v>
      </c>
      <c r="F180" s="73">
        <v>1.0</v>
      </c>
      <c r="G180" s="73">
        <v>0.0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0.0</v>
      </c>
      <c r="N180" s="73">
        <v>0.0</v>
      </c>
      <c r="O180" s="73">
        <v>0.0</v>
      </c>
      <c r="P180" s="13">
        <f t="shared" si="36"/>
        <v>1</v>
      </c>
    </row>
    <row r="181" ht="12.75" customHeight="1">
      <c r="A181" s="18"/>
      <c r="B181" s="49"/>
      <c r="C181" s="50" t="s">
        <v>134</v>
      </c>
      <c r="D181" s="51"/>
      <c r="E181" s="73">
        <v>1.0</v>
      </c>
      <c r="F181" s="73">
        <v>0.0</v>
      </c>
      <c r="G181" s="73">
        <v>0.0</v>
      </c>
      <c r="H181" s="73">
        <v>0.0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13">
        <f t="shared" si="36"/>
        <v>1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13">
        <f t="shared" si="36"/>
        <v>0</v>
      </c>
    </row>
    <row r="183" ht="12.75" customHeight="1">
      <c r="A183" s="18"/>
      <c r="B183" s="49"/>
      <c r="C183" s="50" t="s">
        <v>136</v>
      </c>
      <c r="D183" s="51"/>
      <c r="E183" s="73">
        <v>1.0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13">
        <f t="shared" si="36"/>
        <v>1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1.0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13">
        <f t="shared" si="36"/>
        <v>1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1.0</v>
      </c>
      <c r="G185" s="80">
        <v>0.0</v>
      </c>
      <c r="H185" s="80">
        <v>0.0</v>
      </c>
      <c r="I185" s="80">
        <v>0.0</v>
      </c>
      <c r="J185" s="80">
        <v>0.0</v>
      </c>
      <c r="K185" s="80">
        <v>0.0</v>
      </c>
      <c r="L185" s="80">
        <v>0.0</v>
      </c>
      <c r="M185" s="80">
        <v>0.0</v>
      </c>
      <c r="N185" s="80">
        <v>0.0</v>
      </c>
      <c r="O185" s="80">
        <v>0.0</v>
      </c>
      <c r="P185" s="13">
        <f t="shared" si="36"/>
        <v>1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13">
        <f t="shared" si="36"/>
        <v>0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P187" si="37">SUM(E177:E186)</f>
        <v>7</v>
      </c>
      <c r="F187" s="13">
        <f t="shared" si="37"/>
        <v>5</v>
      </c>
      <c r="G187" s="13">
        <f t="shared" si="37"/>
        <v>1</v>
      </c>
      <c r="H187" s="13">
        <f t="shared" si="37"/>
        <v>1</v>
      </c>
      <c r="I187" s="13">
        <f t="shared" si="37"/>
        <v>2</v>
      </c>
      <c r="J187" s="13">
        <f t="shared" si="37"/>
        <v>1</v>
      </c>
      <c r="K187" s="13">
        <f t="shared" si="37"/>
        <v>2</v>
      </c>
      <c r="L187" s="13">
        <f t="shared" si="37"/>
        <v>1</v>
      </c>
      <c r="M187" s="13">
        <f t="shared" si="37"/>
        <v>3</v>
      </c>
      <c r="N187" s="13">
        <f t="shared" si="37"/>
        <v>2</v>
      </c>
      <c r="O187" s="13">
        <f t="shared" si="37"/>
        <v>0</v>
      </c>
      <c r="P187" s="13">
        <f t="shared" si="37"/>
        <v>25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P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1.0</v>
      </c>
      <c r="P189" s="13">
        <f t="shared" ref="P189:P198" si="38">SUM(E189:O189)</f>
        <v>1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13">
        <f t="shared" si="38"/>
        <v>0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13">
        <f t="shared" si="38"/>
        <v>0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13">
        <f t="shared" si="38"/>
        <v>0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1.0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13">
        <f t="shared" si="38"/>
        <v>1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13">
        <f t="shared" si="38"/>
        <v>0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1.0</v>
      </c>
      <c r="P195" s="13">
        <f t="shared" si="38"/>
        <v>1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13">
        <f t="shared" si="38"/>
        <v>0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13">
        <f t="shared" si="38"/>
        <v>0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P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2</v>
      </c>
      <c r="P199" s="13">
        <f t="shared" si="39"/>
        <v>3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4.0</v>
      </c>
      <c r="F201" s="73">
        <v>5.0</v>
      </c>
      <c r="G201" s="73">
        <v>1.0</v>
      </c>
      <c r="H201" s="73">
        <v>2.0</v>
      </c>
      <c r="I201" s="73">
        <v>1.0</v>
      </c>
      <c r="J201" s="73">
        <v>1.0</v>
      </c>
      <c r="K201" s="73">
        <v>4.0</v>
      </c>
      <c r="L201" s="73">
        <v>0.0</v>
      </c>
      <c r="M201" s="73">
        <v>2.0</v>
      </c>
      <c r="N201" s="73">
        <v>4.0</v>
      </c>
      <c r="O201" s="73">
        <v>3.0</v>
      </c>
      <c r="P201" s="13">
        <f t="shared" ref="P201:P210" si="40">SUM(E201:O201)</f>
        <v>27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4.0</v>
      </c>
      <c r="F202" s="73">
        <v>1.0</v>
      </c>
      <c r="G202" s="73">
        <v>0.0</v>
      </c>
      <c r="H202" s="73">
        <v>0.0</v>
      </c>
      <c r="I202" s="73">
        <v>2.0</v>
      </c>
      <c r="J202" s="73">
        <v>1.0</v>
      </c>
      <c r="K202" s="73">
        <v>2.0</v>
      </c>
      <c r="L202" s="73">
        <v>3.0</v>
      </c>
      <c r="M202" s="73">
        <v>2.0</v>
      </c>
      <c r="N202" s="73">
        <v>4.0</v>
      </c>
      <c r="O202" s="73">
        <v>10.0</v>
      </c>
      <c r="P202" s="13">
        <f t="shared" si="40"/>
        <v>29</v>
      </c>
    </row>
    <row r="203" ht="12.75" customHeight="1">
      <c r="A203" s="18"/>
      <c r="B203" s="49"/>
      <c r="C203" s="50" t="s">
        <v>154</v>
      </c>
      <c r="D203" s="51"/>
      <c r="E203" s="73">
        <v>0.0</v>
      </c>
      <c r="F203" s="73">
        <v>5.0</v>
      </c>
      <c r="G203" s="73">
        <v>1.0</v>
      </c>
      <c r="H203" s="73">
        <v>0.0</v>
      </c>
      <c r="I203" s="73">
        <v>0.0</v>
      </c>
      <c r="J203" s="73">
        <v>3.0</v>
      </c>
      <c r="K203" s="73">
        <v>4.0</v>
      </c>
      <c r="L203" s="73">
        <v>3.0</v>
      </c>
      <c r="M203" s="73">
        <v>0.0</v>
      </c>
      <c r="N203" s="73">
        <v>0.0</v>
      </c>
      <c r="O203" s="73">
        <v>6.0</v>
      </c>
      <c r="P203" s="13">
        <f t="shared" si="40"/>
        <v>22</v>
      </c>
    </row>
    <row r="204" ht="12.75" customHeight="1">
      <c r="A204" s="18"/>
      <c r="B204" s="49"/>
      <c r="C204" s="50" t="s">
        <v>155</v>
      </c>
      <c r="D204" s="51"/>
      <c r="E204" s="73">
        <v>0.0</v>
      </c>
      <c r="F204" s="73">
        <v>0.0</v>
      </c>
      <c r="G204" s="73">
        <v>0.0</v>
      </c>
      <c r="H204" s="73">
        <v>0.0</v>
      </c>
      <c r="I204" s="73">
        <v>1.0</v>
      </c>
      <c r="J204" s="73">
        <v>0.0</v>
      </c>
      <c r="K204" s="73">
        <v>0.0</v>
      </c>
      <c r="L204" s="73">
        <v>0.0</v>
      </c>
      <c r="M204" s="73">
        <v>0.0</v>
      </c>
      <c r="N204" s="73">
        <v>0.0</v>
      </c>
      <c r="O204" s="73">
        <v>3.0</v>
      </c>
      <c r="P204" s="13">
        <f t="shared" si="40"/>
        <v>4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0.0</v>
      </c>
      <c r="G205" s="73">
        <v>0.0</v>
      </c>
      <c r="H205" s="73">
        <v>1.0</v>
      </c>
      <c r="I205" s="73">
        <v>1.0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0.0</v>
      </c>
      <c r="P205" s="13">
        <f t="shared" si="40"/>
        <v>2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1.0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1.0</v>
      </c>
      <c r="N206" s="73">
        <v>0.0</v>
      </c>
      <c r="O206" s="73">
        <v>1.0</v>
      </c>
      <c r="P206" s="13">
        <f t="shared" si="40"/>
        <v>3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0.0</v>
      </c>
      <c r="G207" s="73">
        <v>1.0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13">
        <f t="shared" si="40"/>
        <v>1</v>
      </c>
    </row>
    <row r="208" ht="12.75" customHeight="1">
      <c r="A208" s="79"/>
      <c r="B208" s="49"/>
      <c r="C208" s="50" t="s">
        <v>159</v>
      </c>
      <c r="D208" s="51"/>
      <c r="E208" s="80">
        <v>0.0</v>
      </c>
      <c r="F208" s="80">
        <v>1.0</v>
      </c>
      <c r="G208" s="80">
        <v>0.0</v>
      </c>
      <c r="H208" s="80">
        <v>0.0</v>
      </c>
      <c r="I208" s="80">
        <v>0.0</v>
      </c>
      <c r="J208" s="80">
        <v>0.0</v>
      </c>
      <c r="K208" s="80">
        <v>1.0</v>
      </c>
      <c r="L208" s="80">
        <v>0.0</v>
      </c>
      <c r="M208" s="80">
        <v>1.0</v>
      </c>
      <c r="N208" s="80">
        <v>0.0</v>
      </c>
      <c r="O208" s="80">
        <v>3.0</v>
      </c>
      <c r="P208" s="13">
        <f t="shared" si="40"/>
        <v>6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1.0</v>
      </c>
      <c r="K209" s="80">
        <v>1.0</v>
      </c>
      <c r="L209" s="80">
        <v>0.0</v>
      </c>
      <c r="M209" s="80">
        <v>0.0</v>
      </c>
      <c r="N209" s="80">
        <v>0.0</v>
      </c>
      <c r="O209" s="80">
        <v>0.0</v>
      </c>
      <c r="P209" s="13">
        <f t="shared" si="40"/>
        <v>2</v>
      </c>
    </row>
    <row r="210" ht="12.75" customHeight="1">
      <c r="A210" s="79"/>
      <c r="B210" s="49"/>
      <c r="C210" s="50" t="s">
        <v>161</v>
      </c>
      <c r="D210" s="51"/>
      <c r="E210" s="80">
        <v>1.0</v>
      </c>
      <c r="F210" s="80">
        <v>0.0</v>
      </c>
      <c r="G210" s="80">
        <v>0.0</v>
      </c>
      <c r="H210" s="80">
        <v>0.0</v>
      </c>
      <c r="I210" s="80">
        <v>0.0</v>
      </c>
      <c r="J210" s="80">
        <v>1.0</v>
      </c>
      <c r="K210" s="80">
        <v>0.0</v>
      </c>
      <c r="L210" s="80">
        <v>0.0</v>
      </c>
      <c r="M210" s="80">
        <v>0.0</v>
      </c>
      <c r="N210" s="80">
        <v>0.0</v>
      </c>
      <c r="O210" s="80">
        <v>1.0</v>
      </c>
      <c r="P210" s="13">
        <f t="shared" si="40"/>
        <v>3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P211" si="41">SUM(E201:E210)</f>
        <v>9</v>
      </c>
      <c r="F211" s="13">
        <f t="shared" si="41"/>
        <v>13</v>
      </c>
      <c r="G211" s="13">
        <f t="shared" si="41"/>
        <v>3</v>
      </c>
      <c r="H211" s="13">
        <f t="shared" si="41"/>
        <v>3</v>
      </c>
      <c r="I211" s="13">
        <f t="shared" si="41"/>
        <v>5</v>
      </c>
      <c r="J211" s="13">
        <f t="shared" si="41"/>
        <v>7</v>
      </c>
      <c r="K211" s="13">
        <f t="shared" si="41"/>
        <v>12</v>
      </c>
      <c r="L211" s="13">
        <f t="shared" si="41"/>
        <v>6</v>
      </c>
      <c r="M211" s="13">
        <f t="shared" si="41"/>
        <v>6</v>
      </c>
      <c r="N211" s="13">
        <f t="shared" si="41"/>
        <v>8</v>
      </c>
      <c r="O211" s="13">
        <f t="shared" si="41"/>
        <v>27</v>
      </c>
      <c r="P211" s="13">
        <f t="shared" si="41"/>
        <v>99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2.0</v>
      </c>
      <c r="F213" s="73">
        <v>1.0</v>
      </c>
      <c r="G213" s="73">
        <v>0.0</v>
      </c>
      <c r="H213" s="73">
        <v>1.0</v>
      </c>
      <c r="I213" s="73">
        <v>0.0</v>
      </c>
      <c r="J213" s="73">
        <v>1.0</v>
      </c>
      <c r="K213" s="73">
        <v>4.0</v>
      </c>
      <c r="L213" s="73">
        <v>1.0</v>
      </c>
      <c r="M213" s="73">
        <v>2.0</v>
      </c>
      <c r="N213" s="73">
        <v>2.0</v>
      </c>
      <c r="O213" s="73">
        <v>0.0</v>
      </c>
      <c r="P213" s="13">
        <f t="shared" ref="P213:P222" si="42">SUM(E213:O213)</f>
        <v>14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1.0</v>
      </c>
      <c r="F214" s="73">
        <v>0.0</v>
      </c>
      <c r="G214" s="73">
        <v>0.0</v>
      </c>
      <c r="H214" s="73">
        <v>1.0</v>
      </c>
      <c r="I214" s="73">
        <v>4.0</v>
      </c>
      <c r="J214" s="73">
        <v>3.0</v>
      </c>
      <c r="K214" s="73">
        <v>4.0</v>
      </c>
      <c r="L214" s="73">
        <v>0.0</v>
      </c>
      <c r="M214" s="73">
        <v>2.0</v>
      </c>
      <c r="N214" s="73">
        <v>0.0</v>
      </c>
      <c r="O214" s="73">
        <v>0.0</v>
      </c>
      <c r="P214" s="13">
        <f t="shared" si="42"/>
        <v>15</v>
      </c>
    </row>
    <row r="215" ht="12.75" customHeight="1">
      <c r="A215" s="18"/>
      <c r="B215" s="49"/>
      <c r="C215" s="50" t="s">
        <v>165</v>
      </c>
      <c r="D215" s="51"/>
      <c r="E215" s="73">
        <v>1.0</v>
      </c>
      <c r="F215" s="73">
        <v>1.0</v>
      </c>
      <c r="G215" s="73">
        <v>1.0</v>
      </c>
      <c r="H215" s="73">
        <v>1.0</v>
      </c>
      <c r="I215" s="73">
        <v>1.0</v>
      </c>
      <c r="J215" s="73">
        <v>4.0</v>
      </c>
      <c r="K215" s="73">
        <v>0.0</v>
      </c>
      <c r="L215" s="73">
        <v>1.0</v>
      </c>
      <c r="M215" s="73">
        <v>0.0</v>
      </c>
      <c r="N215" s="73">
        <v>2.0</v>
      </c>
      <c r="O215" s="73">
        <v>1.0</v>
      </c>
      <c r="P215" s="13">
        <f t="shared" si="42"/>
        <v>13</v>
      </c>
    </row>
    <row r="216" ht="12.75" customHeight="1">
      <c r="A216" s="18"/>
      <c r="B216" s="49"/>
      <c r="C216" s="50" t="s">
        <v>166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1.0</v>
      </c>
      <c r="L216" s="73">
        <v>0.0</v>
      </c>
      <c r="M216" s="73">
        <v>0.0</v>
      </c>
      <c r="N216" s="73">
        <v>0.0</v>
      </c>
      <c r="O216" s="73">
        <v>0.0</v>
      </c>
      <c r="P216" s="13">
        <f t="shared" si="42"/>
        <v>1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P223" si="43">SUM(E213:E222)</f>
        <v>4</v>
      </c>
      <c r="F223" s="13">
        <f t="shared" si="43"/>
        <v>2</v>
      </c>
      <c r="G223" s="13">
        <f t="shared" si="43"/>
        <v>1</v>
      </c>
      <c r="H223" s="13">
        <f t="shared" si="43"/>
        <v>3</v>
      </c>
      <c r="I223" s="13">
        <f t="shared" si="43"/>
        <v>5</v>
      </c>
      <c r="J223" s="13">
        <f t="shared" si="43"/>
        <v>8</v>
      </c>
      <c r="K223" s="13">
        <f t="shared" si="43"/>
        <v>9</v>
      </c>
      <c r="L223" s="13">
        <f t="shared" si="43"/>
        <v>2</v>
      </c>
      <c r="M223" s="13">
        <f t="shared" si="43"/>
        <v>4</v>
      </c>
      <c r="N223" s="13">
        <f t="shared" si="43"/>
        <v>4</v>
      </c>
      <c r="O223" s="13">
        <f t="shared" si="43"/>
        <v>1</v>
      </c>
      <c r="P223" s="13">
        <f t="shared" si="43"/>
        <v>43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0.0</v>
      </c>
      <c r="G225" s="73">
        <v>0.0</v>
      </c>
      <c r="H225" s="73">
        <v>1.0</v>
      </c>
      <c r="I225" s="73">
        <v>0.0</v>
      </c>
      <c r="J225" s="73">
        <v>1.0</v>
      </c>
      <c r="K225" s="73">
        <v>0.0</v>
      </c>
      <c r="L225" s="73">
        <v>0.0</v>
      </c>
      <c r="M225" s="73">
        <v>0.0</v>
      </c>
      <c r="N225" s="73">
        <v>1.0</v>
      </c>
      <c r="O225" s="73">
        <v>0.0</v>
      </c>
      <c r="P225" s="13">
        <f t="shared" ref="P225:P234" si="44">SUM(E225:O225)</f>
        <v>3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1.0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1.0</v>
      </c>
      <c r="M226" s="73">
        <v>1.0</v>
      </c>
      <c r="N226" s="73">
        <v>3.0</v>
      </c>
      <c r="O226" s="73">
        <v>0.0</v>
      </c>
      <c r="P226" s="13">
        <f t="shared" si="44"/>
        <v>6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1.0</v>
      </c>
      <c r="M227" s="73">
        <v>0.0</v>
      </c>
      <c r="N227" s="73">
        <v>0.0</v>
      </c>
      <c r="O227" s="73">
        <v>0.0</v>
      </c>
      <c r="P227" s="13">
        <f t="shared" si="44"/>
        <v>1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13">
        <f t="shared" si="44"/>
        <v>0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1.0</v>
      </c>
      <c r="M229" s="73">
        <v>0.0</v>
      </c>
      <c r="N229" s="73">
        <v>0.0</v>
      </c>
      <c r="O229" s="73">
        <v>0.0</v>
      </c>
      <c r="P229" s="13">
        <f t="shared" si="44"/>
        <v>1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P235" si="45">SUM(E225:E234)</f>
        <v>1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3</v>
      </c>
      <c r="M235" s="13">
        <f t="shared" si="45"/>
        <v>1</v>
      </c>
      <c r="N235" s="13">
        <f t="shared" si="45"/>
        <v>4</v>
      </c>
      <c r="O235" s="13">
        <f t="shared" si="45"/>
        <v>0</v>
      </c>
      <c r="P235" s="13">
        <f t="shared" si="45"/>
        <v>11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2.0</v>
      </c>
      <c r="F237" s="73">
        <v>0.0</v>
      </c>
      <c r="G237" s="73">
        <v>0.0</v>
      </c>
      <c r="H237" s="73">
        <v>0.0</v>
      </c>
      <c r="I237" s="73">
        <v>0.0</v>
      </c>
      <c r="J237" s="73">
        <v>3.0</v>
      </c>
      <c r="K237" s="73">
        <v>0.0</v>
      </c>
      <c r="L237" s="73">
        <v>3.0</v>
      </c>
      <c r="M237" s="73">
        <v>1.0</v>
      </c>
      <c r="N237" s="73">
        <v>2.0</v>
      </c>
      <c r="O237" s="73">
        <v>1.0</v>
      </c>
      <c r="P237" s="13">
        <f t="shared" ref="P237:P246" si="46">SUM(E237:O237)</f>
        <v>12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1.0</v>
      </c>
      <c r="F238" s="73">
        <v>0.0</v>
      </c>
      <c r="G238" s="73">
        <v>1.0</v>
      </c>
      <c r="H238" s="73">
        <v>0.0</v>
      </c>
      <c r="I238" s="73">
        <v>0.0</v>
      </c>
      <c r="J238" s="73">
        <v>1.0</v>
      </c>
      <c r="K238" s="73">
        <v>0.0</v>
      </c>
      <c r="L238" s="73">
        <v>0.0</v>
      </c>
      <c r="M238" s="73">
        <v>0.0</v>
      </c>
      <c r="N238" s="73">
        <v>0.0</v>
      </c>
      <c r="O238" s="73">
        <v>0.0</v>
      </c>
      <c r="P238" s="13">
        <f t="shared" si="46"/>
        <v>3</v>
      </c>
    </row>
    <row r="239" ht="12.75" customHeight="1">
      <c r="A239" s="18"/>
      <c r="B239" s="49"/>
      <c r="C239" s="50" t="s">
        <v>176</v>
      </c>
      <c r="D239" s="51"/>
      <c r="E239" s="73">
        <v>1.0</v>
      </c>
      <c r="F239" s="73">
        <v>3.0</v>
      </c>
      <c r="G239" s="73">
        <v>1.0</v>
      </c>
      <c r="H239" s="73">
        <v>0.0</v>
      </c>
      <c r="I239" s="73">
        <v>0.0</v>
      </c>
      <c r="J239" s="73">
        <v>4.0</v>
      </c>
      <c r="K239" s="73">
        <v>1.0</v>
      </c>
      <c r="L239" s="73">
        <v>1.0</v>
      </c>
      <c r="M239" s="73">
        <v>3.0</v>
      </c>
      <c r="N239" s="73">
        <v>10.0</v>
      </c>
      <c r="O239" s="73">
        <v>25.0</v>
      </c>
      <c r="P239" s="13">
        <f t="shared" si="46"/>
        <v>49</v>
      </c>
    </row>
    <row r="240" ht="12.75" customHeight="1">
      <c r="A240" s="18"/>
      <c r="B240" s="49"/>
      <c r="C240" s="50" t="s">
        <v>177</v>
      </c>
      <c r="D240" s="51"/>
      <c r="E240" s="73">
        <v>4.0</v>
      </c>
      <c r="F240" s="73">
        <v>0.0</v>
      </c>
      <c r="G240" s="73">
        <v>1.0</v>
      </c>
      <c r="H240" s="73">
        <v>0.0</v>
      </c>
      <c r="I240" s="73">
        <v>4.0</v>
      </c>
      <c r="J240" s="73">
        <v>1.0</v>
      </c>
      <c r="K240" s="73">
        <v>1.0</v>
      </c>
      <c r="L240" s="73">
        <v>2.0</v>
      </c>
      <c r="M240" s="73">
        <v>0.0</v>
      </c>
      <c r="N240" s="73">
        <v>0.0</v>
      </c>
      <c r="O240" s="73">
        <v>0.0</v>
      </c>
      <c r="P240" s="13">
        <f t="shared" si="46"/>
        <v>13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1.0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13">
        <f t="shared" si="46"/>
        <v>1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1.0</v>
      </c>
      <c r="N242" s="73">
        <v>0.0</v>
      </c>
      <c r="O242" s="73">
        <v>0.0</v>
      </c>
      <c r="P242" s="13">
        <f t="shared" si="46"/>
        <v>1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13">
        <f t="shared" si="46"/>
        <v>0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13">
        <f t="shared" si="46"/>
        <v>0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13">
        <f t="shared" si="46"/>
        <v>0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P247" si="47">SUM(E237:E246)</f>
        <v>8</v>
      </c>
      <c r="F247" s="13">
        <f t="shared" si="47"/>
        <v>3</v>
      </c>
      <c r="G247" s="13">
        <f t="shared" si="47"/>
        <v>3</v>
      </c>
      <c r="H247" s="13">
        <f t="shared" si="47"/>
        <v>0</v>
      </c>
      <c r="I247" s="13">
        <f t="shared" si="47"/>
        <v>4</v>
      </c>
      <c r="J247" s="13">
        <f t="shared" si="47"/>
        <v>10</v>
      </c>
      <c r="K247" s="13">
        <f t="shared" si="47"/>
        <v>2</v>
      </c>
      <c r="L247" s="13">
        <f t="shared" si="47"/>
        <v>6</v>
      </c>
      <c r="M247" s="13">
        <f t="shared" si="47"/>
        <v>5</v>
      </c>
      <c r="N247" s="13">
        <f t="shared" si="47"/>
        <v>12</v>
      </c>
      <c r="O247" s="13">
        <f t="shared" si="47"/>
        <v>26</v>
      </c>
      <c r="P247" s="13">
        <f t="shared" si="47"/>
        <v>79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13">
        <f t="shared" ref="P249:P258" si="48">SUM(E249:O249)</f>
        <v>0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0.0</v>
      </c>
      <c r="G250" s="73">
        <v>1.0</v>
      </c>
      <c r="H250" s="73">
        <v>0.0</v>
      </c>
      <c r="I250" s="73">
        <v>0.0</v>
      </c>
      <c r="J250" s="73">
        <v>0.0</v>
      </c>
      <c r="K250" s="73">
        <v>0.0</v>
      </c>
      <c r="L250" s="73">
        <v>0.0</v>
      </c>
      <c r="M250" s="73">
        <v>0.0</v>
      </c>
      <c r="N250" s="73">
        <v>0.0</v>
      </c>
      <c r="O250" s="73">
        <v>0.0</v>
      </c>
      <c r="P250" s="13">
        <f t="shared" si="48"/>
        <v>1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1.0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13">
        <f t="shared" si="48"/>
        <v>1</v>
      </c>
    </row>
    <row r="252" ht="12.75" customHeight="1">
      <c r="A252" s="18"/>
      <c r="B252" s="49"/>
      <c r="C252" s="50" t="s">
        <v>188</v>
      </c>
      <c r="D252" s="51"/>
      <c r="E252" s="73">
        <v>1.0</v>
      </c>
      <c r="F252" s="73">
        <v>0.0</v>
      </c>
      <c r="G252" s="73">
        <v>0.0</v>
      </c>
      <c r="H252" s="73">
        <v>1.0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13">
        <f t="shared" si="48"/>
        <v>2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P259" si="49">SUM(E249:E258)</f>
        <v>1</v>
      </c>
      <c r="F259" s="13">
        <f t="shared" si="49"/>
        <v>0</v>
      </c>
      <c r="G259" s="13">
        <f t="shared" si="49"/>
        <v>2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4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O262" si="50">E55+E67+E79+E91+E103+E115+E127+E139+E151+E163+E175+E187+E199+E211+E223+E235+E247+E259</f>
        <v>152</v>
      </c>
      <c r="F262" s="19">
        <f t="shared" si="50"/>
        <v>160</v>
      </c>
      <c r="G262" s="19">
        <f t="shared" si="50"/>
        <v>163</v>
      </c>
      <c r="H262" s="19">
        <f t="shared" si="50"/>
        <v>169</v>
      </c>
      <c r="I262" s="19">
        <f t="shared" si="50"/>
        <v>183</v>
      </c>
      <c r="J262" s="19">
        <f t="shared" si="50"/>
        <v>140</v>
      </c>
      <c r="K262" s="19">
        <f t="shared" si="50"/>
        <v>177</v>
      </c>
      <c r="L262" s="19">
        <f t="shared" si="50"/>
        <v>160</v>
      </c>
      <c r="M262" s="19">
        <f t="shared" si="50"/>
        <v>162</v>
      </c>
      <c r="N262" s="19">
        <f t="shared" si="50"/>
        <v>183</v>
      </c>
      <c r="O262" s="19">
        <f t="shared" si="50"/>
        <v>182</v>
      </c>
      <c r="P262" s="13">
        <f t="shared" ref="P262:P264" si="51">SUM(E262:O262)</f>
        <v>1831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24.0</v>
      </c>
      <c r="F263" s="73">
        <v>23.0</v>
      </c>
      <c r="G263" s="73">
        <v>39.0</v>
      </c>
      <c r="H263" s="73">
        <v>36.0</v>
      </c>
      <c r="I263" s="73">
        <v>27.0</v>
      </c>
      <c r="J263" s="73">
        <v>31.0</v>
      </c>
      <c r="K263" s="73">
        <v>47.0</v>
      </c>
      <c r="L263" s="73">
        <v>13.0</v>
      </c>
      <c r="M263" s="73">
        <v>18.0</v>
      </c>
      <c r="N263" s="73">
        <v>40.0</v>
      </c>
      <c r="O263" s="73">
        <v>46.0</v>
      </c>
      <c r="P263" s="13">
        <f t="shared" si="51"/>
        <v>344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O264" si="52">SUM(E262:E263)</f>
        <v>176</v>
      </c>
      <c r="F264" s="13">
        <f t="shared" si="52"/>
        <v>183</v>
      </c>
      <c r="G264" s="13">
        <f t="shared" si="52"/>
        <v>202</v>
      </c>
      <c r="H264" s="13">
        <f t="shared" si="52"/>
        <v>205</v>
      </c>
      <c r="I264" s="13">
        <f t="shared" si="52"/>
        <v>210</v>
      </c>
      <c r="J264" s="13">
        <f t="shared" si="52"/>
        <v>171</v>
      </c>
      <c r="K264" s="13">
        <f t="shared" si="52"/>
        <v>224</v>
      </c>
      <c r="L264" s="13">
        <f t="shared" si="52"/>
        <v>173</v>
      </c>
      <c r="M264" s="13">
        <f t="shared" si="52"/>
        <v>180</v>
      </c>
      <c r="N264" s="13">
        <f t="shared" si="52"/>
        <v>223</v>
      </c>
      <c r="O264" s="13">
        <f t="shared" si="52"/>
        <v>228</v>
      </c>
      <c r="P264" s="13">
        <f t="shared" si="51"/>
        <v>2175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E34&lt;&gt;E64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8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224</v>
      </c>
      <c r="AC13" s="13" t="s">
        <v>225</v>
      </c>
      <c r="AD13" s="36"/>
    </row>
    <row r="14" ht="12.75" customHeight="1">
      <c r="A14" s="18"/>
      <c r="B14" s="22" t="s">
        <v>10</v>
      </c>
      <c r="C14" s="23"/>
      <c r="D14" s="19" t="s">
        <v>11</v>
      </c>
      <c r="E14" s="73">
        <v>139.0</v>
      </c>
      <c r="F14" s="73">
        <v>140.0</v>
      </c>
      <c r="G14" s="73">
        <v>136.0</v>
      </c>
      <c r="H14" s="73">
        <v>118.0</v>
      </c>
      <c r="I14" s="73">
        <v>125.0</v>
      </c>
      <c r="J14" s="73">
        <v>145.0</v>
      </c>
      <c r="K14" s="73">
        <v>127.0</v>
      </c>
      <c r="L14" s="73">
        <v>112.0</v>
      </c>
      <c r="M14" s="73">
        <v>128.0</v>
      </c>
      <c r="N14" s="73">
        <v>109.0</v>
      </c>
      <c r="O14" s="73">
        <v>138.0</v>
      </c>
      <c r="P14" s="73">
        <v>143.0</v>
      </c>
      <c r="Q14" s="73">
        <v>141.0</v>
      </c>
      <c r="R14" s="73">
        <v>128.0</v>
      </c>
      <c r="S14" s="73">
        <v>134.0</v>
      </c>
      <c r="T14" s="73">
        <v>129.0</v>
      </c>
      <c r="U14" s="73">
        <v>112.0</v>
      </c>
      <c r="V14" s="73">
        <v>114.0</v>
      </c>
      <c r="W14" s="73">
        <v>117.0</v>
      </c>
      <c r="X14" s="73">
        <v>114.0</v>
      </c>
      <c r="Y14" s="73">
        <v>119.0</v>
      </c>
      <c r="Z14" s="73">
        <v>127.0</v>
      </c>
      <c r="AA14" s="73">
        <v>134.0</v>
      </c>
      <c r="AB14" s="73">
        <v>135.0</v>
      </c>
      <c r="AC14" s="73">
        <v>133.0</v>
      </c>
      <c r="AD14" s="13">
        <f t="shared" ref="AD14:AD16" si="1">SUM(E14:AC14)</f>
        <v>3197</v>
      </c>
    </row>
    <row r="15" ht="12.75" customHeight="1">
      <c r="A15" s="18"/>
      <c r="B15" s="26"/>
      <c r="C15" s="27"/>
      <c r="D15" s="19" t="s">
        <v>12</v>
      </c>
      <c r="E15" s="73">
        <v>133.0</v>
      </c>
      <c r="F15" s="73">
        <v>144.0</v>
      </c>
      <c r="G15" s="73">
        <v>148.0</v>
      </c>
      <c r="H15" s="73">
        <v>129.0</v>
      </c>
      <c r="I15" s="73">
        <v>136.0</v>
      </c>
      <c r="J15" s="73">
        <v>127.0</v>
      </c>
      <c r="K15" s="73">
        <v>121.0</v>
      </c>
      <c r="L15" s="73">
        <v>118.0</v>
      </c>
      <c r="M15" s="73">
        <v>134.0</v>
      </c>
      <c r="N15" s="73">
        <v>132.0</v>
      </c>
      <c r="O15" s="73">
        <v>142.0</v>
      </c>
      <c r="P15" s="73">
        <v>138.0</v>
      </c>
      <c r="Q15" s="73">
        <v>140.0</v>
      </c>
      <c r="R15" s="73">
        <v>133.0</v>
      </c>
      <c r="S15" s="73">
        <v>131.0</v>
      </c>
      <c r="T15" s="73">
        <v>135.0</v>
      </c>
      <c r="U15" s="73">
        <v>127.0</v>
      </c>
      <c r="V15" s="73">
        <v>117.0</v>
      </c>
      <c r="W15" s="73">
        <v>134.0</v>
      </c>
      <c r="X15" s="73">
        <v>128.0</v>
      </c>
      <c r="Y15" s="73">
        <v>136.0</v>
      </c>
      <c r="Z15" s="73">
        <v>130.0</v>
      </c>
      <c r="AA15" s="73">
        <v>146.0</v>
      </c>
      <c r="AB15" s="73">
        <v>124.0</v>
      </c>
      <c r="AC15" s="73">
        <v>138.0</v>
      </c>
      <c r="AD15" s="13">
        <f t="shared" si="1"/>
        <v>3321</v>
      </c>
    </row>
    <row r="16" ht="12.75" customHeight="1">
      <c r="A16" s="25"/>
      <c r="B16" s="21"/>
      <c r="C16" s="28"/>
      <c r="D16" s="13" t="s">
        <v>13</v>
      </c>
      <c r="E16" s="13">
        <f t="shared" ref="E16:AC16" si="2">SUM(E14:E15)</f>
        <v>272</v>
      </c>
      <c r="F16" s="13">
        <f t="shared" si="2"/>
        <v>284</v>
      </c>
      <c r="G16" s="13">
        <f t="shared" si="2"/>
        <v>284</v>
      </c>
      <c r="H16" s="13">
        <f t="shared" si="2"/>
        <v>247</v>
      </c>
      <c r="I16" s="13">
        <f t="shared" si="2"/>
        <v>261</v>
      </c>
      <c r="J16" s="13">
        <f t="shared" si="2"/>
        <v>272</v>
      </c>
      <c r="K16" s="13">
        <f t="shared" si="2"/>
        <v>248</v>
      </c>
      <c r="L16" s="13">
        <f t="shared" si="2"/>
        <v>230</v>
      </c>
      <c r="M16" s="13">
        <f t="shared" si="2"/>
        <v>262</v>
      </c>
      <c r="N16" s="13">
        <f t="shared" si="2"/>
        <v>241</v>
      </c>
      <c r="O16" s="13">
        <f t="shared" si="2"/>
        <v>280</v>
      </c>
      <c r="P16" s="13">
        <f t="shared" si="2"/>
        <v>281</v>
      </c>
      <c r="Q16" s="13">
        <f t="shared" si="2"/>
        <v>281</v>
      </c>
      <c r="R16" s="13">
        <f t="shared" si="2"/>
        <v>261</v>
      </c>
      <c r="S16" s="13">
        <f t="shared" si="2"/>
        <v>265</v>
      </c>
      <c r="T16" s="13">
        <f t="shared" si="2"/>
        <v>264</v>
      </c>
      <c r="U16" s="13">
        <f t="shared" si="2"/>
        <v>239</v>
      </c>
      <c r="V16" s="13">
        <f t="shared" si="2"/>
        <v>231</v>
      </c>
      <c r="W16" s="13">
        <f t="shared" si="2"/>
        <v>251</v>
      </c>
      <c r="X16" s="13">
        <f t="shared" si="2"/>
        <v>242</v>
      </c>
      <c r="Y16" s="13">
        <f t="shared" si="2"/>
        <v>255</v>
      </c>
      <c r="Z16" s="13">
        <f t="shared" si="2"/>
        <v>257</v>
      </c>
      <c r="AA16" s="13">
        <f t="shared" si="2"/>
        <v>280</v>
      </c>
      <c r="AB16" s="13">
        <f t="shared" si="2"/>
        <v>259</v>
      </c>
      <c r="AC16" s="13">
        <f t="shared" si="2"/>
        <v>271</v>
      </c>
      <c r="AD16" s="13">
        <f t="shared" si="1"/>
        <v>6518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97.0</v>
      </c>
      <c r="F19" s="73">
        <v>98.0</v>
      </c>
      <c r="G19" s="73">
        <v>96.0</v>
      </c>
      <c r="H19" s="73">
        <v>85.0</v>
      </c>
      <c r="I19" s="73">
        <v>101.0</v>
      </c>
      <c r="J19" s="73">
        <v>118.0</v>
      </c>
      <c r="K19" s="73">
        <v>90.0</v>
      </c>
      <c r="L19" s="73">
        <v>79.0</v>
      </c>
      <c r="M19" s="73">
        <v>101.0</v>
      </c>
      <c r="N19" s="73">
        <v>77.0</v>
      </c>
      <c r="O19" s="73">
        <v>93.0</v>
      </c>
      <c r="P19" s="73">
        <v>104.0</v>
      </c>
      <c r="Q19" s="73">
        <v>117.0</v>
      </c>
      <c r="R19" s="73">
        <v>93.0</v>
      </c>
      <c r="S19" s="73">
        <v>105.0</v>
      </c>
      <c r="T19" s="73">
        <v>94.0</v>
      </c>
      <c r="U19" s="73">
        <v>77.0</v>
      </c>
      <c r="V19" s="73">
        <v>91.0</v>
      </c>
      <c r="W19" s="73">
        <v>90.0</v>
      </c>
      <c r="X19" s="73">
        <v>91.0</v>
      </c>
      <c r="Y19" s="73">
        <v>94.0</v>
      </c>
      <c r="Z19" s="73">
        <v>97.0</v>
      </c>
      <c r="AA19" s="73">
        <v>107.0</v>
      </c>
      <c r="AB19" s="73">
        <v>106.0</v>
      </c>
      <c r="AC19" s="73">
        <v>105.0</v>
      </c>
      <c r="AD19" s="13">
        <f t="shared" ref="AD19:AD30" si="3">SUM(E19:AC19)</f>
        <v>2406</v>
      </c>
    </row>
    <row r="20" ht="12.75" customHeight="1">
      <c r="A20" s="33"/>
      <c r="B20" s="27"/>
      <c r="C20" s="34"/>
      <c r="D20" s="19" t="s">
        <v>12</v>
      </c>
      <c r="E20" s="73">
        <v>104.0</v>
      </c>
      <c r="F20" s="73">
        <v>119.0</v>
      </c>
      <c r="G20" s="73">
        <v>119.0</v>
      </c>
      <c r="H20" s="73">
        <v>94.0</v>
      </c>
      <c r="I20" s="73">
        <v>111.0</v>
      </c>
      <c r="J20" s="73">
        <v>101.0</v>
      </c>
      <c r="K20" s="73">
        <v>92.0</v>
      </c>
      <c r="L20" s="73">
        <v>98.0</v>
      </c>
      <c r="M20" s="73">
        <v>115.0</v>
      </c>
      <c r="N20" s="73">
        <v>102.0</v>
      </c>
      <c r="O20" s="73">
        <v>108.0</v>
      </c>
      <c r="P20" s="73">
        <v>118.0</v>
      </c>
      <c r="Q20" s="73">
        <v>123.0</v>
      </c>
      <c r="R20" s="73">
        <v>100.0</v>
      </c>
      <c r="S20" s="73">
        <v>106.0</v>
      </c>
      <c r="T20" s="73">
        <v>104.0</v>
      </c>
      <c r="U20" s="73">
        <v>110.0</v>
      </c>
      <c r="V20" s="73">
        <v>90.0</v>
      </c>
      <c r="W20" s="73">
        <v>114.0</v>
      </c>
      <c r="X20" s="73">
        <v>108.0</v>
      </c>
      <c r="Y20" s="73">
        <v>101.0</v>
      </c>
      <c r="Z20" s="73">
        <v>112.0</v>
      </c>
      <c r="AA20" s="73">
        <v>114.0</v>
      </c>
      <c r="AB20" s="73">
        <v>106.0</v>
      </c>
      <c r="AC20" s="73">
        <v>99.0</v>
      </c>
      <c r="AD20" s="13">
        <f t="shared" si="3"/>
        <v>2668</v>
      </c>
    </row>
    <row r="21" ht="12.75" customHeight="1">
      <c r="A21" s="35"/>
      <c r="B21" s="28"/>
      <c r="C21" s="36"/>
      <c r="D21" s="13" t="s">
        <v>13</v>
      </c>
      <c r="E21" s="13">
        <f t="shared" ref="E21:AC21" si="4">SUM(E19:E20)</f>
        <v>201</v>
      </c>
      <c r="F21" s="13">
        <f t="shared" si="4"/>
        <v>217</v>
      </c>
      <c r="G21" s="13">
        <f t="shared" si="4"/>
        <v>215</v>
      </c>
      <c r="H21" s="13">
        <f t="shared" si="4"/>
        <v>179</v>
      </c>
      <c r="I21" s="13">
        <f t="shared" si="4"/>
        <v>212</v>
      </c>
      <c r="J21" s="13">
        <f t="shared" si="4"/>
        <v>219</v>
      </c>
      <c r="K21" s="13">
        <f t="shared" si="4"/>
        <v>182</v>
      </c>
      <c r="L21" s="13">
        <f t="shared" si="4"/>
        <v>177</v>
      </c>
      <c r="M21" s="13">
        <f t="shared" si="4"/>
        <v>216</v>
      </c>
      <c r="N21" s="13">
        <f t="shared" si="4"/>
        <v>179</v>
      </c>
      <c r="O21" s="13">
        <f t="shared" si="4"/>
        <v>201</v>
      </c>
      <c r="P21" s="13">
        <f t="shared" si="4"/>
        <v>222</v>
      </c>
      <c r="Q21" s="13">
        <f t="shared" si="4"/>
        <v>240</v>
      </c>
      <c r="R21" s="13">
        <f t="shared" si="4"/>
        <v>193</v>
      </c>
      <c r="S21" s="13">
        <f t="shared" si="4"/>
        <v>211</v>
      </c>
      <c r="T21" s="13">
        <f t="shared" si="4"/>
        <v>198</v>
      </c>
      <c r="U21" s="13">
        <f t="shared" si="4"/>
        <v>187</v>
      </c>
      <c r="V21" s="13">
        <f t="shared" si="4"/>
        <v>181</v>
      </c>
      <c r="W21" s="13">
        <f t="shared" si="4"/>
        <v>204</v>
      </c>
      <c r="X21" s="13">
        <f t="shared" si="4"/>
        <v>199</v>
      </c>
      <c r="Y21" s="13">
        <f t="shared" si="4"/>
        <v>195</v>
      </c>
      <c r="Z21" s="13">
        <f t="shared" si="4"/>
        <v>209</v>
      </c>
      <c r="AA21" s="13">
        <f t="shared" si="4"/>
        <v>221</v>
      </c>
      <c r="AB21" s="13">
        <f t="shared" si="4"/>
        <v>212</v>
      </c>
      <c r="AC21" s="13">
        <f t="shared" si="4"/>
        <v>204</v>
      </c>
      <c r="AD21" s="13">
        <f t="shared" si="3"/>
        <v>5074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1.0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1.0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2.0</v>
      </c>
      <c r="AC22" s="73">
        <v>0.0</v>
      </c>
      <c r="AD22" s="13">
        <f t="shared" si="3"/>
        <v>4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1.0</v>
      </c>
      <c r="J23" s="73">
        <v>0.0</v>
      </c>
      <c r="K23" s="73">
        <v>1.0</v>
      </c>
      <c r="L23" s="73">
        <v>0.0</v>
      </c>
      <c r="M23" s="73">
        <v>0.0</v>
      </c>
      <c r="N23" s="73">
        <v>0.0</v>
      </c>
      <c r="O23" s="73">
        <v>1.0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1.0</v>
      </c>
      <c r="AA23" s="73">
        <v>0.0</v>
      </c>
      <c r="AB23" s="73">
        <v>1.0</v>
      </c>
      <c r="AC23" s="73">
        <v>0.0</v>
      </c>
      <c r="AD23" s="13">
        <f t="shared" si="3"/>
        <v>5</v>
      </c>
    </row>
    <row r="24" ht="12.75" customHeight="1">
      <c r="A24" s="35"/>
      <c r="B24" s="28"/>
      <c r="C24" s="36"/>
      <c r="D24" s="13" t="s">
        <v>13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3</v>
      </c>
      <c r="AC24" s="13">
        <f t="shared" si="5"/>
        <v>0</v>
      </c>
      <c r="AD24" s="13">
        <f t="shared" si="3"/>
        <v>9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2.0</v>
      </c>
      <c r="F25" s="73">
        <v>2.0</v>
      </c>
      <c r="G25" s="73">
        <v>0.0</v>
      </c>
      <c r="H25" s="73">
        <v>2.0</v>
      </c>
      <c r="I25" s="73">
        <v>0.0</v>
      </c>
      <c r="J25" s="73">
        <v>0.0</v>
      </c>
      <c r="K25" s="73">
        <v>1.0</v>
      </c>
      <c r="L25" s="73">
        <v>0.0</v>
      </c>
      <c r="M25" s="73">
        <v>0.0</v>
      </c>
      <c r="N25" s="73">
        <v>0.0</v>
      </c>
      <c r="O25" s="73">
        <v>1.0</v>
      </c>
      <c r="P25" s="73">
        <v>0.0</v>
      </c>
      <c r="Q25" s="73">
        <v>0.0</v>
      </c>
      <c r="R25" s="73">
        <v>0.0</v>
      </c>
      <c r="S25" s="73">
        <v>2.0</v>
      </c>
      <c r="T25" s="73">
        <v>0.0</v>
      </c>
      <c r="U25" s="73">
        <v>0.0</v>
      </c>
      <c r="V25" s="73">
        <v>0.0</v>
      </c>
      <c r="W25" s="73">
        <v>3.0</v>
      </c>
      <c r="X25" s="73">
        <v>2.0</v>
      </c>
      <c r="Y25" s="73">
        <v>1.0</v>
      </c>
      <c r="Z25" s="73">
        <v>4.0</v>
      </c>
      <c r="AA25" s="73">
        <v>2.0</v>
      </c>
      <c r="AB25" s="73">
        <v>2.0</v>
      </c>
      <c r="AC25" s="73">
        <v>0.0</v>
      </c>
      <c r="AD25" s="13">
        <f t="shared" si="3"/>
        <v>24</v>
      </c>
    </row>
    <row r="26" ht="12.75" customHeight="1">
      <c r="A26" s="33"/>
      <c r="B26" s="27"/>
      <c r="C26" s="34"/>
      <c r="D26" s="19" t="s">
        <v>12</v>
      </c>
      <c r="E26" s="73">
        <v>3.0</v>
      </c>
      <c r="F26" s="73">
        <v>1.0</v>
      </c>
      <c r="G26" s="73">
        <v>0.0</v>
      </c>
      <c r="H26" s="73">
        <v>3.0</v>
      </c>
      <c r="I26" s="73">
        <v>2.0</v>
      </c>
      <c r="J26" s="73">
        <v>0.0</v>
      </c>
      <c r="K26" s="73">
        <v>2.0</v>
      </c>
      <c r="L26" s="73">
        <v>1.0</v>
      </c>
      <c r="M26" s="73">
        <v>3.0</v>
      </c>
      <c r="N26" s="73">
        <v>0.0</v>
      </c>
      <c r="O26" s="73">
        <v>1.0</v>
      </c>
      <c r="P26" s="73">
        <v>0.0</v>
      </c>
      <c r="Q26" s="73">
        <v>0.0</v>
      </c>
      <c r="R26" s="73">
        <v>3.0</v>
      </c>
      <c r="S26" s="73">
        <v>2.0</v>
      </c>
      <c r="T26" s="73">
        <v>3.0</v>
      </c>
      <c r="U26" s="73">
        <v>2.0</v>
      </c>
      <c r="V26" s="73">
        <v>0.0</v>
      </c>
      <c r="W26" s="73">
        <v>1.0</v>
      </c>
      <c r="X26" s="73">
        <v>1.0</v>
      </c>
      <c r="Y26" s="73">
        <v>0.0</v>
      </c>
      <c r="Z26" s="73">
        <v>1.0</v>
      </c>
      <c r="AA26" s="73">
        <v>4.0</v>
      </c>
      <c r="AB26" s="73">
        <v>3.0</v>
      </c>
      <c r="AC26" s="73">
        <v>3.0</v>
      </c>
      <c r="AD26" s="13">
        <f t="shared" si="3"/>
        <v>39</v>
      </c>
    </row>
    <row r="27" ht="12.75" customHeight="1">
      <c r="A27" s="35"/>
      <c r="B27" s="28"/>
      <c r="C27" s="36"/>
      <c r="D27" s="13" t="s">
        <v>13</v>
      </c>
      <c r="E27" s="13">
        <f t="shared" ref="E27:AC27" si="6">SUM(E25:E26)</f>
        <v>5</v>
      </c>
      <c r="F27" s="13">
        <f t="shared" si="6"/>
        <v>3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3</v>
      </c>
      <c r="L27" s="13">
        <f t="shared" si="6"/>
        <v>1</v>
      </c>
      <c r="M27" s="13">
        <f t="shared" si="6"/>
        <v>3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0</v>
      </c>
      <c r="R27" s="13">
        <f t="shared" si="6"/>
        <v>3</v>
      </c>
      <c r="S27" s="13">
        <f t="shared" si="6"/>
        <v>4</v>
      </c>
      <c r="T27" s="13">
        <f t="shared" si="6"/>
        <v>3</v>
      </c>
      <c r="U27" s="13">
        <f t="shared" si="6"/>
        <v>2</v>
      </c>
      <c r="V27" s="13">
        <f t="shared" si="6"/>
        <v>0</v>
      </c>
      <c r="W27" s="13">
        <f t="shared" si="6"/>
        <v>4</v>
      </c>
      <c r="X27" s="13">
        <f t="shared" si="6"/>
        <v>3</v>
      </c>
      <c r="Y27" s="13">
        <f t="shared" si="6"/>
        <v>1</v>
      </c>
      <c r="Z27" s="13">
        <f t="shared" si="6"/>
        <v>5</v>
      </c>
      <c r="AA27" s="13">
        <f t="shared" si="6"/>
        <v>6</v>
      </c>
      <c r="AB27" s="13">
        <f t="shared" si="6"/>
        <v>5</v>
      </c>
      <c r="AC27" s="13">
        <f t="shared" si="6"/>
        <v>3</v>
      </c>
      <c r="AD27" s="13">
        <f t="shared" si="3"/>
        <v>63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C28" si="7">SUM(E19,E22,E25)</f>
        <v>99</v>
      </c>
      <c r="F28" s="13">
        <f t="shared" si="7"/>
        <v>100</v>
      </c>
      <c r="G28" s="13">
        <f t="shared" si="7"/>
        <v>96</v>
      </c>
      <c r="H28" s="13">
        <f t="shared" si="7"/>
        <v>87</v>
      </c>
      <c r="I28" s="13">
        <f t="shared" si="7"/>
        <v>102</v>
      </c>
      <c r="J28" s="13">
        <f t="shared" si="7"/>
        <v>118</v>
      </c>
      <c r="K28" s="13">
        <f t="shared" si="7"/>
        <v>91</v>
      </c>
      <c r="L28" s="13">
        <f t="shared" si="7"/>
        <v>79</v>
      </c>
      <c r="M28" s="13">
        <f t="shared" si="7"/>
        <v>101</v>
      </c>
      <c r="N28" s="13">
        <f t="shared" si="7"/>
        <v>77</v>
      </c>
      <c r="O28" s="13">
        <f t="shared" si="7"/>
        <v>94</v>
      </c>
      <c r="P28" s="13">
        <f t="shared" si="7"/>
        <v>104</v>
      </c>
      <c r="Q28" s="13">
        <f t="shared" si="7"/>
        <v>117</v>
      </c>
      <c r="R28" s="13">
        <f t="shared" si="7"/>
        <v>93</v>
      </c>
      <c r="S28" s="13">
        <f t="shared" si="7"/>
        <v>107</v>
      </c>
      <c r="T28" s="13">
        <f t="shared" si="7"/>
        <v>95</v>
      </c>
      <c r="U28" s="13">
        <f t="shared" si="7"/>
        <v>77</v>
      </c>
      <c r="V28" s="13">
        <f t="shared" si="7"/>
        <v>91</v>
      </c>
      <c r="W28" s="13">
        <f t="shared" si="7"/>
        <v>93</v>
      </c>
      <c r="X28" s="13">
        <f t="shared" si="7"/>
        <v>93</v>
      </c>
      <c r="Y28" s="13">
        <f t="shared" si="7"/>
        <v>95</v>
      </c>
      <c r="Z28" s="13">
        <f t="shared" si="7"/>
        <v>101</v>
      </c>
      <c r="AA28" s="13">
        <f t="shared" si="7"/>
        <v>109</v>
      </c>
      <c r="AB28" s="13">
        <f t="shared" si="7"/>
        <v>110</v>
      </c>
      <c r="AC28" s="13">
        <f t="shared" si="7"/>
        <v>105</v>
      </c>
      <c r="AD28" s="13">
        <f t="shared" si="3"/>
        <v>2434</v>
      </c>
    </row>
    <row r="29" ht="12.75" customHeight="1">
      <c r="A29" s="35"/>
      <c r="B29" s="27"/>
      <c r="C29" s="34"/>
      <c r="D29" s="13" t="s">
        <v>12</v>
      </c>
      <c r="E29" s="13">
        <f t="shared" ref="E29:AC29" si="8">SUM(E20,E23,E26)</f>
        <v>107</v>
      </c>
      <c r="F29" s="13">
        <f t="shared" si="8"/>
        <v>120</v>
      </c>
      <c r="G29" s="13">
        <f t="shared" si="8"/>
        <v>119</v>
      </c>
      <c r="H29" s="13">
        <f t="shared" si="8"/>
        <v>97</v>
      </c>
      <c r="I29" s="13">
        <f t="shared" si="8"/>
        <v>114</v>
      </c>
      <c r="J29" s="13">
        <f t="shared" si="8"/>
        <v>101</v>
      </c>
      <c r="K29" s="13">
        <f t="shared" si="8"/>
        <v>95</v>
      </c>
      <c r="L29" s="13">
        <f t="shared" si="8"/>
        <v>99</v>
      </c>
      <c r="M29" s="13">
        <f t="shared" si="8"/>
        <v>118</v>
      </c>
      <c r="N29" s="13">
        <f t="shared" si="8"/>
        <v>102</v>
      </c>
      <c r="O29" s="13">
        <f t="shared" si="8"/>
        <v>110</v>
      </c>
      <c r="P29" s="13">
        <f t="shared" si="8"/>
        <v>118</v>
      </c>
      <c r="Q29" s="13">
        <f t="shared" si="8"/>
        <v>123</v>
      </c>
      <c r="R29" s="13">
        <f t="shared" si="8"/>
        <v>103</v>
      </c>
      <c r="S29" s="13">
        <f t="shared" si="8"/>
        <v>108</v>
      </c>
      <c r="T29" s="13">
        <f t="shared" si="8"/>
        <v>107</v>
      </c>
      <c r="U29" s="13">
        <f t="shared" si="8"/>
        <v>112</v>
      </c>
      <c r="V29" s="13">
        <f t="shared" si="8"/>
        <v>90</v>
      </c>
      <c r="W29" s="13">
        <f t="shared" si="8"/>
        <v>115</v>
      </c>
      <c r="X29" s="13">
        <f t="shared" si="8"/>
        <v>109</v>
      </c>
      <c r="Y29" s="13">
        <f t="shared" si="8"/>
        <v>101</v>
      </c>
      <c r="Z29" s="13">
        <f t="shared" si="8"/>
        <v>114</v>
      </c>
      <c r="AA29" s="13">
        <f t="shared" si="8"/>
        <v>118</v>
      </c>
      <c r="AB29" s="13">
        <f t="shared" si="8"/>
        <v>110</v>
      </c>
      <c r="AC29" s="13">
        <f t="shared" si="8"/>
        <v>102</v>
      </c>
      <c r="AD29" s="13">
        <f t="shared" si="3"/>
        <v>2712</v>
      </c>
    </row>
    <row r="30" ht="12.75" customHeight="1">
      <c r="A30" s="35"/>
      <c r="B30" s="28"/>
      <c r="C30" s="36"/>
      <c r="D30" s="13" t="s">
        <v>13</v>
      </c>
      <c r="E30" s="13">
        <f t="shared" ref="E30:AC30" si="9">SUM(E28:E29)</f>
        <v>206</v>
      </c>
      <c r="F30" s="13">
        <f t="shared" si="9"/>
        <v>220</v>
      </c>
      <c r="G30" s="13">
        <f t="shared" si="9"/>
        <v>215</v>
      </c>
      <c r="H30" s="13">
        <f t="shared" si="9"/>
        <v>184</v>
      </c>
      <c r="I30" s="13">
        <f t="shared" si="9"/>
        <v>216</v>
      </c>
      <c r="J30" s="13">
        <f t="shared" si="9"/>
        <v>219</v>
      </c>
      <c r="K30" s="13">
        <f t="shared" si="9"/>
        <v>186</v>
      </c>
      <c r="L30" s="13">
        <f t="shared" si="9"/>
        <v>178</v>
      </c>
      <c r="M30" s="13">
        <f t="shared" si="9"/>
        <v>219</v>
      </c>
      <c r="N30" s="13">
        <f t="shared" si="9"/>
        <v>179</v>
      </c>
      <c r="O30" s="13">
        <f t="shared" si="9"/>
        <v>204</v>
      </c>
      <c r="P30" s="13">
        <f t="shared" si="9"/>
        <v>222</v>
      </c>
      <c r="Q30" s="13">
        <f t="shared" si="9"/>
        <v>240</v>
      </c>
      <c r="R30" s="13">
        <f t="shared" si="9"/>
        <v>196</v>
      </c>
      <c r="S30" s="13">
        <f t="shared" si="9"/>
        <v>215</v>
      </c>
      <c r="T30" s="13">
        <f t="shared" si="9"/>
        <v>202</v>
      </c>
      <c r="U30" s="13">
        <f t="shared" si="9"/>
        <v>189</v>
      </c>
      <c r="V30" s="13">
        <f t="shared" si="9"/>
        <v>181</v>
      </c>
      <c r="W30" s="13">
        <f t="shared" si="9"/>
        <v>208</v>
      </c>
      <c r="X30" s="13">
        <f t="shared" si="9"/>
        <v>202</v>
      </c>
      <c r="Y30" s="13">
        <f t="shared" si="9"/>
        <v>196</v>
      </c>
      <c r="Z30" s="13">
        <f t="shared" si="9"/>
        <v>215</v>
      </c>
      <c r="AA30" s="13">
        <f t="shared" si="9"/>
        <v>227</v>
      </c>
      <c r="AB30" s="13">
        <f t="shared" si="9"/>
        <v>220</v>
      </c>
      <c r="AC30" s="13">
        <f t="shared" si="9"/>
        <v>207</v>
      </c>
      <c r="AD30" s="13">
        <f t="shared" si="3"/>
        <v>5146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5"/>
    </row>
    <row r="33" ht="12.75" customHeight="1">
      <c r="A33" s="19">
        <v>1.0</v>
      </c>
      <c r="B33" s="20" t="s">
        <v>26</v>
      </c>
      <c r="C33" s="15"/>
      <c r="D33" s="16"/>
      <c r="E33" s="73">
        <v>278.0</v>
      </c>
      <c r="F33" s="73">
        <v>290.0</v>
      </c>
      <c r="G33" s="73">
        <v>290.0</v>
      </c>
      <c r="H33" s="73">
        <v>252.0</v>
      </c>
      <c r="I33" s="73">
        <v>267.0</v>
      </c>
      <c r="J33" s="73">
        <v>278.0</v>
      </c>
      <c r="K33" s="73">
        <v>253.0</v>
      </c>
      <c r="L33" s="73">
        <v>235.0</v>
      </c>
      <c r="M33" s="73">
        <v>268.0</v>
      </c>
      <c r="N33" s="73">
        <v>246.0</v>
      </c>
      <c r="O33" s="73">
        <v>286.0</v>
      </c>
      <c r="P33" s="73">
        <v>287.0</v>
      </c>
      <c r="Q33" s="73">
        <v>287.0</v>
      </c>
      <c r="R33" s="73">
        <v>267.0</v>
      </c>
      <c r="S33" s="73">
        <v>271.0</v>
      </c>
      <c r="T33" s="73">
        <v>260.0</v>
      </c>
      <c r="U33" s="73">
        <v>244.0</v>
      </c>
      <c r="V33" s="73">
        <v>236.0</v>
      </c>
      <c r="W33" s="73">
        <v>257.0</v>
      </c>
      <c r="X33" s="73">
        <v>251.0</v>
      </c>
      <c r="Y33" s="73">
        <v>261.0</v>
      </c>
      <c r="Z33" s="73">
        <v>263.0</v>
      </c>
      <c r="AA33" s="73">
        <v>286.0</v>
      </c>
      <c r="AB33" s="73">
        <v>265.0</v>
      </c>
      <c r="AC33" s="73">
        <v>276.0</v>
      </c>
      <c r="AD33" s="13">
        <f t="shared" ref="AD33:AD36" si="10">SUM(E33:AC33)</f>
        <v>6654</v>
      </c>
    </row>
    <row r="34" ht="12.75" customHeight="1">
      <c r="A34" s="19">
        <v>2.0</v>
      </c>
      <c r="B34" s="20" t="s">
        <v>27</v>
      </c>
      <c r="C34" s="15"/>
      <c r="D34" s="16"/>
      <c r="E34" s="77">
        <v>206.0</v>
      </c>
      <c r="F34" s="77">
        <v>220.0</v>
      </c>
      <c r="G34" s="77">
        <v>215.0</v>
      </c>
      <c r="H34" s="77">
        <v>184.0</v>
      </c>
      <c r="I34" s="77">
        <v>216.0</v>
      </c>
      <c r="J34" s="77">
        <v>219.0</v>
      </c>
      <c r="K34" s="77">
        <v>186.0</v>
      </c>
      <c r="L34" s="77">
        <v>178.0</v>
      </c>
      <c r="M34" s="77">
        <v>219.0</v>
      </c>
      <c r="N34" s="77">
        <v>179.0</v>
      </c>
      <c r="O34" s="77">
        <v>204.0</v>
      </c>
      <c r="P34" s="77">
        <v>222.0</v>
      </c>
      <c r="Q34" s="77">
        <v>240.0</v>
      </c>
      <c r="R34" s="77">
        <v>196.0</v>
      </c>
      <c r="S34" s="77">
        <v>215.0</v>
      </c>
      <c r="T34" s="77">
        <v>202.0</v>
      </c>
      <c r="U34" s="77">
        <v>189.0</v>
      </c>
      <c r="V34" s="77">
        <v>181.0</v>
      </c>
      <c r="W34" s="77">
        <v>208.0</v>
      </c>
      <c r="X34" s="77">
        <v>202.0</v>
      </c>
      <c r="Y34" s="77">
        <v>196.0</v>
      </c>
      <c r="Z34" s="77">
        <v>215.0</v>
      </c>
      <c r="AA34" s="77">
        <v>227.0</v>
      </c>
      <c r="AB34" s="77">
        <v>220.0</v>
      </c>
      <c r="AC34" s="77">
        <v>207.0</v>
      </c>
      <c r="AD34" s="13">
        <f t="shared" si="10"/>
        <v>5146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2.0</v>
      </c>
      <c r="P35" s="73">
        <v>1.0</v>
      </c>
      <c r="Q35" s="73">
        <v>0.0</v>
      </c>
      <c r="R35" s="73">
        <v>0.0</v>
      </c>
      <c r="S35" s="73">
        <v>0.0</v>
      </c>
      <c r="T35" s="73">
        <v>1.0</v>
      </c>
      <c r="U35" s="73">
        <v>1.0</v>
      </c>
      <c r="V35" s="73">
        <v>0.0</v>
      </c>
      <c r="W35" s="73">
        <v>0.0</v>
      </c>
      <c r="X35" s="73">
        <v>0.0</v>
      </c>
      <c r="Y35" s="73">
        <v>0.0</v>
      </c>
      <c r="Z35" s="73">
        <v>1.0</v>
      </c>
      <c r="AA35" s="73">
        <v>1.0</v>
      </c>
      <c r="AB35" s="73">
        <v>0.0</v>
      </c>
      <c r="AC35" s="73">
        <v>0.0</v>
      </c>
      <c r="AD35" s="13">
        <f t="shared" si="10"/>
        <v>7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C36" si="11">E33-(E34+E35)</f>
        <v>72</v>
      </c>
      <c r="F36" s="13">
        <f t="shared" si="11"/>
        <v>70</v>
      </c>
      <c r="G36" s="13">
        <f t="shared" si="11"/>
        <v>75</v>
      </c>
      <c r="H36" s="13">
        <f t="shared" si="11"/>
        <v>68</v>
      </c>
      <c r="I36" s="13">
        <f t="shared" si="11"/>
        <v>51</v>
      </c>
      <c r="J36" s="13">
        <f t="shared" si="11"/>
        <v>59</v>
      </c>
      <c r="K36" s="13">
        <f t="shared" si="11"/>
        <v>67</v>
      </c>
      <c r="L36" s="13">
        <f t="shared" si="11"/>
        <v>57</v>
      </c>
      <c r="M36" s="13">
        <f t="shared" si="11"/>
        <v>49</v>
      </c>
      <c r="N36" s="13">
        <f t="shared" si="11"/>
        <v>67</v>
      </c>
      <c r="O36" s="13">
        <f t="shared" si="11"/>
        <v>80</v>
      </c>
      <c r="P36" s="13">
        <f t="shared" si="11"/>
        <v>64</v>
      </c>
      <c r="Q36" s="13">
        <f t="shared" si="11"/>
        <v>47</v>
      </c>
      <c r="R36" s="13">
        <f t="shared" si="11"/>
        <v>71</v>
      </c>
      <c r="S36" s="13">
        <f t="shared" si="11"/>
        <v>56</v>
      </c>
      <c r="T36" s="13">
        <f t="shared" si="11"/>
        <v>57</v>
      </c>
      <c r="U36" s="13">
        <f t="shared" si="11"/>
        <v>54</v>
      </c>
      <c r="V36" s="13">
        <f t="shared" si="11"/>
        <v>55</v>
      </c>
      <c r="W36" s="13">
        <f t="shared" si="11"/>
        <v>49</v>
      </c>
      <c r="X36" s="13">
        <f t="shared" si="11"/>
        <v>49</v>
      </c>
      <c r="Y36" s="13">
        <f t="shared" si="11"/>
        <v>65</v>
      </c>
      <c r="Z36" s="13">
        <f t="shared" si="11"/>
        <v>47</v>
      </c>
      <c r="AA36" s="13">
        <f t="shared" si="11"/>
        <v>58</v>
      </c>
      <c r="AB36" s="13">
        <f t="shared" si="11"/>
        <v>45</v>
      </c>
      <c r="AC36" s="13">
        <f t="shared" si="11"/>
        <v>69</v>
      </c>
      <c r="AD36" s="13">
        <f t="shared" si="10"/>
        <v>1501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5"/>
    </row>
    <row r="39" ht="12.75" customHeight="1">
      <c r="A39" s="30"/>
      <c r="B39" s="43" t="s">
        <v>32</v>
      </c>
      <c r="C39" s="23"/>
      <c r="D39" s="19" t="s">
        <v>11</v>
      </c>
      <c r="E39" s="73">
        <v>1.0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1.0</v>
      </c>
      <c r="O39" s="73">
        <v>0.0</v>
      </c>
      <c r="P39" s="73">
        <v>0.0</v>
      </c>
      <c r="Q39" s="73">
        <v>0.0</v>
      </c>
      <c r="R39" s="73">
        <v>2.0</v>
      </c>
      <c r="S39" s="73">
        <v>0.0</v>
      </c>
      <c r="T39" s="73">
        <v>1.0</v>
      </c>
      <c r="U39" s="73">
        <v>0.0</v>
      </c>
      <c r="V39" s="73">
        <v>0.0</v>
      </c>
      <c r="W39" s="73">
        <v>0.0</v>
      </c>
      <c r="X39" s="73">
        <v>0.0</v>
      </c>
      <c r="Y39" s="73">
        <v>1.0</v>
      </c>
      <c r="Z39" s="73">
        <v>0.0</v>
      </c>
      <c r="AA39" s="73">
        <v>2.0</v>
      </c>
      <c r="AB39" s="73">
        <v>2.0</v>
      </c>
      <c r="AC39" s="73">
        <v>0.0</v>
      </c>
      <c r="AD39" s="13">
        <f t="shared" ref="AD39:AD41" si="12">SUM(E39:AC39)</f>
        <v>10</v>
      </c>
    </row>
    <row r="40" ht="12.75" customHeight="1">
      <c r="A40" s="33"/>
      <c r="C40" s="27"/>
      <c r="D40" s="19" t="s">
        <v>12</v>
      </c>
      <c r="E40" s="73">
        <v>1.0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1.0</v>
      </c>
      <c r="L40" s="73">
        <v>2.0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2.0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1.0</v>
      </c>
      <c r="AB40" s="73">
        <v>1.0</v>
      </c>
      <c r="AC40" s="73">
        <v>0.0</v>
      </c>
      <c r="AD40" s="13">
        <f t="shared" si="12"/>
        <v>8</v>
      </c>
    </row>
    <row r="41" ht="12.75" customHeight="1">
      <c r="A41" s="41"/>
      <c r="B41" s="44"/>
      <c r="C41" s="28"/>
      <c r="D41" s="13" t="s">
        <v>13</v>
      </c>
      <c r="E41" s="13">
        <f t="shared" ref="E41:AC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2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4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3</v>
      </c>
      <c r="AB41" s="13">
        <f t="shared" si="13"/>
        <v>3</v>
      </c>
      <c r="AC41" s="13">
        <f t="shared" si="13"/>
        <v>0</v>
      </c>
      <c r="AD41" s="13">
        <f t="shared" si="12"/>
        <v>18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9"/>
      <c r="X42" s="74"/>
      <c r="Y42" s="19"/>
      <c r="Z42" s="74"/>
      <c r="AA42" s="19"/>
      <c r="AB42" s="74"/>
      <c r="AC42" s="19"/>
      <c r="AD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  <c r="X43" s="76"/>
      <c r="Y43" s="13"/>
      <c r="Z43" s="76"/>
      <c r="AA43" s="13"/>
      <c r="AB43" s="76"/>
      <c r="AC43" s="13"/>
      <c r="AD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9"/>
      <c r="X44" s="74"/>
      <c r="Y44" s="19"/>
      <c r="Z44" s="74"/>
      <c r="AA44" s="19"/>
      <c r="AB44" s="74"/>
      <c r="AC44" s="19"/>
      <c r="AD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7.0</v>
      </c>
      <c r="F45" s="73">
        <v>7.0</v>
      </c>
      <c r="G45" s="73">
        <v>4.0</v>
      </c>
      <c r="H45" s="73">
        <v>1.0</v>
      </c>
      <c r="I45" s="73">
        <v>5.0</v>
      </c>
      <c r="J45" s="73">
        <v>0.0</v>
      </c>
      <c r="K45" s="73">
        <v>5.0</v>
      </c>
      <c r="L45" s="73">
        <v>5.0</v>
      </c>
      <c r="M45" s="73">
        <v>5.0</v>
      </c>
      <c r="N45" s="73">
        <v>5.0</v>
      </c>
      <c r="O45" s="73">
        <v>2.0</v>
      </c>
      <c r="P45" s="73">
        <v>5.0</v>
      </c>
      <c r="Q45" s="73">
        <v>4.0</v>
      </c>
      <c r="R45" s="73">
        <v>5.0</v>
      </c>
      <c r="S45" s="73">
        <v>5.0</v>
      </c>
      <c r="T45" s="73">
        <v>2.0</v>
      </c>
      <c r="U45" s="73">
        <v>1.0</v>
      </c>
      <c r="V45" s="73">
        <v>7.0</v>
      </c>
      <c r="W45" s="73">
        <v>5.0</v>
      </c>
      <c r="X45" s="73">
        <v>3.0</v>
      </c>
      <c r="Y45" s="73">
        <v>3.0</v>
      </c>
      <c r="Z45" s="73">
        <v>7.0</v>
      </c>
      <c r="AA45" s="73">
        <v>9.0</v>
      </c>
      <c r="AB45" s="73">
        <v>19.0</v>
      </c>
      <c r="AC45" s="73">
        <v>7.0</v>
      </c>
      <c r="AD45" s="13">
        <f t="shared" ref="AD45:AD54" si="14">SUM(E45:AC45)</f>
        <v>128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16.0</v>
      </c>
      <c r="F46" s="73">
        <v>15.0</v>
      </c>
      <c r="G46" s="73">
        <v>30.0</v>
      </c>
      <c r="H46" s="73">
        <v>6.0</v>
      </c>
      <c r="I46" s="73">
        <v>5.0</v>
      </c>
      <c r="J46" s="73">
        <v>7.0</v>
      </c>
      <c r="K46" s="73">
        <v>14.0</v>
      </c>
      <c r="L46" s="73">
        <v>15.0</v>
      </c>
      <c r="M46" s="73">
        <v>12.0</v>
      </c>
      <c r="N46" s="73">
        <v>3.0</v>
      </c>
      <c r="O46" s="73">
        <v>1.0</v>
      </c>
      <c r="P46" s="73">
        <v>2.0</v>
      </c>
      <c r="Q46" s="73">
        <v>2.0</v>
      </c>
      <c r="R46" s="73">
        <v>8.0</v>
      </c>
      <c r="S46" s="73">
        <v>3.0</v>
      </c>
      <c r="T46" s="73">
        <v>0.0</v>
      </c>
      <c r="U46" s="73">
        <v>1.0</v>
      </c>
      <c r="V46" s="73">
        <v>4.0</v>
      </c>
      <c r="W46" s="73">
        <v>8.0</v>
      </c>
      <c r="X46" s="73">
        <v>7.0</v>
      </c>
      <c r="Y46" s="73">
        <v>3.0</v>
      </c>
      <c r="Z46" s="73">
        <v>23.0</v>
      </c>
      <c r="AA46" s="73">
        <v>14.0</v>
      </c>
      <c r="AB46" s="73">
        <v>16.0</v>
      </c>
      <c r="AC46" s="73">
        <v>11.0</v>
      </c>
      <c r="AD46" s="13">
        <f t="shared" si="14"/>
        <v>226</v>
      </c>
    </row>
    <row r="47" ht="12.75" customHeight="1">
      <c r="A47" s="18"/>
      <c r="B47" s="49"/>
      <c r="C47" s="50" t="s">
        <v>40</v>
      </c>
      <c r="D47" s="51"/>
      <c r="E47" s="73">
        <v>2.0</v>
      </c>
      <c r="F47" s="73">
        <v>2.0</v>
      </c>
      <c r="G47" s="73">
        <v>1.0</v>
      </c>
      <c r="H47" s="73">
        <v>0.0</v>
      </c>
      <c r="I47" s="73">
        <v>0.0</v>
      </c>
      <c r="J47" s="73">
        <v>0.0</v>
      </c>
      <c r="K47" s="73">
        <v>0.0</v>
      </c>
      <c r="L47" s="73">
        <v>2.0</v>
      </c>
      <c r="M47" s="73">
        <v>1.0</v>
      </c>
      <c r="N47" s="73">
        <v>1.0</v>
      </c>
      <c r="O47" s="73">
        <v>0.0</v>
      </c>
      <c r="P47" s="73">
        <v>0.0</v>
      </c>
      <c r="Q47" s="73">
        <v>3.0</v>
      </c>
      <c r="R47" s="73">
        <v>2.0</v>
      </c>
      <c r="S47" s="73">
        <v>3.0</v>
      </c>
      <c r="T47" s="73">
        <v>0.0</v>
      </c>
      <c r="U47" s="73">
        <v>1.0</v>
      </c>
      <c r="V47" s="73">
        <v>2.0</v>
      </c>
      <c r="W47" s="73">
        <v>1.0</v>
      </c>
      <c r="X47" s="73">
        <v>0.0</v>
      </c>
      <c r="Y47" s="73">
        <v>1.0</v>
      </c>
      <c r="Z47" s="73">
        <v>2.0</v>
      </c>
      <c r="AA47" s="73">
        <v>1.0</v>
      </c>
      <c r="AB47" s="73">
        <v>1.0</v>
      </c>
      <c r="AC47" s="73">
        <v>2.0</v>
      </c>
      <c r="AD47" s="13">
        <f t="shared" si="14"/>
        <v>28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1.0</v>
      </c>
      <c r="G48" s="73">
        <v>0.0</v>
      </c>
      <c r="H48" s="73">
        <v>1.0</v>
      </c>
      <c r="I48" s="73">
        <v>0.0</v>
      </c>
      <c r="J48" s="73">
        <v>0.0</v>
      </c>
      <c r="K48" s="73">
        <v>1.0</v>
      </c>
      <c r="L48" s="73">
        <v>0.0</v>
      </c>
      <c r="M48" s="73">
        <v>1.0</v>
      </c>
      <c r="N48" s="73">
        <v>0.0</v>
      </c>
      <c r="O48" s="73">
        <v>0.0</v>
      </c>
      <c r="P48" s="73">
        <v>0.0</v>
      </c>
      <c r="Q48" s="73">
        <v>0.0</v>
      </c>
      <c r="R48" s="73">
        <v>0.0</v>
      </c>
      <c r="S48" s="73">
        <v>0.0</v>
      </c>
      <c r="T48" s="73">
        <v>0.0</v>
      </c>
      <c r="U48" s="73">
        <v>0.0</v>
      </c>
      <c r="V48" s="73">
        <v>1.0</v>
      </c>
      <c r="W48" s="73">
        <v>1.0</v>
      </c>
      <c r="X48" s="73">
        <v>3.0</v>
      </c>
      <c r="Y48" s="73">
        <v>0.0</v>
      </c>
      <c r="Z48" s="73">
        <v>1.0</v>
      </c>
      <c r="AA48" s="73">
        <v>0.0</v>
      </c>
      <c r="AB48" s="73">
        <v>0.0</v>
      </c>
      <c r="AC48" s="73">
        <v>0.0</v>
      </c>
      <c r="AD48" s="13">
        <f t="shared" si="14"/>
        <v>10</v>
      </c>
    </row>
    <row r="49" ht="12.75" customHeight="1">
      <c r="A49" s="18"/>
      <c r="B49" s="49"/>
      <c r="C49" s="50" t="s">
        <v>42</v>
      </c>
      <c r="D49" s="51"/>
      <c r="E49" s="73">
        <v>2.0</v>
      </c>
      <c r="F49" s="73">
        <v>0.0</v>
      </c>
      <c r="G49" s="73">
        <v>2.0</v>
      </c>
      <c r="H49" s="73">
        <v>1.0</v>
      </c>
      <c r="I49" s="73">
        <v>0.0</v>
      </c>
      <c r="J49" s="73">
        <v>2.0</v>
      </c>
      <c r="K49" s="73">
        <v>0.0</v>
      </c>
      <c r="L49" s="73">
        <v>0.0</v>
      </c>
      <c r="M49" s="73">
        <v>3.0</v>
      </c>
      <c r="N49" s="73">
        <v>2.0</v>
      </c>
      <c r="O49" s="73">
        <v>0.0</v>
      </c>
      <c r="P49" s="73">
        <v>1.0</v>
      </c>
      <c r="Q49" s="73">
        <v>1.0</v>
      </c>
      <c r="R49" s="73">
        <v>0.0</v>
      </c>
      <c r="S49" s="73">
        <v>0.0</v>
      </c>
      <c r="T49" s="73">
        <v>1.0</v>
      </c>
      <c r="U49" s="73">
        <v>1.0</v>
      </c>
      <c r="V49" s="73">
        <v>1.0</v>
      </c>
      <c r="W49" s="73">
        <v>0.0</v>
      </c>
      <c r="X49" s="73">
        <v>1.0</v>
      </c>
      <c r="Y49" s="73">
        <v>0.0</v>
      </c>
      <c r="Z49" s="73">
        <v>0.0</v>
      </c>
      <c r="AA49" s="73">
        <v>0.0</v>
      </c>
      <c r="AB49" s="73">
        <v>1.0</v>
      </c>
      <c r="AC49" s="73">
        <v>0.0</v>
      </c>
      <c r="AD49" s="13">
        <f t="shared" si="14"/>
        <v>19</v>
      </c>
    </row>
    <row r="50" ht="12.75" customHeight="1">
      <c r="A50" s="18"/>
      <c r="B50" s="49"/>
      <c r="C50" s="50" t="s">
        <v>43</v>
      </c>
      <c r="D50" s="51"/>
      <c r="E50" s="73">
        <v>1.0</v>
      </c>
      <c r="F50" s="73">
        <v>0.0</v>
      </c>
      <c r="G50" s="73">
        <v>0.0</v>
      </c>
      <c r="H50" s="73">
        <v>0.0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0.0</v>
      </c>
      <c r="Q50" s="73">
        <v>0.0</v>
      </c>
      <c r="R50" s="73">
        <v>0.0</v>
      </c>
      <c r="S50" s="73">
        <v>1.0</v>
      </c>
      <c r="T50" s="73">
        <v>0.0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73">
        <v>1.0</v>
      </c>
      <c r="AA50" s="73">
        <v>0.0</v>
      </c>
      <c r="AB50" s="73">
        <v>1.0</v>
      </c>
      <c r="AC50" s="73">
        <v>1.0</v>
      </c>
      <c r="AD50" s="13">
        <f t="shared" si="14"/>
        <v>5</v>
      </c>
    </row>
    <row r="51" ht="12.75" customHeight="1">
      <c r="A51" s="18"/>
      <c r="B51" s="49"/>
      <c r="C51" s="50" t="s">
        <v>44</v>
      </c>
      <c r="D51" s="51"/>
      <c r="E51" s="73">
        <v>1.0</v>
      </c>
      <c r="F51" s="73">
        <v>2.0</v>
      </c>
      <c r="G51" s="73">
        <v>0.0</v>
      </c>
      <c r="H51" s="73">
        <v>0.0</v>
      </c>
      <c r="I51" s="73">
        <v>0.0</v>
      </c>
      <c r="J51" s="73">
        <v>0.0</v>
      </c>
      <c r="K51" s="73">
        <v>1.0</v>
      </c>
      <c r="L51" s="73">
        <v>1.0</v>
      </c>
      <c r="M51" s="73">
        <v>0.0</v>
      </c>
      <c r="N51" s="73">
        <v>0.0</v>
      </c>
      <c r="O51" s="73">
        <v>0.0</v>
      </c>
      <c r="P51" s="73">
        <v>0.0</v>
      </c>
      <c r="Q51" s="73">
        <v>0.0</v>
      </c>
      <c r="R51" s="73">
        <v>1.0</v>
      </c>
      <c r="S51" s="73">
        <v>0.0</v>
      </c>
      <c r="T51" s="73">
        <v>0.0</v>
      </c>
      <c r="U51" s="73">
        <v>0.0</v>
      </c>
      <c r="V51" s="73">
        <v>0.0</v>
      </c>
      <c r="W51" s="73">
        <v>0.0</v>
      </c>
      <c r="X51" s="73">
        <v>0.0</v>
      </c>
      <c r="Y51" s="73">
        <v>0.0</v>
      </c>
      <c r="Z51" s="73">
        <v>0.0</v>
      </c>
      <c r="AA51" s="73">
        <v>0.0</v>
      </c>
      <c r="AB51" s="73">
        <v>1.0</v>
      </c>
      <c r="AC51" s="73">
        <v>0.0</v>
      </c>
      <c r="AD51" s="13">
        <f t="shared" si="14"/>
        <v>7</v>
      </c>
    </row>
    <row r="52" ht="12.75" customHeight="1">
      <c r="A52" s="79"/>
      <c r="B52" s="49"/>
      <c r="C52" s="50" t="s">
        <v>45</v>
      </c>
      <c r="D52" s="51"/>
      <c r="E52" s="80">
        <v>2.0</v>
      </c>
      <c r="F52" s="80">
        <v>0.0</v>
      </c>
      <c r="G52" s="80">
        <v>0.0</v>
      </c>
      <c r="H52" s="80">
        <v>0.0</v>
      </c>
      <c r="I52" s="80">
        <v>0.0</v>
      </c>
      <c r="J52" s="80">
        <v>0.0</v>
      </c>
      <c r="K52" s="80">
        <v>1.0</v>
      </c>
      <c r="L52" s="80">
        <v>2.0</v>
      </c>
      <c r="M52" s="80">
        <v>0.0</v>
      </c>
      <c r="N52" s="80">
        <v>1.0</v>
      </c>
      <c r="O52" s="80">
        <v>0.0</v>
      </c>
      <c r="P52" s="80">
        <v>0.0</v>
      </c>
      <c r="Q52" s="80">
        <v>0.0</v>
      </c>
      <c r="R52" s="80">
        <v>0.0</v>
      </c>
      <c r="S52" s="80">
        <v>0.0</v>
      </c>
      <c r="T52" s="80">
        <v>0.0</v>
      </c>
      <c r="U52" s="80">
        <v>0.0</v>
      </c>
      <c r="V52" s="80">
        <v>0.0</v>
      </c>
      <c r="W52" s="80">
        <v>0.0</v>
      </c>
      <c r="X52" s="80">
        <v>0.0</v>
      </c>
      <c r="Y52" s="80">
        <v>0.0</v>
      </c>
      <c r="Z52" s="80">
        <v>0.0</v>
      </c>
      <c r="AA52" s="80">
        <v>2.0</v>
      </c>
      <c r="AB52" s="80">
        <v>1.0</v>
      </c>
      <c r="AC52" s="80">
        <v>0.0</v>
      </c>
      <c r="AD52" s="13">
        <f t="shared" si="14"/>
        <v>9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0.0</v>
      </c>
      <c r="N53" s="80">
        <v>0.0</v>
      </c>
      <c r="O53" s="80">
        <v>0.0</v>
      </c>
      <c r="P53" s="80">
        <v>0.0</v>
      </c>
      <c r="Q53" s="80">
        <v>0.0</v>
      </c>
      <c r="R53" s="80">
        <v>0.0</v>
      </c>
      <c r="S53" s="80">
        <v>0.0</v>
      </c>
      <c r="T53" s="80">
        <v>0.0</v>
      </c>
      <c r="U53" s="80">
        <v>0.0</v>
      </c>
      <c r="V53" s="80">
        <v>0.0</v>
      </c>
      <c r="W53" s="80">
        <v>0.0</v>
      </c>
      <c r="X53" s="80">
        <v>0.0</v>
      </c>
      <c r="Y53" s="80">
        <v>1.0</v>
      </c>
      <c r="Z53" s="80">
        <v>0.0</v>
      </c>
      <c r="AA53" s="80">
        <v>0.0</v>
      </c>
      <c r="AB53" s="80">
        <v>0.0</v>
      </c>
      <c r="AC53" s="80">
        <v>0.0</v>
      </c>
      <c r="AD53" s="13">
        <f t="shared" si="14"/>
        <v>1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2.0</v>
      </c>
      <c r="H54" s="80">
        <v>0.0</v>
      </c>
      <c r="I54" s="80">
        <v>0.0</v>
      </c>
      <c r="J54" s="80">
        <v>1.0</v>
      </c>
      <c r="K54" s="80">
        <v>0.0</v>
      </c>
      <c r="L54" s="80">
        <v>0.0</v>
      </c>
      <c r="M54" s="80">
        <v>0.0</v>
      </c>
      <c r="N54" s="80">
        <v>0.0</v>
      </c>
      <c r="O54" s="80">
        <v>0.0</v>
      </c>
      <c r="P54" s="80">
        <v>0.0</v>
      </c>
      <c r="Q54" s="80">
        <v>1.0</v>
      </c>
      <c r="R54" s="80">
        <v>0.0</v>
      </c>
      <c r="S54" s="80">
        <v>0.0</v>
      </c>
      <c r="T54" s="80">
        <v>0.0</v>
      </c>
      <c r="U54" s="80">
        <v>0.0</v>
      </c>
      <c r="V54" s="80">
        <v>0.0</v>
      </c>
      <c r="W54" s="80">
        <v>0.0</v>
      </c>
      <c r="X54" s="80">
        <v>0.0</v>
      </c>
      <c r="Y54" s="80">
        <v>0.0</v>
      </c>
      <c r="Z54" s="80">
        <v>0.0</v>
      </c>
      <c r="AA54" s="80">
        <v>0.0</v>
      </c>
      <c r="AB54" s="80">
        <v>0.0</v>
      </c>
      <c r="AC54" s="80">
        <v>0.0</v>
      </c>
      <c r="AD54" s="13">
        <f t="shared" si="14"/>
        <v>4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AD55" si="15">SUM(E45:E54)</f>
        <v>31</v>
      </c>
      <c r="F55" s="13">
        <f t="shared" si="15"/>
        <v>27</v>
      </c>
      <c r="G55" s="13">
        <f t="shared" si="15"/>
        <v>39</v>
      </c>
      <c r="H55" s="13">
        <f t="shared" si="15"/>
        <v>9</v>
      </c>
      <c r="I55" s="13">
        <f t="shared" si="15"/>
        <v>10</v>
      </c>
      <c r="J55" s="13">
        <f t="shared" si="15"/>
        <v>10</v>
      </c>
      <c r="K55" s="13">
        <f t="shared" si="15"/>
        <v>22</v>
      </c>
      <c r="L55" s="13">
        <f t="shared" si="15"/>
        <v>25</v>
      </c>
      <c r="M55" s="13">
        <f t="shared" si="15"/>
        <v>22</v>
      </c>
      <c r="N55" s="13">
        <f t="shared" si="15"/>
        <v>12</v>
      </c>
      <c r="O55" s="13">
        <f t="shared" si="15"/>
        <v>3</v>
      </c>
      <c r="P55" s="13">
        <f t="shared" si="15"/>
        <v>8</v>
      </c>
      <c r="Q55" s="13">
        <f t="shared" si="15"/>
        <v>11</v>
      </c>
      <c r="R55" s="13">
        <f t="shared" si="15"/>
        <v>16</v>
      </c>
      <c r="S55" s="13">
        <f t="shared" si="15"/>
        <v>12</v>
      </c>
      <c r="T55" s="13">
        <f t="shared" si="15"/>
        <v>3</v>
      </c>
      <c r="U55" s="13">
        <f t="shared" si="15"/>
        <v>4</v>
      </c>
      <c r="V55" s="13">
        <f t="shared" si="15"/>
        <v>15</v>
      </c>
      <c r="W55" s="13">
        <f t="shared" si="15"/>
        <v>15</v>
      </c>
      <c r="X55" s="13">
        <f t="shared" si="15"/>
        <v>14</v>
      </c>
      <c r="Y55" s="13">
        <f t="shared" si="15"/>
        <v>8</v>
      </c>
      <c r="Z55" s="13">
        <f t="shared" si="15"/>
        <v>34</v>
      </c>
      <c r="AA55" s="13">
        <f t="shared" si="15"/>
        <v>26</v>
      </c>
      <c r="AB55" s="13">
        <f t="shared" si="15"/>
        <v>40</v>
      </c>
      <c r="AC55" s="13">
        <f t="shared" si="15"/>
        <v>21</v>
      </c>
      <c r="AD55" s="13">
        <f t="shared" si="15"/>
        <v>437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10.0</v>
      </c>
      <c r="F57" s="73">
        <v>10.0</v>
      </c>
      <c r="G57" s="73">
        <v>15.0</v>
      </c>
      <c r="H57" s="73">
        <v>9.0</v>
      </c>
      <c r="I57" s="73">
        <v>2.0</v>
      </c>
      <c r="J57" s="73">
        <v>8.0</v>
      </c>
      <c r="K57" s="73">
        <v>8.0</v>
      </c>
      <c r="L57" s="73">
        <v>17.0</v>
      </c>
      <c r="M57" s="73">
        <v>12.0</v>
      </c>
      <c r="N57" s="73">
        <v>1.0</v>
      </c>
      <c r="O57" s="73">
        <v>2.0</v>
      </c>
      <c r="P57" s="73">
        <v>3.0</v>
      </c>
      <c r="Q57" s="73">
        <v>14.0</v>
      </c>
      <c r="R57" s="73">
        <v>7.0</v>
      </c>
      <c r="S57" s="73">
        <v>9.0</v>
      </c>
      <c r="T57" s="73">
        <v>5.0</v>
      </c>
      <c r="U57" s="73">
        <v>3.0</v>
      </c>
      <c r="V57" s="73">
        <v>7.0</v>
      </c>
      <c r="W57" s="73">
        <v>14.0</v>
      </c>
      <c r="X57" s="73">
        <v>11.0</v>
      </c>
      <c r="Y57" s="73">
        <v>4.0</v>
      </c>
      <c r="Z57" s="73">
        <v>10.0</v>
      </c>
      <c r="AA57" s="73">
        <v>12.0</v>
      </c>
      <c r="AB57" s="73">
        <v>11.0</v>
      </c>
      <c r="AC57" s="73">
        <v>11.0</v>
      </c>
      <c r="AD57" s="13">
        <f t="shared" ref="AD57:AD66" si="16">SUM(E57:AC57)</f>
        <v>215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7.0</v>
      </c>
      <c r="F58" s="73">
        <v>6.0</v>
      </c>
      <c r="G58" s="73">
        <v>6.0</v>
      </c>
      <c r="H58" s="73">
        <v>3.0</v>
      </c>
      <c r="I58" s="73">
        <v>4.0</v>
      </c>
      <c r="J58" s="73">
        <v>7.0</v>
      </c>
      <c r="K58" s="73">
        <v>4.0</v>
      </c>
      <c r="L58" s="73">
        <v>9.0</v>
      </c>
      <c r="M58" s="73">
        <v>5.0</v>
      </c>
      <c r="N58" s="73">
        <v>2.0</v>
      </c>
      <c r="O58" s="73">
        <v>1.0</v>
      </c>
      <c r="P58" s="73">
        <v>4.0</v>
      </c>
      <c r="Q58" s="73">
        <v>3.0</v>
      </c>
      <c r="R58" s="73">
        <v>5.0</v>
      </c>
      <c r="S58" s="73">
        <v>6.0</v>
      </c>
      <c r="T58" s="73">
        <v>7.0</v>
      </c>
      <c r="U58" s="73">
        <v>2.0</v>
      </c>
      <c r="V58" s="73">
        <v>1.0</v>
      </c>
      <c r="W58" s="73">
        <v>6.0</v>
      </c>
      <c r="X58" s="73">
        <v>3.0</v>
      </c>
      <c r="Y58" s="73">
        <v>4.0</v>
      </c>
      <c r="Z58" s="73">
        <v>11.0</v>
      </c>
      <c r="AA58" s="73">
        <v>6.0</v>
      </c>
      <c r="AB58" s="73">
        <v>4.0</v>
      </c>
      <c r="AC58" s="73">
        <v>3.0</v>
      </c>
      <c r="AD58" s="13">
        <f t="shared" si="16"/>
        <v>119</v>
      </c>
    </row>
    <row r="59" ht="12.75" customHeight="1">
      <c r="A59" s="18"/>
      <c r="B59" s="49"/>
      <c r="C59" s="50" t="s">
        <v>51</v>
      </c>
      <c r="D59" s="51"/>
      <c r="E59" s="73">
        <v>10.0</v>
      </c>
      <c r="F59" s="73">
        <v>15.0</v>
      </c>
      <c r="G59" s="73">
        <v>8.0</v>
      </c>
      <c r="H59" s="73">
        <v>15.0</v>
      </c>
      <c r="I59" s="73">
        <v>12.0</v>
      </c>
      <c r="J59" s="73">
        <v>23.0</v>
      </c>
      <c r="K59" s="73">
        <v>41.0</v>
      </c>
      <c r="L59" s="73">
        <v>17.0</v>
      </c>
      <c r="M59" s="73">
        <v>11.0</v>
      </c>
      <c r="N59" s="73">
        <v>4.0</v>
      </c>
      <c r="O59" s="73">
        <v>10.0</v>
      </c>
      <c r="P59" s="73">
        <v>16.0</v>
      </c>
      <c r="Q59" s="73">
        <v>49.0</v>
      </c>
      <c r="R59" s="73">
        <v>8.0</v>
      </c>
      <c r="S59" s="73">
        <v>11.0</v>
      </c>
      <c r="T59" s="73">
        <v>2.0</v>
      </c>
      <c r="U59" s="73">
        <v>5.0</v>
      </c>
      <c r="V59" s="73">
        <v>9.0</v>
      </c>
      <c r="W59" s="73">
        <v>11.0</v>
      </c>
      <c r="X59" s="73">
        <v>17.0</v>
      </c>
      <c r="Y59" s="73">
        <v>12.0</v>
      </c>
      <c r="Z59" s="73">
        <v>14.0</v>
      </c>
      <c r="AA59" s="73">
        <v>13.0</v>
      </c>
      <c r="AB59" s="73">
        <v>9.0</v>
      </c>
      <c r="AC59" s="73">
        <v>4.0</v>
      </c>
      <c r="AD59" s="13">
        <f t="shared" si="16"/>
        <v>346</v>
      </c>
    </row>
    <row r="60" ht="12.75" customHeight="1">
      <c r="A60" s="18"/>
      <c r="B60" s="49"/>
      <c r="C60" s="50" t="s">
        <v>52</v>
      </c>
      <c r="D60" s="51"/>
      <c r="E60" s="73">
        <v>3.0</v>
      </c>
      <c r="F60" s="73">
        <v>4.0</v>
      </c>
      <c r="G60" s="73">
        <v>1.0</v>
      </c>
      <c r="H60" s="73">
        <v>1.0</v>
      </c>
      <c r="I60" s="73">
        <v>1.0</v>
      </c>
      <c r="J60" s="73">
        <v>2.0</v>
      </c>
      <c r="K60" s="73">
        <v>0.0</v>
      </c>
      <c r="L60" s="73">
        <v>1.0</v>
      </c>
      <c r="M60" s="73">
        <v>2.0</v>
      </c>
      <c r="N60" s="73">
        <v>0.0</v>
      </c>
      <c r="O60" s="73">
        <v>0.0</v>
      </c>
      <c r="P60" s="73">
        <v>0.0</v>
      </c>
      <c r="Q60" s="73">
        <v>2.0</v>
      </c>
      <c r="R60" s="73">
        <v>3.0</v>
      </c>
      <c r="S60" s="73">
        <v>1.0</v>
      </c>
      <c r="T60" s="73">
        <v>2.0</v>
      </c>
      <c r="U60" s="73">
        <v>2.0</v>
      </c>
      <c r="V60" s="73">
        <v>0.0</v>
      </c>
      <c r="W60" s="73">
        <v>1.0</v>
      </c>
      <c r="X60" s="73">
        <v>1.0</v>
      </c>
      <c r="Y60" s="73">
        <v>2.0</v>
      </c>
      <c r="Z60" s="73">
        <v>2.0</v>
      </c>
      <c r="AA60" s="73">
        <v>2.0</v>
      </c>
      <c r="AB60" s="73">
        <v>0.0</v>
      </c>
      <c r="AC60" s="73">
        <v>4.0</v>
      </c>
      <c r="AD60" s="13">
        <f t="shared" si="16"/>
        <v>37</v>
      </c>
    </row>
    <row r="61" ht="12.75" customHeight="1">
      <c r="A61" s="18"/>
      <c r="B61" s="49"/>
      <c r="C61" s="50" t="s">
        <v>53</v>
      </c>
      <c r="D61" s="51"/>
      <c r="E61" s="73">
        <v>4.0</v>
      </c>
      <c r="F61" s="73">
        <v>5.0</v>
      </c>
      <c r="G61" s="73">
        <v>3.0</v>
      </c>
      <c r="H61" s="73">
        <v>3.0</v>
      </c>
      <c r="I61" s="73">
        <v>1.0</v>
      </c>
      <c r="J61" s="73">
        <v>1.0</v>
      </c>
      <c r="K61" s="73">
        <v>1.0</v>
      </c>
      <c r="L61" s="73">
        <v>2.0</v>
      </c>
      <c r="M61" s="73">
        <v>6.0</v>
      </c>
      <c r="N61" s="73">
        <v>1.0</v>
      </c>
      <c r="O61" s="73">
        <v>0.0</v>
      </c>
      <c r="P61" s="73">
        <v>1.0</v>
      </c>
      <c r="Q61" s="73">
        <v>1.0</v>
      </c>
      <c r="R61" s="73">
        <v>3.0</v>
      </c>
      <c r="S61" s="73">
        <v>4.0</v>
      </c>
      <c r="T61" s="73">
        <v>4.0</v>
      </c>
      <c r="U61" s="73">
        <v>1.0</v>
      </c>
      <c r="V61" s="73">
        <v>1.0</v>
      </c>
      <c r="W61" s="73">
        <v>3.0</v>
      </c>
      <c r="X61" s="73">
        <v>0.0</v>
      </c>
      <c r="Y61" s="73">
        <v>1.0</v>
      </c>
      <c r="Z61" s="73">
        <v>1.0</v>
      </c>
      <c r="AA61" s="73">
        <v>5.0</v>
      </c>
      <c r="AB61" s="73">
        <v>3.0</v>
      </c>
      <c r="AC61" s="73">
        <v>2.0</v>
      </c>
      <c r="AD61" s="13">
        <f t="shared" si="16"/>
        <v>57</v>
      </c>
    </row>
    <row r="62" ht="12.75" customHeight="1">
      <c r="A62" s="18"/>
      <c r="B62" s="49"/>
      <c r="C62" s="50" t="s">
        <v>54</v>
      </c>
      <c r="D62" s="51"/>
      <c r="E62" s="73">
        <v>3.0</v>
      </c>
      <c r="F62" s="73">
        <v>0.0</v>
      </c>
      <c r="G62" s="73">
        <v>1.0</v>
      </c>
      <c r="H62" s="73">
        <v>1.0</v>
      </c>
      <c r="I62" s="73">
        <v>1.0</v>
      </c>
      <c r="J62" s="73">
        <v>0.0</v>
      </c>
      <c r="K62" s="73">
        <v>2.0</v>
      </c>
      <c r="L62" s="73">
        <v>1.0</v>
      </c>
      <c r="M62" s="73">
        <v>1.0</v>
      </c>
      <c r="N62" s="73">
        <v>0.0</v>
      </c>
      <c r="O62" s="73">
        <v>0.0</v>
      </c>
      <c r="P62" s="73">
        <v>0.0</v>
      </c>
      <c r="Q62" s="73">
        <v>1.0</v>
      </c>
      <c r="R62" s="73">
        <v>0.0</v>
      </c>
      <c r="S62" s="73">
        <v>3.0</v>
      </c>
      <c r="T62" s="73">
        <v>1.0</v>
      </c>
      <c r="U62" s="73">
        <v>0.0</v>
      </c>
      <c r="V62" s="73">
        <v>0.0</v>
      </c>
      <c r="W62" s="73">
        <v>0.0</v>
      </c>
      <c r="X62" s="73">
        <v>1.0</v>
      </c>
      <c r="Y62" s="73">
        <v>0.0</v>
      </c>
      <c r="Z62" s="73">
        <v>1.0</v>
      </c>
      <c r="AA62" s="73">
        <v>3.0</v>
      </c>
      <c r="AB62" s="73">
        <v>1.0</v>
      </c>
      <c r="AC62" s="73">
        <v>2.0</v>
      </c>
      <c r="AD62" s="13">
        <f t="shared" si="16"/>
        <v>23</v>
      </c>
    </row>
    <row r="63" ht="12.75" customHeight="1">
      <c r="A63" s="18"/>
      <c r="B63" s="49"/>
      <c r="C63" s="50" t="s">
        <v>55</v>
      </c>
      <c r="D63" s="51"/>
      <c r="E63" s="73">
        <v>1.0</v>
      </c>
      <c r="F63" s="73">
        <v>0.0</v>
      </c>
      <c r="G63" s="73">
        <v>1.0</v>
      </c>
      <c r="H63" s="73">
        <v>0.0</v>
      </c>
      <c r="I63" s="73">
        <v>0.0</v>
      </c>
      <c r="J63" s="73">
        <v>0.0</v>
      </c>
      <c r="K63" s="73">
        <v>0.0</v>
      </c>
      <c r="L63" s="73">
        <v>1.0</v>
      </c>
      <c r="M63" s="73">
        <v>1.0</v>
      </c>
      <c r="N63" s="73">
        <v>0.0</v>
      </c>
      <c r="O63" s="73">
        <v>0.0</v>
      </c>
      <c r="P63" s="73">
        <v>0.0</v>
      </c>
      <c r="Q63" s="73">
        <v>0.0</v>
      </c>
      <c r="R63" s="73">
        <v>3.0</v>
      </c>
      <c r="S63" s="73">
        <v>1.0</v>
      </c>
      <c r="T63" s="73">
        <v>2.0</v>
      </c>
      <c r="U63" s="73">
        <v>0.0</v>
      </c>
      <c r="V63" s="73">
        <v>1.0</v>
      </c>
      <c r="W63" s="73">
        <v>0.0</v>
      </c>
      <c r="X63" s="73">
        <v>0.0</v>
      </c>
      <c r="Y63" s="73">
        <v>3.0</v>
      </c>
      <c r="Z63" s="73">
        <v>0.0</v>
      </c>
      <c r="AA63" s="73">
        <v>0.0</v>
      </c>
      <c r="AB63" s="73">
        <v>1.0</v>
      </c>
      <c r="AC63" s="73">
        <v>1.0</v>
      </c>
      <c r="AD63" s="13">
        <f t="shared" si="16"/>
        <v>16</v>
      </c>
    </row>
    <row r="64" ht="12.75" customHeight="1">
      <c r="A64" s="79"/>
      <c r="B64" s="49"/>
      <c r="C64" s="50" t="s">
        <v>56</v>
      </c>
      <c r="D64" s="51"/>
      <c r="E64" s="80">
        <v>1.0</v>
      </c>
      <c r="F64" s="80">
        <v>0.0</v>
      </c>
      <c r="G64" s="80">
        <v>0.0</v>
      </c>
      <c r="H64" s="80">
        <v>1.0</v>
      </c>
      <c r="I64" s="80">
        <v>0.0</v>
      </c>
      <c r="J64" s="80">
        <v>0.0</v>
      </c>
      <c r="K64" s="80">
        <v>1.0</v>
      </c>
      <c r="L64" s="80">
        <v>0.0</v>
      </c>
      <c r="M64" s="80">
        <v>1.0</v>
      </c>
      <c r="N64" s="80">
        <v>0.0</v>
      </c>
      <c r="O64" s="80">
        <v>0.0</v>
      </c>
      <c r="P64" s="80">
        <v>0.0</v>
      </c>
      <c r="Q64" s="80">
        <v>0.0</v>
      </c>
      <c r="R64" s="80">
        <v>0.0</v>
      </c>
      <c r="S64" s="80">
        <v>0.0</v>
      </c>
      <c r="T64" s="80">
        <v>0.0</v>
      </c>
      <c r="U64" s="80">
        <v>1.0</v>
      </c>
      <c r="V64" s="80">
        <v>0.0</v>
      </c>
      <c r="W64" s="80">
        <v>0.0</v>
      </c>
      <c r="X64" s="80">
        <v>0.0</v>
      </c>
      <c r="Y64" s="80">
        <v>0.0</v>
      </c>
      <c r="Z64" s="80">
        <v>1.0</v>
      </c>
      <c r="AA64" s="80">
        <v>0.0</v>
      </c>
      <c r="AB64" s="80">
        <v>1.0</v>
      </c>
      <c r="AC64" s="80">
        <v>1.0</v>
      </c>
      <c r="AD64" s="13">
        <f t="shared" si="16"/>
        <v>8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0.0</v>
      </c>
      <c r="H65" s="80">
        <v>0.0</v>
      </c>
      <c r="I65" s="80">
        <v>0.0</v>
      </c>
      <c r="J65" s="80">
        <v>0.0</v>
      </c>
      <c r="K65" s="80">
        <v>1.0</v>
      </c>
      <c r="L65" s="80">
        <v>0.0</v>
      </c>
      <c r="M65" s="80">
        <v>0.0</v>
      </c>
      <c r="N65" s="80">
        <v>0.0</v>
      </c>
      <c r="O65" s="80">
        <v>1.0</v>
      </c>
      <c r="P65" s="80">
        <v>0.0</v>
      </c>
      <c r="Q65" s="80">
        <v>0.0</v>
      </c>
      <c r="R65" s="80">
        <v>0.0</v>
      </c>
      <c r="S65" s="80">
        <v>0.0</v>
      </c>
      <c r="T65" s="80">
        <v>0.0</v>
      </c>
      <c r="U65" s="80">
        <v>0.0</v>
      </c>
      <c r="V65" s="80">
        <v>0.0</v>
      </c>
      <c r="W65" s="80">
        <v>0.0</v>
      </c>
      <c r="X65" s="80">
        <v>0.0</v>
      </c>
      <c r="Y65" s="80">
        <v>1.0</v>
      </c>
      <c r="Z65" s="80">
        <v>0.0</v>
      </c>
      <c r="AA65" s="80">
        <v>0.0</v>
      </c>
      <c r="AB65" s="80">
        <v>0.0</v>
      </c>
      <c r="AC65" s="80">
        <v>0.0</v>
      </c>
      <c r="AD65" s="13">
        <f t="shared" si="16"/>
        <v>3</v>
      </c>
    </row>
    <row r="66" ht="12.75" customHeight="1">
      <c r="A66" s="79"/>
      <c r="B66" s="49"/>
      <c r="C66" s="50" t="s">
        <v>58</v>
      </c>
      <c r="D66" s="51"/>
      <c r="E66" s="80">
        <v>1.0</v>
      </c>
      <c r="F66" s="80">
        <v>1.0</v>
      </c>
      <c r="G66" s="80">
        <v>1.0</v>
      </c>
      <c r="H66" s="80">
        <v>0.0</v>
      </c>
      <c r="I66" s="80">
        <v>0.0</v>
      </c>
      <c r="J66" s="80">
        <v>0.0</v>
      </c>
      <c r="K66" s="80">
        <v>1.0</v>
      </c>
      <c r="L66" s="80">
        <v>1.0</v>
      </c>
      <c r="M66" s="80">
        <v>0.0</v>
      </c>
      <c r="N66" s="80">
        <v>0.0</v>
      </c>
      <c r="O66" s="80">
        <v>0.0</v>
      </c>
      <c r="P66" s="80">
        <v>0.0</v>
      </c>
      <c r="Q66" s="80">
        <v>0.0</v>
      </c>
      <c r="R66" s="80">
        <v>0.0</v>
      </c>
      <c r="S66" s="80">
        <v>0.0</v>
      </c>
      <c r="T66" s="80">
        <v>0.0</v>
      </c>
      <c r="U66" s="80">
        <v>0.0</v>
      </c>
      <c r="V66" s="80">
        <v>0.0</v>
      </c>
      <c r="W66" s="80">
        <v>0.0</v>
      </c>
      <c r="X66" s="80">
        <v>0.0</v>
      </c>
      <c r="Y66" s="80">
        <v>1.0</v>
      </c>
      <c r="Z66" s="80">
        <v>1.0</v>
      </c>
      <c r="AA66" s="80">
        <v>1.0</v>
      </c>
      <c r="AB66" s="80">
        <v>0.0</v>
      </c>
      <c r="AC66" s="80">
        <v>0.0</v>
      </c>
      <c r="AD66" s="13">
        <f t="shared" si="16"/>
        <v>8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AD67" si="17">SUM(E57:E66)</f>
        <v>40</v>
      </c>
      <c r="F67" s="13">
        <f t="shared" si="17"/>
        <v>41</v>
      </c>
      <c r="G67" s="13">
        <f t="shared" si="17"/>
        <v>36</v>
      </c>
      <c r="H67" s="13">
        <f t="shared" si="17"/>
        <v>33</v>
      </c>
      <c r="I67" s="13">
        <f t="shared" si="17"/>
        <v>21</v>
      </c>
      <c r="J67" s="13">
        <f t="shared" si="17"/>
        <v>41</v>
      </c>
      <c r="K67" s="13">
        <f t="shared" si="17"/>
        <v>59</v>
      </c>
      <c r="L67" s="13">
        <f t="shared" si="17"/>
        <v>49</v>
      </c>
      <c r="M67" s="13">
        <f t="shared" si="17"/>
        <v>39</v>
      </c>
      <c r="N67" s="13">
        <f t="shared" si="17"/>
        <v>8</v>
      </c>
      <c r="O67" s="13">
        <f t="shared" si="17"/>
        <v>14</v>
      </c>
      <c r="P67" s="13">
        <f t="shared" si="17"/>
        <v>24</v>
      </c>
      <c r="Q67" s="13">
        <f t="shared" si="17"/>
        <v>70</v>
      </c>
      <c r="R67" s="13">
        <f t="shared" si="17"/>
        <v>29</v>
      </c>
      <c r="S67" s="13">
        <f t="shared" si="17"/>
        <v>35</v>
      </c>
      <c r="T67" s="13">
        <f t="shared" si="17"/>
        <v>23</v>
      </c>
      <c r="U67" s="13">
        <f t="shared" si="17"/>
        <v>14</v>
      </c>
      <c r="V67" s="13">
        <f t="shared" si="17"/>
        <v>19</v>
      </c>
      <c r="W67" s="13">
        <f t="shared" si="17"/>
        <v>35</v>
      </c>
      <c r="X67" s="13">
        <f t="shared" si="17"/>
        <v>33</v>
      </c>
      <c r="Y67" s="13">
        <f t="shared" si="17"/>
        <v>28</v>
      </c>
      <c r="Z67" s="13">
        <f t="shared" si="17"/>
        <v>41</v>
      </c>
      <c r="AA67" s="13">
        <f t="shared" si="17"/>
        <v>42</v>
      </c>
      <c r="AB67" s="13">
        <f t="shared" si="17"/>
        <v>30</v>
      </c>
      <c r="AC67" s="13">
        <f t="shared" si="17"/>
        <v>28</v>
      </c>
      <c r="AD67" s="13">
        <f t="shared" si="17"/>
        <v>832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12.0</v>
      </c>
      <c r="F69" s="73">
        <v>14.0</v>
      </c>
      <c r="G69" s="73">
        <v>5.0</v>
      </c>
      <c r="H69" s="73">
        <v>10.0</v>
      </c>
      <c r="I69" s="73">
        <v>6.0</v>
      </c>
      <c r="J69" s="73">
        <v>8.0</v>
      </c>
      <c r="K69" s="73">
        <v>9.0</v>
      </c>
      <c r="L69" s="73">
        <v>6.0</v>
      </c>
      <c r="M69" s="73">
        <v>17.0</v>
      </c>
      <c r="N69" s="73">
        <v>1.0</v>
      </c>
      <c r="O69" s="73">
        <v>5.0</v>
      </c>
      <c r="P69" s="73">
        <v>0.0</v>
      </c>
      <c r="Q69" s="73">
        <v>13.0</v>
      </c>
      <c r="R69" s="73">
        <v>5.0</v>
      </c>
      <c r="S69" s="73">
        <v>11.0</v>
      </c>
      <c r="T69" s="73">
        <v>6.0</v>
      </c>
      <c r="U69" s="73">
        <v>1.0</v>
      </c>
      <c r="V69" s="73">
        <v>6.0</v>
      </c>
      <c r="W69" s="73">
        <v>8.0</v>
      </c>
      <c r="X69" s="73">
        <v>10.0</v>
      </c>
      <c r="Y69" s="73">
        <v>5.0</v>
      </c>
      <c r="Z69" s="73">
        <v>5.0</v>
      </c>
      <c r="AA69" s="73">
        <v>8.0</v>
      </c>
      <c r="AB69" s="73">
        <v>18.0</v>
      </c>
      <c r="AC69" s="73">
        <v>12.0</v>
      </c>
      <c r="AD69" s="13">
        <f t="shared" ref="AD69:AD78" si="18">SUM(E69:AC69)</f>
        <v>201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4.0</v>
      </c>
      <c r="F70" s="73">
        <v>2.0</v>
      </c>
      <c r="G70" s="73">
        <v>2.0</v>
      </c>
      <c r="H70" s="73">
        <v>4.0</v>
      </c>
      <c r="I70" s="73">
        <v>1.0</v>
      </c>
      <c r="J70" s="73">
        <v>1.0</v>
      </c>
      <c r="K70" s="73">
        <v>4.0</v>
      </c>
      <c r="L70" s="73">
        <v>3.0</v>
      </c>
      <c r="M70" s="73">
        <v>4.0</v>
      </c>
      <c r="N70" s="73">
        <v>0.0</v>
      </c>
      <c r="O70" s="73">
        <v>1.0</v>
      </c>
      <c r="P70" s="73">
        <v>0.0</v>
      </c>
      <c r="Q70" s="73">
        <v>4.0</v>
      </c>
      <c r="R70" s="73">
        <v>1.0</v>
      </c>
      <c r="S70" s="73">
        <v>1.0</v>
      </c>
      <c r="T70" s="73">
        <v>0.0</v>
      </c>
      <c r="U70" s="73">
        <v>2.0</v>
      </c>
      <c r="V70" s="73">
        <v>1.0</v>
      </c>
      <c r="W70" s="73">
        <v>5.0</v>
      </c>
      <c r="X70" s="73">
        <v>6.0</v>
      </c>
      <c r="Y70" s="73">
        <v>1.0</v>
      </c>
      <c r="Z70" s="73">
        <v>1.0</v>
      </c>
      <c r="AA70" s="73">
        <v>5.0</v>
      </c>
      <c r="AB70" s="73">
        <v>8.0</v>
      </c>
      <c r="AC70" s="73">
        <v>3.0</v>
      </c>
      <c r="AD70" s="13">
        <f t="shared" si="18"/>
        <v>64</v>
      </c>
    </row>
    <row r="71" ht="12.75" customHeight="1">
      <c r="A71" s="18"/>
      <c r="B71" s="49"/>
      <c r="C71" s="50" t="s">
        <v>61</v>
      </c>
      <c r="D71" s="51"/>
      <c r="E71" s="73">
        <v>31.0</v>
      </c>
      <c r="F71" s="73">
        <v>26.0</v>
      </c>
      <c r="G71" s="73">
        <v>65.0</v>
      </c>
      <c r="H71" s="73">
        <v>73.0</v>
      </c>
      <c r="I71" s="73">
        <v>140.0</v>
      </c>
      <c r="J71" s="73">
        <v>101.0</v>
      </c>
      <c r="K71" s="73">
        <v>10.0</v>
      </c>
      <c r="L71" s="73">
        <v>9.0</v>
      </c>
      <c r="M71" s="73">
        <v>23.0</v>
      </c>
      <c r="N71" s="73">
        <v>3.0</v>
      </c>
      <c r="O71" s="73">
        <v>16.0</v>
      </c>
      <c r="P71" s="73">
        <v>42.0</v>
      </c>
      <c r="Q71" s="73">
        <v>5.0</v>
      </c>
      <c r="R71" s="73">
        <v>10.0</v>
      </c>
      <c r="S71" s="73">
        <v>28.0</v>
      </c>
      <c r="T71" s="73">
        <v>15.0</v>
      </c>
      <c r="U71" s="73">
        <v>3.0</v>
      </c>
      <c r="V71" s="73">
        <v>4.0</v>
      </c>
      <c r="W71" s="73">
        <v>22.0</v>
      </c>
      <c r="X71" s="73">
        <v>10.0</v>
      </c>
      <c r="Y71" s="73">
        <v>14.0</v>
      </c>
      <c r="Z71" s="73">
        <v>14.0</v>
      </c>
      <c r="AA71" s="73">
        <v>5.0</v>
      </c>
      <c r="AB71" s="73">
        <v>17.0</v>
      </c>
      <c r="AC71" s="73">
        <v>23.0</v>
      </c>
      <c r="AD71" s="13">
        <f t="shared" si="18"/>
        <v>709</v>
      </c>
    </row>
    <row r="72" ht="12.75" customHeight="1">
      <c r="A72" s="18"/>
      <c r="B72" s="49"/>
      <c r="C72" s="50" t="s">
        <v>62</v>
      </c>
      <c r="D72" s="51"/>
      <c r="E72" s="73">
        <v>4.0</v>
      </c>
      <c r="F72" s="73">
        <v>2.0</v>
      </c>
      <c r="G72" s="73">
        <v>2.0</v>
      </c>
      <c r="H72" s="73">
        <v>3.0</v>
      </c>
      <c r="I72" s="73">
        <v>6.0</v>
      </c>
      <c r="J72" s="73">
        <v>7.0</v>
      </c>
      <c r="K72" s="73">
        <v>2.0</v>
      </c>
      <c r="L72" s="73">
        <v>3.0</v>
      </c>
      <c r="M72" s="73">
        <v>5.0</v>
      </c>
      <c r="N72" s="73">
        <v>1.0</v>
      </c>
      <c r="O72" s="73">
        <v>0.0</v>
      </c>
      <c r="P72" s="73">
        <v>3.0</v>
      </c>
      <c r="Q72" s="73">
        <v>6.0</v>
      </c>
      <c r="R72" s="73">
        <v>2.0</v>
      </c>
      <c r="S72" s="73">
        <v>2.0</v>
      </c>
      <c r="T72" s="73">
        <v>1.0</v>
      </c>
      <c r="U72" s="73">
        <v>1.0</v>
      </c>
      <c r="V72" s="73">
        <v>0.0</v>
      </c>
      <c r="W72" s="73">
        <v>7.0</v>
      </c>
      <c r="X72" s="73">
        <v>2.0</v>
      </c>
      <c r="Y72" s="73">
        <v>2.0</v>
      </c>
      <c r="Z72" s="73">
        <v>1.0</v>
      </c>
      <c r="AA72" s="73">
        <v>1.0</v>
      </c>
      <c r="AB72" s="73">
        <v>2.0</v>
      </c>
      <c r="AC72" s="73">
        <v>4.0</v>
      </c>
      <c r="AD72" s="13">
        <f t="shared" si="18"/>
        <v>69</v>
      </c>
    </row>
    <row r="73" ht="12.75" customHeight="1">
      <c r="A73" s="18"/>
      <c r="B73" s="49"/>
      <c r="C73" s="50" t="s">
        <v>63</v>
      </c>
      <c r="D73" s="51"/>
      <c r="E73" s="73">
        <v>1.0</v>
      </c>
      <c r="F73" s="73">
        <v>4.0</v>
      </c>
      <c r="G73" s="73">
        <v>0.0</v>
      </c>
      <c r="H73" s="73">
        <v>1.0</v>
      </c>
      <c r="I73" s="73">
        <v>0.0</v>
      </c>
      <c r="J73" s="73">
        <v>2.0</v>
      </c>
      <c r="K73" s="73">
        <v>1.0</v>
      </c>
      <c r="L73" s="73">
        <v>4.0</v>
      </c>
      <c r="M73" s="73">
        <v>1.0</v>
      </c>
      <c r="N73" s="73">
        <v>0.0</v>
      </c>
      <c r="O73" s="73">
        <v>0.0</v>
      </c>
      <c r="P73" s="73">
        <v>0.0</v>
      </c>
      <c r="Q73" s="73">
        <v>2.0</v>
      </c>
      <c r="R73" s="73">
        <v>1.0</v>
      </c>
      <c r="S73" s="73">
        <v>1.0</v>
      </c>
      <c r="T73" s="73">
        <v>2.0</v>
      </c>
      <c r="U73" s="73">
        <v>10.0</v>
      </c>
      <c r="V73" s="73">
        <v>0.0</v>
      </c>
      <c r="W73" s="73">
        <v>8.0</v>
      </c>
      <c r="X73" s="73">
        <v>15.0</v>
      </c>
      <c r="Y73" s="73">
        <v>8.0</v>
      </c>
      <c r="Z73" s="73">
        <v>1.0</v>
      </c>
      <c r="AA73" s="73">
        <v>0.0</v>
      </c>
      <c r="AB73" s="73">
        <v>2.0</v>
      </c>
      <c r="AC73" s="73">
        <v>1.0</v>
      </c>
      <c r="AD73" s="13">
        <f t="shared" si="18"/>
        <v>65</v>
      </c>
    </row>
    <row r="74" ht="12.75" customHeight="1">
      <c r="A74" s="18"/>
      <c r="B74" s="49"/>
      <c r="C74" s="50" t="s">
        <v>64</v>
      </c>
      <c r="D74" s="51"/>
      <c r="E74" s="73">
        <v>0.0</v>
      </c>
      <c r="F74" s="73">
        <v>2.0</v>
      </c>
      <c r="G74" s="73">
        <v>1.0</v>
      </c>
      <c r="H74" s="73">
        <v>0.0</v>
      </c>
      <c r="I74" s="73">
        <v>1.0</v>
      </c>
      <c r="J74" s="73">
        <v>0.0</v>
      </c>
      <c r="K74" s="73">
        <v>0.0</v>
      </c>
      <c r="L74" s="73">
        <v>1.0</v>
      </c>
      <c r="M74" s="73">
        <v>1.0</v>
      </c>
      <c r="N74" s="73">
        <v>0.0</v>
      </c>
      <c r="O74" s="73">
        <v>0.0</v>
      </c>
      <c r="P74" s="73">
        <v>0.0</v>
      </c>
      <c r="Q74" s="73">
        <v>4.0</v>
      </c>
      <c r="R74" s="73">
        <v>0.0</v>
      </c>
      <c r="S74" s="73">
        <v>0.0</v>
      </c>
      <c r="T74" s="73">
        <v>2.0</v>
      </c>
      <c r="U74" s="73">
        <v>1.0</v>
      </c>
      <c r="V74" s="73">
        <v>1.0</v>
      </c>
      <c r="W74" s="73">
        <v>2.0</v>
      </c>
      <c r="X74" s="73">
        <v>0.0</v>
      </c>
      <c r="Y74" s="73">
        <v>1.0</v>
      </c>
      <c r="Z74" s="73">
        <v>0.0</v>
      </c>
      <c r="AA74" s="73">
        <v>1.0</v>
      </c>
      <c r="AB74" s="73">
        <v>4.0</v>
      </c>
      <c r="AC74" s="73">
        <v>2.0</v>
      </c>
      <c r="AD74" s="13">
        <f t="shared" si="18"/>
        <v>24</v>
      </c>
    </row>
    <row r="75" ht="12.75" customHeight="1">
      <c r="A75" s="18"/>
      <c r="B75" s="49"/>
      <c r="C75" s="50" t="s">
        <v>65</v>
      </c>
      <c r="D75" s="51"/>
      <c r="E75" s="73">
        <v>0.0</v>
      </c>
      <c r="F75" s="73">
        <v>0.0</v>
      </c>
      <c r="G75" s="73">
        <v>0.0</v>
      </c>
      <c r="H75" s="73">
        <v>0.0</v>
      </c>
      <c r="I75" s="73">
        <v>2.0</v>
      </c>
      <c r="J75" s="73">
        <v>1.0</v>
      </c>
      <c r="K75" s="73">
        <v>1.0</v>
      </c>
      <c r="L75" s="73">
        <v>0.0</v>
      </c>
      <c r="M75" s="73">
        <v>4.0</v>
      </c>
      <c r="N75" s="73">
        <v>0.0</v>
      </c>
      <c r="O75" s="73">
        <v>0.0</v>
      </c>
      <c r="P75" s="73">
        <v>0.0</v>
      </c>
      <c r="Q75" s="73">
        <v>1.0</v>
      </c>
      <c r="R75" s="73">
        <v>1.0</v>
      </c>
      <c r="S75" s="73">
        <v>1.0</v>
      </c>
      <c r="T75" s="73">
        <v>0.0</v>
      </c>
      <c r="U75" s="73">
        <v>1.0</v>
      </c>
      <c r="V75" s="73">
        <v>0.0</v>
      </c>
      <c r="W75" s="73">
        <v>1.0</v>
      </c>
      <c r="X75" s="73">
        <v>0.0</v>
      </c>
      <c r="Y75" s="73">
        <v>1.0</v>
      </c>
      <c r="Z75" s="73">
        <v>0.0</v>
      </c>
      <c r="AA75" s="73">
        <v>3.0</v>
      </c>
      <c r="AB75" s="73">
        <v>1.0</v>
      </c>
      <c r="AC75" s="73">
        <v>0.0</v>
      </c>
      <c r="AD75" s="13">
        <f t="shared" si="18"/>
        <v>18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2.0</v>
      </c>
      <c r="G76" s="80">
        <v>0.0</v>
      </c>
      <c r="H76" s="80">
        <v>0.0</v>
      </c>
      <c r="I76" s="80">
        <v>0.0</v>
      </c>
      <c r="J76" s="80">
        <v>0.0</v>
      </c>
      <c r="K76" s="80">
        <v>0.0</v>
      </c>
      <c r="L76" s="80">
        <v>0.0</v>
      </c>
      <c r="M76" s="80">
        <v>0.0</v>
      </c>
      <c r="N76" s="80">
        <v>0.0</v>
      </c>
      <c r="O76" s="80">
        <v>0.0</v>
      </c>
      <c r="P76" s="80">
        <v>0.0</v>
      </c>
      <c r="Q76" s="80">
        <v>0.0</v>
      </c>
      <c r="R76" s="80">
        <v>0.0</v>
      </c>
      <c r="S76" s="80">
        <v>0.0</v>
      </c>
      <c r="T76" s="80">
        <v>0.0</v>
      </c>
      <c r="U76" s="80">
        <v>0.0</v>
      </c>
      <c r="V76" s="80">
        <v>0.0</v>
      </c>
      <c r="W76" s="80">
        <v>0.0</v>
      </c>
      <c r="X76" s="80">
        <v>0.0</v>
      </c>
      <c r="Y76" s="80">
        <v>0.0</v>
      </c>
      <c r="Z76" s="80">
        <v>0.0</v>
      </c>
      <c r="AA76" s="80">
        <v>0.0</v>
      </c>
      <c r="AB76" s="80">
        <v>0.0</v>
      </c>
      <c r="AC76" s="80">
        <v>0.0</v>
      </c>
      <c r="AD76" s="13">
        <f t="shared" si="18"/>
        <v>2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0.0</v>
      </c>
      <c r="G77" s="80">
        <v>1.0</v>
      </c>
      <c r="H77" s="80">
        <v>0.0</v>
      </c>
      <c r="I77" s="80">
        <v>1.0</v>
      </c>
      <c r="J77" s="80">
        <v>0.0</v>
      </c>
      <c r="K77" s="80">
        <v>0.0</v>
      </c>
      <c r="L77" s="80">
        <v>0.0</v>
      </c>
      <c r="M77" s="80">
        <v>1.0</v>
      </c>
      <c r="N77" s="80">
        <v>0.0</v>
      </c>
      <c r="O77" s="80">
        <v>0.0</v>
      </c>
      <c r="P77" s="80">
        <v>0.0</v>
      </c>
      <c r="Q77" s="80">
        <v>0.0</v>
      </c>
      <c r="R77" s="80">
        <v>2.0</v>
      </c>
      <c r="S77" s="80">
        <v>0.0</v>
      </c>
      <c r="T77" s="80">
        <v>0.0</v>
      </c>
      <c r="U77" s="80">
        <v>0.0</v>
      </c>
      <c r="V77" s="80">
        <v>0.0</v>
      </c>
      <c r="W77" s="80">
        <v>0.0</v>
      </c>
      <c r="X77" s="80">
        <v>1.0</v>
      </c>
      <c r="Y77" s="80">
        <v>0.0</v>
      </c>
      <c r="Z77" s="80">
        <v>0.0</v>
      </c>
      <c r="AA77" s="80">
        <v>1.0</v>
      </c>
      <c r="AB77" s="80">
        <v>0.0</v>
      </c>
      <c r="AC77" s="80">
        <v>0.0</v>
      </c>
      <c r="AD77" s="13">
        <f t="shared" si="18"/>
        <v>7</v>
      </c>
    </row>
    <row r="78" ht="12.75" customHeight="1">
      <c r="A78" s="79"/>
      <c r="B78" s="49"/>
      <c r="C78" s="50" t="s">
        <v>68</v>
      </c>
      <c r="D78" s="51"/>
      <c r="E78" s="80">
        <v>2.0</v>
      </c>
      <c r="F78" s="80">
        <v>0.0</v>
      </c>
      <c r="G78" s="80">
        <v>0.0</v>
      </c>
      <c r="H78" s="80">
        <v>0.0</v>
      </c>
      <c r="I78" s="80">
        <v>0.0</v>
      </c>
      <c r="J78" s="80">
        <v>0.0</v>
      </c>
      <c r="K78" s="80">
        <v>0.0</v>
      </c>
      <c r="L78" s="80">
        <v>0.0</v>
      </c>
      <c r="M78" s="80">
        <v>1.0</v>
      </c>
      <c r="N78" s="80">
        <v>1.0</v>
      </c>
      <c r="O78" s="80">
        <v>1.0</v>
      </c>
      <c r="P78" s="80">
        <v>0.0</v>
      </c>
      <c r="Q78" s="80">
        <v>0.0</v>
      </c>
      <c r="R78" s="80">
        <v>0.0</v>
      </c>
      <c r="S78" s="80">
        <v>0.0</v>
      </c>
      <c r="T78" s="80">
        <v>0.0</v>
      </c>
      <c r="U78" s="80">
        <v>0.0</v>
      </c>
      <c r="V78" s="80">
        <v>0.0</v>
      </c>
      <c r="W78" s="80">
        <v>0.0</v>
      </c>
      <c r="X78" s="80">
        <v>1.0</v>
      </c>
      <c r="Y78" s="80">
        <v>0.0</v>
      </c>
      <c r="Z78" s="80">
        <v>0.0</v>
      </c>
      <c r="AA78" s="80">
        <v>0.0</v>
      </c>
      <c r="AB78" s="80">
        <v>0.0</v>
      </c>
      <c r="AC78" s="80">
        <v>1.0</v>
      </c>
      <c r="AD78" s="13">
        <f t="shared" si="18"/>
        <v>7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AD79" si="19">SUM(E69:E78)</f>
        <v>54</v>
      </c>
      <c r="F79" s="13">
        <f t="shared" si="19"/>
        <v>52</v>
      </c>
      <c r="G79" s="13">
        <f t="shared" si="19"/>
        <v>76</v>
      </c>
      <c r="H79" s="13">
        <f t="shared" si="19"/>
        <v>91</v>
      </c>
      <c r="I79" s="13">
        <f t="shared" si="19"/>
        <v>157</v>
      </c>
      <c r="J79" s="13">
        <f t="shared" si="19"/>
        <v>120</v>
      </c>
      <c r="K79" s="13">
        <f t="shared" si="19"/>
        <v>27</v>
      </c>
      <c r="L79" s="13">
        <f t="shared" si="19"/>
        <v>26</v>
      </c>
      <c r="M79" s="13">
        <f t="shared" si="19"/>
        <v>57</v>
      </c>
      <c r="N79" s="13">
        <f t="shared" si="19"/>
        <v>6</v>
      </c>
      <c r="O79" s="13">
        <f t="shared" si="19"/>
        <v>23</v>
      </c>
      <c r="P79" s="13">
        <f t="shared" si="19"/>
        <v>45</v>
      </c>
      <c r="Q79" s="13">
        <f t="shared" si="19"/>
        <v>35</v>
      </c>
      <c r="R79" s="13">
        <f t="shared" si="19"/>
        <v>22</v>
      </c>
      <c r="S79" s="13">
        <f t="shared" si="19"/>
        <v>44</v>
      </c>
      <c r="T79" s="13">
        <f t="shared" si="19"/>
        <v>26</v>
      </c>
      <c r="U79" s="13">
        <f t="shared" si="19"/>
        <v>19</v>
      </c>
      <c r="V79" s="13">
        <f t="shared" si="19"/>
        <v>12</v>
      </c>
      <c r="W79" s="13">
        <f t="shared" si="19"/>
        <v>53</v>
      </c>
      <c r="X79" s="13">
        <f t="shared" si="19"/>
        <v>45</v>
      </c>
      <c r="Y79" s="13">
        <f t="shared" si="19"/>
        <v>32</v>
      </c>
      <c r="Z79" s="13">
        <f t="shared" si="19"/>
        <v>22</v>
      </c>
      <c r="AA79" s="13">
        <f t="shared" si="19"/>
        <v>24</v>
      </c>
      <c r="AB79" s="13">
        <f t="shared" si="19"/>
        <v>52</v>
      </c>
      <c r="AC79" s="13">
        <f t="shared" si="19"/>
        <v>46</v>
      </c>
      <c r="AD79" s="13">
        <f t="shared" si="19"/>
        <v>1166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3.0</v>
      </c>
      <c r="F81" s="73">
        <v>2.0</v>
      </c>
      <c r="G81" s="73">
        <v>4.0</v>
      </c>
      <c r="H81" s="73">
        <v>2.0</v>
      </c>
      <c r="I81" s="73">
        <v>1.0</v>
      </c>
      <c r="J81" s="73">
        <v>1.0</v>
      </c>
      <c r="K81" s="73">
        <v>3.0</v>
      </c>
      <c r="L81" s="73">
        <v>2.0</v>
      </c>
      <c r="M81" s="73">
        <v>1.0</v>
      </c>
      <c r="N81" s="73">
        <v>4.0</v>
      </c>
      <c r="O81" s="73">
        <v>3.0</v>
      </c>
      <c r="P81" s="73">
        <v>2.0</v>
      </c>
      <c r="Q81" s="73">
        <v>1.0</v>
      </c>
      <c r="R81" s="73">
        <v>2.0</v>
      </c>
      <c r="S81" s="73">
        <v>2.0</v>
      </c>
      <c r="T81" s="73">
        <v>2.0</v>
      </c>
      <c r="U81" s="73">
        <v>0.0</v>
      </c>
      <c r="V81" s="73">
        <v>4.0</v>
      </c>
      <c r="W81" s="73">
        <v>3.0</v>
      </c>
      <c r="X81" s="73">
        <v>2.0</v>
      </c>
      <c r="Y81" s="73">
        <v>1.0</v>
      </c>
      <c r="Z81" s="73">
        <v>11.0</v>
      </c>
      <c r="AA81" s="73">
        <v>8.0</v>
      </c>
      <c r="AB81" s="73">
        <v>3.0</v>
      </c>
      <c r="AC81" s="73">
        <v>1.0</v>
      </c>
      <c r="AD81" s="13">
        <f t="shared" ref="AD81:AD90" si="20">SUM(E81:AC81)</f>
        <v>68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4.0</v>
      </c>
      <c r="F82" s="73">
        <v>1.0</v>
      </c>
      <c r="G82" s="73">
        <v>3.0</v>
      </c>
      <c r="H82" s="73">
        <v>1.0</v>
      </c>
      <c r="I82" s="73">
        <v>0.0</v>
      </c>
      <c r="J82" s="73">
        <v>3.0</v>
      </c>
      <c r="K82" s="73">
        <v>2.0</v>
      </c>
      <c r="L82" s="73">
        <v>0.0</v>
      </c>
      <c r="M82" s="73">
        <v>0.0</v>
      </c>
      <c r="N82" s="73">
        <v>1.0</v>
      </c>
      <c r="O82" s="73">
        <v>0.0</v>
      </c>
      <c r="P82" s="73">
        <v>1.0</v>
      </c>
      <c r="Q82" s="73">
        <v>0.0</v>
      </c>
      <c r="R82" s="73">
        <v>1.0</v>
      </c>
      <c r="S82" s="73">
        <v>2.0</v>
      </c>
      <c r="T82" s="73">
        <v>1.0</v>
      </c>
      <c r="U82" s="73">
        <v>1.0</v>
      </c>
      <c r="V82" s="73">
        <v>0.0</v>
      </c>
      <c r="W82" s="73">
        <v>2.0</v>
      </c>
      <c r="X82" s="73">
        <v>3.0</v>
      </c>
      <c r="Y82" s="73">
        <v>3.0</v>
      </c>
      <c r="Z82" s="73">
        <v>3.0</v>
      </c>
      <c r="AA82" s="73">
        <v>0.0</v>
      </c>
      <c r="AB82" s="73">
        <v>3.0</v>
      </c>
      <c r="AC82" s="73">
        <v>4.0</v>
      </c>
      <c r="AD82" s="13">
        <f t="shared" si="20"/>
        <v>39</v>
      </c>
    </row>
    <row r="83" ht="12.75" customHeight="1">
      <c r="A83" s="18"/>
      <c r="B83" s="49"/>
      <c r="C83" s="50" t="s">
        <v>71</v>
      </c>
      <c r="D83" s="51"/>
      <c r="E83" s="73">
        <v>1.0</v>
      </c>
      <c r="F83" s="73">
        <v>1.0</v>
      </c>
      <c r="G83" s="73">
        <v>0.0</v>
      </c>
      <c r="H83" s="73">
        <v>0.0</v>
      </c>
      <c r="I83" s="73">
        <v>0.0</v>
      </c>
      <c r="J83" s="73">
        <v>1.0</v>
      </c>
      <c r="K83" s="73">
        <v>1.0</v>
      </c>
      <c r="L83" s="73">
        <v>0.0</v>
      </c>
      <c r="M83" s="73">
        <v>0.0</v>
      </c>
      <c r="N83" s="73">
        <v>1.0</v>
      </c>
      <c r="O83" s="73">
        <v>0.0</v>
      </c>
      <c r="P83" s="73">
        <v>0.0</v>
      </c>
      <c r="Q83" s="73">
        <v>0.0</v>
      </c>
      <c r="R83" s="73">
        <v>0.0</v>
      </c>
      <c r="S83" s="73">
        <v>0.0</v>
      </c>
      <c r="T83" s="73">
        <v>0.0</v>
      </c>
      <c r="U83" s="73">
        <v>1.0</v>
      </c>
      <c r="V83" s="73">
        <v>0.0</v>
      </c>
      <c r="W83" s="73">
        <v>0.0</v>
      </c>
      <c r="X83" s="73">
        <v>0.0</v>
      </c>
      <c r="Y83" s="73">
        <v>0.0</v>
      </c>
      <c r="Z83" s="73">
        <v>1.0</v>
      </c>
      <c r="AA83" s="73">
        <v>2.0</v>
      </c>
      <c r="AB83" s="73">
        <v>0.0</v>
      </c>
      <c r="AC83" s="73">
        <v>1.0</v>
      </c>
      <c r="AD83" s="13">
        <f t="shared" si="20"/>
        <v>10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0.0</v>
      </c>
      <c r="G84" s="73">
        <v>0.0</v>
      </c>
      <c r="H84" s="73">
        <v>0.0</v>
      </c>
      <c r="I84" s="73">
        <v>0.0</v>
      </c>
      <c r="J84" s="73">
        <v>0.0</v>
      </c>
      <c r="K84" s="73">
        <v>0.0</v>
      </c>
      <c r="L84" s="73">
        <v>1.0</v>
      </c>
      <c r="M84" s="73">
        <v>0.0</v>
      </c>
      <c r="N84" s="73">
        <v>1.0</v>
      </c>
      <c r="O84" s="73">
        <v>0.0</v>
      </c>
      <c r="P84" s="73">
        <v>0.0</v>
      </c>
      <c r="Q84" s="73">
        <v>0.0</v>
      </c>
      <c r="R84" s="73">
        <v>1.0</v>
      </c>
      <c r="S84" s="73">
        <v>1.0</v>
      </c>
      <c r="T84" s="73">
        <v>0.0</v>
      </c>
      <c r="U84" s="73">
        <v>0.0</v>
      </c>
      <c r="V84" s="73">
        <v>0.0</v>
      </c>
      <c r="W84" s="73">
        <v>0.0</v>
      </c>
      <c r="X84" s="73">
        <v>0.0</v>
      </c>
      <c r="Y84" s="73">
        <v>0.0</v>
      </c>
      <c r="Z84" s="73">
        <v>0.0</v>
      </c>
      <c r="AA84" s="73">
        <v>0.0</v>
      </c>
      <c r="AB84" s="73">
        <v>0.0</v>
      </c>
      <c r="AC84" s="73">
        <v>0.0</v>
      </c>
      <c r="AD84" s="13">
        <f t="shared" si="20"/>
        <v>4</v>
      </c>
    </row>
    <row r="85" ht="12.75" customHeight="1">
      <c r="A85" s="18"/>
      <c r="B85" s="49"/>
      <c r="C85" s="50" t="s">
        <v>73</v>
      </c>
      <c r="D85" s="51"/>
      <c r="E85" s="73">
        <v>1.0</v>
      </c>
      <c r="F85" s="73">
        <v>3.0</v>
      </c>
      <c r="G85" s="73">
        <v>1.0</v>
      </c>
      <c r="H85" s="73">
        <v>1.0</v>
      </c>
      <c r="I85" s="73">
        <v>1.0</v>
      </c>
      <c r="J85" s="73">
        <v>0.0</v>
      </c>
      <c r="K85" s="73">
        <v>0.0</v>
      </c>
      <c r="L85" s="73">
        <v>2.0</v>
      </c>
      <c r="M85" s="73">
        <v>1.0</v>
      </c>
      <c r="N85" s="73">
        <v>0.0</v>
      </c>
      <c r="O85" s="73">
        <v>0.0</v>
      </c>
      <c r="P85" s="73">
        <v>1.0</v>
      </c>
      <c r="Q85" s="73">
        <v>0.0</v>
      </c>
      <c r="R85" s="73">
        <v>0.0</v>
      </c>
      <c r="S85" s="73">
        <v>0.0</v>
      </c>
      <c r="T85" s="73">
        <v>0.0</v>
      </c>
      <c r="U85" s="73">
        <v>0.0</v>
      </c>
      <c r="V85" s="73">
        <v>0.0</v>
      </c>
      <c r="W85" s="73">
        <v>1.0</v>
      </c>
      <c r="X85" s="73">
        <v>2.0</v>
      </c>
      <c r="Y85" s="73">
        <v>1.0</v>
      </c>
      <c r="Z85" s="73">
        <v>6.0</v>
      </c>
      <c r="AA85" s="73">
        <v>0.0</v>
      </c>
      <c r="AB85" s="73">
        <v>3.0</v>
      </c>
      <c r="AC85" s="73">
        <v>1.0</v>
      </c>
      <c r="AD85" s="13">
        <f t="shared" si="20"/>
        <v>25</v>
      </c>
    </row>
    <row r="86" ht="12.75" customHeight="1">
      <c r="A86" s="18"/>
      <c r="B86" s="49"/>
      <c r="C86" s="50" t="s">
        <v>74</v>
      </c>
      <c r="D86" s="51"/>
      <c r="E86" s="73">
        <v>0.0</v>
      </c>
      <c r="F86" s="73">
        <v>0.0</v>
      </c>
      <c r="G86" s="73">
        <v>0.0</v>
      </c>
      <c r="H86" s="73">
        <v>0.0</v>
      </c>
      <c r="I86" s="73">
        <v>0.0</v>
      </c>
      <c r="J86" s="73">
        <v>0.0</v>
      </c>
      <c r="K86" s="73">
        <v>0.0</v>
      </c>
      <c r="L86" s="73">
        <v>2.0</v>
      </c>
      <c r="M86" s="73">
        <v>2.0</v>
      </c>
      <c r="N86" s="73">
        <v>0.0</v>
      </c>
      <c r="O86" s="73">
        <v>0.0</v>
      </c>
      <c r="P86" s="73">
        <v>1.0</v>
      </c>
      <c r="Q86" s="73">
        <v>1.0</v>
      </c>
      <c r="R86" s="73">
        <v>0.0</v>
      </c>
      <c r="S86" s="73">
        <v>0.0</v>
      </c>
      <c r="T86" s="73">
        <v>0.0</v>
      </c>
      <c r="U86" s="73">
        <v>0.0</v>
      </c>
      <c r="V86" s="73">
        <v>0.0</v>
      </c>
      <c r="W86" s="73">
        <v>0.0</v>
      </c>
      <c r="X86" s="73">
        <v>1.0</v>
      </c>
      <c r="Y86" s="73">
        <v>0.0</v>
      </c>
      <c r="Z86" s="73">
        <v>0.0</v>
      </c>
      <c r="AA86" s="73">
        <v>0.0</v>
      </c>
      <c r="AB86" s="73">
        <v>0.0</v>
      </c>
      <c r="AC86" s="73">
        <v>0.0</v>
      </c>
      <c r="AD86" s="13">
        <f t="shared" si="20"/>
        <v>7</v>
      </c>
    </row>
    <row r="87" ht="12.75" customHeight="1">
      <c r="A87" s="18"/>
      <c r="B87" s="49"/>
      <c r="C87" s="50" t="s">
        <v>75</v>
      </c>
      <c r="D87" s="51"/>
      <c r="E87" s="73">
        <v>1.0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1.0</v>
      </c>
      <c r="M87" s="73">
        <v>1.0</v>
      </c>
      <c r="N87" s="73">
        <v>1.0</v>
      </c>
      <c r="O87" s="73">
        <v>0.0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73">
        <v>0.0</v>
      </c>
      <c r="V87" s="73">
        <v>0.0</v>
      </c>
      <c r="W87" s="73">
        <v>1.0</v>
      </c>
      <c r="X87" s="73">
        <v>0.0</v>
      </c>
      <c r="Y87" s="73">
        <v>0.0</v>
      </c>
      <c r="Z87" s="73">
        <v>1.0</v>
      </c>
      <c r="AA87" s="73">
        <v>0.0</v>
      </c>
      <c r="AB87" s="73">
        <v>0.0</v>
      </c>
      <c r="AC87" s="73">
        <v>0.0</v>
      </c>
      <c r="AD87" s="13">
        <f t="shared" si="20"/>
        <v>6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0.0</v>
      </c>
      <c r="L88" s="80">
        <v>0.0</v>
      </c>
      <c r="M88" s="80">
        <v>0.0</v>
      </c>
      <c r="N88" s="80">
        <v>0.0</v>
      </c>
      <c r="O88" s="80">
        <v>0.0</v>
      </c>
      <c r="P88" s="80">
        <v>0.0</v>
      </c>
      <c r="Q88" s="80">
        <v>0.0</v>
      </c>
      <c r="R88" s="80">
        <v>0.0</v>
      </c>
      <c r="S88" s="80">
        <v>0.0</v>
      </c>
      <c r="T88" s="80">
        <v>0.0</v>
      </c>
      <c r="U88" s="80">
        <v>0.0</v>
      </c>
      <c r="V88" s="80">
        <v>0.0</v>
      </c>
      <c r="W88" s="80">
        <v>0.0</v>
      </c>
      <c r="X88" s="80">
        <v>0.0</v>
      </c>
      <c r="Y88" s="80">
        <v>0.0</v>
      </c>
      <c r="Z88" s="80">
        <v>0.0</v>
      </c>
      <c r="AA88" s="80">
        <v>0.0</v>
      </c>
      <c r="AB88" s="80">
        <v>0.0</v>
      </c>
      <c r="AC88" s="80">
        <v>0.0</v>
      </c>
      <c r="AD88" s="13">
        <f t="shared" si="20"/>
        <v>0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2.0</v>
      </c>
      <c r="N89" s="80">
        <v>0.0</v>
      </c>
      <c r="O89" s="80">
        <v>0.0</v>
      </c>
      <c r="P89" s="80">
        <v>0.0</v>
      </c>
      <c r="Q89" s="80">
        <v>0.0</v>
      </c>
      <c r="R89" s="80">
        <v>0.0</v>
      </c>
      <c r="S89" s="80">
        <v>0.0</v>
      </c>
      <c r="T89" s="80">
        <v>0.0</v>
      </c>
      <c r="U89" s="80">
        <v>0.0</v>
      </c>
      <c r="V89" s="80">
        <v>0.0</v>
      </c>
      <c r="W89" s="80">
        <v>0.0</v>
      </c>
      <c r="X89" s="80">
        <v>0.0</v>
      </c>
      <c r="Y89" s="80">
        <v>0.0</v>
      </c>
      <c r="Z89" s="80">
        <v>1.0</v>
      </c>
      <c r="AA89" s="80">
        <v>0.0</v>
      </c>
      <c r="AB89" s="80">
        <v>0.0</v>
      </c>
      <c r="AC89" s="80">
        <v>0.0</v>
      </c>
      <c r="AD89" s="13">
        <f t="shared" si="20"/>
        <v>3</v>
      </c>
    </row>
    <row r="90" ht="12.75" customHeight="1">
      <c r="A90" s="79"/>
      <c r="B90" s="49"/>
      <c r="C90" s="50" t="s">
        <v>78</v>
      </c>
      <c r="D90" s="51"/>
      <c r="E90" s="80">
        <v>0.0</v>
      </c>
      <c r="F90" s="80">
        <v>0.0</v>
      </c>
      <c r="G90" s="80">
        <v>0.0</v>
      </c>
      <c r="H90" s="80">
        <v>0.0</v>
      </c>
      <c r="I90" s="80">
        <v>0.0</v>
      </c>
      <c r="J90" s="80">
        <v>0.0</v>
      </c>
      <c r="K90" s="80">
        <v>0.0</v>
      </c>
      <c r="L90" s="80">
        <v>0.0</v>
      </c>
      <c r="M90" s="80">
        <v>0.0</v>
      </c>
      <c r="N90" s="80">
        <v>0.0</v>
      </c>
      <c r="O90" s="80">
        <v>0.0</v>
      </c>
      <c r="P90" s="80">
        <v>0.0</v>
      </c>
      <c r="Q90" s="80">
        <v>0.0</v>
      </c>
      <c r="R90" s="80">
        <v>0.0</v>
      </c>
      <c r="S90" s="80">
        <v>0.0</v>
      </c>
      <c r="T90" s="80">
        <v>0.0</v>
      </c>
      <c r="U90" s="80">
        <v>0.0</v>
      </c>
      <c r="V90" s="80">
        <v>0.0</v>
      </c>
      <c r="W90" s="80">
        <v>0.0</v>
      </c>
      <c r="X90" s="80">
        <v>0.0</v>
      </c>
      <c r="Y90" s="80">
        <v>1.0</v>
      </c>
      <c r="Z90" s="80">
        <v>0.0</v>
      </c>
      <c r="AA90" s="80">
        <v>1.0</v>
      </c>
      <c r="AB90" s="80">
        <v>0.0</v>
      </c>
      <c r="AC90" s="80">
        <v>0.0</v>
      </c>
      <c r="AD90" s="13">
        <f t="shared" si="20"/>
        <v>2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AD91" si="21">SUM(E81:E90)</f>
        <v>10</v>
      </c>
      <c r="F91" s="13">
        <f t="shared" si="21"/>
        <v>7</v>
      </c>
      <c r="G91" s="13">
        <f t="shared" si="21"/>
        <v>8</v>
      </c>
      <c r="H91" s="13">
        <f t="shared" si="21"/>
        <v>4</v>
      </c>
      <c r="I91" s="13">
        <f t="shared" si="21"/>
        <v>2</v>
      </c>
      <c r="J91" s="13">
        <f t="shared" si="21"/>
        <v>5</v>
      </c>
      <c r="K91" s="13">
        <f t="shared" si="21"/>
        <v>6</v>
      </c>
      <c r="L91" s="13">
        <f t="shared" si="21"/>
        <v>8</v>
      </c>
      <c r="M91" s="13">
        <f t="shared" si="21"/>
        <v>7</v>
      </c>
      <c r="N91" s="13">
        <f t="shared" si="21"/>
        <v>8</v>
      </c>
      <c r="O91" s="13">
        <f t="shared" si="21"/>
        <v>3</v>
      </c>
      <c r="P91" s="13">
        <f t="shared" si="21"/>
        <v>5</v>
      </c>
      <c r="Q91" s="13">
        <f t="shared" si="21"/>
        <v>2</v>
      </c>
      <c r="R91" s="13">
        <f t="shared" si="21"/>
        <v>4</v>
      </c>
      <c r="S91" s="13">
        <f t="shared" si="21"/>
        <v>5</v>
      </c>
      <c r="T91" s="13">
        <f t="shared" si="21"/>
        <v>3</v>
      </c>
      <c r="U91" s="13">
        <f t="shared" si="21"/>
        <v>2</v>
      </c>
      <c r="V91" s="13">
        <f t="shared" si="21"/>
        <v>4</v>
      </c>
      <c r="W91" s="13">
        <f t="shared" si="21"/>
        <v>7</v>
      </c>
      <c r="X91" s="13">
        <f t="shared" si="21"/>
        <v>8</v>
      </c>
      <c r="Y91" s="13">
        <f t="shared" si="21"/>
        <v>6</v>
      </c>
      <c r="Z91" s="13">
        <f t="shared" si="21"/>
        <v>23</v>
      </c>
      <c r="AA91" s="13">
        <f t="shared" si="21"/>
        <v>11</v>
      </c>
      <c r="AB91" s="13">
        <f t="shared" si="21"/>
        <v>9</v>
      </c>
      <c r="AC91" s="13">
        <f t="shared" si="21"/>
        <v>7</v>
      </c>
      <c r="AD91" s="13">
        <f t="shared" si="21"/>
        <v>164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3.0</v>
      </c>
      <c r="F93" s="73">
        <v>0.0</v>
      </c>
      <c r="G93" s="73">
        <v>0.0</v>
      </c>
      <c r="H93" s="73">
        <v>0.0</v>
      </c>
      <c r="I93" s="73">
        <v>0.0</v>
      </c>
      <c r="J93" s="73">
        <v>0.0</v>
      </c>
      <c r="K93" s="73">
        <v>2.0</v>
      </c>
      <c r="L93" s="73">
        <v>0.0</v>
      </c>
      <c r="M93" s="73">
        <v>4.0</v>
      </c>
      <c r="N93" s="73">
        <v>0.0</v>
      </c>
      <c r="O93" s="73">
        <v>2.0</v>
      </c>
      <c r="P93" s="73">
        <v>2.0</v>
      </c>
      <c r="Q93" s="73">
        <v>5.0</v>
      </c>
      <c r="R93" s="73">
        <v>1.0</v>
      </c>
      <c r="S93" s="73">
        <v>0.0</v>
      </c>
      <c r="T93" s="73">
        <v>3.0</v>
      </c>
      <c r="U93" s="73">
        <v>2.0</v>
      </c>
      <c r="V93" s="73">
        <v>4.0</v>
      </c>
      <c r="W93" s="73">
        <v>0.0</v>
      </c>
      <c r="X93" s="73">
        <v>2.0</v>
      </c>
      <c r="Y93" s="73">
        <v>1.0</v>
      </c>
      <c r="Z93" s="73">
        <v>1.0</v>
      </c>
      <c r="AA93" s="73">
        <v>3.0</v>
      </c>
      <c r="AB93" s="73">
        <v>0.0</v>
      </c>
      <c r="AC93" s="73">
        <v>2.0</v>
      </c>
      <c r="AD93" s="13">
        <f t="shared" ref="AD93:AD102" si="22">SUM(E93:AC93)</f>
        <v>37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1.0</v>
      </c>
      <c r="F94" s="73">
        <v>1.0</v>
      </c>
      <c r="G94" s="73">
        <v>0.0</v>
      </c>
      <c r="H94" s="73">
        <v>3.0</v>
      </c>
      <c r="I94" s="73">
        <v>2.0</v>
      </c>
      <c r="J94" s="73">
        <v>3.0</v>
      </c>
      <c r="K94" s="73">
        <v>0.0</v>
      </c>
      <c r="L94" s="73">
        <v>1.0</v>
      </c>
      <c r="M94" s="73">
        <v>1.0</v>
      </c>
      <c r="N94" s="73">
        <v>1.0</v>
      </c>
      <c r="O94" s="73">
        <v>6.0</v>
      </c>
      <c r="P94" s="73">
        <v>3.0</v>
      </c>
      <c r="Q94" s="73">
        <v>1.0</v>
      </c>
      <c r="R94" s="73">
        <v>2.0</v>
      </c>
      <c r="S94" s="73">
        <v>0.0</v>
      </c>
      <c r="T94" s="73">
        <v>0.0</v>
      </c>
      <c r="U94" s="73">
        <v>2.0</v>
      </c>
      <c r="V94" s="73">
        <v>2.0</v>
      </c>
      <c r="W94" s="73">
        <v>0.0</v>
      </c>
      <c r="X94" s="73">
        <v>2.0</v>
      </c>
      <c r="Y94" s="73">
        <v>1.0</v>
      </c>
      <c r="Z94" s="73">
        <v>2.0</v>
      </c>
      <c r="AA94" s="73">
        <v>0.0</v>
      </c>
      <c r="AB94" s="73">
        <v>0.0</v>
      </c>
      <c r="AC94" s="73">
        <v>1.0</v>
      </c>
      <c r="AD94" s="13">
        <f t="shared" si="22"/>
        <v>35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1.0</v>
      </c>
      <c r="O95" s="73">
        <v>0.0</v>
      </c>
      <c r="P95" s="73">
        <v>0.0</v>
      </c>
      <c r="Q95" s="73">
        <v>0.0</v>
      </c>
      <c r="R95" s="73">
        <v>1.0</v>
      </c>
      <c r="S95" s="73">
        <v>0.0</v>
      </c>
      <c r="T95" s="73">
        <v>0.0</v>
      </c>
      <c r="U95" s="73">
        <v>0.0</v>
      </c>
      <c r="V95" s="73">
        <v>0.0</v>
      </c>
      <c r="W95" s="73">
        <v>1.0</v>
      </c>
      <c r="X95" s="73">
        <v>0.0</v>
      </c>
      <c r="Y95" s="73">
        <v>0.0</v>
      </c>
      <c r="Z95" s="73">
        <v>0.0</v>
      </c>
      <c r="AA95" s="73">
        <v>0.0</v>
      </c>
      <c r="AB95" s="73">
        <v>0.0</v>
      </c>
      <c r="AC95" s="73">
        <v>1.0</v>
      </c>
      <c r="AD95" s="13">
        <f t="shared" si="22"/>
        <v>4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1.0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73">
        <v>0.0</v>
      </c>
      <c r="V96" s="73">
        <v>1.0</v>
      </c>
      <c r="W96" s="73">
        <v>1.0</v>
      </c>
      <c r="X96" s="73">
        <v>0.0</v>
      </c>
      <c r="Y96" s="73">
        <v>1.0</v>
      </c>
      <c r="Z96" s="73">
        <v>0.0</v>
      </c>
      <c r="AA96" s="73">
        <v>0.0</v>
      </c>
      <c r="AB96" s="73">
        <v>0.0</v>
      </c>
      <c r="AC96" s="73">
        <v>0.0</v>
      </c>
      <c r="AD96" s="13">
        <f t="shared" si="22"/>
        <v>4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1.0</v>
      </c>
      <c r="G97" s="73">
        <v>0.0</v>
      </c>
      <c r="H97" s="73">
        <v>0.0</v>
      </c>
      <c r="I97" s="73">
        <v>0.0</v>
      </c>
      <c r="J97" s="73">
        <v>0.0</v>
      </c>
      <c r="K97" s="73">
        <v>1.0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1.0</v>
      </c>
      <c r="AA97" s="73">
        <v>0.0</v>
      </c>
      <c r="AB97" s="73">
        <v>0.0</v>
      </c>
      <c r="AC97" s="73">
        <v>0.0</v>
      </c>
      <c r="AD97" s="13">
        <f t="shared" si="22"/>
        <v>3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0.0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73">
        <v>0.0</v>
      </c>
      <c r="Y98" s="73">
        <v>0.0</v>
      </c>
      <c r="Z98" s="73">
        <v>0.0</v>
      </c>
      <c r="AA98" s="73">
        <v>0.0</v>
      </c>
      <c r="AB98" s="73">
        <v>0.0</v>
      </c>
      <c r="AC98" s="73">
        <v>0.0</v>
      </c>
      <c r="AD98" s="13">
        <f t="shared" si="22"/>
        <v>0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0.0</v>
      </c>
      <c r="AB99" s="73">
        <v>0.0</v>
      </c>
      <c r="AC99" s="73">
        <v>0.0</v>
      </c>
      <c r="AD99" s="13">
        <f t="shared" si="22"/>
        <v>0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2.0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0.0</v>
      </c>
      <c r="T100" s="80">
        <v>0.0</v>
      </c>
      <c r="U100" s="80">
        <v>0.0</v>
      </c>
      <c r="V100" s="80">
        <v>0.0</v>
      </c>
      <c r="W100" s="80">
        <v>0.0</v>
      </c>
      <c r="X100" s="80">
        <v>0.0</v>
      </c>
      <c r="Y100" s="80">
        <v>0.0</v>
      </c>
      <c r="Z100" s="80">
        <v>0.0</v>
      </c>
      <c r="AA100" s="80">
        <v>0.0</v>
      </c>
      <c r="AB100" s="80">
        <v>0.0</v>
      </c>
      <c r="AC100" s="80">
        <v>0.0</v>
      </c>
      <c r="AD100" s="13">
        <f t="shared" si="22"/>
        <v>2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1.0</v>
      </c>
      <c r="G101" s="80">
        <v>1.0</v>
      </c>
      <c r="H101" s="80">
        <v>0.0</v>
      </c>
      <c r="I101" s="80">
        <v>0.0</v>
      </c>
      <c r="J101" s="80">
        <v>0.0</v>
      </c>
      <c r="K101" s="80">
        <v>0.0</v>
      </c>
      <c r="L101" s="80">
        <v>0.0</v>
      </c>
      <c r="M101" s="80">
        <v>0.0</v>
      </c>
      <c r="N101" s="80">
        <v>2.0</v>
      </c>
      <c r="O101" s="80">
        <v>0.0</v>
      </c>
      <c r="P101" s="80">
        <v>0.0</v>
      </c>
      <c r="Q101" s="80">
        <v>0.0</v>
      </c>
      <c r="R101" s="80">
        <v>0.0</v>
      </c>
      <c r="S101" s="80">
        <v>0.0</v>
      </c>
      <c r="T101" s="80">
        <v>0.0</v>
      </c>
      <c r="U101" s="80">
        <v>0.0</v>
      </c>
      <c r="V101" s="80">
        <v>2.0</v>
      </c>
      <c r="W101" s="80">
        <v>0.0</v>
      </c>
      <c r="X101" s="80">
        <v>0.0</v>
      </c>
      <c r="Y101" s="80">
        <v>0.0</v>
      </c>
      <c r="Z101" s="80">
        <v>0.0</v>
      </c>
      <c r="AA101" s="80">
        <v>0.0</v>
      </c>
      <c r="AB101" s="80">
        <v>1.0</v>
      </c>
      <c r="AC101" s="80">
        <v>0.0</v>
      </c>
      <c r="AD101" s="13">
        <f t="shared" si="22"/>
        <v>7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80">
        <v>0.0</v>
      </c>
      <c r="V102" s="80">
        <v>0.0</v>
      </c>
      <c r="W102" s="80">
        <v>0.0</v>
      </c>
      <c r="X102" s="80">
        <v>0.0</v>
      </c>
      <c r="Y102" s="80">
        <v>0.0</v>
      </c>
      <c r="Z102" s="80">
        <v>0.0</v>
      </c>
      <c r="AA102" s="80">
        <v>0.0</v>
      </c>
      <c r="AB102" s="80">
        <v>0.0</v>
      </c>
      <c r="AC102" s="80">
        <v>0.0</v>
      </c>
      <c r="AD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AD103" si="23">SUM(E93:E102)</f>
        <v>4</v>
      </c>
      <c r="F103" s="13">
        <f t="shared" si="23"/>
        <v>3</v>
      </c>
      <c r="G103" s="13">
        <f t="shared" si="23"/>
        <v>1</v>
      </c>
      <c r="H103" s="13">
        <f t="shared" si="23"/>
        <v>3</v>
      </c>
      <c r="I103" s="13">
        <f t="shared" si="23"/>
        <v>2</v>
      </c>
      <c r="J103" s="13">
        <f t="shared" si="23"/>
        <v>3</v>
      </c>
      <c r="K103" s="13">
        <f t="shared" si="23"/>
        <v>5</v>
      </c>
      <c r="L103" s="13">
        <f t="shared" si="23"/>
        <v>1</v>
      </c>
      <c r="M103" s="13">
        <f t="shared" si="23"/>
        <v>5</v>
      </c>
      <c r="N103" s="13">
        <f t="shared" si="23"/>
        <v>4</v>
      </c>
      <c r="O103" s="13">
        <f t="shared" si="23"/>
        <v>9</v>
      </c>
      <c r="P103" s="13">
        <f t="shared" si="23"/>
        <v>5</v>
      </c>
      <c r="Q103" s="13">
        <f t="shared" si="23"/>
        <v>6</v>
      </c>
      <c r="R103" s="13">
        <f t="shared" si="23"/>
        <v>4</v>
      </c>
      <c r="S103" s="13">
        <f t="shared" si="23"/>
        <v>0</v>
      </c>
      <c r="T103" s="13">
        <f t="shared" si="23"/>
        <v>3</v>
      </c>
      <c r="U103" s="13">
        <f t="shared" si="23"/>
        <v>4</v>
      </c>
      <c r="V103" s="13">
        <f t="shared" si="23"/>
        <v>9</v>
      </c>
      <c r="W103" s="13">
        <f t="shared" si="23"/>
        <v>2</v>
      </c>
      <c r="X103" s="13">
        <f t="shared" si="23"/>
        <v>4</v>
      </c>
      <c r="Y103" s="13">
        <f t="shared" si="23"/>
        <v>3</v>
      </c>
      <c r="Z103" s="13">
        <f t="shared" si="23"/>
        <v>4</v>
      </c>
      <c r="AA103" s="13">
        <f t="shared" si="23"/>
        <v>3</v>
      </c>
      <c r="AB103" s="13">
        <f t="shared" si="23"/>
        <v>1</v>
      </c>
      <c r="AC103" s="13">
        <f t="shared" si="23"/>
        <v>4</v>
      </c>
      <c r="AD103" s="13">
        <f t="shared" si="23"/>
        <v>92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1.0</v>
      </c>
      <c r="G105" s="73">
        <v>1.0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1.0</v>
      </c>
      <c r="R105" s="73">
        <v>0.0</v>
      </c>
      <c r="S105" s="73">
        <v>1.0</v>
      </c>
      <c r="T105" s="73">
        <v>0.0</v>
      </c>
      <c r="U105" s="73">
        <v>0.0</v>
      </c>
      <c r="V105" s="73">
        <v>1.0</v>
      </c>
      <c r="W105" s="73">
        <v>0.0</v>
      </c>
      <c r="X105" s="73">
        <v>0.0</v>
      </c>
      <c r="Y105" s="73">
        <v>1.0</v>
      </c>
      <c r="Z105" s="73">
        <v>0.0</v>
      </c>
      <c r="AA105" s="73">
        <v>3.0</v>
      </c>
      <c r="AB105" s="73">
        <v>0.0</v>
      </c>
      <c r="AC105" s="73">
        <v>1.0</v>
      </c>
      <c r="AD105" s="13">
        <f t="shared" ref="AD105:AD114" si="24">SUM(E105:AC105)</f>
        <v>10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1.0</v>
      </c>
      <c r="F106" s="73">
        <v>0.0</v>
      </c>
      <c r="G106" s="73">
        <v>0.0</v>
      </c>
      <c r="H106" s="73">
        <v>0.0</v>
      </c>
      <c r="I106" s="73">
        <v>0.0</v>
      </c>
      <c r="J106" s="73">
        <v>1.0</v>
      </c>
      <c r="K106" s="73">
        <v>1.0</v>
      </c>
      <c r="L106" s="73">
        <v>1.0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1.0</v>
      </c>
      <c r="S106" s="73">
        <v>1.0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1.0</v>
      </c>
      <c r="AB106" s="73">
        <v>0.0</v>
      </c>
      <c r="AC106" s="73">
        <v>2.0</v>
      </c>
      <c r="AD106" s="13">
        <f t="shared" si="24"/>
        <v>9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0.0</v>
      </c>
      <c r="I107" s="80">
        <v>0.0</v>
      </c>
      <c r="J107" s="80">
        <v>0.0</v>
      </c>
      <c r="K107" s="80">
        <v>0.0</v>
      </c>
      <c r="L107" s="80">
        <v>0.0</v>
      </c>
      <c r="M107" s="80">
        <v>1.0</v>
      </c>
      <c r="N107" s="80">
        <v>0.0</v>
      </c>
      <c r="O107" s="80">
        <v>0.0</v>
      </c>
      <c r="P107" s="80">
        <v>0.0</v>
      </c>
      <c r="Q107" s="80">
        <v>0.0</v>
      </c>
      <c r="R107" s="80">
        <v>0.0</v>
      </c>
      <c r="S107" s="80">
        <v>1.0</v>
      </c>
      <c r="T107" s="80">
        <v>0.0</v>
      </c>
      <c r="U107" s="80">
        <v>0.0</v>
      </c>
      <c r="V107" s="80">
        <v>1.0</v>
      </c>
      <c r="W107" s="80">
        <v>0.0</v>
      </c>
      <c r="X107" s="80">
        <v>0.0</v>
      </c>
      <c r="Y107" s="80">
        <v>0.0</v>
      </c>
      <c r="Z107" s="80">
        <v>0.0</v>
      </c>
      <c r="AA107" s="80">
        <v>1.0</v>
      </c>
      <c r="AB107" s="80">
        <v>1.0</v>
      </c>
      <c r="AC107" s="80">
        <v>0.0</v>
      </c>
      <c r="AD107" s="13">
        <f t="shared" si="24"/>
        <v>5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AD115" si="25">SUM(E105:E114)</f>
        <v>1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3</v>
      </c>
      <c r="T115" s="13">
        <f t="shared" si="25"/>
        <v>0</v>
      </c>
      <c r="U115" s="13">
        <f t="shared" si="25"/>
        <v>0</v>
      </c>
      <c r="V115" s="13">
        <f t="shared" si="25"/>
        <v>2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5</v>
      </c>
      <c r="AB115" s="13">
        <f t="shared" si="25"/>
        <v>1</v>
      </c>
      <c r="AC115" s="13">
        <f t="shared" si="25"/>
        <v>3</v>
      </c>
      <c r="AD115" s="13">
        <f t="shared" si="25"/>
        <v>24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AD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0.0</v>
      </c>
      <c r="G117" s="73">
        <v>0.0</v>
      </c>
      <c r="H117" s="73">
        <v>0.0</v>
      </c>
      <c r="I117" s="73">
        <v>0.0</v>
      </c>
      <c r="J117" s="73">
        <v>0.0</v>
      </c>
      <c r="K117" s="73">
        <v>0.0</v>
      </c>
      <c r="L117" s="73">
        <v>0.0</v>
      </c>
      <c r="M117" s="73">
        <v>1.0</v>
      </c>
      <c r="N117" s="73">
        <v>0.0</v>
      </c>
      <c r="O117" s="73">
        <v>0.0</v>
      </c>
      <c r="P117" s="73">
        <v>0.0</v>
      </c>
      <c r="Q117" s="73">
        <v>7.0</v>
      </c>
      <c r="R117" s="73">
        <v>2.0</v>
      </c>
      <c r="S117" s="73">
        <v>0.0</v>
      </c>
      <c r="T117" s="73">
        <v>0.0</v>
      </c>
      <c r="U117" s="73">
        <v>0.0</v>
      </c>
      <c r="V117" s="73">
        <v>0.0</v>
      </c>
      <c r="W117" s="73">
        <v>1.0</v>
      </c>
      <c r="X117" s="73">
        <v>0.0</v>
      </c>
      <c r="Y117" s="73">
        <v>0.0</v>
      </c>
      <c r="Z117" s="73">
        <v>0.0</v>
      </c>
      <c r="AA117" s="73">
        <v>2.0</v>
      </c>
      <c r="AB117" s="73">
        <v>1.0</v>
      </c>
      <c r="AC117" s="73">
        <v>1.0</v>
      </c>
      <c r="AD117" s="13">
        <f t="shared" ref="AD117:AD126" si="26">SUM(E117:AC117)</f>
        <v>15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1.0</v>
      </c>
      <c r="G118" s="73">
        <v>0.0</v>
      </c>
      <c r="H118" s="73">
        <v>0.0</v>
      </c>
      <c r="I118" s="73">
        <v>0.0</v>
      </c>
      <c r="J118" s="73">
        <v>0.0</v>
      </c>
      <c r="K118" s="73">
        <v>0.0</v>
      </c>
      <c r="L118" s="73">
        <v>0.0</v>
      </c>
      <c r="M118" s="73">
        <v>0.0</v>
      </c>
      <c r="N118" s="73">
        <v>1.0</v>
      </c>
      <c r="O118" s="73">
        <v>0.0</v>
      </c>
      <c r="P118" s="73">
        <v>1.0</v>
      </c>
      <c r="Q118" s="73">
        <v>5.0</v>
      </c>
      <c r="R118" s="73">
        <v>2.0</v>
      </c>
      <c r="S118" s="73">
        <v>2.0</v>
      </c>
      <c r="T118" s="73">
        <v>1.0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1.0</v>
      </c>
      <c r="AD118" s="13">
        <f t="shared" si="26"/>
        <v>14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0.0</v>
      </c>
      <c r="Q119" s="73">
        <v>2.0</v>
      </c>
      <c r="R119" s="73">
        <v>0.0</v>
      </c>
      <c r="S119" s="73">
        <v>2.0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73">
        <v>0.0</v>
      </c>
      <c r="AA119" s="73">
        <v>0.0</v>
      </c>
      <c r="AB119" s="73">
        <v>0.0</v>
      </c>
      <c r="AC119" s="73">
        <v>0.0</v>
      </c>
      <c r="AD119" s="13">
        <f t="shared" si="26"/>
        <v>4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1.0</v>
      </c>
      <c r="P120" s="73">
        <v>0.0</v>
      </c>
      <c r="Q120" s="73">
        <v>0.0</v>
      </c>
      <c r="R120" s="73">
        <v>0.0</v>
      </c>
      <c r="S120" s="73">
        <v>0.0</v>
      </c>
      <c r="T120" s="73">
        <v>0.0</v>
      </c>
      <c r="U120" s="73">
        <v>0.0</v>
      </c>
      <c r="V120" s="73">
        <v>1.0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0.0</v>
      </c>
      <c r="AD120" s="13">
        <f t="shared" si="26"/>
        <v>2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80">
        <v>0.0</v>
      </c>
      <c r="U121" s="80">
        <v>0.0</v>
      </c>
      <c r="V121" s="80">
        <v>0.0</v>
      </c>
      <c r="W121" s="80">
        <v>0.0</v>
      </c>
      <c r="X121" s="80">
        <v>0.0</v>
      </c>
      <c r="Y121" s="80">
        <v>0.0</v>
      </c>
      <c r="Z121" s="80">
        <v>0.0</v>
      </c>
      <c r="AA121" s="80">
        <v>0.0</v>
      </c>
      <c r="AB121" s="80">
        <v>0.0</v>
      </c>
      <c r="AC121" s="80">
        <v>0.0</v>
      </c>
      <c r="AD121" s="13">
        <f t="shared" si="26"/>
        <v>0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1.0</v>
      </c>
      <c r="R122" s="80">
        <v>0.0</v>
      </c>
      <c r="S122" s="80">
        <v>0.0</v>
      </c>
      <c r="T122" s="80">
        <v>0.0</v>
      </c>
      <c r="U122" s="80">
        <v>0.0</v>
      </c>
      <c r="V122" s="80">
        <v>0.0</v>
      </c>
      <c r="W122" s="80">
        <v>0.0</v>
      </c>
      <c r="X122" s="80">
        <v>0.0</v>
      </c>
      <c r="Y122" s="80">
        <v>0.0</v>
      </c>
      <c r="Z122" s="80">
        <v>0.0</v>
      </c>
      <c r="AA122" s="80">
        <v>0.0</v>
      </c>
      <c r="AB122" s="80">
        <v>0.0</v>
      </c>
      <c r="AC122" s="80">
        <v>0.0</v>
      </c>
      <c r="AD122" s="13">
        <f t="shared" si="26"/>
        <v>1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AD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1</v>
      </c>
      <c r="N127" s="13">
        <f t="shared" si="27"/>
        <v>1</v>
      </c>
      <c r="O127" s="13">
        <f t="shared" si="27"/>
        <v>1</v>
      </c>
      <c r="P127" s="13">
        <f t="shared" si="27"/>
        <v>1</v>
      </c>
      <c r="Q127" s="13">
        <f t="shared" si="27"/>
        <v>15</v>
      </c>
      <c r="R127" s="13">
        <f t="shared" si="27"/>
        <v>4</v>
      </c>
      <c r="S127" s="13">
        <f t="shared" si="27"/>
        <v>4</v>
      </c>
      <c r="T127" s="13">
        <f t="shared" si="27"/>
        <v>1</v>
      </c>
      <c r="U127" s="13">
        <f t="shared" si="27"/>
        <v>0</v>
      </c>
      <c r="V127" s="13">
        <f t="shared" si="27"/>
        <v>1</v>
      </c>
      <c r="W127" s="13">
        <f t="shared" si="27"/>
        <v>1</v>
      </c>
      <c r="X127" s="13">
        <f t="shared" si="27"/>
        <v>0</v>
      </c>
      <c r="Y127" s="13">
        <f t="shared" si="27"/>
        <v>0</v>
      </c>
      <c r="Z127" s="13">
        <f t="shared" si="27"/>
        <v>0</v>
      </c>
      <c r="AA127" s="13">
        <f t="shared" si="27"/>
        <v>2</v>
      </c>
      <c r="AB127" s="13">
        <f t="shared" si="27"/>
        <v>1</v>
      </c>
      <c r="AC127" s="13">
        <f t="shared" si="27"/>
        <v>2</v>
      </c>
      <c r="AD127" s="13">
        <f t="shared" si="27"/>
        <v>36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1.0</v>
      </c>
      <c r="F129" s="73">
        <v>1.0</v>
      </c>
      <c r="G129" s="73">
        <v>0.0</v>
      </c>
      <c r="H129" s="73">
        <v>5.0</v>
      </c>
      <c r="I129" s="73">
        <v>0.0</v>
      </c>
      <c r="J129" s="73">
        <v>0.0</v>
      </c>
      <c r="K129" s="73">
        <v>2.0</v>
      </c>
      <c r="L129" s="73">
        <v>1.0</v>
      </c>
      <c r="M129" s="73">
        <v>5.0</v>
      </c>
      <c r="N129" s="73">
        <v>17.0</v>
      </c>
      <c r="O129" s="73">
        <v>10.0</v>
      </c>
      <c r="P129" s="73">
        <v>10.0</v>
      </c>
      <c r="Q129" s="73">
        <v>3.0</v>
      </c>
      <c r="R129" s="73">
        <v>5.0</v>
      </c>
      <c r="S129" s="73">
        <v>6.0</v>
      </c>
      <c r="T129" s="73">
        <v>12.0</v>
      </c>
      <c r="U129" s="73">
        <v>10.0</v>
      </c>
      <c r="V129" s="73">
        <v>9.0</v>
      </c>
      <c r="W129" s="73">
        <v>1.0</v>
      </c>
      <c r="X129" s="73">
        <v>0.0</v>
      </c>
      <c r="Y129" s="73">
        <v>3.0</v>
      </c>
      <c r="Z129" s="73">
        <v>6.0</v>
      </c>
      <c r="AA129" s="73">
        <v>1.0</v>
      </c>
      <c r="AB129" s="73">
        <v>2.0</v>
      </c>
      <c r="AC129" s="73">
        <v>4.0</v>
      </c>
      <c r="AD129" s="13">
        <f t="shared" ref="AD129:AD138" si="28">SUM(E129:AC129)</f>
        <v>114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4.0</v>
      </c>
      <c r="F130" s="73">
        <v>2.0</v>
      </c>
      <c r="G130" s="73">
        <v>2.0</v>
      </c>
      <c r="H130" s="73">
        <v>0.0</v>
      </c>
      <c r="I130" s="73">
        <v>0.0</v>
      </c>
      <c r="J130" s="73">
        <v>1.0</v>
      </c>
      <c r="K130" s="73">
        <v>1.0</v>
      </c>
      <c r="L130" s="73">
        <v>1.0</v>
      </c>
      <c r="M130" s="73">
        <v>2.0</v>
      </c>
      <c r="N130" s="73">
        <v>2.0</v>
      </c>
      <c r="O130" s="73">
        <v>7.0</v>
      </c>
      <c r="P130" s="73">
        <v>1.0</v>
      </c>
      <c r="Q130" s="73">
        <v>2.0</v>
      </c>
      <c r="R130" s="73">
        <v>4.0</v>
      </c>
      <c r="S130" s="73">
        <v>6.0</v>
      </c>
      <c r="T130" s="73">
        <v>3.0</v>
      </c>
      <c r="U130" s="73">
        <v>1.0</v>
      </c>
      <c r="V130" s="73">
        <v>8.0</v>
      </c>
      <c r="W130" s="73">
        <v>1.0</v>
      </c>
      <c r="X130" s="73">
        <v>1.0</v>
      </c>
      <c r="Y130" s="73">
        <v>2.0</v>
      </c>
      <c r="Z130" s="73">
        <v>0.0</v>
      </c>
      <c r="AA130" s="73">
        <v>0.0</v>
      </c>
      <c r="AB130" s="73">
        <v>3.0</v>
      </c>
      <c r="AC130" s="73">
        <v>3.0</v>
      </c>
      <c r="AD130" s="13">
        <f t="shared" si="28"/>
        <v>57</v>
      </c>
    </row>
    <row r="131" ht="12.75" customHeight="1">
      <c r="A131" s="18"/>
      <c r="B131" s="49"/>
      <c r="C131" s="50" t="s">
        <v>104</v>
      </c>
      <c r="D131" s="51"/>
      <c r="E131" s="73">
        <v>0.0</v>
      </c>
      <c r="F131" s="73">
        <v>0.0</v>
      </c>
      <c r="G131" s="73">
        <v>0.0</v>
      </c>
      <c r="H131" s="73">
        <v>0.0</v>
      </c>
      <c r="I131" s="73">
        <v>0.0</v>
      </c>
      <c r="J131" s="73">
        <v>0.0</v>
      </c>
      <c r="K131" s="73">
        <v>0.0</v>
      </c>
      <c r="L131" s="73">
        <v>0.0</v>
      </c>
      <c r="M131" s="73">
        <v>1.0</v>
      </c>
      <c r="N131" s="73">
        <v>2.0</v>
      </c>
      <c r="O131" s="73">
        <v>3.0</v>
      </c>
      <c r="P131" s="73">
        <v>4.0</v>
      </c>
      <c r="Q131" s="73">
        <v>4.0</v>
      </c>
      <c r="R131" s="73">
        <v>2.0</v>
      </c>
      <c r="S131" s="73">
        <v>4.0</v>
      </c>
      <c r="T131" s="73">
        <v>1.0</v>
      </c>
      <c r="U131" s="73">
        <v>5.0</v>
      </c>
      <c r="V131" s="73">
        <v>2.0</v>
      </c>
      <c r="W131" s="73">
        <v>0.0</v>
      </c>
      <c r="X131" s="73">
        <v>0.0</v>
      </c>
      <c r="Y131" s="73">
        <v>1.0</v>
      </c>
      <c r="Z131" s="73">
        <v>0.0</v>
      </c>
      <c r="AA131" s="73">
        <v>0.0</v>
      </c>
      <c r="AB131" s="73">
        <v>0.0</v>
      </c>
      <c r="AC131" s="73">
        <v>0.0</v>
      </c>
      <c r="AD131" s="13">
        <f t="shared" si="28"/>
        <v>29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0.0</v>
      </c>
      <c r="G132" s="73">
        <v>0.0</v>
      </c>
      <c r="H132" s="73">
        <v>1.0</v>
      </c>
      <c r="I132" s="73">
        <v>0.0</v>
      </c>
      <c r="J132" s="73">
        <v>0.0</v>
      </c>
      <c r="K132" s="73">
        <v>0.0</v>
      </c>
      <c r="L132" s="73">
        <v>0.0</v>
      </c>
      <c r="M132" s="73">
        <v>0.0</v>
      </c>
      <c r="N132" s="73">
        <v>1.0</v>
      </c>
      <c r="O132" s="73">
        <v>1.0</v>
      </c>
      <c r="P132" s="73">
        <v>0.0</v>
      </c>
      <c r="Q132" s="73">
        <v>0.0</v>
      </c>
      <c r="R132" s="73">
        <v>0.0</v>
      </c>
      <c r="S132" s="73">
        <v>0.0</v>
      </c>
      <c r="T132" s="73">
        <v>0.0</v>
      </c>
      <c r="U132" s="73">
        <v>1.0</v>
      </c>
      <c r="V132" s="73">
        <v>0.0</v>
      </c>
      <c r="W132" s="73">
        <v>1.0</v>
      </c>
      <c r="X132" s="73">
        <v>0.0</v>
      </c>
      <c r="Y132" s="73">
        <v>0.0</v>
      </c>
      <c r="Z132" s="73">
        <v>0.0</v>
      </c>
      <c r="AA132" s="73">
        <v>0.0</v>
      </c>
      <c r="AB132" s="73">
        <v>1.0</v>
      </c>
      <c r="AC132" s="73">
        <v>0.0</v>
      </c>
      <c r="AD132" s="13">
        <f t="shared" si="28"/>
        <v>6</v>
      </c>
    </row>
    <row r="133" ht="12.75" customHeight="1">
      <c r="A133" s="18"/>
      <c r="B133" s="49"/>
      <c r="C133" s="50" t="s">
        <v>106</v>
      </c>
      <c r="D133" s="51"/>
      <c r="E133" s="73">
        <v>1.0</v>
      </c>
      <c r="F133" s="73">
        <v>1.0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1.0</v>
      </c>
      <c r="N133" s="73">
        <v>0.0</v>
      </c>
      <c r="O133" s="73">
        <v>1.0</v>
      </c>
      <c r="P133" s="73">
        <v>1.0</v>
      </c>
      <c r="Q133" s="73">
        <v>1.0</v>
      </c>
      <c r="R133" s="73">
        <v>0.0</v>
      </c>
      <c r="S133" s="73">
        <v>1.0</v>
      </c>
      <c r="T133" s="73">
        <v>1.0</v>
      </c>
      <c r="U133" s="73">
        <v>0.0</v>
      </c>
      <c r="V133" s="73">
        <v>0.0</v>
      </c>
      <c r="W133" s="73">
        <v>0.0</v>
      </c>
      <c r="X133" s="73">
        <v>0.0</v>
      </c>
      <c r="Y133" s="73">
        <v>0.0</v>
      </c>
      <c r="Z133" s="73">
        <v>0.0</v>
      </c>
      <c r="AA133" s="73">
        <v>1.0</v>
      </c>
      <c r="AB133" s="73">
        <v>0.0</v>
      </c>
      <c r="AC133" s="73">
        <v>0.0</v>
      </c>
      <c r="AD133" s="13">
        <f t="shared" si="28"/>
        <v>9</v>
      </c>
    </row>
    <row r="134" ht="12.75" customHeight="1">
      <c r="A134" s="18"/>
      <c r="B134" s="49"/>
      <c r="C134" s="50" t="s">
        <v>107</v>
      </c>
      <c r="D134" s="51"/>
      <c r="E134" s="73">
        <v>2.0</v>
      </c>
      <c r="F134" s="73">
        <v>2.0</v>
      </c>
      <c r="G134" s="73">
        <v>2.0</v>
      </c>
      <c r="H134" s="73">
        <v>3.0</v>
      </c>
      <c r="I134" s="73">
        <v>2.0</v>
      </c>
      <c r="J134" s="73">
        <v>4.0</v>
      </c>
      <c r="K134" s="73">
        <v>12.0</v>
      </c>
      <c r="L134" s="73">
        <v>7.0</v>
      </c>
      <c r="M134" s="73">
        <v>6.0</v>
      </c>
      <c r="N134" s="73">
        <v>84.0</v>
      </c>
      <c r="O134" s="73">
        <v>92.0</v>
      </c>
      <c r="P134" s="73">
        <v>87.0</v>
      </c>
      <c r="Q134" s="73">
        <v>29.0</v>
      </c>
      <c r="R134" s="73">
        <v>44.0</v>
      </c>
      <c r="S134" s="73">
        <v>43.0</v>
      </c>
      <c r="T134" s="73">
        <v>97.0</v>
      </c>
      <c r="U134" s="73">
        <v>109.0</v>
      </c>
      <c r="V134" s="73">
        <v>65.0</v>
      </c>
      <c r="W134" s="73">
        <v>6.0</v>
      </c>
      <c r="X134" s="73">
        <v>7.0</v>
      </c>
      <c r="Y134" s="73">
        <v>6.0</v>
      </c>
      <c r="Z134" s="73">
        <v>13.0</v>
      </c>
      <c r="AA134" s="73">
        <v>9.0</v>
      </c>
      <c r="AB134" s="73">
        <v>3.0</v>
      </c>
      <c r="AC134" s="73">
        <v>3.0</v>
      </c>
      <c r="AD134" s="13">
        <f t="shared" si="28"/>
        <v>737</v>
      </c>
    </row>
    <row r="135" ht="12.75" customHeight="1">
      <c r="A135" s="18"/>
      <c r="B135" s="49"/>
      <c r="C135" s="50" t="s">
        <v>108</v>
      </c>
      <c r="D135" s="51"/>
      <c r="E135" s="73">
        <v>0.0</v>
      </c>
      <c r="F135" s="73">
        <v>2.0</v>
      </c>
      <c r="G135" s="73">
        <v>0.0</v>
      </c>
      <c r="H135" s="73">
        <v>0.0</v>
      </c>
      <c r="I135" s="73">
        <v>0.0</v>
      </c>
      <c r="J135" s="73">
        <v>0.0</v>
      </c>
      <c r="K135" s="73">
        <v>0.0</v>
      </c>
      <c r="L135" s="73">
        <v>1.0</v>
      </c>
      <c r="M135" s="73">
        <v>0.0</v>
      </c>
      <c r="N135" s="73">
        <v>0.0</v>
      </c>
      <c r="O135" s="73">
        <v>0.0</v>
      </c>
      <c r="P135" s="73">
        <v>1.0</v>
      </c>
      <c r="Q135" s="73">
        <v>0.0</v>
      </c>
      <c r="R135" s="73">
        <v>2.0</v>
      </c>
      <c r="S135" s="73">
        <v>0.0</v>
      </c>
      <c r="T135" s="73">
        <v>0.0</v>
      </c>
      <c r="U135" s="73">
        <v>3.0</v>
      </c>
      <c r="V135" s="73">
        <v>0.0</v>
      </c>
      <c r="W135" s="73">
        <v>0.0</v>
      </c>
      <c r="X135" s="73">
        <v>0.0</v>
      </c>
      <c r="Y135" s="73">
        <v>0.0</v>
      </c>
      <c r="Z135" s="73">
        <v>2.0</v>
      </c>
      <c r="AA135" s="73">
        <v>1.0</v>
      </c>
      <c r="AB135" s="73">
        <v>2.0</v>
      </c>
      <c r="AC135" s="73">
        <v>4.0</v>
      </c>
      <c r="AD135" s="13">
        <f t="shared" si="28"/>
        <v>18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0.0</v>
      </c>
      <c r="I136" s="80">
        <v>0.0</v>
      </c>
      <c r="J136" s="80">
        <v>0.0</v>
      </c>
      <c r="K136" s="80">
        <v>0.0</v>
      </c>
      <c r="L136" s="80">
        <v>0.0</v>
      </c>
      <c r="M136" s="80">
        <v>0.0</v>
      </c>
      <c r="N136" s="80">
        <v>0.0</v>
      </c>
      <c r="O136" s="80">
        <v>0.0</v>
      </c>
      <c r="P136" s="80">
        <v>0.0</v>
      </c>
      <c r="Q136" s="80">
        <v>0.0</v>
      </c>
      <c r="R136" s="80">
        <v>1.0</v>
      </c>
      <c r="S136" s="80">
        <v>0.0</v>
      </c>
      <c r="T136" s="80">
        <v>2.0</v>
      </c>
      <c r="U136" s="80">
        <v>0.0</v>
      </c>
      <c r="V136" s="80">
        <v>0.0</v>
      </c>
      <c r="W136" s="80">
        <v>0.0</v>
      </c>
      <c r="X136" s="80">
        <v>1.0</v>
      </c>
      <c r="Y136" s="80">
        <v>0.0</v>
      </c>
      <c r="Z136" s="80">
        <v>0.0</v>
      </c>
      <c r="AA136" s="80">
        <v>0.0</v>
      </c>
      <c r="AB136" s="80">
        <v>0.0</v>
      </c>
      <c r="AC136" s="80">
        <v>0.0</v>
      </c>
      <c r="AD136" s="13">
        <f t="shared" si="28"/>
        <v>4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1.0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80">
        <v>0.0</v>
      </c>
      <c r="N137" s="80">
        <v>1.0</v>
      </c>
      <c r="O137" s="80">
        <v>0.0</v>
      </c>
      <c r="P137" s="80">
        <v>0.0</v>
      </c>
      <c r="Q137" s="80">
        <v>0.0</v>
      </c>
      <c r="R137" s="80">
        <v>1.0</v>
      </c>
      <c r="S137" s="80">
        <v>0.0</v>
      </c>
      <c r="T137" s="80">
        <v>0.0</v>
      </c>
      <c r="U137" s="80">
        <v>0.0</v>
      </c>
      <c r="V137" s="80">
        <v>0.0</v>
      </c>
      <c r="W137" s="80">
        <v>0.0</v>
      </c>
      <c r="X137" s="80">
        <v>0.0</v>
      </c>
      <c r="Y137" s="80">
        <v>0.0</v>
      </c>
      <c r="Z137" s="80">
        <v>0.0</v>
      </c>
      <c r="AA137" s="80">
        <v>0.0</v>
      </c>
      <c r="AB137" s="80">
        <v>0.0</v>
      </c>
      <c r="AC137" s="80">
        <v>0.0</v>
      </c>
      <c r="AD137" s="13">
        <f t="shared" si="28"/>
        <v>3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0.0</v>
      </c>
      <c r="I138" s="80">
        <v>0.0</v>
      </c>
      <c r="J138" s="80">
        <v>0.0</v>
      </c>
      <c r="K138" s="80">
        <v>1.0</v>
      </c>
      <c r="L138" s="80">
        <v>0.0</v>
      </c>
      <c r="M138" s="80">
        <v>0.0</v>
      </c>
      <c r="N138" s="80">
        <v>0.0</v>
      </c>
      <c r="O138" s="80">
        <v>1.0</v>
      </c>
      <c r="P138" s="80">
        <v>0.0</v>
      </c>
      <c r="Q138" s="80">
        <v>0.0</v>
      </c>
      <c r="R138" s="80">
        <v>0.0</v>
      </c>
      <c r="S138" s="80">
        <v>1.0</v>
      </c>
      <c r="T138" s="80">
        <v>0.0</v>
      </c>
      <c r="U138" s="80">
        <v>0.0</v>
      </c>
      <c r="V138" s="80">
        <v>0.0</v>
      </c>
      <c r="W138" s="80">
        <v>0.0</v>
      </c>
      <c r="X138" s="80">
        <v>0.0</v>
      </c>
      <c r="Y138" s="80">
        <v>0.0</v>
      </c>
      <c r="Z138" s="80">
        <v>0.0</v>
      </c>
      <c r="AA138" s="80">
        <v>0.0</v>
      </c>
      <c r="AB138" s="80">
        <v>0.0</v>
      </c>
      <c r="AC138" s="80">
        <v>1.0</v>
      </c>
      <c r="AD138" s="13">
        <f t="shared" si="28"/>
        <v>4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AD139" si="29">SUM(E129:E138)</f>
        <v>8</v>
      </c>
      <c r="F139" s="13">
        <f t="shared" si="29"/>
        <v>8</v>
      </c>
      <c r="G139" s="13">
        <f t="shared" si="29"/>
        <v>5</v>
      </c>
      <c r="H139" s="13">
        <f t="shared" si="29"/>
        <v>9</v>
      </c>
      <c r="I139" s="13">
        <f t="shared" si="29"/>
        <v>2</v>
      </c>
      <c r="J139" s="13">
        <f t="shared" si="29"/>
        <v>5</v>
      </c>
      <c r="K139" s="13">
        <f t="shared" si="29"/>
        <v>16</v>
      </c>
      <c r="L139" s="13">
        <f t="shared" si="29"/>
        <v>10</v>
      </c>
      <c r="M139" s="13">
        <f t="shared" si="29"/>
        <v>15</v>
      </c>
      <c r="N139" s="13">
        <f t="shared" si="29"/>
        <v>107</v>
      </c>
      <c r="O139" s="13">
        <f t="shared" si="29"/>
        <v>115</v>
      </c>
      <c r="P139" s="13">
        <f t="shared" si="29"/>
        <v>104</v>
      </c>
      <c r="Q139" s="13">
        <f t="shared" si="29"/>
        <v>39</v>
      </c>
      <c r="R139" s="13">
        <f t="shared" si="29"/>
        <v>59</v>
      </c>
      <c r="S139" s="13">
        <f t="shared" si="29"/>
        <v>61</v>
      </c>
      <c r="T139" s="13">
        <f t="shared" si="29"/>
        <v>116</v>
      </c>
      <c r="U139" s="13">
        <f t="shared" si="29"/>
        <v>129</v>
      </c>
      <c r="V139" s="13">
        <f t="shared" si="29"/>
        <v>84</v>
      </c>
      <c r="W139" s="13">
        <f t="shared" si="29"/>
        <v>9</v>
      </c>
      <c r="X139" s="13">
        <f t="shared" si="29"/>
        <v>9</v>
      </c>
      <c r="Y139" s="13">
        <f t="shared" si="29"/>
        <v>12</v>
      </c>
      <c r="Z139" s="13">
        <f t="shared" si="29"/>
        <v>21</v>
      </c>
      <c r="AA139" s="13">
        <f t="shared" si="29"/>
        <v>12</v>
      </c>
      <c r="AB139" s="13">
        <f t="shared" si="29"/>
        <v>11</v>
      </c>
      <c r="AC139" s="13">
        <f t="shared" si="29"/>
        <v>15</v>
      </c>
      <c r="AD139" s="13">
        <f t="shared" si="29"/>
        <v>981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1.0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1.0</v>
      </c>
      <c r="AD141" s="13">
        <f t="shared" ref="AD141:AD150" si="30">SUM(E141:AC141)</f>
        <v>2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13">
        <f t="shared" si="30"/>
        <v>0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80">
        <v>0.0</v>
      </c>
      <c r="U143" s="80">
        <v>0.0</v>
      </c>
      <c r="V143" s="80">
        <v>0.0</v>
      </c>
      <c r="W143" s="80">
        <v>0.0</v>
      </c>
      <c r="X143" s="80">
        <v>0.0</v>
      </c>
      <c r="Y143" s="80">
        <v>0.0</v>
      </c>
      <c r="Z143" s="80">
        <v>0.0</v>
      </c>
      <c r="AA143" s="80">
        <v>0.0</v>
      </c>
      <c r="AB143" s="80">
        <v>0.0</v>
      </c>
      <c r="AC143" s="80">
        <v>0.0</v>
      </c>
      <c r="AD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0.0</v>
      </c>
      <c r="T144" s="80">
        <v>0.0</v>
      </c>
      <c r="U144" s="80">
        <v>0.0</v>
      </c>
      <c r="V144" s="80">
        <v>0.0</v>
      </c>
      <c r="W144" s="80">
        <v>0.0</v>
      </c>
      <c r="X144" s="80">
        <v>0.0</v>
      </c>
      <c r="Y144" s="80">
        <v>0.0</v>
      </c>
      <c r="Z144" s="80">
        <v>0.0</v>
      </c>
      <c r="AA144" s="80">
        <v>0.0</v>
      </c>
      <c r="AB144" s="80">
        <v>0.0</v>
      </c>
      <c r="AC144" s="80">
        <v>0.0</v>
      </c>
      <c r="AD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AD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  <c r="AD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1.0</v>
      </c>
      <c r="F153" s="73">
        <v>1.0</v>
      </c>
      <c r="G153" s="73">
        <v>0.0</v>
      </c>
      <c r="H153" s="73">
        <v>0.0</v>
      </c>
      <c r="I153" s="73">
        <v>0.0</v>
      </c>
      <c r="J153" s="73">
        <v>2.0</v>
      </c>
      <c r="K153" s="73">
        <v>5.0</v>
      </c>
      <c r="L153" s="73">
        <v>3.0</v>
      </c>
      <c r="M153" s="73">
        <v>2.0</v>
      </c>
      <c r="N153" s="73">
        <v>0.0</v>
      </c>
      <c r="O153" s="73">
        <v>1.0</v>
      </c>
      <c r="P153" s="73">
        <v>1.0</v>
      </c>
      <c r="Q153" s="73">
        <v>0.0</v>
      </c>
      <c r="R153" s="73">
        <v>0.0</v>
      </c>
      <c r="S153" s="73">
        <v>0.0</v>
      </c>
      <c r="T153" s="73">
        <v>0.0</v>
      </c>
      <c r="U153" s="73">
        <v>0.0</v>
      </c>
      <c r="V153" s="73">
        <v>0.0</v>
      </c>
      <c r="W153" s="73">
        <v>9.0</v>
      </c>
      <c r="X153" s="73">
        <v>13.0</v>
      </c>
      <c r="Y153" s="73">
        <v>19.0</v>
      </c>
      <c r="Z153" s="73">
        <v>2.0</v>
      </c>
      <c r="AA153" s="73">
        <v>7.0</v>
      </c>
      <c r="AB153" s="73">
        <v>9.0</v>
      </c>
      <c r="AC153" s="73">
        <v>15.0</v>
      </c>
      <c r="AD153" s="13">
        <f t="shared" ref="AD153:AD162" si="32">SUM(E153:AC153)</f>
        <v>90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1.0</v>
      </c>
      <c r="F154" s="73">
        <v>0.0</v>
      </c>
      <c r="G154" s="73">
        <v>0.0</v>
      </c>
      <c r="H154" s="73">
        <v>1.0</v>
      </c>
      <c r="I154" s="73">
        <v>2.0</v>
      </c>
      <c r="J154" s="73">
        <v>0.0</v>
      </c>
      <c r="K154" s="73">
        <v>0.0</v>
      </c>
      <c r="L154" s="73">
        <v>4.0</v>
      </c>
      <c r="M154" s="73">
        <v>0.0</v>
      </c>
      <c r="N154" s="73">
        <v>0.0</v>
      </c>
      <c r="O154" s="73">
        <v>0.0</v>
      </c>
      <c r="P154" s="73">
        <v>1.0</v>
      </c>
      <c r="Q154" s="73">
        <v>0.0</v>
      </c>
      <c r="R154" s="73">
        <v>0.0</v>
      </c>
      <c r="S154" s="73">
        <v>1.0</v>
      </c>
      <c r="T154" s="73">
        <v>0.0</v>
      </c>
      <c r="U154" s="73">
        <v>0.0</v>
      </c>
      <c r="V154" s="73">
        <v>0.0</v>
      </c>
      <c r="W154" s="73">
        <v>14.0</v>
      </c>
      <c r="X154" s="73">
        <v>10.0</v>
      </c>
      <c r="Y154" s="73">
        <v>8.0</v>
      </c>
      <c r="Z154" s="73">
        <v>4.0</v>
      </c>
      <c r="AA154" s="73">
        <v>5.0</v>
      </c>
      <c r="AB154" s="73">
        <v>10.0</v>
      </c>
      <c r="AC154" s="73">
        <v>3.0</v>
      </c>
      <c r="AD154" s="13">
        <f t="shared" si="32"/>
        <v>64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1.0</v>
      </c>
      <c r="T155" s="73">
        <v>0.0</v>
      </c>
      <c r="U155" s="73">
        <v>0.0</v>
      </c>
      <c r="V155" s="73">
        <v>0.0</v>
      </c>
      <c r="W155" s="73">
        <v>2.0</v>
      </c>
      <c r="X155" s="73">
        <v>3.0</v>
      </c>
      <c r="Y155" s="73">
        <v>1.0</v>
      </c>
      <c r="Z155" s="73">
        <v>0.0</v>
      </c>
      <c r="AA155" s="73">
        <v>1.0</v>
      </c>
      <c r="AB155" s="73">
        <v>1.0</v>
      </c>
      <c r="AC155" s="73">
        <v>1.0</v>
      </c>
      <c r="AD155" s="13">
        <f t="shared" si="32"/>
        <v>10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1.0</v>
      </c>
      <c r="I156" s="73">
        <v>1.0</v>
      </c>
      <c r="J156" s="73">
        <v>0.0</v>
      </c>
      <c r="K156" s="73">
        <v>1.0</v>
      </c>
      <c r="L156" s="73">
        <v>0.0</v>
      </c>
      <c r="M156" s="73">
        <v>0.0</v>
      </c>
      <c r="N156" s="73">
        <v>0.0</v>
      </c>
      <c r="O156" s="73">
        <v>1.0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1.0</v>
      </c>
      <c r="X156" s="73">
        <v>1.0</v>
      </c>
      <c r="Y156" s="73">
        <v>1.0</v>
      </c>
      <c r="Z156" s="73">
        <v>0.0</v>
      </c>
      <c r="AA156" s="73">
        <v>1.0</v>
      </c>
      <c r="AB156" s="73">
        <v>1.0</v>
      </c>
      <c r="AC156" s="73">
        <v>0.0</v>
      </c>
      <c r="AD156" s="13">
        <f t="shared" si="32"/>
        <v>9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2.0</v>
      </c>
      <c r="X157" s="73">
        <v>0.0</v>
      </c>
      <c r="Y157" s="73">
        <v>1.0</v>
      </c>
      <c r="Z157" s="73">
        <v>2.0</v>
      </c>
      <c r="AA157" s="73">
        <v>0.0</v>
      </c>
      <c r="AB157" s="73">
        <v>0.0</v>
      </c>
      <c r="AC157" s="73">
        <v>2.0</v>
      </c>
      <c r="AD157" s="13">
        <f t="shared" si="32"/>
        <v>7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1.0</v>
      </c>
      <c r="M158" s="80">
        <v>0.0</v>
      </c>
      <c r="N158" s="80">
        <v>0.0</v>
      </c>
      <c r="O158" s="80">
        <v>0.0</v>
      </c>
      <c r="P158" s="73">
        <v>0.0</v>
      </c>
      <c r="Q158" s="80">
        <v>2.0</v>
      </c>
      <c r="R158" s="80">
        <v>0.0</v>
      </c>
      <c r="S158" s="80">
        <v>0.0</v>
      </c>
      <c r="T158" s="80">
        <v>0.0</v>
      </c>
      <c r="U158" s="80">
        <v>0.0</v>
      </c>
      <c r="V158" s="80">
        <v>0.0</v>
      </c>
      <c r="W158" s="80">
        <v>0.0</v>
      </c>
      <c r="X158" s="80">
        <v>1.0</v>
      </c>
      <c r="Y158" s="80">
        <v>0.0</v>
      </c>
      <c r="Z158" s="80">
        <v>1.0</v>
      </c>
      <c r="AA158" s="80">
        <v>1.0</v>
      </c>
      <c r="AB158" s="80">
        <v>1.0</v>
      </c>
      <c r="AC158" s="80">
        <v>0.0</v>
      </c>
      <c r="AD158" s="13">
        <f t="shared" si="32"/>
        <v>7</v>
      </c>
    </row>
    <row r="159" ht="12.75" customHeight="1">
      <c r="A159" s="79"/>
      <c r="B159" s="49"/>
      <c r="C159" s="50" t="s">
        <v>124</v>
      </c>
      <c r="D159" s="51"/>
      <c r="E159" s="84">
        <v>1.0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80">
        <v>0.0</v>
      </c>
      <c r="N159" s="80">
        <v>1.0</v>
      </c>
      <c r="O159" s="80">
        <v>0.0</v>
      </c>
      <c r="P159" s="73">
        <v>0.0</v>
      </c>
      <c r="Q159" s="80">
        <v>0.0</v>
      </c>
      <c r="R159" s="80">
        <v>0.0</v>
      </c>
      <c r="S159" s="80">
        <v>0.0</v>
      </c>
      <c r="T159" s="80">
        <v>0.0</v>
      </c>
      <c r="U159" s="80">
        <v>0.0</v>
      </c>
      <c r="V159" s="80">
        <v>0.0</v>
      </c>
      <c r="W159" s="80">
        <v>1.0</v>
      </c>
      <c r="X159" s="80">
        <v>0.0</v>
      </c>
      <c r="Y159" s="80">
        <v>2.0</v>
      </c>
      <c r="Z159" s="80">
        <v>0.0</v>
      </c>
      <c r="AA159" s="80">
        <v>0.0</v>
      </c>
      <c r="AB159" s="80">
        <v>0.0</v>
      </c>
      <c r="AC159" s="80">
        <v>0.0</v>
      </c>
      <c r="AD159" s="13">
        <f t="shared" si="32"/>
        <v>5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80">
        <v>0.0</v>
      </c>
      <c r="U160" s="80">
        <v>0.0</v>
      </c>
      <c r="V160" s="80">
        <v>0.0</v>
      </c>
      <c r="W160" s="80">
        <v>0.0</v>
      </c>
      <c r="X160" s="80">
        <v>1.0</v>
      </c>
      <c r="Y160" s="80">
        <v>0.0</v>
      </c>
      <c r="Z160" s="80">
        <v>0.0</v>
      </c>
      <c r="AA160" s="80">
        <v>0.0</v>
      </c>
      <c r="AB160" s="80">
        <v>0.0</v>
      </c>
      <c r="AC160" s="80">
        <v>0.0</v>
      </c>
      <c r="AD160" s="13">
        <f t="shared" si="32"/>
        <v>1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AD163" si="33">SUM(E153:E162)</f>
        <v>3</v>
      </c>
      <c r="F163" s="13">
        <f t="shared" si="33"/>
        <v>1</v>
      </c>
      <c r="G163" s="13">
        <f t="shared" si="33"/>
        <v>0</v>
      </c>
      <c r="H163" s="13">
        <f t="shared" si="33"/>
        <v>2</v>
      </c>
      <c r="I163" s="13">
        <f t="shared" si="33"/>
        <v>3</v>
      </c>
      <c r="J163" s="13">
        <f t="shared" si="33"/>
        <v>2</v>
      </c>
      <c r="K163" s="13">
        <f t="shared" si="33"/>
        <v>6</v>
      </c>
      <c r="L163" s="13">
        <f t="shared" si="33"/>
        <v>8</v>
      </c>
      <c r="M163" s="13">
        <f t="shared" si="33"/>
        <v>2</v>
      </c>
      <c r="N163" s="13">
        <f t="shared" si="33"/>
        <v>1</v>
      </c>
      <c r="O163" s="13">
        <f t="shared" si="33"/>
        <v>2</v>
      </c>
      <c r="P163" s="13">
        <f t="shared" si="33"/>
        <v>2</v>
      </c>
      <c r="Q163" s="13">
        <f t="shared" si="33"/>
        <v>2</v>
      </c>
      <c r="R163" s="13">
        <f t="shared" si="33"/>
        <v>0</v>
      </c>
      <c r="S163" s="13">
        <f t="shared" si="33"/>
        <v>2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29</v>
      </c>
      <c r="X163" s="13">
        <f t="shared" si="33"/>
        <v>29</v>
      </c>
      <c r="Y163" s="13">
        <f t="shared" si="33"/>
        <v>32</v>
      </c>
      <c r="Z163" s="13">
        <f t="shared" si="33"/>
        <v>9</v>
      </c>
      <c r="AA163" s="13">
        <f t="shared" si="33"/>
        <v>15</v>
      </c>
      <c r="AB163" s="13">
        <f t="shared" si="33"/>
        <v>22</v>
      </c>
      <c r="AC163" s="13">
        <f t="shared" si="33"/>
        <v>21</v>
      </c>
      <c r="AD163" s="13">
        <f t="shared" si="33"/>
        <v>193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1.0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1.0</v>
      </c>
      <c r="O165" s="73">
        <v>0.0</v>
      </c>
      <c r="P165" s="73">
        <v>0.0</v>
      </c>
      <c r="Q165" s="73">
        <v>0.0</v>
      </c>
      <c r="R165" s="73">
        <v>0.0</v>
      </c>
      <c r="S165" s="73">
        <v>0.0</v>
      </c>
      <c r="T165" s="73">
        <v>0.0</v>
      </c>
      <c r="U165" s="73">
        <v>0.0</v>
      </c>
      <c r="V165" s="73">
        <v>0.0</v>
      </c>
      <c r="W165" s="73">
        <v>0.0</v>
      </c>
      <c r="X165" s="73">
        <v>0.0</v>
      </c>
      <c r="Y165" s="73">
        <v>0.0</v>
      </c>
      <c r="Z165" s="73">
        <v>1.0</v>
      </c>
      <c r="AA165" s="73">
        <v>0.0</v>
      </c>
      <c r="AB165" s="73">
        <v>2.0</v>
      </c>
      <c r="AC165" s="73">
        <v>0.0</v>
      </c>
      <c r="AD165" s="13">
        <f t="shared" ref="AD165:AD174" si="34">SUM(E165:AC165)</f>
        <v>5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1.0</v>
      </c>
      <c r="F166" s="80">
        <v>0.0</v>
      </c>
      <c r="G166" s="80">
        <v>1.0</v>
      </c>
      <c r="H166" s="80">
        <v>0.0</v>
      </c>
      <c r="I166" s="80">
        <v>0.0</v>
      </c>
      <c r="J166" s="80">
        <v>0.0</v>
      </c>
      <c r="K166" s="80">
        <v>0.0</v>
      </c>
      <c r="L166" s="80">
        <v>0.0</v>
      </c>
      <c r="M166" s="80">
        <v>0.0</v>
      </c>
      <c r="N166" s="80">
        <v>0.0</v>
      </c>
      <c r="O166" s="80">
        <v>0.0</v>
      </c>
      <c r="P166" s="80">
        <v>0.0</v>
      </c>
      <c r="Q166" s="80">
        <v>0.0</v>
      </c>
      <c r="R166" s="80">
        <v>0.0</v>
      </c>
      <c r="S166" s="80">
        <v>0.0</v>
      </c>
      <c r="T166" s="80">
        <v>0.0</v>
      </c>
      <c r="U166" s="80">
        <v>0.0</v>
      </c>
      <c r="V166" s="80">
        <v>0.0</v>
      </c>
      <c r="W166" s="80">
        <v>0.0</v>
      </c>
      <c r="X166" s="80">
        <v>0.0</v>
      </c>
      <c r="Y166" s="80">
        <v>1.0</v>
      </c>
      <c r="Z166" s="80">
        <v>0.0</v>
      </c>
      <c r="AA166" s="80">
        <v>1.0</v>
      </c>
      <c r="AB166" s="80">
        <v>1.0</v>
      </c>
      <c r="AC166" s="80">
        <v>2.0</v>
      </c>
      <c r="AD166" s="13">
        <f t="shared" si="34"/>
        <v>7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AD175" si="35">SUM(E165:E174)</f>
        <v>1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1</v>
      </c>
      <c r="AA175" s="13">
        <f t="shared" si="35"/>
        <v>1</v>
      </c>
      <c r="AB175" s="13">
        <f t="shared" si="35"/>
        <v>3</v>
      </c>
      <c r="AC175" s="13">
        <f t="shared" si="35"/>
        <v>2</v>
      </c>
      <c r="AD175" s="13">
        <f t="shared" si="35"/>
        <v>12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1.0</v>
      </c>
      <c r="F177" s="73">
        <v>1.0</v>
      </c>
      <c r="G177" s="73">
        <v>1.0</v>
      </c>
      <c r="H177" s="73">
        <v>1.0</v>
      </c>
      <c r="I177" s="73">
        <v>0.0</v>
      </c>
      <c r="J177" s="73">
        <v>0.0</v>
      </c>
      <c r="K177" s="73">
        <v>2.0</v>
      </c>
      <c r="L177" s="73">
        <v>5.0</v>
      </c>
      <c r="M177" s="73">
        <v>1.0</v>
      </c>
      <c r="N177" s="73">
        <v>1.0</v>
      </c>
      <c r="O177" s="73">
        <v>1.0</v>
      </c>
      <c r="P177" s="73">
        <v>2.0</v>
      </c>
      <c r="Q177" s="73">
        <v>0.0</v>
      </c>
      <c r="R177" s="73">
        <v>2.0</v>
      </c>
      <c r="S177" s="73">
        <v>0.0</v>
      </c>
      <c r="T177" s="73">
        <v>0.0</v>
      </c>
      <c r="U177" s="73">
        <v>0.0</v>
      </c>
      <c r="V177" s="73">
        <v>1.0</v>
      </c>
      <c r="W177" s="73">
        <v>0.0</v>
      </c>
      <c r="X177" s="73">
        <v>0.0</v>
      </c>
      <c r="Y177" s="73">
        <v>1.0</v>
      </c>
      <c r="Z177" s="73">
        <v>4.0</v>
      </c>
      <c r="AA177" s="73">
        <v>1.0</v>
      </c>
      <c r="AB177" s="73">
        <v>0.0</v>
      </c>
      <c r="AC177" s="73">
        <v>0.0</v>
      </c>
      <c r="AD177" s="13">
        <f t="shared" ref="AD177:AD186" si="36">SUM(E177:AC177)</f>
        <v>25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0.0</v>
      </c>
      <c r="F178" s="73">
        <v>0.0</v>
      </c>
      <c r="G178" s="73">
        <v>0.0</v>
      </c>
      <c r="H178" s="73">
        <v>0.0</v>
      </c>
      <c r="I178" s="73">
        <v>0.0</v>
      </c>
      <c r="J178" s="73">
        <v>0.0</v>
      </c>
      <c r="K178" s="73">
        <v>2.0</v>
      </c>
      <c r="L178" s="73">
        <v>0.0</v>
      </c>
      <c r="M178" s="73">
        <v>1.0</v>
      </c>
      <c r="N178" s="73">
        <v>0.0</v>
      </c>
      <c r="O178" s="73">
        <v>1.0</v>
      </c>
      <c r="P178" s="73">
        <v>2.0</v>
      </c>
      <c r="Q178" s="73">
        <v>0.0</v>
      </c>
      <c r="R178" s="73">
        <v>0.0</v>
      </c>
      <c r="S178" s="73">
        <v>1.0</v>
      </c>
      <c r="T178" s="73">
        <v>0.0</v>
      </c>
      <c r="U178" s="73">
        <v>0.0</v>
      </c>
      <c r="V178" s="73">
        <v>0.0</v>
      </c>
      <c r="W178" s="73">
        <v>2.0</v>
      </c>
      <c r="X178" s="73">
        <v>2.0</v>
      </c>
      <c r="Y178" s="73">
        <v>8.0</v>
      </c>
      <c r="Z178" s="73">
        <v>2.0</v>
      </c>
      <c r="AA178" s="73">
        <v>0.0</v>
      </c>
      <c r="AB178" s="73">
        <v>0.0</v>
      </c>
      <c r="AC178" s="73">
        <v>1.0</v>
      </c>
      <c r="AD178" s="13">
        <f t="shared" si="36"/>
        <v>22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1.0</v>
      </c>
      <c r="H179" s="73">
        <v>0.0</v>
      </c>
      <c r="I179" s="73">
        <v>0.0</v>
      </c>
      <c r="J179" s="73">
        <v>2.0</v>
      </c>
      <c r="K179" s="73">
        <v>0.0</v>
      </c>
      <c r="L179" s="73">
        <v>0.0</v>
      </c>
      <c r="M179" s="73">
        <v>0.0</v>
      </c>
      <c r="N179" s="73">
        <v>0.0</v>
      </c>
      <c r="O179" s="73">
        <v>1.0</v>
      </c>
      <c r="P179" s="73">
        <v>1.0</v>
      </c>
      <c r="Q179" s="73">
        <v>0.0</v>
      </c>
      <c r="R179" s="73">
        <v>0.0</v>
      </c>
      <c r="S179" s="73">
        <v>0.0</v>
      </c>
      <c r="T179" s="73">
        <v>0.0</v>
      </c>
      <c r="U179" s="73">
        <v>0.0</v>
      </c>
      <c r="V179" s="73">
        <v>1.0</v>
      </c>
      <c r="W179" s="73">
        <v>0.0</v>
      </c>
      <c r="X179" s="73">
        <v>0.0</v>
      </c>
      <c r="Y179" s="73">
        <v>0.0</v>
      </c>
      <c r="Z179" s="73">
        <v>0.0</v>
      </c>
      <c r="AA179" s="73">
        <v>0.0</v>
      </c>
      <c r="AB179" s="73">
        <v>0.0</v>
      </c>
      <c r="AC179" s="73">
        <v>0.0</v>
      </c>
      <c r="AD179" s="13">
        <f t="shared" si="36"/>
        <v>6</v>
      </c>
    </row>
    <row r="180" ht="12.75" customHeight="1">
      <c r="A180" s="18"/>
      <c r="B180" s="49"/>
      <c r="C180" s="50" t="s">
        <v>133</v>
      </c>
      <c r="D180" s="51"/>
      <c r="E180" s="73">
        <v>0.0</v>
      </c>
      <c r="F180" s="73">
        <v>1.0</v>
      </c>
      <c r="G180" s="73">
        <v>0.0</v>
      </c>
      <c r="H180" s="73">
        <v>0.0</v>
      </c>
      <c r="I180" s="73">
        <v>1.0</v>
      </c>
      <c r="J180" s="73">
        <v>0.0</v>
      </c>
      <c r="K180" s="73">
        <v>1.0</v>
      </c>
      <c r="L180" s="73">
        <v>0.0</v>
      </c>
      <c r="M180" s="73">
        <v>1.0</v>
      </c>
      <c r="N180" s="73">
        <v>0.0</v>
      </c>
      <c r="O180" s="73">
        <v>1.0</v>
      </c>
      <c r="P180" s="73">
        <v>0.0</v>
      </c>
      <c r="Q180" s="73">
        <v>1.0</v>
      </c>
      <c r="R180" s="73">
        <v>1.0</v>
      </c>
      <c r="S180" s="73">
        <v>2.0</v>
      </c>
      <c r="T180" s="73">
        <v>0.0</v>
      </c>
      <c r="U180" s="73">
        <v>0.0</v>
      </c>
      <c r="V180" s="73">
        <v>1.0</v>
      </c>
      <c r="W180" s="73">
        <v>1.0</v>
      </c>
      <c r="X180" s="73">
        <v>2.0</v>
      </c>
      <c r="Y180" s="73">
        <v>2.0</v>
      </c>
      <c r="Z180" s="73">
        <v>2.0</v>
      </c>
      <c r="AA180" s="73">
        <v>1.0</v>
      </c>
      <c r="AB180" s="73">
        <v>0.0</v>
      </c>
      <c r="AC180" s="73">
        <v>0.0</v>
      </c>
      <c r="AD180" s="13">
        <f t="shared" si="36"/>
        <v>18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0.0</v>
      </c>
      <c r="G181" s="73">
        <v>0.0</v>
      </c>
      <c r="H181" s="73">
        <v>0.0</v>
      </c>
      <c r="I181" s="73">
        <v>1.0</v>
      </c>
      <c r="J181" s="73">
        <v>0.0</v>
      </c>
      <c r="K181" s="73">
        <v>0.0</v>
      </c>
      <c r="L181" s="73">
        <v>0.0</v>
      </c>
      <c r="M181" s="73">
        <v>1.0</v>
      </c>
      <c r="N181" s="73">
        <v>0.0</v>
      </c>
      <c r="O181" s="73">
        <v>0.0</v>
      </c>
      <c r="P181" s="73">
        <v>0.0</v>
      </c>
      <c r="Q181" s="73">
        <v>1.0</v>
      </c>
      <c r="R181" s="73">
        <v>2.0</v>
      </c>
      <c r="S181" s="73">
        <v>0.0</v>
      </c>
      <c r="T181" s="73">
        <v>0.0</v>
      </c>
      <c r="U181" s="73">
        <v>0.0</v>
      </c>
      <c r="V181" s="73">
        <v>0.0</v>
      </c>
      <c r="W181" s="73">
        <v>0.0</v>
      </c>
      <c r="X181" s="73">
        <v>0.0</v>
      </c>
      <c r="Y181" s="73">
        <v>0.0</v>
      </c>
      <c r="Z181" s="73">
        <v>2.0</v>
      </c>
      <c r="AA181" s="73">
        <v>0.0</v>
      </c>
      <c r="AB181" s="73">
        <v>0.0</v>
      </c>
      <c r="AC181" s="73">
        <v>0.0</v>
      </c>
      <c r="AD181" s="13">
        <f t="shared" si="36"/>
        <v>7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1.0</v>
      </c>
      <c r="K182" s="73">
        <v>0.0</v>
      </c>
      <c r="L182" s="73">
        <v>1.0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0.0</v>
      </c>
      <c r="Z182" s="73">
        <v>0.0</v>
      </c>
      <c r="AA182" s="73">
        <v>0.0</v>
      </c>
      <c r="AB182" s="73">
        <v>0.0</v>
      </c>
      <c r="AC182" s="73">
        <v>1.0</v>
      </c>
      <c r="AD182" s="13">
        <f t="shared" si="36"/>
        <v>3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1.0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1.0</v>
      </c>
      <c r="O183" s="73">
        <v>0.0</v>
      </c>
      <c r="P183" s="73">
        <v>2.0</v>
      </c>
      <c r="Q183" s="73">
        <v>0.0</v>
      </c>
      <c r="R183" s="73">
        <v>0.0</v>
      </c>
      <c r="S183" s="73">
        <v>0.0</v>
      </c>
      <c r="T183" s="73">
        <v>0.0</v>
      </c>
      <c r="U183" s="73">
        <v>0.0</v>
      </c>
      <c r="V183" s="73">
        <v>0.0</v>
      </c>
      <c r="W183" s="73">
        <v>0.0</v>
      </c>
      <c r="X183" s="73">
        <v>0.0</v>
      </c>
      <c r="Y183" s="73">
        <v>0.0</v>
      </c>
      <c r="Z183" s="73">
        <v>0.0</v>
      </c>
      <c r="AA183" s="73">
        <v>0.0</v>
      </c>
      <c r="AB183" s="73">
        <v>0.0</v>
      </c>
      <c r="AC183" s="73">
        <v>0.0</v>
      </c>
      <c r="AD183" s="13">
        <f t="shared" si="36"/>
        <v>4</v>
      </c>
    </row>
    <row r="184" ht="12.75" customHeight="1">
      <c r="A184" s="79"/>
      <c r="B184" s="49"/>
      <c r="C184" s="50" t="s">
        <v>137</v>
      </c>
      <c r="D184" s="51"/>
      <c r="E184" s="80">
        <v>1.0</v>
      </c>
      <c r="F184" s="80">
        <v>1.0</v>
      </c>
      <c r="G184" s="80">
        <v>0.0</v>
      </c>
      <c r="H184" s="80">
        <v>0.0</v>
      </c>
      <c r="I184" s="80">
        <v>0.0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80">
        <v>1.0</v>
      </c>
      <c r="Q184" s="80">
        <v>0.0</v>
      </c>
      <c r="R184" s="80">
        <v>0.0</v>
      </c>
      <c r="S184" s="80">
        <v>0.0</v>
      </c>
      <c r="T184" s="80">
        <v>0.0</v>
      </c>
      <c r="U184" s="80">
        <v>0.0</v>
      </c>
      <c r="V184" s="80">
        <v>0.0</v>
      </c>
      <c r="W184" s="80">
        <v>0.0</v>
      </c>
      <c r="X184" s="80">
        <v>0.0</v>
      </c>
      <c r="Y184" s="80">
        <v>0.0</v>
      </c>
      <c r="Z184" s="80">
        <v>0.0</v>
      </c>
      <c r="AA184" s="80">
        <v>0.0</v>
      </c>
      <c r="AB184" s="80">
        <v>1.0</v>
      </c>
      <c r="AC184" s="80">
        <v>0.0</v>
      </c>
      <c r="AD184" s="13">
        <f t="shared" si="36"/>
        <v>4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0.0</v>
      </c>
      <c r="G185" s="80">
        <v>0.0</v>
      </c>
      <c r="H185" s="80">
        <v>0.0</v>
      </c>
      <c r="I185" s="80">
        <v>0.0</v>
      </c>
      <c r="J185" s="80">
        <v>0.0</v>
      </c>
      <c r="K185" s="80">
        <v>0.0</v>
      </c>
      <c r="L185" s="80">
        <v>0.0</v>
      </c>
      <c r="M185" s="80">
        <v>0.0</v>
      </c>
      <c r="N185" s="80">
        <v>0.0</v>
      </c>
      <c r="O185" s="80">
        <v>0.0</v>
      </c>
      <c r="P185" s="80">
        <v>0.0</v>
      </c>
      <c r="Q185" s="80">
        <v>0.0</v>
      </c>
      <c r="R185" s="80">
        <v>0.0</v>
      </c>
      <c r="S185" s="80">
        <v>0.0</v>
      </c>
      <c r="T185" s="80">
        <v>0.0</v>
      </c>
      <c r="U185" s="80">
        <v>0.0</v>
      </c>
      <c r="V185" s="80">
        <v>0.0</v>
      </c>
      <c r="W185" s="80">
        <v>0.0</v>
      </c>
      <c r="X185" s="80">
        <v>0.0</v>
      </c>
      <c r="Y185" s="80">
        <v>0.0</v>
      </c>
      <c r="Z185" s="80">
        <v>0.0</v>
      </c>
      <c r="AA185" s="80">
        <v>0.0</v>
      </c>
      <c r="AB185" s="80">
        <v>0.0</v>
      </c>
      <c r="AC185" s="80">
        <v>0.0</v>
      </c>
      <c r="AD185" s="13">
        <f t="shared" si="36"/>
        <v>0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1.0</v>
      </c>
      <c r="P186" s="80">
        <v>0.0</v>
      </c>
      <c r="Q186" s="80">
        <v>0.0</v>
      </c>
      <c r="R186" s="80">
        <v>0.0</v>
      </c>
      <c r="S186" s="80">
        <v>0.0</v>
      </c>
      <c r="T186" s="80">
        <v>0.0</v>
      </c>
      <c r="U186" s="80">
        <v>0.0</v>
      </c>
      <c r="V186" s="80">
        <v>0.0</v>
      </c>
      <c r="W186" s="80">
        <v>0.0</v>
      </c>
      <c r="X186" s="80">
        <v>0.0</v>
      </c>
      <c r="Y186" s="80">
        <v>0.0</v>
      </c>
      <c r="Z186" s="80">
        <v>0.0</v>
      </c>
      <c r="AA186" s="80">
        <v>0.0</v>
      </c>
      <c r="AB186" s="80">
        <v>0.0</v>
      </c>
      <c r="AC186" s="80">
        <v>1.0</v>
      </c>
      <c r="AD186" s="13">
        <f t="shared" si="36"/>
        <v>2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AD187" si="37">SUM(E177:E186)</f>
        <v>2</v>
      </c>
      <c r="F187" s="13">
        <f t="shared" si="37"/>
        <v>3</v>
      </c>
      <c r="G187" s="13">
        <f t="shared" si="37"/>
        <v>3</v>
      </c>
      <c r="H187" s="13">
        <f t="shared" si="37"/>
        <v>1</v>
      </c>
      <c r="I187" s="13">
        <f t="shared" si="37"/>
        <v>2</v>
      </c>
      <c r="J187" s="13">
        <f t="shared" si="37"/>
        <v>3</v>
      </c>
      <c r="K187" s="13">
        <f t="shared" si="37"/>
        <v>5</v>
      </c>
      <c r="L187" s="13">
        <f t="shared" si="37"/>
        <v>6</v>
      </c>
      <c r="M187" s="13">
        <f t="shared" si="37"/>
        <v>4</v>
      </c>
      <c r="N187" s="13">
        <f t="shared" si="37"/>
        <v>2</v>
      </c>
      <c r="O187" s="13">
        <f t="shared" si="37"/>
        <v>5</v>
      </c>
      <c r="P187" s="13">
        <f t="shared" si="37"/>
        <v>8</v>
      </c>
      <c r="Q187" s="13">
        <f t="shared" si="37"/>
        <v>2</v>
      </c>
      <c r="R187" s="13">
        <f t="shared" si="37"/>
        <v>5</v>
      </c>
      <c r="S187" s="13">
        <f t="shared" si="37"/>
        <v>3</v>
      </c>
      <c r="T187" s="13">
        <f t="shared" si="37"/>
        <v>0</v>
      </c>
      <c r="U187" s="13">
        <f t="shared" si="37"/>
        <v>0</v>
      </c>
      <c r="V187" s="13">
        <f t="shared" si="37"/>
        <v>3</v>
      </c>
      <c r="W187" s="13">
        <f t="shared" si="37"/>
        <v>3</v>
      </c>
      <c r="X187" s="13">
        <f t="shared" si="37"/>
        <v>4</v>
      </c>
      <c r="Y187" s="13">
        <f t="shared" si="37"/>
        <v>11</v>
      </c>
      <c r="Z187" s="13">
        <f t="shared" si="37"/>
        <v>10</v>
      </c>
      <c r="AA187" s="13">
        <f t="shared" si="37"/>
        <v>2</v>
      </c>
      <c r="AB187" s="13">
        <f t="shared" si="37"/>
        <v>1</v>
      </c>
      <c r="AC187" s="13">
        <f t="shared" si="37"/>
        <v>3</v>
      </c>
      <c r="AD187" s="13">
        <f t="shared" si="37"/>
        <v>91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AD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13">
        <f t="shared" ref="AD189:AD198" si="38">SUM(E189:AC189)</f>
        <v>0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1.0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1.0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13">
        <f t="shared" si="38"/>
        <v>2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1.0</v>
      </c>
      <c r="R191" s="73">
        <v>1.0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1.0</v>
      </c>
      <c r="AD191" s="13">
        <f t="shared" si="38"/>
        <v>3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1.0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13">
        <f t="shared" si="38"/>
        <v>1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1.0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13">
        <f t="shared" si="38"/>
        <v>1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1.0</v>
      </c>
      <c r="G194" s="73">
        <v>0.0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1.0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13">
        <f t="shared" si="38"/>
        <v>2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2.0</v>
      </c>
      <c r="S195" s="73">
        <v>4.0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2.0</v>
      </c>
      <c r="AD195" s="13">
        <f t="shared" si="38"/>
        <v>8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1.0</v>
      </c>
      <c r="R196" s="80">
        <v>0.0</v>
      </c>
      <c r="S196" s="80">
        <v>2.0</v>
      </c>
      <c r="T196" s="80">
        <v>0.0</v>
      </c>
      <c r="U196" s="80">
        <v>0.0</v>
      </c>
      <c r="V196" s="80">
        <v>0.0</v>
      </c>
      <c r="W196" s="80">
        <v>0.0</v>
      </c>
      <c r="X196" s="80">
        <v>0.0</v>
      </c>
      <c r="Y196" s="80">
        <v>0.0</v>
      </c>
      <c r="Z196" s="80">
        <v>0.0</v>
      </c>
      <c r="AA196" s="80">
        <v>0.0</v>
      </c>
      <c r="AB196" s="80">
        <v>0.0</v>
      </c>
      <c r="AC196" s="80">
        <v>0.0</v>
      </c>
      <c r="AD196" s="13">
        <f t="shared" si="38"/>
        <v>3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1.0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0">
        <v>0.0</v>
      </c>
      <c r="U197" s="80">
        <v>0.0</v>
      </c>
      <c r="V197" s="80">
        <v>0.0</v>
      </c>
      <c r="W197" s="80">
        <v>0.0</v>
      </c>
      <c r="X197" s="80">
        <v>0.0</v>
      </c>
      <c r="Y197" s="80">
        <v>0.0</v>
      </c>
      <c r="Z197" s="80">
        <v>0.0</v>
      </c>
      <c r="AA197" s="80">
        <v>0.0</v>
      </c>
      <c r="AB197" s="80">
        <v>0.0</v>
      </c>
      <c r="AC197" s="80">
        <v>0.0</v>
      </c>
      <c r="AD197" s="13">
        <f t="shared" si="38"/>
        <v>1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80">
        <v>0.0</v>
      </c>
      <c r="V198" s="80">
        <v>0.0</v>
      </c>
      <c r="W198" s="80">
        <v>0.0</v>
      </c>
      <c r="X198" s="80">
        <v>0.0</v>
      </c>
      <c r="Y198" s="80">
        <v>0.0</v>
      </c>
      <c r="Z198" s="80">
        <v>0.0</v>
      </c>
      <c r="AA198" s="80">
        <v>0.0</v>
      </c>
      <c r="AB198" s="80">
        <v>0.0</v>
      </c>
      <c r="AC198" s="80">
        <v>0.0</v>
      </c>
      <c r="AD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AD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4</v>
      </c>
      <c r="R199" s="13">
        <f t="shared" si="39"/>
        <v>4</v>
      </c>
      <c r="S199" s="13">
        <f t="shared" si="39"/>
        <v>6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3</v>
      </c>
      <c r="AD199" s="13">
        <f t="shared" si="39"/>
        <v>21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5.0</v>
      </c>
      <c r="F201" s="73">
        <v>9.0</v>
      </c>
      <c r="G201" s="73">
        <v>6.0</v>
      </c>
      <c r="H201" s="73">
        <v>4.0</v>
      </c>
      <c r="I201" s="73">
        <v>1.0</v>
      </c>
      <c r="J201" s="73">
        <v>2.0</v>
      </c>
      <c r="K201" s="73">
        <v>5.0</v>
      </c>
      <c r="L201" s="73">
        <v>3.0</v>
      </c>
      <c r="M201" s="73">
        <v>6.0</v>
      </c>
      <c r="N201" s="73">
        <v>4.0</v>
      </c>
      <c r="O201" s="73">
        <v>2.0</v>
      </c>
      <c r="P201" s="73">
        <v>0.0</v>
      </c>
      <c r="Q201" s="73">
        <v>2.0</v>
      </c>
      <c r="R201" s="73">
        <v>4.0</v>
      </c>
      <c r="S201" s="73">
        <v>0.0</v>
      </c>
      <c r="T201" s="73">
        <v>2.0</v>
      </c>
      <c r="U201" s="73">
        <v>1.0</v>
      </c>
      <c r="V201" s="73">
        <v>1.0</v>
      </c>
      <c r="W201" s="73">
        <v>1.0</v>
      </c>
      <c r="X201" s="73">
        <v>3.0</v>
      </c>
      <c r="Y201" s="73">
        <v>1.0</v>
      </c>
      <c r="Z201" s="73">
        <v>2.0</v>
      </c>
      <c r="AA201" s="73">
        <v>0.0</v>
      </c>
      <c r="AB201" s="73">
        <v>2.0</v>
      </c>
      <c r="AC201" s="73">
        <v>3.0</v>
      </c>
      <c r="AD201" s="13">
        <f t="shared" ref="AD201:AD210" si="40">SUM(E201:AC201)</f>
        <v>69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6.0</v>
      </c>
      <c r="F202" s="73">
        <v>6.0</v>
      </c>
      <c r="G202" s="73">
        <v>1.0</v>
      </c>
      <c r="H202" s="73">
        <v>3.0</v>
      </c>
      <c r="I202" s="73">
        <v>1.0</v>
      </c>
      <c r="J202" s="73">
        <v>4.0</v>
      </c>
      <c r="K202" s="73">
        <v>4.0</v>
      </c>
      <c r="L202" s="73">
        <v>5.0</v>
      </c>
      <c r="M202" s="73">
        <v>4.0</v>
      </c>
      <c r="N202" s="73">
        <v>1.0</v>
      </c>
      <c r="O202" s="73">
        <v>0.0</v>
      </c>
      <c r="P202" s="73">
        <v>1.0</v>
      </c>
      <c r="Q202" s="73">
        <v>1.0</v>
      </c>
      <c r="R202" s="73">
        <v>1.0</v>
      </c>
      <c r="S202" s="73">
        <v>1.0</v>
      </c>
      <c r="T202" s="73">
        <v>0.0</v>
      </c>
      <c r="U202" s="73">
        <v>0.0</v>
      </c>
      <c r="V202" s="73">
        <v>1.0</v>
      </c>
      <c r="W202" s="73">
        <v>4.0</v>
      </c>
      <c r="X202" s="73">
        <v>2.0</v>
      </c>
      <c r="Y202" s="73">
        <v>3.0</v>
      </c>
      <c r="Z202" s="73">
        <v>2.0</v>
      </c>
      <c r="AA202" s="73">
        <v>2.0</v>
      </c>
      <c r="AB202" s="73">
        <v>0.0</v>
      </c>
      <c r="AC202" s="73">
        <v>0.0</v>
      </c>
      <c r="AD202" s="13">
        <f t="shared" si="40"/>
        <v>53</v>
      </c>
    </row>
    <row r="203" ht="12.75" customHeight="1">
      <c r="A203" s="18"/>
      <c r="B203" s="49"/>
      <c r="C203" s="50" t="s">
        <v>154</v>
      </c>
      <c r="D203" s="51"/>
      <c r="E203" s="73">
        <v>4.0</v>
      </c>
      <c r="F203" s="73">
        <v>4.0</v>
      </c>
      <c r="G203" s="73">
        <v>0.0</v>
      </c>
      <c r="H203" s="73">
        <v>1.0</v>
      </c>
      <c r="I203" s="73">
        <v>1.0</v>
      </c>
      <c r="J203" s="73">
        <v>0.0</v>
      </c>
      <c r="K203" s="73">
        <v>3.0</v>
      </c>
      <c r="L203" s="73">
        <v>1.0</v>
      </c>
      <c r="M203" s="73">
        <v>2.0</v>
      </c>
      <c r="N203" s="73">
        <v>0.0</v>
      </c>
      <c r="O203" s="73">
        <v>0.0</v>
      </c>
      <c r="P203" s="73">
        <v>0.0</v>
      </c>
      <c r="Q203" s="73">
        <v>1.0</v>
      </c>
      <c r="R203" s="73">
        <v>2.0</v>
      </c>
      <c r="S203" s="73">
        <v>1.0</v>
      </c>
      <c r="T203" s="73">
        <v>0.0</v>
      </c>
      <c r="U203" s="73">
        <v>0.0</v>
      </c>
      <c r="V203" s="73">
        <v>1.0</v>
      </c>
      <c r="W203" s="73">
        <v>0.0</v>
      </c>
      <c r="X203" s="73">
        <v>0.0</v>
      </c>
      <c r="Y203" s="73">
        <v>1.0</v>
      </c>
      <c r="Z203" s="73">
        <v>2.0</v>
      </c>
      <c r="AA203" s="73">
        <v>1.0</v>
      </c>
      <c r="AB203" s="73">
        <v>0.0</v>
      </c>
      <c r="AC203" s="73">
        <v>0.0</v>
      </c>
      <c r="AD203" s="13">
        <f t="shared" si="40"/>
        <v>25</v>
      </c>
    </row>
    <row r="204" ht="12.75" customHeight="1">
      <c r="A204" s="18"/>
      <c r="B204" s="49"/>
      <c r="C204" s="50" t="s">
        <v>155</v>
      </c>
      <c r="D204" s="51"/>
      <c r="E204" s="73">
        <v>1.0</v>
      </c>
      <c r="F204" s="73">
        <v>3.0</v>
      </c>
      <c r="G204" s="73">
        <v>2.0</v>
      </c>
      <c r="H204" s="73">
        <v>0.0</v>
      </c>
      <c r="I204" s="73">
        <v>0.0</v>
      </c>
      <c r="J204" s="73">
        <v>0.0</v>
      </c>
      <c r="K204" s="73">
        <v>1.0</v>
      </c>
      <c r="L204" s="73">
        <v>1.0</v>
      </c>
      <c r="M204" s="73">
        <v>1.0</v>
      </c>
      <c r="N204" s="73">
        <v>1.0</v>
      </c>
      <c r="O204" s="73">
        <v>0.0</v>
      </c>
      <c r="P204" s="73">
        <v>0.0</v>
      </c>
      <c r="Q204" s="73">
        <v>1.0</v>
      </c>
      <c r="R204" s="73">
        <v>1.0</v>
      </c>
      <c r="S204" s="73">
        <v>0.0</v>
      </c>
      <c r="T204" s="73">
        <v>1.0</v>
      </c>
      <c r="U204" s="73">
        <v>0.0</v>
      </c>
      <c r="V204" s="73">
        <v>2.0</v>
      </c>
      <c r="W204" s="73">
        <v>0.0</v>
      </c>
      <c r="X204" s="73">
        <v>0.0</v>
      </c>
      <c r="Y204" s="73">
        <v>0.0</v>
      </c>
      <c r="Z204" s="73">
        <v>0.0</v>
      </c>
      <c r="AA204" s="73">
        <v>0.0</v>
      </c>
      <c r="AB204" s="73">
        <v>0.0</v>
      </c>
      <c r="AC204" s="73">
        <v>0.0</v>
      </c>
      <c r="AD204" s="13">
        <f t="shared" si="40"/>
        <v>15</v>
      </c>
    </row>
    <row r="205" ht="12.75" customHeight="1">
      <c r="A205" s="18"/>
      <c r="B205" s="49"/>
      <c r="C205" s="50" t="s">
        <v>156</v>
      </c>
      <c r="D205" s="51"/>
      <c r="E205" s="73">
        <v>1.0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1.0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1.0</v>
      </c>
      <c r="X205" s="73">
        <v>0.0</v>
      </c>
      <c r="Y205" s="73">
        <v>0.0</v>
      </c>
      <c r="Z205" s="73">
        <v>0.0</v>
      </c>
      <c r="AA205" s="73">
        <v>0.0</v>
      </c>
      <c r="AB205" s="73">
        <v>0.0</v>
      </c>
      <c r="AC205" s="73">
        <v>0.0</v>
      </c>
      <c r="AD205" s="13">
        <f t="shared" si="40"/>
        <v>3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1.0</v>
      </c>
      <c r="G206" s="73">
        <v>3.0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13">
        <f t="shared" si="40"/>
        <v>4</v>
      </c>
    </row>
    <row r="207" ht="12.75" customHeight="1">
      <c r="A207" s="18"/>
      <c r="B207" s="49"/>
      <c r="C207" s="50" t="s">
        <v>158</v>
      </c>
      <c r="D207" s="51"/>
      <c r="E207" s="73">
        <v>0.0</v>
      </c>
      <c r="F207" s="73">
        <v>0.0</v>
      </c>
      <c r="G207" s="73">
        <v>1.0</v>
      </c>
      <c r="H207" s="73">
        <v>0.0</v>
      </c>
      <c r="I207" s="73">
        <v>0.0</v>
      </c>
      <c r="J207" s="73">
        <v>1.0</v>
      </c>
      <c r="K207" s="73">
        <v>0.0</v>
      </c>
      <c r="L207" s="73">
        <v>1.0</v>
      </c>
      <c r="M207" s="73">
        <v>0.0</v>
      </c>
      <c r="N207" s="73">
        <v>0.0</v>
      </c>
      <c r="O207" s="73">
        <v>1.0</v>
      </c>
      <c r="P207" s="73">
        <v>0.0</v>
      </c>
      <c r="Q207" s="73">
        <v>0.0</v>
      </c>
      <c r="R207" s="73">
        <v>0.0</v>
      </c>
      <c r="S207" s="73">
        <v>0.0</v>
      </c>
      <c r="T207" s="73">
        <v>0.0</v>
      </c>
      <c r="U207" s="73">
        <v>0.0</v>
      </c>
      <c r="V207" s="73">
        <v>0.0</v>
      </c>
      <c r="W207" s="73">
        <v>1.0</v>
      </c>
      <c r="X207" s="73">
        <v>0.0</v>
      </c>
      <c r="Y207" s="73">
        <v>0.0</v>
      </c>
      <c r="Z207" s="73">
        <v>1.0</v>
      </c>
      <c r="AA207" s="73">
        <v>1.0</v>
      </c>
      <c r="AB207" s="73">
        <v>1.0</v>
      </c>
      <c r="AC207" s="73">
        <v>0.0</v>
      </c>
      <c r="AD207" s="13">
        <f t="shared" si="40"/>
        <v>8</v>
      </c>
    </row>
    <row r="208" ht="12.75" customHeight="1">
      <c r="A208" s="79"/>
      <c r="B208" s="49"/>
      <c r="C208" s="50" t="s">
        <v>159</v>
      </c>
      <c r="D208" s="51"/>
      <c r="E208" s="80">
        <v>0.0</v>
      </c>
      <c r="F208" s="80">
        <v>0.0</v>
      </c>
      <c r="G208" s="80">
        <v>2.0</v>
      </c>
      <c r="H208" s="80">
        <v>1.0</v>
      </c>
      <c r="I208" s="80">
        <v>0.0</v>
      </c>
      <c r="J208" s="80">
        <v>0.0</v>
      </c>
      <c r="K208" s="80">
        <v>1.0</v>
      </c>
      <c r="L208" s="80">
        <v>2.0</v>
      </c>
      <c r="M208" s="80">
        <v>1.0</v>
      </c>
      <c r="N208" s="80">
        <v>0.0</v>
      </c>
      <c r="O208" s="80">
        <v>3.0</v>
      </c>
      <c r="P208" s="80">
        <v>0.0</v>
      </c>
      <c r="Q208" s="80">
        <v>0.0</v>
      </c>
      <c r="R208" s="80">
        <v>0.0</v>
      </c>
      <c r="S208" s="80">
        <v>0.0</v>
      </c>
      <c r="T208" s="80">
        <v>0.0</v>
      </c>
      <c r="U208" s="80">
        <v>0.0</v>
      </c>
      <c r="V208" s="80">
        <v>1.0</v>
      </c>
      <c r="W208" s="80">
        <v>0.0</v>
      </c>
      <c r="X208" s="80">
        <v>0.0</v>
      </c>
      <c r="Y208" s="80">
        <v>1.0</v>
      </c>
      <c r="Z208" s="80">
        <v>1.0</v>
      </c>
      <c r="AA208" s="80">
        <v>0.0</v>
      </c>
      <c r="AB208" s="80">
        <v>0.0</v>
      </c>
      <c r="AC208" s="80">
        <v>0.0</v>
      </c>
      <c r="AD208" s="13">
        <f t="shared" si="40"/>
        <v>13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1.0</v>
      </c>
      <c r="R209" s="80">
        <v>0.0</v>
      </c>
      <c r="S209" s="80">
        <v>1.0</v>
      </c>
      <c r="T209" s="80">
        <v>0.0</v>
      </c>
      <c r="U209" s="80">
        <v>0.0</v>
      </c>
      <c r="V209" s="80">
        <v>0.0</v>
      </c>
      <c r="W209" s="80">
        <v>0.0</v>
      </c>
      <c r="X209" s="80">
        <v>0.0</v>
      </c>
      <c r="Y209" s="80">
        <v>0.0</v>
      </c>
      <c r="Z209" s="80">
        <v>0.0</v>
      </c>
      <c r="AA209" s="80">
        <v>0.0</v>
      </c>
      <c r="AB209" s="80">
        <v>0.0</v>
      </c>
      <c r="AC209" s="80">
        <v>0.0</v>
      </c>
      <c r="AD209" s="13">
        <f t="shared" si="40"/>
        <v>2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1.0</v>
      </c>
      <c r="G210" s="80">
        <v>0.0</v>
      </c>
      <c r="H210" s="80">
        <v>0.0</v>
      </c>
      <c r="I210" s="80">
        <v>0.0</v>
      </c>
      <c r="J210" s="80">
        <v>0.0</v>
      </c>
      <c r="K210" s="80">
        <v>0.0</v>
      </c>
      <c r="L210" s="80">
        <v>2.0</v>
      </c>
      <c r="M210" s="80">
        <v>0.0</v>
      </c>
      <c r="N210" s="80">
        <v>0.0</v>
      </c>
      <c r="O210" s="80">
        <v>0.0</v>
      </c>
      <c r="P210" s="80">
        <v>0.0</v>
      </c>
      <c r="Q210" s="80">
        <v>0.0</v>
      </c>
      <c r="R210" s="80">
        <v>0.0</v>
      </c>
      <c r="S210" s="80">
        <v>0.0</v>
      </c>
      <c r="T210" s="80">
        <v>0.0</v>
      </c>
      <c r="U210" s="80">
        <v>0.0</v>
      </c>
      <c r="V210" s="80">
        <v>0.0</v>
      </c>
      <c r="W210" s="80">
        <v>0.0</v>
      </c>
      <c r="X210" s="80">
        <v>0.0</v>
      </c>
      <c r="Y210" s="80">
        <v>0.0</v>
      </c>
      <c r="Z210" s="80">
        <v>0.0</v>
      </c>
      <c r="AA210" s="80">
        <v>0.0</v>
      </c>
      <c r="AB210" s="80">
        <v>0.0</v>
      </c>
      <c r="AC210" s="80">
        <v>0.0</v>
      </c>
      <c r="AD210" s="13">
        <f t="shared" si="40"/>
        <v>3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AD211" si="41">SUM(E201:E210)</f>
        <v>17</v>
      </c>
      <c r="F211" s="13">
        <f t="shared" si="41"/>
        <v>24</v>
      </c>
      <c r="G211" s="13">
        <f t="shared" si="41"/>
        <v>15</v>
      </c>
      <c r="H211" s="13">
        <f t="shared" si="41"/>
        <v>9</v>
      </c>
      <c r="I211" s="13">
        <f t="shared" si="41"/>
        <v>3</v>
      </c>
      <c r="J211" s="13">
        <f t="shared" si="41"/>
        <v>7</v>
      </c>
      <c r="K211" s="13">
        <f t="shared" si="41"/>
        <v>14</v>
      </c>
      <c r="L211" s="13">
        <f t="shared" si="41"/>
        <v>16</v>
      </c>
      <c r="M211" s="13">
        <f t="shared" si="41"/>
        <v>14</v>
      </c>
      <c r="N211" s="13">
        <f t="shared" si="41"/>
        <v>6</v>
      </c>
      <c r="O211" s="13">
        <f t="shared" si="41"/>
        <v>6</v>
      </c>
      <c r="P211" s="13">
        <f t="shared" si="41"/>
        <v>1</v>
      </c>
      <c r="Q211" s="13">
        <f t="shared" si="41"/>
        <v>6</v>
      </c>
      <c r="R211" s="13">
        <f t="shared" si="41"/>
        <v>8</v>
      </c>
      <c r="S211" s="13">
        <f t="shared" si="41"/>
        <v>3</v>
      </c>
      <c r="T211" s="13">
        <f t="shared" si="41"/>
        <v>3</v>
      </c>
      <c r="U211" s="13">
        <f t="shared" si="41"/>
        <v>1</v>
      </c>
      <c r="V211" s="13">
        <f t="shared" si="41"/>
        <v>6</v>
      </c>
      <c r="W211" s="13">
        <f t="shared" si="41"/>
        <v>7</v>
      </c>
      <c r="X211" s="13">
        <f t="shared" si="41"/>
        <v>5</v>
      </c>
      <c r="Y211" s="13">
        <f t="shared" si="41"/>
        <v>6</v>
      </c>
      <c r="Z211" s="13">
        <f t="shared" si="41"/>
        <v>8</v>
      </c>
      <c r="AA211" s="13">
        <f t="shared" si="41"/>
        <v>4</v>
      </c>
      <c r="AB211" s="13">
        <f t="shared" si="41"/>
        <v>3</v>
      </c>
      <c r="AC211" s="13">
        <f t="shared" si="41"/>
        <v>3</v>
      </c>
      <c r="AD211" s="13">
        <f t="shared" si="41"/>
        <v>195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2.0</v>
      </c>
      <c r="F213" s="73">
        <v>3.0</v>
      </c>
      <c r="G213" s="73">
        <v>1.0</v>
      </c>
      <c r="H213" s="73">
        <v>1.0</v>
      </c>
      <c r="I213" s="73">
        <v>0.0</v>
      </c>
      <c r="J213" s="73">
        <v>0.0</v>
      </c>
      <c r="K213" s="73">
        <v>1.0</v>
      </c>
      <c r="L213" s="73">
        <v>1.0</v>
      </c>
      <c r="M213" s="73">
        <v>4.0</v>
      </c>
      <c r="N213" s="73">
        <v>2.0</v>
      </c>
      <c r="O213" s="73">
        <v>1.0</v>
      </c>
      <c r="P213" s="73">
        <v>0.0</v>
      </c>
      <c r="Q213" s="73">
        <v>0.0</v>
      </c>
      <c r="R213" s="73">
        <v>1.0</v>
      </c>
      <c r="S213" s="73">
        <v>0.0</v>
      </c>
      <c r="T213" s="73">
        <v>0.0</v>
      </c>
      <c r="U213" s="73">
        <v>1.0</v>
      </c>
      <c r="V213" s="73">
        <v>0.0</v>
      </c>
      <c r="W213" s="73">
        <v>0.0</v>
      </c>
      <c r="X213" s="73">
        <v>3.0</v>
      </c>
      <c r="Y213" s="73">
        <v>2.0</v>
      </c>
      <c r="Z213" s="73">
        <v>2.0</v>
      </c>
      <c r="AA213" s="73">
        <v>3.0</v>
      </c>
      <c r="AB213" s="73">
        <v>2.0</v>
      </c>
      <c r="AC213" s="73">
        <v>1.0</v>
      </c>
      <c r="AD213" s="13">
        <f t="shared" ref="AD213:AD222" si="42">SUM(E213:AC213)</f>
        <v>31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1.0</v>
      </c>
      <c r="F214" s="73">
        <v>0.0</v>
      </c>
      <c r="G214" s="73">
        <v>0.0</v>
      </c>
      <c r="H214" s="73">
        <v>0.0</v>
      </c>
      <c r="I214" s="73">
        <v>1.0</v>
      </c>
      <c r="J214" s="73">
        <v>0.0</v>
      </c>
      <c r="K214" s="73">
        <v>0.0</v>
      </c>
      <c r="L214" s="73">
        <v>1.0</v>
      </c>
      <c r="M214" s="73">
        <v>1.0</v>
      </c>
      <c r="N214" s="73">
        <v>0.0</v>
      </c>
      <c r="O214" s="73">
        <v>1.0</v>
      </c>
      <c r="P214" s="73">
        <v>1.0</v>
      </c>
      <c r="Q214" s="73">
        <v>0.0</v>
      </c>
      <c r="R214" s="73">
        <v>1.0</v>
      </c>
      <c r="S214" s="73">
        <v>0.0</v>
      </c>
      <c r="T214" s="73">
        <v>0.0</v>
      </c>
      <c r="U214" s="73">
        <v>0.0</v>
      </c>
      <c r="V214" s="73">
        <v>0.0</v>
      </c>
      <c r="W214" s="73">
        <v>2.0</v>
      </c>
      <c r="X214" s="73">
        <v>1.0</v>
      </c>
      <c r="Y214" s="73">
        <v>3.0</v>
      </c>
      <c r="Z214" s="73">
        <v>1.0</v>
      </c>
      <c r="AA214" s="73">
        <v>1.0</v>
      </c>
      <c r="AB214" s="73">
        <v>3.0</v>
      </c>
      <c r="AC214" s="73">
        <v>1.0</v>
      </c>
      <c r="AD214" s="13">
        <f t="shared" si="42"/>
        <v>19</v>
      </c>
    </row>
    <row r="215" ht="12.75" customHeight="1">
      <c r="A215" s="18"/>
      <c r="B215" s="49"/>
      <c r="C215" s="50" t="s">
        <v>165</v>
      </c>
      <c r="D215" s="51"/>
      <c r="E215" s="73">
        <v>3.0</v>
      </c>
      <c r="F215" s="73">
        <v>1.0</v>
      </c>
      <c r="G215" s="73">
        <v>0.0</v>
      </c>
      <c r="H215" s="73">
        <v>0.0</v>
      </c>
      <c r="I215" s="73">
        <v>0.0</v>
      </c>
      <c r="J215" s="73">
        <v>0.0</v>
      </c>
      <c r="K215" s="73">
        <v>2.0</v>
      </c>
      <c r="L215" s="73">
        <v>1.0</v>
      </c>
      <c r="M215" s="73">
        <v>1.0</v>
      </c>
      <c r="N215" s="73">
        <v>1.0</v>
      </c>
      <c r="O215" s="73">
        <v>0.0</v>
      </c>
      <c r="P215" s="73">
        <v>1.0</v>
      </c>
      <c r="Q215" s="73">
        <v>0.0</v>
      </c>
      <c r="R215" s="73">
        <v>0.0</v>
      </c>
      <c r="S215" s="73">
        <v>0.0</v>
      </c>
      <c r="T215" s="73">
        <v>0.0</v>
      </c>
      <c r="U215" s="73">
        <v>1.0</v>
      </c>
      <c r="V215" s="73">
        <v>1.0</v>
      </c>
      <c r="W215" s="73">
        <v>2.0</v>
      </c>
      <c r="X215" s="73">
        <v>2.0</v>
      </c>
      <c r="Y215" s="73">
        <v>0.0</v>
      </c>
      <c r="Z215" s="73">
        <v>0.0</v>
      </c>
      <c r="AA215" s="73">
        <v>0.0</v>
      </c>
      <c r="AB215" s="73">
        <v>0.0</v>
      </c>
      <c r="AC215" s="73">
        <v>2.0</v>
      </c>
      <c r="AD215" s="13">
        <f t="shared" si="42"/>
        <v>18</v>
      </c>
    </row>
    <row r="216" ht="12.75" customHeight="1">
      <c r="A216" s="18"/>
      <c r="B216" s="49"/>
      <c r="C216" s="50" t="s">
        <v>166</v>
      </c>
      <c r="D216" s="51"/>
      <c r="E216" s="73">
        <v>1.0</v>
      </c>
      <c r="F216" s="73">
        <v>0.0</v>
      </c>
      <c r="G216" s="73">
        <v>0.0</v>
      </c>
      <c r="H216" s="73">
        <v>0.0</v>
      </c>
      <c r="I216" s="73">
        <v>1.0</v>
      </c>
      <c r="J216" s="73">
        <v>0.0</v>
      </c>
      <c r="K216" s="73">
        <v>0.0</v>
      </c>
      <c r="L216" s="73">
        <v>0.0</v>
      </c>
      <c r="M216" s="73">
        <v>1.0</v>
      </c>
      <c r="N216" s="73">
        <v>0.0</v>
      </c>
      <c r="O216" s="73">
        <v>0.0</v>
      </c>
      <c r="P216" s="73">
        <v>0.0</v>
      </c>
      <c r="Q216" s="73">
        <v>1.0</v>
      </c>
      <c r="R216" s="73">
        <v>0.0</v>
      </c>
      <c r="S216" s="73">
        <v>1.0</v>
      </c>
      <c r="T216" s="73">
        <v>0.0</v>
      </c>
      <c r="U216" s="73">
        <v>0.0</v>
      </c>
      <c r="V216" s="73">
        <v>0.0</v>
      </c>
      <c r="W216" s="73">
        <v>0.0</v>
      </c>
      <c r="X216" s="73">
        <v>0.0</v>
      </c>
      <c r="Y216" s="73">
        <v>0.0</v>
      </c>
      <c r="Z216" s="73">
        <v>0.0</v>
      </c>
      <c r="AA216" s="73">
        <v>3.0</v>
      </c>
      <c r="AB216" s="73">
        <v>0.0</v>
      </c>
      <c r="AC216" s="73">
        <v>1.0</v>
      </c>
      <c r="AD216" s="13">
        <f t="shared" si="42"/>
        <v>9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AD223" si="43">SUM(E213:E222)</f>
        <v>7</v>
      </c>
      <c r="F223" s="13">
        <f t="shared" si="43"/>
        <v>4</v>
      </c>
      <c r="G223" s="13">
        <f t="shared" si="43"/>
        <v>1</v>
      </c>
      <c r="H223" s="13">
        <f t="shared" si="43"/>
        <v>1</v>
      </c>
      <c r="I223" s="13">
        <f t="shared" si="43"/>
        <v>2</v>
      </c>
      <c r="J223" s="13">
        <f t="shared" si="43"/>
        <v>0</v>
      </c>
      <c r="K223" s="13">
        <f t="shared" si="43"/>
        <v>3</v>
      </c>
      <c r="L223" s="13">
        <f t="shared" si="43"/>
        <v>3</v>
      </c>
      <c r="M223" s="13">
        <f t="shared" si="43"/>
        <v>7</v>
      </c>
      <c r="N223" s="13">
        <f t="shared" si="43"/>
        <v>3</v>
      </c>
      <c r="O223" s="13">
        <f t="shared" si="43"/>
        <v>2</v>
      </c>
      <c r="P223" s="13">
        <f t="shared" si="43"/>
        <v>2</v>
      </c>
      <c r="Q223" s="13">
        <f t="shared" si="43"/>
        <v>1</v>
      </c>
      <c r="R223" s="13">
        <f t="shared" si="43"/>
        <v>2</v>
      </c>
      <c r="S223" s="13">
        <f t="shared" si="43"/>
        <v>1</v>
      </c>
      <c r="T223" s="13">
        <f t="shared" si="43"/>
        <v>0</v>
      </c>
      <c r="U223" s="13">
        <f t="shared" si="43"/>
        <v>2</v>
      </c>
      <c r="V223" s="13">
        <f t="shared" si="43"/>
        <v>1</v>
      </c>
      <c r="W223" s="13">
        <f t="shared" si="43"/>
        <v>4</v>
      </c>
      <c r="X223" s="13">
        <f t="shared" si="43"/>
        <v>6</v>
      </c>
      <c r="Y223" s="13">
        <f t="shared" si="43"/>
        <v>5</v>
      </c>
      <c r="Z223" s="13">
        <f t="shared" si="43"/>
        <v>3</v>
      </c>
      <c r="AA223" s="13">
        <f t="shared" si="43"/>
        <v>7</v>
      </c>
      <c r="AB223" s="13">
        <f t="shared" si="43"/>
        <v>5</v>
      </c>
      <c r="AC223" s="13">
        <f t="shared" si="43"/>
        <v>5</v>
      </c>
      <c r="AD223" s="13">
        <f t="shared" si="43"/>
        <v>77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2.0</v>
      </c>
      <c r="F225" s="73">
        <v>0.0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1.0</v>
      </c>
      <c r="N225" s="73">
        <v>0.0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0.0</v>
      </c>
      <c r="V225" s="73">
        <v>0.0</v>
      </c>
      <c r="W225" s="73">
        <v>0.0</v>
      </c>
      <c r="X225" s="73">
        <v>0.0</v>
      </c>
      <c r="Y225" s="73">
        <v>0.0</v>
      </c>
      <c r="Z225" s="73">
        <v>1.0</v>
      </c>
      <c r="AA225" s="73">
        <v>0.0</v>
      </c>
      <c r="AB225" s="73">
        <v>0.0</v>
      </c>
      <c r="AC225" s="73">
        <v>1.0</v>
      </c>
      <c r="AD225" s="13">
        <f t="shared" ref="AD225:AD234" si="44">SUM(E225:AC225)</f>
        <v>5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0.0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73">
        <v>1.0</v>
      </c>
      <c r="AA226" s="73">
        <v>1.0</v>
      </c>
      <c r="AB226" s="73">
        <v>0.0</v>
      </c>
      <c r="AC226" s="73">
        <v>0.0</v>
      </c>
      <c r="AD226" s="13">
        <f t="shared" si="44"/>
        <v>2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1.0</v>
      </c>
      <c r="P227" s="73">
        <v>1.0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1.0</v>
      </c>
      <c r="Z227" s="73">
        <v>1.0</v>
      </c>
      <c r="AA227" s="73">
        <v>0.0</v>
      </c>
      <c r="AB227" s="73">
        <v>0.0</v>
      </c>
      <c r="AC227" s="73">
        <v>0.0</v>
      </c>
      <c r="AD227" s="13">
        <f t="shared" si="44"/>
        <v>4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1.0</v>
      </c>
      <c r="W228" s="73">
        <v>0.0</v>
      </c>
      <c r="X228" s="73">
        <v>0.0</v>
      </c>
      <c r="Y228" s="73">
        <v>0.0</v>
      </c>
      <c r="Z228" s="73">
        <v>0.0</v>
      </c>
      <c r="AA228" s="73">
        <v>0.0</v>
      </c>
      <c r="AB228" s="73">
        <v>0.0</v>
      </c>
      <c r="AC228" s="73">
        <v>0.0</v>
      </c>
      <c r="AD228" s="13">
        <f t="shared" si="44"/>
        <v>1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1.0</v>
      </c>
      <c r="AB229" s="73">
        <v>2.0</v>
      </c>
      <c r="AC229" s="73">
        <v>0.0</v>
      </c>
      <c r="AD229" s="13">
        <f t="shared" si="44"/>
        <v>3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AD235" si="45">SUM(E225:E234)</f>
        <v>2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1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0</v>
      </c>
      <c r="Y235" s="13">
        <f t="shared" si="45"/>
        <v>1</v>
      </c>
      <c r="Z235" s="13">
        <f t="shared" si="45"/>
        <v>3</v>
      </c>
      <c r="AA235" s="13">
        <f t="shared" si="45"/>
        <v>2</v>
      </c>
      <c r="AB235" s="13">
        <f t="shared" si="45"/>
        <v>2</v>
      </c>
      <c r="AC235" s="13">
        <f t="shared" si="45"/>
        <v>1</v>
      </c>
      <c r="AD235" s="13">
        <f t="shared" si="45"/>
        <v>15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3.0</v>
      </c>
      <c r="F237" s="73">
        <v>1.0</v>
      </c>
      <c r="G237" s="73">
        <v>1.0</v>
      </c>
      <c r="H237" s="73">
        <v>0.0</v>
      </c>
      <c r="I237" s="73">
        <v>0.0</v>
      </c>
      <c r="J237" s="73">
        <v>0.0</v>
      </c>
      <c r="K237" s="73">
        <v>1.0</v>
      </c>
      <c r="L237" s="73">
        <v>1.0</v>
      </c>
      <c r="M237" s="73">
        <v>3.0</v>
      </c>
      <c r="N237" s="73">
        <v>0.0</v>
      </c>
      <c r="O237" s="73">
        <v>3.0</v>
      </c>
      <c r="P237" s="73">
        <v>0.0</v>
      </c>
      <c r="Q237" s="73">
        <v>0.0</v>
      </c>
      <c r="R237" s="73">
        <v>2.0</v>
      </c>
      <c r="S237" s="73">
        <v>3.0</v>
      </c>
      <c r="T237" s="73">
        <v>0.0</v>
      </c>
      <c r="U237" s="73">
        <v>0.0</v>
      </c>
      <c r="V237" s="73">
        <v>0.0</v>
      </c>
      <c r="W237" s="73">
        <v>0.0</v>
      </c>
      <c r="X237" s="73">
        <v>0.0</v>
      </c>
      <c r="Y237" s="73">
        <v>0.0</v>
      </c>
      <c r="Z237" s="73">
        <v>0.0</v>
      </c>
      <c r="AA237" s="73">
        <v>6.0</v>
      </c>
      <c r="AB237" s="73">
        <v>0.0</v>
      </c>
      <c r="AC237" s="73">
        <v>2.0</v>
      </c>
      <c r="AD237" s="13">
        <f t="shared" ref="AD237:AD246" si="46">SUM(E237:AC237)</f>
        <v>26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0.0</v>
      </c>
      <c r="F238" s="73">
        <v>0.0</v>
      </c>
      <c r="G238" s="73">
        <v>0.0</v>
      </c>
      <c r="H238" s="73">
        <v>3.0</v>
      </c>
      <c r="I238" s="73">
        <v>0.0</v>
      </c>
      <c r="J238" s="73">
        <v>1.0</v>
      </c>
      <c r="K238" s="73">
        <v>0.0</v>
      </c>
      <c r="L238" s="73">
        <v>1.0</v>
      </c>
      <c r="M238" s="73">
        <v>3.0</v>
      </c>
      <c r="N238" s="73">
        <v>1.0</v>
      </c>
      <c r="O238" s="73">
        <v>0.0</v>
      </c>
      <c r="P238" s="73">
        <v>1.0</v>
      </c>
      <c r="Q238" s="73">
        <v>1.0</v>
      </c>
      <c r="R238" s="73">
        <v>1.0</v>
      </c>
      <c r="S238" s="73">
        <v>1.0</v>
      </c>
      <c r="T238" s="73">
        <v>1.0</v>
      </c>
      <c r="U238" s="73">
        <v>1.0</v>
      </c>
      <c r="V238" s="73">
        <v>0.0</v>
      </c>
      <c r="W238" s="73">
        <v>2.0</v>
      </c>
      <c r="X238" s="73">
        <v>0.0</v>
      </c>
      <c r="Y238" s="73">
        <v>0.0</v>
      </c>
      <c r="Z238" s="73">
        <v>0.0</v>
      </c>
      <c r="AA238" s="73">
        <v>1.0</v>
      </c>
      <c r="AB238" s="73">
        <v>1.0</v>
      </c>
      <c r="AC238" s="73">
        <v>0.0</v>
      </c>
      <c r="AD238" s="13">
        <f t="shared" si="46"/>
        <v>19</v>
      </c>
    </row>
    <row r="239" ht="12.75" customHeight="1">
      <c r="A239" s="18"/>
      <c r="B239" s="49"/>
      <c r="C239" s="50" t="s">
        <v>176</v>
      </c>
      <c r="D239" s="51"/>
      <c r="E239" s="73">
        <v>1.0</v>
      </c>
      <c r="F239" s="73">
        <v>0.0</v>
      </c>
      <c r="G239" s="73">
        <v>1.0</v>
      </c>
      <c r="H239" s="73">
        <v>0.0</v>
      </c>
      <c r="I239" s="73">
        <v>1.0</v>
      </c>
      <c r="J239" s="73">
        <v>0.0</v>
      </c>
      <c r="K239" s="73">
        <v>1.0</v>
      </c>
      <c r="L239" s="73">
        <v>0.0</v>
      </c>
      <c r="M239" s="73">
        <v>0.0</v>
      </c>
      <c r="N239" s="73">
        <v>0.0</v>
      </c>
      <c r="O239" s="73">
        <v>0.0</v>
      </c>
      <c r="P239" s="73">
        <v>0.0</v>
      </c>
      <c r="Q239" s="73">
        <v>1.0</v>
      </c>
      <c r="R239" s="73">
        <v>2.0</v>
      </c>
      <c r="S239" s="73">
        <v>4.0</v>
      </c>
      <c r="T239" s="73">
        <v>0.0</v>
      </c>
      <c r="U239" s="73">
        <v>0.0</v>
      </c>
      <c r="V239" s="73">
        <v>0.0</v>
      </c>
      <c r="W239" s="73">
        <v>0.0</v>
      </c>
      <c r="X239" s="73">
        <v>0.0</v>
      </c>
      <c r="Y239" s="73">
        <v>0.0</v>
      </c>
      <c r="Z239" s="73">
        <v>0.0</v>
      </c>
      <c r="AA239" s="73">
        <v>31.0</v>
      </c>
      <c r="AB239" s="73">
        <v>0.0</v>
      </c>
      <c r="AC239" s="73">
        <v>7.0</v>
      </c>
      <c r="AD239" s="13">
        <f t="shared" si="46"/>
        <v>49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1.0</v>
      </c>
      <c r="G240" s="73">
        <v>0.0</v>
      </c>
      <c r="H240" s="73">
        <v>0.0</v>
      </c>
      <c r="I240" s="73">
        <v>0.0</v>
      </c>
      <c r="J240" s="73">
        <v>0.0</v>
      </c>
      <c r="K240" s="73">
        <v>1.0</v>
      </c>
      <c r="L240" s="73">
        <v>0.0</v>
      </c>
      <c r="M240" s="73">
        <v>0.0</v>
      </c>
      <c r="N240" s="73">
        <v>0.0</v>
      </c>
      <c r="O240" s="73">
        <v>0.0</v>
      </c>
      <c r="P240" s="73">
        <v>1.0</v>
      </c>
      <c r="Q240" s="73">
        <v>3.0</v>
      </c>
      <c r="R240" s="73">
        <v>5.0</v>
      </c>
      <c r="S240" s="73">
        <v>4.0</v>
      </c>
      <c r="T240" s="73">
        <v>0.0</v>
      </c>
      <c r="U240" s="73">
        <v>0.0</v>
      </c>
      <c r="V240" s="73">
        <v>0.0</v>
      </c>
      <c r="W240" s="73">
        <v>1.0</v>
      </c>
      <c r="X240" s="73">
        <v>0.0</v>
      </c>
      <c r="Y240" s="73">
        <v>0.0</v>
      </c>
      <c r="Z240" s="73">
        <v>0.0</v>
      </c>
      <c r="AA240" s="73">
        <v>1.0</v>
      </c>
      <c r="AB240" s="73">
        <v>0.0</v>
      </c>
      <c r="AC240" s="73">
        <v>0.0</v>
      </c>
      <c r="AD240" s="13">
        <f t="shared" si="46"/>
        <v>17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0.0</v>
      </c>
      <c r="N241" s="73">
        <v>0.0</v>
      </c>
      <c r="O241" s="73">
        <v>0.0</v>
      </c>
      <c r="P241" s="73">
        <v>1.0</v>
      </c>
      <c r="Q241" s="73">
        <v>0.0</v>
      </c>
      <c r="R241" s="73">
        <v>0.0</v>
      </c>
      <c r="S241" s="73">
        <v>0.0</v>
      </c>
      <c r="T241" s="73">
        <v>1.0</v>
      </c>
      <c r="U241" s="73">
        <v>1.0</v>
      </c>
      <c r="V241" s="73">
        <v>0.0</v>
      </c>
      <c r="W241" s="73">
        <v>0.0</v>
      </c>
      <c r="X241" s="73">
        <v>0.0</v>
      </c>
      <c r="Y241" s="73">
        <v>0.0</v>
      </c>
      <c r="Z241" s="73">
        <v>1.0</v>
      </c>
      <c r="AA241" s="73">
        <v>1.0</v>
      </c>
      <c r="AB241" s="73">
        <v>0.0</v>
      </c>
      <c r="AC241" s="73">
        <v>0.0</v>
      </c>
      <c r="AD241" s="13">
        <f t="shared" si="46"/>
        <v>5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0.0</v>
      </c>
      <c r="G242" s="73">
        <v>0.0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1.0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0.0</v>
      </c>
      <c r="W242" s="73">
        <v>0.0</v>
      </c>
      <c r="X242" s="73">
        <v>0.0</v>
      </c>
      <c r="Y242" s="73">
        <v>0.0</v>
      </c>
      <c r="Z242" s="73">
        <v>0.0</v>
      </c>
      <c r="AA242" s="73">
        <v>0.0</v>
      </c>
      <c r="AB242" s="73">
        <v>4.0</v>
      </c>
      <c r="AC242" s="73">
        <v>0.0</v>
      </c>
      <c r="AD242" s="13">
        <f t="shared" si="46"/>
        <v>5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1.0</v>
      </c>
      <c r="R243" s="73">
        <v>1.0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13">
        <f t="shared" si="46"/>
        <v>2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80">
        <v>0.0</v>
      </c>
      <c r="T244" s="80">
        <v>0.0</v>
      </c>
      <c r="U244" s="80">
        <v>1.0</v>
      </c>
      <c r="V244" s="80">
        <v>3.0</v>
      </c>
      <c r="W244" s="80">
        <v>0.0</v>
      </c>
      <c r="X244" s="80">
        <v>0.0</v>
      </c>
      <c r="Y244" s="80">
        <v>0.0</v>
      </c>
      <c r="Z244" s="80">
        <v>0.0</v>
      </c>
      <c r="AA244" s="80">
        <v>0.0</v>
      </c>
      <c r="AB244" s="80">
        <v>0.0</v>
      </c>
      <c r="AC244" s="80">
        <v>0.0</v>
      </c>
      <c r="AD244" s="13">
        <f t="shared" si="46"/>
        <v>4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1.0</v>
      </c>
      <c r="N245" s="80">
        <v>0.0</v>
      </c>
      <c r="O245" s="80">
        <v>0.0</v>
      </c>
      <c r="P245" s="80">
        <v>0.0</v>
      </c>
      <c r="Q245" s="80">
        <v>0.0</v>
      </c>
      <c r="R245" s="80">
        <v>0.0</v>
      </c>
      <c r="S245" s="80">
        <v>0.0</v>
      </c>
      <c r="T245" s="80">
        <v>0.0</v>
      </c>
      <c r="U245" s="80">
        <v>0.0</v>
      </c>
      <c r="V245" s="80">
        <v>0.0</v>
      </c>
      <c r="W245" s="80">
        <v>0.0</v>
      </c>
      <c r="X245" s="80">
        <v>0.0</v>
      </c>
      <c r="Y245" s="80">
        <v>0.0</v>
      </c>
      <c r="Z245" s="80">
        <v>0.0</v>
      </c>
      <c r="AA245" s="80">
        <v>0.0</v>
      </c>
      <c r="AB245" s="80">
        <v>0.0</v>
      </c>
      <c r="AC245" s="80">
        <v>0.0</v>
      </c>
      <c r="AD245" s="13">
        <f t="shared" si="46"/>
        <v>1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0.0</v>
      </c>
      <c r="I246" s="80">
        <v>0.0</v>
      </c>
      <c r="J246" s="80">
        <v>0.0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0.0</v>
      </c>
      <c r="T246" s="80">
        <v>0.0</v>
      </c>
      <c r="U246" s="80">
        <v>0.0</v>
      </c>
      <c r="V246" s="80">
        <v>0.0</v>
      </c>
      <c r="W246" s="80">
        <v>0.0</v>
      </c>
      <c r="X246" s="80">
        <v>1.0</v>
      </c>
      <c r="Y246" s="80">
        <v>0.0</v>
      </c>
      <c r="Z246" s="80">
        <v>0.0</v>
      </c>
      <c r="AA246" s="80">
        <v>0.0</v>
      </c>
      <c r="AB246" s="80">
        <v>0.0</v>
      </c>
      <c r="AC246" s="80">
        <v>0.0</v>
      </c>
      <c r="AD246" s="13">
        <f t="shared" si="46"/>
        <v>1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AD247" si="47">SUM(E237:E246)</f>
        <v>4</v>
      </c>
      <c r="F247" s="13">
        <f t="shared" si="47"/>
        <v>2</v>
      </c>
      <c r="G247" s="13">
        <f t="shared" si="47"/>
        <v>2</v>
      </c>
      <c r="H247" s="13">
        <f t="shared" si="47"/>
        <v>3</v>
      </c>
      <c r="I247" s="13">
        <f t="shared" si="47"/>
        <v>1</v>
      </c>
      <c r="J247" s="13">
        <f t="shared" si="47"/>
        <v>1</v>
      </c>
      <c r="K247" s="13">
        <f t="shared" si="47"/>
        <v>3</v>
      </c>
      <c r="L247" s="13">
        <f t="shared" si="47"/>
        <v>2</v>
      </c>
      <c r="M247" s="13">
        <f t="shared" si="47"/>
        <v>7</v>
      </c>
      <c r="N247" s="13">
        <f t="shared" si="47"/>
        <v>2</v>
      </c>
      <c r="O247" s="13">
        <f t="shared" si="47"/>
        <v>3</v>
      </c>
      <c r="P247" s="13">
        <f t="shared" si="47"/>
        <v>3</v>
      </c>
      <c r="Q247" s="13">
        <f t="shared" si="47"/>
        <v>6</v>
      </c>
      <c r="R247" s="13">
        <f t="shared" si="47"/>
        <v>11</v>
      </c>
      <c r="S247" s="13">
        <f t="shared" si="47"/>
        <v>12</v>
      </c>
      <c r="T247" s="13">
        <f t="shared" si="47"/>
        <v>2</v>
      </c>
      <c r="U247" s="13">
        <f t="shared" si="47"/>
        <v>3</v>
      </c>
      <c r="V247" s="13">
        <f t="shared" si="47"/>
        <v>3</v>
      </c>
      <c r="W247" s="13">
        <f t="shared" si="47"/>
        <v>3</v>
      </c>
      <c r="X247" s="13">
        <f t="shared" si="47"/>
        <v>1</v>
      </c>
      <c r="Y247" s="13">
        <f t="shared" si="47"/>
        <v>0</v>
      </c>
      <c r="Z247" s="13">
        <f t="shared" si="47"/>
        <v>1</v>
      </c>
      <c r="AA247" s="13">
        <f t="shared" si="47"/>
        <v>40</v>
      </c>
      <c r="AB247" s="13">
        <f t="shared" si="47"/>
        <v>5</v>
      </c>
      <c r="AC247" s="13">
        <f t="shared" si="47"/>
        <v>9</v>
      </c>
      <c r="AD247" s="13">
        <f t="shared" si="47"/>
        <v>129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0.0</v>
      </c>
      <c r="G249" s="73">
        <v>1.0</v>
      </c>
      <c r="H249" s="73">
        <v>0.0</v>
      </c>
      <c r="I249" s="73">
        <v>0.0</v>
      </c>
      <c r="J249" s="73">
        <v>0.0</v>
      </c>
      <c r="K249" s="73">
        <v>0.0</v>
      </c>
      <c r="L249" s="73">
        <v>2.0</v>
      </c>
      <c r="M249" s="73">
        <v>0.0</v>
      </c>
      <c r="N249" s="73">
        <v>3.0</v>
      </c>
      <c r="O249" s="73">
        <v>1.0</v>
      </c>
      <c r="P249" s="73">
        <v>0.0</v>
      </c>
      <c r="Q249" s="73">
        <v>1.0</v>
      </c>
      <c r="R249" s="73">
        <v>0.0</v>
      </c>
      <c r="S249" s="73">
        <v>0.0</v>
      </c>
      <c r="T249" s="73">
        <v>0.0</v>
      </c>
      <c r="U249" s="73">
        <v>1.0</v>
      </c>
      <c r="V249" s="73">
        <v>0.0</v>
      </c>
      <c r="W249" s="73">
        <v>1.0</v>
      </c>
      <c r="X249" s="73">
        <v>0.0</v>
      </c>
      <c r="Y249" s="73">
        <v>1.0</v>
      </c>
      <c r="Z249" s="73">
        <v>0.0</v>
      </c>
      <c r="AA249" s="73">
        <v>1.0</v>
      </c>
      <c r="AB249" s="73">
        <v>0.0</v>
      </c>
      <c r="AC249" s="73">
        <v>1.0</v>
      </c>
      <c r="AD249" s="13">
        <f t="shared" ref="AD249:AD258" si="48">SUM(E249:AC249)</f>
        <v>13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0.0</v>
      </c>
      <c r="G250" s="73">
        <v>0.0</v>
      </c>
      <c r="H250" s="73">
        <v>0.0</v>
      </c>
      <c r="I250" s="73">
        <v>0.0</v>
      </c>
      <c r="J250" s="73">
        <v>0.0</v>
      </c>
      <c r="K250" s="73">
        <v>0.0</v>
      </c>
      <c r="L250" s="73">
        <v>1.0</v>
      </c>
      <c r="M250" s="73">
        <v>1.0</v>
      </c>
      <c r="N250" s="73">
        <v>0.0</v>
      </c>
      <c r="O250" s="73">
        <v>0.0</v>
      </c>
      <c r="P250" s="73">
        <v>0.0</v>
      </c>
      <c r="Q250" s="73">
        <v>4.0</v>
      </c>
      <c r="R250" s="73">
        <v>0.0</v>
      </c>
      <c r="S250" s="73">
        <v>0.0</v>
      </c>
      <c r="T250" s="73">
        <v>0.0</v>
      </c>
      <c r="U250" s="73">
        <v>0.0</v>
      </c>
      <c r="V250" s="73">
        <v>0.0</v>
      </c>
      <c r="W250" s="73">
        <v>0.0</v>
      </c>
      <c r="X250" s="73">
        <v>0.0</v>
      </c>
      <c r="Y250" s="73">
        <v>0.0</v>
      </c>
      <c r="Z250" s="73">
        <v>0.0</v>
      </c>
      <c r="AA250" s="73">
        <v>0.0</v>
      </c>
      <c r="AB250" s="73">
        <v>3.0</v>
      </c>
      <c r="AC250" s="73">
        <v>0.0</v>
      </c>
      <c r="AD250" s="13">
        <f t="shared" si="48"/>
        <v>9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13">
        <f t="shared" si="48"/>
        <v>0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13">
        <f t="shared" si="48"/>
        <v>0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AD259" si="49">SUM(E249:E258)</f>
        <v>0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3</v>
      </c>
      <c r="M259" s="13">
        <f t="shared" si="49"/>
        <v>1</v>
      </c>
      <c r="N259" s="13">
        <f t="shared" si="49"/>
        <v>3</v>
      </c>
      <c r="O259" s="13">
        <f t="shared" si="49"/>
        <v>1</v>
      </c>
      <c r="P259" s="13">
        <f t="shared" si="49"/>
        <v>0</v>
      </c>
      <c r="Q259" s="13">
        <f t="shared" si="49"/>
        <v>5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0</v>
      </c>
      <c r="W259" s="13">
        <f t="shared" si="49"/>
        <v>1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1</v>
      </c>
      <c r="AB259" s="13">
        <f t="shared" si="49"/>
        <v>3</v>
      </c>
      <c r="AC259" s="13">
        <f t="shared" si="49"/>
        <v>1</v>
      </c>
      <c r="AD259" s="13">
        <f t="shared" si="49"/>
        <v>22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AC262" si="50">E55+E67+E79+E91+E103+E115+E127+E139+E151+E163+E175+E187+E199+E211+E223+E235+E247+E259</f>
        <v>184</v>
      </c>
      <c r="F262" s="19">
        <f t="shared" si="50"/>
        <v>176</v>
      </c>
      <c r="G262" s="19">
        <f t="shared" si="50"/>
        <v>189</v>
      </c>
      <c r="H262" s="19">
        <f t="shared" si="50"/>
        <v>166</v>
      </c>
      <c r="I262" s="19">
        <f t="shared" si="50"/>
        <v>206</v>
      </c>
      <c r="J262" s="19">
        <f t="shared" si="50"/>
        <v>199</v>
      </c>
      <c r="K262" s="19">
        <f t="shared" si="50"/>
        <v>167</v>
      </c>
      <c r="L262" s="19">
        <f t="shared" si="50"/>
        <v>158</v>
      </c>
      <c r="M262" s="19">
        <f t="shared" si="50"/>
        <v>183</v>
      </c>
      <c r="N262" s="19">
        <f t="shared" si="50"/>
        <v>164</v>
      </c>
      <c r="O262" s="19">
        <f t="shared" si="50"/>
        <v>188</v>
      </c>
      <c r="P262" s="19">
        <f t="shared" si="50"/>
        <v>209</v>
      </c>
      <c r="Q262" s="19">
        <f t="shared" si="50"/>
        <v>205</v>
      </c>
      <c r="R262" s="19">
        <f t="shared" si="50"/>
        <v>169</v>
      </c>
      <c r="S262" s="19">
        <f t="shared" si="50"/>
        <v>191</v>
      </c>
      <c r="T262" s="19">
        <f t="shared" si="50"/>
        <v>180</v>
      </c>
      <c r="U262" s="19">
        <f t="shared" si="50"/>
        <v>180</v>
      </c>
      <c r="V262" s="19">
        <f t="shared" si="50"/>
        <v>160</v>
      </c>
      <c r="W262" s="19">
        <f t="shared" si="50"/>
        <v>169</v>
      </c>
      <c r="X262" s="19">
        <f t="shared" si="50"/>
        <v>158</v>
      </c>
      <c r="Y262" s="19">
        <f t="shared" si="50"/>
        <v>147</v>
      </c>
      <c r="Z262" s="19">
        <f t="shared" si="50"/>
        <v>180</v>
      </c>
      <c r="AA262" s="19">
        <f t="shared" si="50"/>
        <v>197</v>
      </c>
      <c r="AB262" s="19">
        <f t="shared" si="50"/>
        <v>189</v>
      </c>
      <c r="AC262" s="19">
        <f t="shared" si="50"/>
        <v>175</v>
      </c>
      <c r="AD262" s="13">
        <f t="shared" ref="AD262:AD264" si="51">SUM(E262:AC262)</f>
        <v>4489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22.0</v>
      </c>
      <c r="F263" s="73">
        <v>44.0</v>
      </c>
      <c r="G263" s="73">
        <v>26.0</v>
      </c>
      <c r="H263" s="73">
        <v>18.0</v>
      </c>
      <c r="I263" s="73">
        <v>10.0</v>
      </c>
      <c r="J263" s="73">
        <v>20.0</v>
      </c>
      <c r="K263" s="73">
        <v>19.0</v>
      </c>
      <c r="L263" s="73">
        <v>20.0</v>
      </c>
      <c r="M263" s="73">
        <v>36.0</v>
      </c>
      <c r="N263" s="73">
        <v>15.0</v>
      </c>
      <c r="O263" s="73">
        <v>16.0</v>
      </c>
      <c r="P263" s="73">
        <v>13.0</v>
      </c>
      <c r="Q263" s="73">
        <v>35.0</v>
      </c>
      <c r="R263" s="73">
        <v>27.0</v>
      </c>
      <c r="S263" s="73">
        <v>24.0</v>
      </c>
      <c r="T263" s="73">
        <v>22.0</v>
      </c>
      <c r="U263" s="73">
        <v>9.0</v>
      </c>
      <c r="V263" s="73">
        <v>21.0</v>
      </c>
      <c r="W263" s="73">
        <v>39.0</v>
      </c>
      <c r="X263" s="73">
        <v>44.0</v>
      </c>
      <c r="Y263" s="73">
        <v>49.0</v>
      </c>
      <c r="Z263" s="73">
        <v>35.0</v>
      </c>
      <c r="AA263" s="73">
        <v>30.0</v>
      </c>
      <c r="AB263" s="73">
        <v>31.0</v>
      </c>
      <c r="AC263" s="73">
        <v>32.0</v>
      </c>
      <c r="AD263" s="13">
        <f t="shared" si="51"/>
        <v>657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AC264" si="52">SUM(E262:E263)</f>
        <v>206</v>
      </c>
      <c r="F264" s="13">
        <f t="shared" si="52"/>
        <v>220</v>
      </c>
      <c r="G264" s="13">
        <f t="shared" si="52"/>
        <v>215</v>
      </c>
      <c r="H264" s="13">
        <f t="shared" si="52"/>
        <v>184</v>
      </c>
      <c r="I264" s="13">
        <f t="shared" si="52"/>
        <v>216</v>
      </c>
      <c r="J264" s="13">
        <f t="shared" si="52"/>
        <v>219</v>
      </c>
      <c r="K264" s="13">
        <f t="shared" si="52"/>
        <v>186</v>
      </c>
      <c r="L264" s="13">
        <f t="shared" si="52"/>
        <v>178</v>
      </c>
      <c r="M264" s="13">
        <f t="shared" si="52"/>
        <v>219</v>
      </c>
      <c r="N264" s="13">
        <f t="shared" si="52"/>
        <v>179</v>
      </c>
      <c r="O264" s="13">
        <f t="shared" si="52"/>
        <v>204</v>
      </c>
      <c r="P264" s="13">
        <f t="shared" si="52"/>
        <v>222</v>
      </c>
      <c r="Q264" s="13">
        <f t="shared" si="52"/>
        <v>240</v>
      </c>
      <c r="R264" s="13">
        <f t="shared" si="52"/>
        <v>196</v>
      </c>
      <c r="S264" s="13">
        <f t="shared" si="52"/>
        <v>215</v>
      </c>
      <c r="T264" s="13">
        <f t="shared" si="52"/>
        <v>202</v>
      </c>
      <c r="U264" s="13">
        <f t="shared" si="52"/>
        <v>189</v>
      </c>
      <c r="V264" s="13">
        <f t="shared" si="52"/>
        <v>181</v>
      </c>
      <c r="W264" s="13">
        <f t="shared" si="52"/>
        <v>208</v>
      </c>
      <c r="X264" s="13">
        <f t="shared" si="52"/>
        <v>202</v>
      </c>
      <c r="Y264" s="13">
        <f t="shared" si="52"/>
        <v>196</v>
      </c>
      <c r="Z264" s="13">
        <f t="shared" si="52"/>
        <v>215</v>
      </c>
      <c r="AA264" s="13">
        <f t="shared" si="52"/>
        <v>227</v>
      </c>
      <c r="AB264" s="13">
        <f t="shared" si="52"/>
        <v>220</v>
      </c>
      <c r="AC264" s="13">
        <f t="shared" si="52"/>
        <v>207</v>
      </c>
      <c r="AD264" s="13">
        <f t="shared" si="51"/>
        <v>5146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C15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E30&lt;&gt;E47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8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conditionalFormatting sqref="U34:AC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224</v>
      </c>
      <c r="AC13" s="13" t="s">
        <v>225</v>
      </c>
      <c r="AD13" s="13" t="s">
        <v>226</v>
      </c>
      <c r="AE13" s="36"/>
    </row>
    <row r="14" ht="12.75" customHeight="1">
      <c r="A14" s="18"/>
      <c r="B14" s="22" t="s">
        <v>10</v>
      </c>
      <c r="C14" s="23"/>
      <c r="D14" s="19" t="s">
        <v>11</v>
      </c>
      <c r="E14" s="73">
        <v>120.0</v>
      </c>
      <c r="F14" s="73">
        <v>125.0</v>
      </c>
      <c r="G14" s="73">
        <v>128.0</v>
      </c>
      <c r="H14" s="73">
        <v>138.0</v>
      </c>
      <c r="I14" s="73">
        <v>105.0</v>
      </c>
      <c r="J14" s="73">
        <v>88.0</v>
      </c>
      <c r="K14" s="73">
        <v>151.0</v>
      </c>
      <c r="L14" s="73">
        <v>139.0</v>
      </c>
      <c r="M14" s="73">
        <v>114.0</v>
      </c>
      <c r="N14" s="73">
        <v>140.0</v>
      </c>
      <c r="O14" s="73">
        <v>131.0</v>
      </c>
      <c r="P14" s="73">
        <v>120.0</v>
      </c>
      <c r="Q14" s="73">
        <v>128.0</v>
      </c>
      <c r="R14" s="73">
        <v>137.0</v>
      </c>
      <c r="S14" s="73">
        <v>141.0</v>
      </c>
      <c r="T14" s="73">
        <v>127.0</v>
      </c>
      <c r="U14" s="73">
        <v>118.0</v>
      </c>
      <c r="V14" s="73">
        <v>125.0</v>
      </c>
      <c r="W14" s="73">
        <v>101.0</v>
      </c>
      <c r="X14" s="73">
        <v>128.0</v>
      </c>
      <c r="Y14" s="73">
        <v>127.0</v>
      </c>
      <c r="Z14" s="73">
        <v>104.0</v>
      </c>
      <c r="AA14" s="73">
        <v>110.0</v>
      </c>
      <c r="AB14" s="73">
        <v>136.0</v>
      </c>
      <c r="AC14" s="73">
        <v>119.0</v>
      </c>
      <c r="AD14" s="73">
        <v>129.0</v>
      </c>
      <c r="AE14" s="13">
        <f t="shared" ref="AE14:AE16" si="1">SUM(E14:AD14)</f>
        <v>3229</v>
      </c>
    </row>
    <row r="15" ht="12.75" customHeight="1">
      <c r="A15" s="18"/>
      <c r="B15" s="26"/>
      <c r="C15" s="27"/>
      <c r="D15" s="19" t="s">
        <v>12</v>
      </c>
      <c r="E15" s="73">
        <v>152.0</v>
      </c>
      <c r="F15" s="73">
        <v>148.0</v>
      </c>
      <c r="G15" s="73">
        <v>130.0</v>
      </c>
      <c r="H15" s="73">
        <v>154.0</v>
      </c>
      <c r="I15" s="73">
        <v>117.0</v>
      </c>
      <c r="J15" s="73">
        <v>100.0</v>
      </c>
      <c r="K15" s="73">
        <v>137.0</v>
      </c>
      <c r="L15" s="73">
        <v>154.0</v>
      </c>
      <c r="M15" s="73">
        <v>142.0</v>
      </c>
      <c r="N15" s="73">
        <v>151.0</v>
      </c>
      <c r="O15" s="73">
        <v>144.0</v>
      </c>
      <c r="P15" s="73">
        <v>111.0</v>
      </c>
      <c r="Q15" s="73">
        <v>124.0</v>
      </c>
      <c r="R15" s="73">
        <v>143.0</v>
      </c>
      <c r="S15" s="73">
        <v>145.0</v>
      </c>
      <c r="T15" s="73">
        <v>121.0</v>
      </c>
      <c r="U15" s="73">
        <v>150.0</v>
      </c>
      <c r="V15" s="73">
        <v>129.0</v>
      </c>
      <c r="W15" s="73">
        <v>103.0</v>
      </c>
      <c r="X15" s="73">
        <v>158.0</v>
      </c>
      <c r="Y15" s="73">
        <v>151.0</v>
      </c>
      <c r="Z15" s="73">
        <v>126.0</v>
      </c>
      <c r="AA15" s="73">
        <v>112.0</v>
      </c>
      <c r="AB15" s="73">
        <v>149.0</v>
      </c>
      <c r="AC15" s="73">
        <v>138.0</v>
      </c>
      <c r="AD15" s="73">
        <v>137.0</v>
      </c>
      <c r="AE15" s="13">
        <f t="shared" si="1"/>
        <v>3526</v>
      </c>
    </row>
    <row r="16" ht="12.75" customHeight="1">
      <c r="A16" s="25"/>
      <c r="B16" s="21"/>
      <c r="C16" s="28"/>
      <c r="D16" s="13" t="s">
        <v>13</v>
      </c>
      <c r="E16" s="13">
        <f t="shared" ref="E16:AD16" si="2">SUM(E14:E15)</f>
        <v>272</v>
      </c>
      <c r="F16" s="13">
        <f t="shared" si="2"/>
        <v>273</v>
      </c>
      <c r="G16" s="13">
        <f t="shared" si="2"/>
        <v>258</v>
      </c>
      <c r="H16" s="13">
        <f t="shared" si="2"/>
        <v>292</v>
      </c>
      <c r="I16" s="13">
        <f t="shared" si="2"/>
        <v>222</v>
      </c>
      <c r="J16" s="13">
        <f t="shared" si="2"/>
        <v>188</v>
      </c>
      <c r="K16" s="13">
        <f t="shared" si="2"/>
        <v>288</v>
      </c>
      <c r="L16" s="13">
        <f t="shared" si="2"/>
        <v>293</v>
      </c>
      <c r="M16" s="13">
        <f t="shared" si="2"/>
        <v>256</v>
      </c>
      <c r="N16" s="13">
        <f t="shared" si="2"/>
        <v>291</v>
      </c>
      <c r="O16" s="13">
        <f t="shared" si="2"/>
        <v>275</v>
      </c>
      <c r="P16" s="13">
        <f t="shared" si="2"/>
        <v>231</v>
      </c>
      <c r="Q16" s="13">
        <f t="shared" si="2"/>
        <v>252</v>
      </c>
      <c r="R16" s="13">
        <f t="shared" si="2"/>
        <v>280</v>
      </c>
      <c r="S16" s="13">
        <f t="shared" si="2"/>
        <v>286</v>
      </c>
      <c r="T16" s="13">
        <f t="shared" si="2"/>
        <v>248</v>
      </c>
      <c r="U16" s="13">
        <f t="shared" si="2"/>
        <v>268</v>
      </c>
      <c r="V16" s="13">
        <f t="shared" si="2"/>
        <v>254</v>
      </c>
      <c r="W16" s="13">
        <f t="shared" si="2"/>
        <v>204</v>
      </c>
      <c r="X16" s="13">
        <f t="shared" si="2"/>
        <v>286</v>
      </c>
      <c r="Y16" s="13">
        <f t="shared" si="2"/>
        <v>278</v>
      </c>
      <c r="Z16" s="13">
        <f t="shared" si="2"/>
        <v>230</v>
      </c>
      <c r="AA16" s="13">
        <f t="shared" si="2"/>
        <v>222</v>
      </c>
      <c r="AB16" s="13">
        <f t="shared" si="2"/>
        <v>285</v>
      </c>
      <c r="AC16" s="13">
        <f t="shared" si="2"/>
        <v>257</v>
      </c>
      <c r="AD16" s="13">
        <f t="shared" si="2"/>
        <v>266</v>
      </c>
      <c r="AE16" s="13">
        <f t="shared" si="1"/>
        <v>6755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19"/>
      <c r="U17" s="19"/>
      <c r="V17" s="19"/>
      <c r="W17" s="19"/>
      <c r="X17" s="74"/>
      <c r="Y17" s="74"/>
      <c r="Z17" s="74"/>
      <c r="AA17" s="74"/>
      <c r="AB17" s="74"/>
      <c r="AC17" s="74"/>
      <c r="AD17" s="74"/>
      <c r="AE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19"/>
      <c r="U18" s="19"/>
      <c r="V18" s="19"/>
      <c r="W18" s="19"/>
      <c r="X18" s="74"/>
      <c r="Y18" s="74"/>
      <c r="Z18" s="74"/>
      <c r="AA18" s="74"/>
      <c r="AB18" s="74"/>
      <c r="AC18" s="74"/>
      <c r="AD18" s="74"/>
      <c r="AE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78.0</v>
      </c>
      <c r="F19" s="73">
        <v>83.0</v>
      </c>
      <c r="G19" s="73">
        <v>96.0</v>
      </c>
      <c r="H19" s="73">
        <v>94.0</v>
      </c>
      <c r="I19" s="73">
        <v>77.0</v>
      </c>
      <c r="J19" s="73">
        <v>62.0</v>
      </c>
      <c r="K19" s="73">
        <v>117.0</v>
      </c>
      <c r="L19" s="73">
        <v>91.0</v>
      </c>
      <c r="M19" s="73">
        <v>78.0</v>
      </c>
      <c r="N19" s="73">
        <v>100.0</v>
      </c>
      <c r="O19" s="73">
        <v>91.0</v>
      </c>
      <c r="P19" s="73">
        <v>86.0</v>
      </c>
      <c r="Q19" s="73">
        <v>93.0</v>
      </c>
      <c r="R19" s="73">
        <v>102.0</v>
      </c>
      <c r="S19" s="73">
        <v>102.0</v>
      </c>
      <c r="T19" s="73">
        <v>81.0</v>
      </c>
      <c r="U19" s="73">
        <v>72.0</v>
      </c>
      <c r="V19" s="73">
        <v>87.0</v>
      </c>
      <c r="W19" s="73">
        <v>69.0</v>
      </c>
      <c r="X19" s="73">
        <v>102.0</v>
      </c>
      <c r="Y19" s="73">
        <v>93.0</v>
      </c>
      <c r="Z19" s="73">
        <v>83.0</v>
      </c>
      <c r="AA19" s="73">
        <v>79.0</v>
      </c>
      <c r="AB19" s="73">
        <v>91.0</v>
      </c>
      <c r="AC19" s="73">
        <v>83.0</v>
      </c>
      <c r="AD19" s="73">
        <v>108.0</v>
      </c>
      <c r="AE19" s="13">
        <f t="shared" ref="AE19:AE30" si="3">SUM(E19:AD19)</f>
        <v>2298</v>
      </c>
    </row>
    <row r="20" ht="12.75" customHeight="1">
      <c r="A20" s="33"/>
      <c r="B20" s="27"/>
      <c r="C20" s="34"/>
      <c r="D20" s="19" t="s">
        <v>12</v>
      </c>
      <c r="E20" s="73">
        <v>108.0</v>
      </c>
      <c r="F20" s="73">
        <v>110.0</v>
      </c>
      <c r="G20" s="73">
        <v>99.0</v>
      </c>
      <c r="H20" s="73">
        <v>116.0</v>
      </c>
      <c r="I20" s="73">
        <v>84.0</v>
      </c>
      <c r="J20" s="73">
        <v>78.0</v>
      </c>
      <c r="K20" s="73">
        <v>113.0</v>
      </c>
      <c r="L20" s="73">
        <v>118.0</v>
      </c>
      <c r="M20" s="73">
        <v>113.0</v>
      </c>
      <c r="N20" s="73">
        <v>115.0</v>
      </c>
      <c r="O20" s="73">
        <v>115.0</v>
      </c>
      <c r="P20" s="73">
        <v>91.0</v>
      </c>
      <c r="Q20" s="73">
        <v>104.0</v>
      </c>
      <c r="R20" s="73">
        <v>112.0</v>
      </c>
      <c r="S20" s="73">
        <v>125.0</v>
      </c>
      <c r="T20" s="73">
        <v>97.0</v>
      </c>
      <c r="U20" s="73">
        <v>108.0</v>
      </c>
      <c r="V20" s="73">
        <v>109.0</v>
      </c>
      <c r="W20" s="73">
        <v>78.0</v>
      </c>
      <c r="X20" s="73">
        <v>129.0</v>
      </c>
      <c r="Y20" s="73">
        <v>120.0</v>
      </c>
      <c r="Z20" s="73">
        <v>106.0</v>
      </c>
      <c r="AA20" s="73">
        <v>87.0</v>
      </c>
      <c r="AB20" s="73">
        <v>116.0</v>
      </c>
      <c r="AC20" s="73">
        <v>106.0</v>
      </c>
      <c r="AD20" s="73">
        <v>118.0</v>
      </c>
      <c r="AE20" s="13">
        <f t="shared" si="3"/>
        <v>2775</v>
      </c>
    </row>
    <row r="21" ht="12.75" customHeight="1">
      <c r="A21" s="35"/>
      <c r="B21" s="28"/>
      <c r="C21" s="36"/>
      <c r="D21" s="13" t="s">
        <v>13</v>
      </c>
      <c r="E21" s="13">
        <f t="shared" ref="E21:AD21" si="4">SUM(E19:E20)</f>
        <v>186</v>
      </c>
      <c r="F21" s="13">
        <f t="shared" si="4"/>
        <v>193</v>
      </c>
      <c r="G21" s="13">
        <f t="shared" si="4"/>
        <v>195</v>
      </c>
      <c r="H21" s="13">
        <f t="shared" si="4"/>
        <v>210</v>
      </c>
      <c r="I21" s="13">
        <f t="shared" si="4"/>
        <v>161</v>
      </c>
      <c r="J21" s="13">
        <f t="shared" si="4"/>
        <v>140</v>
      </c>
      <c r="K21" s="13">
        <f t="shared" si="4"/>
        <v>230</v>
      </c>
      <c r="L21" s="13">
        <f t="shared" si="4"/>
        <v>209</v>
      </c>
      <c r="M21" s="13">
        <f t="shared" si="4"/>
        <v>191</v>
      </c>
      <c r="N21" s="13">
        <f t="shared" si="4"/>
        <v>215</v>
      </c>
      <c r="O21" s="13">
        <f t="shared" si="4"/>
        <v>206</v>
      </c>
      <c r="P21" s="13">
        <f t="shared" si="4"/>
        <v>177</v>
      </c>
      <c r="Q21" s="13">
        <f t="shared" si="4"/>
        <v>197</v>
      </c>
      <c r="R21" s="13">
        <f t="shared" si="4"/>
        <v>214</v>
      </c>
      <c r="S21" s="13">
        <f t="shared" si="4"/>
        <v>227</v>
      </c>
      <c r="T21" s="13">
        <f t="shared" si="4"/>
        <v>178</v>
      </c>
      <c r="U21" s="13">
        <f t="shared" si="4"/>
        <v>180</v>
      </c>
      <c r="V21" s="13">
        <f t="shared" si="4"/>
        <v>196</v>
      </c>
      <c r="W21" s="13">
        <f t="shared" si="4"/>
        <v>147</v>
      </c>
      <c r="X21" s="13">
        <f t="shared" si="4"/>
        <v>231</v>
      </c>
      <c r="Y21" s="13">
        <f t="shared" si="4"/>
        <v>213</v>
      </c>
      <c r="Z21" s="13">
        <f t="shared" si="4"/>
        <v>189</v>
      </c>
      <c r="AA21" s="13">
        <f t="shared" si="4"/>
        <v>166</v>
      </c>
      <c r="AB21" s="13">
        <f t="shared" si="4"/>
        <v>207</v>
      </c>
      <c r="AC21" s="13">
        <f t="shared" si="4"/>
        <v>189</v>
      </c>
      <c r="AD21" s="13">
        <f t="shared" si="4"/>
        <v>226</v>
      </c>
      <c r="AE21" s="13">
        <f t="shared" si="3"/>
        <v>5073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1.0</v>
      </c>
      <c r="H22" s="73">
        <v>0.0</v>
      </c>
      <c r="I22" s="73">
        <v>0.0</v>
      </c>
      <c r="J22" s="73">
        <v>2.0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73">
        <v>0.0</v>
      </c>
      <c r="V22" s="73">
        <v>0.0</v>
      </c>
      <c r="W22" s="73">
        <v>0.0</v>
      </c>
      <c r="X22" s="73">
        <v>0.0</v>
      </c>
      <c r="Y22" s="73">
        <v>0.0</v>
      </c>
      <c r="Z22" s="73">
        <v>0.0</v>
      </c>
      <c r="AA22" s="73">
        <v>0.0</v>
      </c>
      <c r="AB22" s="73">
        <v>0.0</v>
      </c>
      <c r="AC22" s="73">
        <v>0.0</v>
      </c>
      <c r="AD22" s="73">
        <v>0.0</v>
      </c>
      <c r="AE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2.0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3">
        <v>0.0</v>
      </c>
      <c r="Y23" s="73">
        <v>0.0</v>
      </c>
      <c r="Z23" s="73">
        <v>0.0</v>
      </c>
      <c r="AA23" s="73">
        <v>0.0</v>
      </c>
      <c r="AB23" s="73">
        <v>0.0</v>
      </c>
      <c r="AC23" s="73">
        <v>0.0</v>
      </c>
      <c r="AD23" s="73">
        <v>0.0</v>
      </c>
      <c r="AE23" s="13">
        <f t="shared" si="3"/>
        <v>2</v>
      </c>
    </row>
    <row r="24" ht="12.75" customHeight="1">
      <c r="A24" s="35"/>
      <c r="B24" s="28"/>
      <c r="C24" s="36"/>
      <c r="D24" s="13" t="s">
        <v>13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4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4.0</v>
      </c>
      <c r="F25" s="73">
        <v>0.0</v>
      </c>
      <c r="G25" s="73">
        <v>0.0</v>
      </c>
      <c r="H25" s="73">
        <v>4.0</v>
      </c>
      <c r="I25" s="73">
        <v>2.0</v>
      </c>
      <c r="J25" s="73">
        <v>1.0</v>
      </c>
      <c r="K25" s="73">
        <v>5.0</v>
      </c>
      <c r="L25" s="73">
        <v>3.0</v>
      </c>
      <c r="M25" s="73">
        <v>0.0</v>
      </c>
      <c r="N25" s="73">
        <v>3.0</v>
      </c>
      <c r="O25" s="73">
        <v>0.0</v>
      </c>
      <c r="P25" s="73">
        <v>0.0</v>
      </c>
      <c r="Q25" s="73">
        <v>0.0</v>
      </c>
      <c r="R25" s="73">
        <v>5.0</v>
      </c>
      <c r="S25" s="73">
        <v>3.0</v>
      </c>
      <c r="T25" s="73">
        <v>0.0</v>
      </c>
      <c r="U25" s="73">
        <v>2.0</v>
      </c>
      <c r="V25" s="73">
        <v>0.0</v>
      </c>
      <c r="W25" s="73">
        <v>2.0</v>
      </c>
      <c r="X25" s="73">
        <v>3.0</v>
      </c>
      <c r="Y25" s="73">
        <v>0.0</v>
      </c>
      <c r="Z25" s="73">
        <v>2.0</v>
      </c>
      <c r="AA25" s="73">
        <v>5.0</v>
      </c>
      <c r="AB25" s="73">
        <v>0.0</v>
      </c>
      <c r="AC25" s="73">
        <v>1.0</v>
      </c>
      <c r="AD25" s="73">
        <v>0.0</v>
      </c>
      <c r="AE25" s="13">
        <f t="shared" si="3"/>
        <v>45</v>
      </c>
    </row>
    <row r="26" ht="12.75" customHeight="1">
      <c r="A26" s="33"/>
      <c r="B26" s="27"/>
      <c r="C26" s="34"/>
      <c r="D26" s="19" t="s">
        <v>12</v>
      </c>
      <c r="E26" s="73">
        <v>2.0</v>
      </c>
      <c r="F26" s="73">
        <v>0.0</v>
      </c>
      <c r="G26" s="73">
        <v>1.0</v>
      </c>
      <c r="H26" s="73">
        <v>1.0</v>
      </c>
      <c r="I26" s="73">
        <v>0.0</v>
      </c>
      <c r="J26" s="73">
        <v>2.0</v>
      </c>
      <c r="K26" s="73">
        <v>6.0</v>
      </c>
      <c r="L26" s="73">
        <v>2.0</v>
      </c>
      <c r="M26" s="73">
        <v>2.0</v>
      </c>
      <c r="N26" s="73">
        <v>10.0</v>
      </c>
      <c r="O26" s="73">
        <v>2.0</v>
      </c>
      <c r="P26" s="73">
        <v>3.0</v>
      </c>
      <c r="Q26" s="73">
        <v>0.0</v>
      </c>
      <c r="R26" s="73">
        <v>3.0</v>
      </c>
      <c r="S26" s="73">
        <v>6.0</v>
      </c>
      <c r="T26" s="73">
        <v>0.0</v>
      </c>
      <c r="U26" s="73">
        <v>3.0</v>
      </c>
      <c r="V26" s="73">
        <v>0.0</v>
      </c>
      <c r="W26" s="73">
        <v>3.0</v>
      </c>
      <c r="X26" s="73">
        <v>1.0</v>
      </c>
      <c r="Y26" s="73">
        <v>2.0</v>
      </c>
      <c r="Z26" s="73">
        <v>2.0</v>
      </c>
      <c r="AA26" s="73">
        <v>4.0</v>
      </c>
      <c r="AB26" s="73">
        <v>0.0</v>
      </c>
      <c r="AC26" s="73">
        <v>1.0</v>
      </c>
      <c r="AD26" s="73">
        <v>0.0</v>
      </c>
      <c r="AE26" s="13">
        <f t="shared" si="3"/>
        <v>56</v>
      </c>
    </row>
    <row r="27" ht="12.75" customHeight="1">
      <c r="A27" s="35"/>
      <c r="B27" s="28"/>
      <c r="C27" s="36"/>
      <c r="D27" s="13" t="s">
        <v>13</v>
      </c>
      <c r="E27" s="13">
        <f t="shared" ref="E27:AD27" si="6">SUM(E25:E26)</f>
        <v>6</v>
      </c>
      <c r="F27" s="13">
        <f t="shared" si="6"/>
        <v>0</v>
      </c>
      <c r="G27" s="13">
        <f t="shared" si="6"/>
        <v>1</v>
      </c>
      <c r="H27" s="13">
        <f t="shared" si="6"/>
        <v>5</v>
      </c>
      <c r="I27" s="13">
        <f t="shared" si="6"/>
        <v>2</v>
      </c>
      <c r="J27" s="13">
        <f t="shared" si="6"/>
        <v>3</v>
      </c>
      <c r="K27" s="13">
        <f t="shared" si="6"/>
        <v>11</v>
      </c>
      <c r="L27" s="13">
        <f t="shared" si="6"/>
        <v>5</v>
      </c>
      <c r="M27" s="13">
        <f t="shared" si="6"/>
        <v>2</v>
      </c>
      <c r="N27" s="13">
        <f t="shared" si="6"/>
        <v>13</v>
      </c>
      <c r="O27" s="13">
        <f t="shared" si="6"/>
        <v>2</v>
      </c>
      <c r="P27" s="13">
        <f t="shared" si="6"/>
        <v>3</v>
      </c>
      <c r="Q27" s="13">
        <f t="shared" si="6"/>
        <v>0</v>
      </c>
      <c r="R27" s="13">
        <f t="shared" si="6"/>
        <v>8</v>
      </c>
      <c r="S27" s="13">
        <f t="shared" si="6"/>
        <v>9</v>
      </c>
      <c r="T27" s="13">
        <f t="shared" si="6"/>
        <v>0</v>
      </c>
      <c r="U27" s="13">
        <f t="shared" si="6"/>
        <v>5</v>
      </c>
      <c r="V27" s="13">
        <f t="shared" si="6"/>
        <v>0</v>
      </c>
      <c r="W27" s="13">
        <f t="shared" si="6"/>
        <v>5</v>
      </c>
      <c r="X27" s="13">
        <f t="shared" si="6"/>
        <v>4</v>
      </c>
      <c r="Y27" s="13">
        <f t="shared" si="6"/>
        <v>2</v>
      </c>
      <c r="Z27" s="13">
        <f t="shared" si="6"/>
        <v>4</v>
      </c>
      <c r="AA27" s="13">
        <f t="shared" si="6"/>
        <v>9</v>
      </c>
      <c r="AB27" s="13">
        <f t="shared" si="6"/>
        <v>0</v>
      </c>
      <c r="AC27" s="13">
        <f t="shared" si="6"/>
        <v>2</v>
      </c>
      <c r="AD27" s="13">
        <f t="shared" si="6"/>
        <v>0</v>
      </c>
      <c r="AE27" s="13">
        <f t="shared" si="3"/>
        <v>101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D28" si="7">SUM(E19,E22,E25)</f>
        <v>82</v>
      </c>
      <c r="F28" s="13">
        <f t="shared" si="7"/>
        <v>83</v>
      </c>
      <c r="G28" s="13">
        <f t="shared" si="7"/>
        <v>97</v>
      </c>
      <c r="H28" s="13">
        <f t="shared" si="7"/>
        <v>98</v>
      </c>
      <c r="I28" s="13">
        <f t="shared" si="7"/>
        <v>79</v>
      </c>
      <c r="J28" s="13">
        <f t="shared" si="7"/>
        <v>65</v>
      </c>
      <c r="K28" s="13">
        <f t="shared" si="7"/>
        <v>122</v>
      </c>
      <c r="L28" s="13">
        <f t="shared" si="7"/>
        <v>94</v>
      </c>
      <c r="M28" s="13">
        <f t="shared" si="7"/>
        <v>78</v>
      </c>
      <c r="N28" s="13">
        <f t="shared" si="7"/>
        <v>103</v>
      </c>
      <c r="O28" s="13">
        <f t="shared" si="7"/>
        <v>91</v>
      </c>
      <c r="P28" s="13">
        <f t="shared" si="7"/>
        <v>86</v>
      </c>
      <c r="Q28" s="13">
        <f t="shared" si="7"/>
        <v>93</v>
      </c>
      <c r="R28" s="13">
        <f t="shared" si="7"/>
        <v>107</v>
      </c>
      <c r="S28" s="13">
        <f t="shared" si="7"/>
        <v>105</v>
      </c>
      <c r="T28" s="13">
        <f t="shared" si="7"/>
        <v>81</v>
      </c>
      <c r="U28" s="13">
        <f t="shared" si="7"/>
        <v>74</v>
      </c>
      <c r="V28" s="13">
        <f t="shared" si="7"/>
        <v>87</v>
      </c>
      <c r="W28" s="13">
        <f t="shared" si="7"/>
        <v>71</v>
      </c>
      <c r="X28" s="13">
        <f t="shared" si="7"/>
        <v>105</v>
      </c>
      <c r="Y28" s="13">
        <f t="shared" si="7"/>
        <v>93</v>
      </c>
      <c r="Z28" s="13">
        <f t="shared" si="7"/>
        <v>85</v>
      </c>
      <c r="AA28" s="13">
        <f t="shared" si="7"/>
        <v>84</v>
      </c>
      <c r="AB28" s="13">
        <f t="shared" si="7"/>
        <v>91</v>
      </c>
      <c r="AC28" s="13">
        <f t="shared" si="7"/>
        <v>84</v>
      </c>
      <c r="AD28" s="13">
        <f t="shared" si="7"/>
        <v>108</v>
      </c>
      <c r="AE28" s="13">
        <f t="shared" si="3"/>
        <v>2346</v>
      </c>
    </row>
    <row r="29" ht="12.75" customHeight="1">
      <c r="A29" s="35"/>
      <c r="B29" s="27"/>
      <c r="C29" s="34"/>
      <c r="D29" s="13" t="s">
        <v>12</v>
      </c>
      <c r="E29" s="13">
        <f t="shared" ref="E29:AD29" si="8">SUM(E20,E23,E26)</f>
        <v>110</v>
      </c>
      <c r="F29" s="13">
        <f t="shared" si="8"/>
        <v>110</v>
      </c>
      <c r="G29" s="13">
        <f t="shared" si="8"/>
        <v>100</v>
      </c>
      <c r="H29" s="13">
        <f t="shared" si="8"/>
        <v>117</v>
      </c>
      <c r="I29" s="13">
        <f t="shared" si="8"/>
        <v>84</v>
      </c>
      <c r="J29" s="13">
        <f t="shared" si="8"/>
        <v>82</v>
      </c>
      <c r="K29" s="13">
        <f t="shared" si="8"/>
        <v>119</v>
      </c>
      <c r="L29" s="13">
        <f t="shared" si="8"/>
        <v>120</v>
      </c>
      <c r="M29" s="13">
        <f t="shared" si="8"/>
        <v>115</v>
      </c>
      <c r="N29" s="13">
        <f t="shared" si="8"/>
        <v>125</v>
      </c>
      <c r="O29" s="13">
        <f t="shared" si="8"/>
        <v>117</v>
      </c>
      <c r="P29" s="13">
        <f t="shared" si="8"/>
        <v>94</v>
      </c>
      <c r="Q29" s="13">
        <f t="shared" si="8"/>
        <v>104</v>
      </c>
      <c r="R29" s="13">
        <f t="shared" si="8"/>
        <v>115</v>
      </c>
      <c r="S29" s="13">
        <f t="shared" si="8"/>
        <v>131</v>
      </c>
      <c r="T29" s="13">
        <f t="shared" si="8"/>
        <v>97</v>
      </c>
      <c r="U29" s="13">
        <f t="shared" si="8"/>
        <v>111</v>
      </c>
      <c r="V29" s="13">
        <f t="shared" si="8"/>
        <v>109</v>
      </c>
      <c r="W29" s="13">
        <f t="shared" si="8"/>
        <v>81</v>
      </c>
      <c r="X29" s="13">
        <f t="shared" si="8"/>
        <v>130</v>
      </c>
      <c r="Y29" s="13">
        <f t="shared" si="8"/>
        <v>122</v>
      </c>
      <c r="Z29" s="13">
        <f t="shared" si="8"/>
        <v>108</v>
      </c>
      <c r="AA29" s="13">
        <f t="shared" si="8"/>
        <v>91</v>
      </c>
      <c r="AB29" s="13">
        <f t="shared" si="8"/>
        <v>116</v>
      </c>
      <c r="AC29" s="13">
        <f t="shared" si="8"/>
        <v>107</v>
      </c>
      <c r="AD29" s="13">
        <f t="shared" si="8"/>
        <v>118</v>
      </c>
      <c r="AE29" s="13">
        <f t="shared" si="3"/>
        <v>2833</v>
      </c>
    </row>
    <row r="30" ht="12.75" customHeight="1">
      <c r="A30" s="35"/>
      <c r="B30" s="28"/>
      <c r="C30" s="36"/>
      <c r="D30" s="13" t="s">
        <v>13</v>
      </c>
      <c r="E30" s="13">
        <f t="shared" ref="E30:AD30" si="9">SUM(E28:E29)</f>
        <v>192</v>
      </c>
      <c r="F30" s="13">
        <f t="shared" si="9"/>
        <v>193</v>
      </c>
      <c r="G30" s="13">
        <f t="shared" si="9"/>
        <v>197</v>
      </c>
      <c r="H30" s="13">
        <f t="shared" si="9"/>
        <v>215</v>
      </c>
      <c r="I30" s="13">
        <f t="shared" si="9"/>
        <v>163</v>
      </c>
      <c r="J30" s="13">
        <f t="shared" si="9"/>
        <v>147</v>
      </c>
      <c r="K30" s="13">
        <f t="shared" si="9"/>
        <v>241</v>
      </c>
      <c r="L30" s="13">
        <f t="shared" si="9"/>
        <v>214</v>
      </c>
      <c r="M30" s="13">
        <f t="shared" si="9"/>
        <v>193</v>
      </c>
      <c r="N30" s="13">
        <f t="shared" si="9"/>
        <v>228</v>
      </c>
      <c r="O30" s="13">
        <f t="shared" si="9"/>
        <v>208</v>
      </c>
      <c r="P30" s="13">
        <f t="shared" si="9"/>
        <v>180</v>
      </c>
      <c r="Q30" s="13">
        <f t="shared" si="9"/>
        <v>197</v>
      </c>
      <c r="R30" s="13">
        <f t="shared" si="9"/>
        <v>222</v>
      </c>
      <c r="S30" s="13">
        <f t="shared" si="9"/>
        <v>236</v>
      </c>
      <c r="T30" s="13">
        <f t="shared" si="9"/>
        <v>178</v>
      </c>
      <c r="U30" s="13">
        <f t="shared" si="9"/>
        <v>185</v>
      </c>
      <c r="V30" s="13">
        <f t="shared" si="9"/>
        <v>196</v>
      </c>
      <c r="W30" s="13">
        <f t="shared" si="9"/>
        <v>152</v>
      </c>
      <c r="X30" s="13">
        <f t="shared" si="9"/>
        <v>235</v>
      </c>
      <c r="Y30" s="13">
        <f t="shared" si="9"/>
        <v>215</v>
      </c>
      <c r="Z30" s="13">
        <f t="shared" si="9"/>
        <v>193</v>
      </c>
      <c r="AA30" s="13">
        <f t="shared" si="9"/>
        <v>175</v>
      </c>
      <c r="AB30" s="13">
        <f t="shared" si="9"/>
        <v>207</v>
      </c>
      <c r="AC30" s="13">
        <f t="shared" si="9"/>
        <v>191</v>
      </c>
      <c r="AD30" s="13">
        <f t="shared" si="9"/>
        <v>226</v>
      </c>
      <c r="AE30" s="13">
        <f t="shared" si="3"/>
        <v>5179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19"/>
      <c r="U31" s="19"/>
      <c r="V31" s="19"/>
      <c r="W31" s="19"/>
      <c r="X31" s="74"/>
      <c r="Y31" s="74"/>
      <c r="Z31" s="74"/>
      <c r="AA31" s="74"/>
      <c r="AB31" s="74"/>
      <c r="AC31" s="74"/>
      <c r="AD31" s="74"/>
      <c r="AE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13"/>
      <c r="U32" s="13"/>
      <c r="V32" s="13"/>
      <c r="W32" s="13"/>
      <c r="X32" s="76"/>
      <c r="Y32" s="76"/>
      <c r="Z32" s="76"/>
      <c r="AA32" s="76"/>
      <c r="AB32" s="76"/>
      <c r="AC32" s="76"/>
      <c r="AD32" s="76"/>
      <c r="AE32" s="75"/>
    </row>
    <row r="33" ht="12.75" customHeight="1">
      <c r="A33" s="19">
        <v>1.0</v>
      </c>
      <c r="B33" s="20" t="s">
        <v>26</v>
      </c>
      <c r="C33" s="15"/>
      <c r="D33" s="16"/>
      <c r="E33" s="73">
        <v>278.0</v>
      </c>
      <c r="F33" s="73">
        <v>279.0</v>
      </c>
      <c r="G33" s="73">
        <v>264.0</v>
      </c>
      <c r="H33" s="73">
        <v>298.0</v>
      </c>
      <c r="I33" s="73">
        <v>227.0</v>
      </c>
      <c r="J33" s="73">
        <v>192.0</v>
      </c>
      <c r="K33" s="73">
        <v>294.0</v>
      </c>
      <c r="L33" s="73">
        <v>299.0</v>
      </c>
      <c r="M33" s="73">
        <v>262.0</v>
      </c>
      <c r="N33" s="73">
        <v>297.0</v>
      </c>
      <c r="O33" s="73">
        <v>281.0</v>
      </c>
      <c r="P33" s="73">
        <v>236.0</v>
      </c>
      <c r="Q33" s="73">
        <v>258.0</v>
      </c>
      <c r="R33" s="73">
        <v>286.0</v>
      </c>
      <c r="S33" s="73">
        <v>292.0</v>
      </c>
      <c r="T33" s="73">
        <v>253.0</v>
      </c>
      <c r="U33" s="73">
        <v>275.0</v>
      </c>
      <c r="V33" s="73">
        <v>260.0</v>
      </c>
      <c r="W33" s="73">
        <v>209.0</v>
      </c>
      <c r="X33" s="73">
        <v>293.0</v>
      </c>
      <c r="Y33" s="73">
        <v>288.0</v>
      </c>
      <c r="Z33" s="73">
        <v>235.0</v>
      </c>
      <c r="AA33" s="73">
        <v>227.0</v>
      </c>
      <c r="AB33" s="73">
        <v>291.0</v>
      </c>
      <c r="AC33" s="73">
        <v>263.0</v>
      </c>
      <c r="AD33" s="73">
        <v>272.0</v>
      </c>
      <c r="AE33" s="13">
        <f t="shared" ref="AE33:AE36" si="10">SUM(E33:AD33)</f>
        <v>6909</v>
      </c>
    </row>
    <row r="34" ht="12.75" customHeight="1">
      <c r="A34" s="19">
        <v>2.0</v>
      </c>
      <c r="B34" s="20" t="s">
        <v>27</v>
      </c>
      <c r="C34" s="15"/>
      <c r="D34" s="16"/>
      <c r="E34" s="77">
        <v>192.0</v>
      </c>
      <c r="F34" s="77">
        <v>193.0</v>
      </c>
      <c r="G34" s="77">
        <v>197.0</v>
      </c>
      <c r="H34" s="77">
        <v>215.0</v>
      </c>
      <c r="I34" s="77">
        <v>163.0</v>
      </c>
      <c r="J34" s="77">
        <v>147.0</v>
      </c>
      <c r="K34" s="77">
        <v>241.0</v>
      </c>
      <c r="L34" s="77">
        <v>214.0</v>
      </c>
      <c r="M34" s="77">
        <v>193.0</v>
      </c>
      <c r="N34" s="77">
        <v>228.0</v>
      </c>
      <c r="O34" s="77">
        <v>208.0</v>
      </c>
      <c r="P34" s="77">
        <v>180.0</v>
      </c>
      <c r="Q34" s="77">
        <v>197.0</v>
      </c>
      <c r="R34" s="77">
        <v>222.0</v>
      </c>
      <c r="S34" s="77">
        <v>236.0</v>
      </c>
      <c r="T34" s="77">
        <v>178.0</v>
      </c>
      <c r="U34" s="77">
        <v>185.0</v>
      </c>
      <c r="V34" s="77">
        <v>196.0</v>
      </c>
      <c r="W34" s="77">
        <v>152.0</v>
      </c>
      <c r="X34" s="77">
        <v>235.0</v>
      </c>
      <c r="Y34" s="77">
        <v>215.0</v>
      </c>
      <c r="Z34" s="77">
        <v>193.0</v>
      </c>
      <c r="AA34" s="77">
        <v>175.0</v>
      </c>
      <c r="AB34" s="77">
        <v>207.0</v>
      </c>
      <c r="AC34" s="77">
        <v>191.0</v>
      </c>
      <c r="AD34" s="77">
        <v>226.0</v>
      </c>
      <c r="AE34" s="13">
        <f t="shared" si="10"/>
        <v>5179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1.0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1.0</v>
      </c>
      <c r="V35" s="73">
        <v>0.0</v>
      </c>
      <c r="W35" s="73">
        <v>0.0</v>
      </c>
      <c r="X35" s="73">
        <v>1.0</v>
      </c>
      <c r="Y35" s="73">
        <v>0.0</v>
      </c>
      <c r="Z35" s="73">
        <v>0.0</v>
      </c>
      <c r="AA35" s="73">
        <v>0.0</v>
      </c>
      <c r="AB35" s="73">
        <v>0.0</v>
      </c>
      <c r="AC35" s="73">
        <v>0.0</v>
      </c>
      <c r="AD35" s="73">
        <v>0.0</v>
      </c>
      <c r="AE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D36" si="11">E33-(E34+E35)</f>
        <v>86</v>
      </c>
      <c r="F36" s="13">
        <f t="shared" si="11"/>
        <v>86</v>
      </c>
      <c r="G36" s="13">
        <f t="shared" si="11"/>
        <v>66</v>
      </c>
      <c r="H36" s="13">
        <f t="shared" si="11"/>
        <v>83</v>
      </c>
      <c r="I36" s="13">
        <f t="shared" si="11"/>
        <v>64</v>
      </c>
      <c r="J36" s="13">
        <f t="shared" si="11"/>
        <v>45</v>
      </c>
      <c r="K36" s="13">
        <f t="shared" si="11"/>
        <v>53</v>
      </c>
      <c r="L36" s="13">
        <f t="shared" si="11"/>
        <v>85</v>
      </c>
      <c r="M36" s="13">
        <f t="shared" si="11"/>
        <v>69</v>
      </c>
      <c r="N36" s="13">
        <f t="shared" si="11"/>
        <v>69</v>
      </c>
      <c r="O36" s="13">
        <f t="shared" si="11"/>
        <v>73</v>
      </c>
      <c r="P36" s="13">
        <f t="shared" si="11"/>
        <v>56</v>
      </c>
      <c r="Q36" s="13">
        <f t="shared" si="11"/>
        <v>61</v>
      </c>
      <c r="R36" s="13">
        <f t="shared" si="11"/>
        <v>64</v>
      </c>
      <c r="S36" s="13">
        <f t="shared" si="11"/>
        <v>56</v>
      </c>
      <c r="T36" s="13">
        <f t="shared" si="11"/>
        <v>75</v>
      </c>
      <c r="U36" s="13">
        <f t="shared" si="11"/>
        <v>89</v>
      </c>
      <c r="V36" s="13">
        <f t="shared" si="11"/>
        <v>64</v>
      </c>
      <c r="W36" s="13">
        <f t="shared" si="11"/>
        <v>57</v>
      </c>
      <c r="X36" s="13">
        <f t="shared" si="11"/>
        <v>57</v>
      </c>
      <c r="Y36" s="13">
        <f t="shared" si="11"/>
        <v>73</v>
      </c>
      <c r="Z36" s="13">
        <f t="shared" si="11"/>
        <v>42</v>
      </c>
      <c r="AA36" s="13">
        <f t="shared" si="11"/>
        <v>52</v>
      </c>
      <c r="AB36" s="13">
        <f t="shared" si="11"/>
        <v>84</v>
      </c>
      <c r="AC36" s="13">
        <f t="shared" si="11"/>
        <v>72</v>
      </c>
      <c r="AD36" s="13">
        <f t="shared" si="11"/>
        <v>46</v>
      </c>
      <c r="AE36" s="13">
        <f t="shared" si="10"/>
        <v>1727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19"/>
      <c r="U37" s="19"/>
      <c r="V37" s="19"/>
      <c r="W37" s="19"/>
      <c r="X37" s="74"/>
      <c r="Y37" s="78"/>
      <c r="Z37" s="78"/>
      <c r="AA37" s="78"/>
      <c r="AB37" s="78"/>
      <c r="AC37" s="78"/>
      <c r="AD37" s="78"/>
      <c r="AE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13"/>
      <c r="U38" s="13"/>
      <c r="V38" s="13"/>
      <c r="W38" s="13"/>
      <c r="X38" s="76"/>
      <c r="Y38" s="76"/>
      <c r="Z38" s="76"/>
      <c r="AA38" s="76"/>
      <c r="AB38" s="76"/>
      <c r="AC38" s="76"/>
      <c r="AD38" s="76"/>
      <c r="AE38" s="75"/>
    </row>
    <row r="39" ht="12.75" customHeight="1">
      <c r="A39" s="30"/>
      <c r="B39" s="43" t="s">
        <v>32</v>
      </c>
      <c r="C39" s="23"/>
      <c r="D39" s="19" t="s">
        <v>11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1.0</v>
      </c>
      <c r="P39" s="73">
        <v>0.0</v>
      </c>
      <c r="Q39" s="73">
        <v>0.0</v>
      </c>
      <c r="R39" s="73">
        <v>0.0</v>
      </c>
      <c r="S39" s="73">
        <v>2.0</v>
      </c>
      <c r="T39" s="73">
        <v>0.0</v>
      </c>
      <c r="U39" s="73">
        <v>0.0</v>
      </c>
      <c r="V39" s="73">
        <v>0.0</v>
      </c>
      <c r="W39" s="73">
        <v>1.0</v>
      </c>
      <c r="X39" s="73">
        <v>0.0</v>
      </c>
      <c r="Y39" s="73">
        <v>0.0</v>
      </c>
      <c r="Z39" s="73">
        <v>0.0</v>
      </c>
      <c r="AA39" s="73">
        <v>0.0</v>
      </c>
      <c r="AB39" s="73">
        <v>0.0</v>
      </c>
      <c r="AC39" s="73">
        <v>1.0</v>
      </c>
      <c r="AD39" s="73">
        <v>0.0</v>
      </c>
      <c r="AE39" s="13">
        <f t="shared" ref="AE39:AE41" si="12">SUM(E39:AD39)</f>
        <v>5</v>
      </c>
    </row>
    <row r="40" ht="12.75" customHeight="1">
      <c r="A40" s="33"/>
      <c r="C40" s="27"/>
      <c r="D40" s="19" t="s">
        <v>12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0.0</v>
      </c>
      <c r="S40" s="73">
        <v>4.0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73">
        <v>0.0</v>
      </c>
      <c r="AA40" s="73">
        <v>0.0</v>
      </c>
      <c r="AB40" s="73">
        <v>0.0</v>
      </c>
      <c r="AC40" s="73">
        <v>1.0</v>
      </c>
      <c r="AD40" s="73">
        <v>0.0</v>
      </c>
      <c r="AE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AD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19"/>
      <c r="U42" s="19"/>
      <c r="V42" s="19"/>
      <c r="W42" s="19"/>
      <c r="X42" s="74"/>
      <c r="Y42" s="19"/>
      <c r="Z42" s="74"/>
      <c r="AA42" s="19"/>
      <c r="AB42" s="74"/>
      <c r="AC42" s="19"/>
      <c r="AD42" s="74"/>
      <c r="AE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13"/>
      <c r="U43" s="13"/>
      <c r="V43" s="13"/>
      <c r="W43" s="13"/>
      <c r="X43" s="76"/>
      <c r="Y43" s="13"/>
      <c r="Z43" s="76"/>
      <c r="AA43" s="13"/>
      <c r="AB43" s="76"/>
      <c r="AC43" s="13"/>
      <c r="AD43" s="76"/>
      <c r="AE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19"/>
      <c r="U44" s="19"/>
      <c r="V44" s="19"/>
      <c r="W44" s="19"/>
      <c r="X44" s="74"/>
      <c r="Y44" s="19"/>
      <c r="Z44" s="74"/>
      <c r="AA44" s="19"/>
      <c r="AB44" s="74"/>
      <c r="AC44" s="19"/>
      <c r="AD44" s="74"/>
      <c r="AE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10.0</v>
      </c>
      <c r="F45" s="73">
        <v>7.0</v>
      </c>
      <c r="G45" s="73">
        <v>8.0</v>
      </c>
      <c r="H45" s="73">
        <v>10.0</v>
      </c>
      <c r="I45" s="73">
        <v>8.0</v>
      </c>
      <c r="J45" s="73">
        <v>1.0</v>
      </c>
      <c r="K45" s="73">
        <v>8.0</v>
      </c>
      <c r="L45" s="73">
        <v>9.0</v>
      </c>
      <c r="M45" s="73">
        <v>3.0</v>
      </c>
      <c r="N45" s="73">
        <v>9.0</v>
      </c>
      <c r="O45" s="73">
        <v>5.0</v>
      </c>
      <c r="P45" s="73">
        <v>7.0</v>
      </c>
      <c r="Q45" s="73">
        <v>9.0</v>
      </c>
      <c r="R45" s="73">
        <v>9.0</v>
      </c>
      <c r="S45" s="73">
        <v>16.0</v>
      </c>
      <c r="T45" s="73">
        <v>5.0</v>
      </c>
      <c r="U45" s="73">
        <v>9.0</v>
      </c>
      <c r="V45" s="73">
        <v>10.0</v>
      </c>
      <c r="W45" s="73">
        <v>1.0</v>
      </c>
      <c r="X45" s="73">
        <v>4.0</v>
      </c>
      <c r="Y45" s="73">
        <v>3.0</v>
      </c>
      <c r="Z45" s="73">
        <v>7.0</v>
      </c>
      <c r="AA45" s="73">
        <v>0.0</v>
      </c>
      <c r="AB45" s="73">
        <v>6.0</v>
      </c>
      <c r="AC45" s="73">
        <v>11.0</v>
      </c>
      <c r="AD45" s="73">
        <v>13.0</v>
      </c>
      <c r="AE45" s="13">
        <f t="shared" ref="AE45:AE54" si="14">SUM(E45:AD45)</f>
        <v>188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12.0</v>
      </c>
      <c r="F46" s="73">
        <v>14.0</v>
      </c>
      <c r="G46" s="73">
        <v>18.0</v>
      </c>
      <c r="H46" s="73">
        <v>48.0</v>
      </c>
      <c r="I46" s="73">
        <v>7.0</v>
      </c>
      <c r="J46" s="73">
        <v>13.0</v>
      </c>
      <c r="K46" s="73">
        <v>12.0</v>
      </c>
      <c r="L46" s="73">
        <v>18.0</v>
      </c>
      <c r="M46" s="73">
        <v>7.0</v>
      </c>
      <c r="N46" s="73">
        <v>12.0</v>
      </c>
      <c r="O46" s="73">
        <v>10.0</v>
      </c>
      <c r="P46" s="73">
        <v>19.0</v>
      </c>
      <c r="Q46" s="73">
        <v>20.0</v>
      </c>
      <c r="R46" s="73">
        <v>5.0</v>
      </c>
      <c r="S46" s="73">
        <v>18.0</v>
      </c>
      <c r="T46" s="73">
        <v>3.0</v>
      </c>
      <c r="U46" s="73">
        <v>6.0</v>
      </c>
      <c r="V46" s="73">
        <v>9.0</v>
      </c>
      <c r="W46" s="73">
        <v>10.0</v>
      </c>
      <c r="X46" s="73">
        <v>10.0</v>
      </c>
      <c r="Y46" s="73">
        <v>12.0</v>
      </c>
      <c r="Z46" s="73">
        <v>9.0</v>
      </c>
      <c r="AA46" s="73">
        <v>2.0</v>
      </c>
      <c r="AB46" s="73">
        <v>11.0</v>
      </c>
      <c r="AC46" s="73">
        <v>15.0</v>
      </c>
      <c r="AD46" s="73">
        <v>24.0</v>
      </c>
      <c r="AE46" s="13">
        <f t="shared" si="14"/>
        <v>344</v>
      </c>
    </row>
    <row r="47" ht="12.75" customHeight="1">
      <c r="A47" s="18"/>
      <c r="B47" s="49"/>
      <c r="C47" s="50" t="s">
        <v>40</v>
      </c>
      <c r="D47" s="51"/>
      <c r="E47" s="73">
        <v>0.0</v>
      </c>
      <c r="F47" s="73">
        <v>2.0</v>
      </c>
      <c r="G47" s="73">
        <v>1.0</v>
      </c>
      <c r="H47" s="73">
        <v>1.0</v>
      </c>
      <c r="I47" s="73">
        <v>1.0</v>
      </c>
      <c r="J47" s="73">
        <v>0.0</v>
      </c>
      <c r="K47" s="73">
        <v>1.0</v>
      </c>
      <c r="L47" s="73">
        <v>3.0</v>
      </c>
      <c r="M47" s="73">
        <v>0.0</v>
      </c>
      <c r="N47" s="73">
        <v>4.0</v>
      </c>
      <c r="O47" s="73">
        <v>0.0</v>
      </c>
      <c r="P47" s="73">
        <v>1.0</v>
      </c>
      <c r="Q47" s="73">
        <v>2.0</v>
      </c>
      <c r="R47" s="73">
        <v>0.0</v>
      </c>
      <c r="S47" s="73">
        <v>2.0</v>
      </c>
      <c r="T47" s="73">
        <v>0.0</v>
      </c>
      <c r="U47" s="73">
        <v>0.0</v>
      </c>
      <c r="V47" s="73">
        <v>2.0</v>
      </c>
      <c r="W47" s="73">
        <v>1.0</v>
      </c>
      <c r="X47" s="73">
        <v>0.0</v>
      </c>
      <c r="Y47" s="73">
        <v>1.0</v>
      </c>
      <c r="Z47" s="73">
        <v>0.0</v>
      </c>
      <c r="AA47" s="73">
        <v>0.0</v>
      </c>
      <c r="AB47" s="73">
        <v>0.0</v>
      </c>
      <c r="AC47" s="73">
        <v>2.0</v>
      </c>
      <c r="AD47" s="73">
        <v>1.0</v>
      </c>
      <c r="AE47" s="13">
        <f t="shared" si="14"/>
        <v>25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2.0</v>
      </c>
      <c r="G48" s="73">
        <v>0.0</v>
      </c>
      <c r="H48" s="73">
        <v>0.0</v>
      </c>
      <c r="I48" s="73">
        <v>0.0</v>
      </c>
      <c r="J48" s="73">
        <v>1.0</v>
      </c>
      <c r="K48" s="73">
        <v>0.0</v>
      </c>
      <c r="L48" s="73">
        <v>0.0</v>
      </c>
      <c r="M48" s="73">
        <v>0.0</v>
      </c>
      <c r="N48" s="73">
        <v>2.0</v>
      </c>
      <c r="O48" s="73">
        <v>1.0</v>
      </c>
      <c r="P48" s="73">
        <v>0.0</v>
      </c>
      <c r="Q48" s="73">
        <v>0.0</v>
      </c>
      <c r="R48" s="73">
        <v>0.0</v>
      </c>
      <c r="S48" s="73">
        <v>0.0</v>
      </c>
      <c r="T48" s="73">
        <v>0.0</v>
      </c>
      <c r="U48" s="73">
        <v>1.0</v>
      </c>
      <c r="V48" s="73">
        <v>0.0</v>
      </c>
      <c r="W48" s="73">
        <v>0.0</v>
      </c>
      <c r="X48" s="73">
        <v>3.0</v>
      </c>
      <c r="Y48" s="73">
        <v>2.0</v>
      </c>
      <c r="Z48" s="73">
        <v>0.0</v>
      </c>
      <c r="AA48" s="73">
        <v>1.0</v>
      </c>
      <c r="AB48" s="73">
        <v>1.0</v>
      </c>
      <c r="AC48" s="73">
        <v>0.0</v>
      </c>
      <c r="AD48" s="73">
        <v>2.0</v>
      </c>
      <c r="AE48" s="13">
        <f t="shared" si="14"/>
        <v>16</v>
      </c>
    </row>
    <row r="49" ht="12.75" customHeight="1">
      <c r="A49" s="18"/>
      <c r="B49" s="49"/>
      <c r="C49" s="50" t="s">
        <v>42</v>
      </c>
      <c r="D49" s="51"/>
      <c r="E49" s="73">
        <v>1.0</v>
      </c>
      <c r="F49" s="73">
        <v>0.0</v>
      </c>
      <c r="G49" s="73">
        <v>2.0</v>
      </c>
      <c r="H49" s="73">
        <v>0.0</v>
      </c>
      <c r="I49" s="73">
        <v>1.0</v>
      </c>
      <c r="J49" s="73">
        <v>0.0</v>
      </c>
      <c r="K49" s="73">
        <v>2.0</v>
      </c>
      <c r="L49" s="73">
        <v>1.0</v>
      </c>
      <c r="M49" s="73">
        <v>0.0</v>
      </c>
      <c r="N49" s="73">
        <v>1.0</v>
      </c>
      <c r="O49" s="73">
        <v>1.0</v>
      </c>
      <c r="P49" s="73">
        <v>2.0</v>
      </c>
      <c r="Q49" s="73">
        <v>1.0</v>
      </c>
      <c r="R49" s="73">
        <v>1.0</v>
      </c>
      <c r="S49" s="73">
        <v>1.0</v>
      </c>
      <c r="T49" s="73">
        <v>0.0</v>
      </c>
      <c r="U49" s="73">
        <v>0.0</v>
      </c>
      <c r="V49" s="73">
        <v>2.0</v>
      </c>
      <c r="W49" s="73">
        <v>0.0</v>
      </c>
      <c r="X49" s="73">
        <v>2.0</v>
      </c>
      <c r="Y49" s="73">
        <v>0.0</v>
      </c>
      <c r="Z49" s="73">
        <v>0.0</v>
      </c>
      <c r="AA49" s="73">
        <v>0.0</v>
      </c>
      <c r="AB49" s="73">
        <v>0.0</v>
      </c>
      <c r="AC49" s="73">
        <v>0.0</v>
      </c>
      <c r="AD49" s="73">
        <v>2.0</v>
      </c>
      <c r="AE49" s="13">
        <f t="shared" si="14"/>
        <v>20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1.0</v>
      </c>
      <c r="H50" s="73">
        <v>1.0</v>
      </c>
      <c r="I50" s="73">
        <v>0.0</v>
      </c>
      <c r="J50" s="73">
        <v>0.0</v>
      </c>
      <c r="K50" s="73">
        <v>0.0</v>
      </c>
      <c r="L50" s="73">
        <v>0.0</v>
      </c>
      <c r="M50" s="73">
        <v>0.0</v>
      </c>
      <c r="N50" s="73">
        <v>1.0</v>
      </c>
      <c r="O50" s="73">
        <v>0.0</v>
      </c>
      <c r="P50" s="73">
        <v>1.0</v>
      </c>
      <c r="Q50" s="73">
        <v>2.0</v>
      </c>
      <c r="R50" s="73">
        <v>0.0</v>
      </c>
      <c r="S50" s="73">
        <v>2.0</v>
      </c>
      <c r="T50" s="73">
        <v>0.0</v>
      </c>
      <c r="U50" s="73">
        <v>0.0</v>
      </c>
      <c r="V50" s="73">
        <v>1.0</v>
      </c>
      <c r="W50" s="73">
        <v>0.0</v>
      </c>
      <c r="X50" s="73">
        <v>0.0</v>
      </c>
      <c r="Y50" s="73">
        <v>1.0</v>
      </c>
      <c r="Z50" s="73">
        <v>0.0</v>
      </c>
      <c r="AA50" s="73">
        <v>0.0</v>
      </c>
      <c r="AB50" s="73">
        <v>0.0</v>
      </c>
      <c r="AC50" s="73">
        <v>0.0</v>
      </c>
      <c r="AD50" s="73">
        <v>0.0</v>
      </c>
      <c r="AE50" s="13">
        <f t="shared" si="14"/>
        <v>10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0.0</v>
      </c>
      <c r="H51" s="73">
        <v>1.0</v>
      </c>
      <c r="I51" s="73">
        <v>0.0</v>
      </c>
      <c r="J51" s="73">
        <v>0.0</v>
      </c>
      <c r="K51" s="73">
        <v>0.0</v>
      </c>
      <c r="L51" s="73">
        <v>1.0</v>
      </c>
      <c r="M51" s="73">
        <v>1.0</v>
      </c>
      <c r="N51" s="73">
        <v>0.0</v>
      </c>
      <c r="O51" s="73">
        <v>0.0</v>
      </c>
      <c r="P51" s="73">
        <v>0.0</v>
      </c>
      <c r="Q51" s="73">
        <v>0.0</v>
      </c>
      <c r="R51" s="73">
        <v>0.0</v>
      </c>
      <c r="S51" s="73">
        <v>0.0</v>
      </c>
      <c r="T51" s="73">
        <v>0.0</v>
      </c>
      <c r="U51" s="73">
        <v>1.0</v>
      </c>
      <c r="V51" s="73">
        <v>2.0</v>
      </c>
      <c r="W51" s="73">
        <v>0.0</v>
      </c>
      <c r="X51" s="73">
        <v>0.0</v>
      </c>
      <c r="Y51" s="73">
        <v>0.0</v>
      </c>
      <c r="Z51" s="73">
        <v>0.0</v>
      </c>
      <c r="AA51" s="73">
        <v>0.0</v>
      </c>
      <c r="AB51" s="73">
        <v>0.0</v>
      </c>
      <c r="AC51" s="73">
        <v>1.0</v>
      </c>
      <c r="AD51" s="73">
        <v>1.0</v>
      </c>
      <c r="AE51" s="13">
        <f t="shared" si="14"/>
        <v>8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0.0</v>
      </c>
      <c r="H52" s="80">
        <v>1.0</v>
      </c>
      <c r="I52" s="80">
        <v>1.0</v>
      </c>
      <c r="J52" s="80">
        <v>2.0</v>
      </c>
      <c r="K52" s="80">
        <v>1.0</v>
      </c>
      <c r="L52" s="80">
        <v>2.0</v>
      </c>
      <c r="M52" s="80">
        <v>1.0</v>
      </c>
      <c r="N52" s="80">
        <v>0.0</v>
      </c>
      <c r="O52" s="80">
        <v>1.0</v>
      </c>
      <c r="P52" s="80">
        <v>1.0</v>
      </c>
      <c r="Q52" s="80">
        <v>1.0</v>
      </c>
      <c r="R52" s="80">
        <v>0.0</v>
      </c>
      <c r="S52" s="80">
        <v>0.0</v>
      </c>
      <c r="T52" s="80">
        <v>0.0</v>
      </c>
      <c r="U52" s="80">
        <v>0.0</v>
      </c>
      <c r="V52" s="80">
        <v>0.0</v>
      </c>
      <c r="W52" s="80">
        <v>0.0</v>
      </c>
      <c r="X52" s="80">
        <v>0.0</v>
      </c>
      <c r="Y52" s="80">
        <v>0.0</v>
      </c>
      <c r="Z52" s="80">
        <v>0.0</v>
      </c>
      <c r="AA52" s="80">
        <v>0.0</v>
      </c>
      <c r="AB52" s="80">
        <v>1.0</v>
      </c>
      <c r="AC52" s="80">
        <v>0.0</v>
      </c>
      <c r="AD52" s="80">
        <v>0.0</v>
      </c>
      <c r="AE52" s="13">
        <f t="shared" si="14"/>
        <v>12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1.0</v>
      </c>
      <c r="L53" s="80">
        <v>0.0</v>
      </c>
      <c r="M53" s="80">
        <v>0.0</v>
      </c>
      <c r="N53" s="80">
        <v>0.0</v>
      </c>
      <c r="O53" s="80">
        <v>0.0</v>
      </c>
      <c r="P53" s="80">
        <v>0.0</v>
      </c>
      <c r="Q53" s="80">
        <v>0.0</v>
      </c>
      <c r="R53" s="80">
        <v>0.0</v>
      </c>
      <c r="S53" s="80">
        <v>0.0</v>
      </c>
      <c r="T53" s="80">
        <v>0.0</v>
      </c>
      <c r="U53" s="80">
        <v>0.0</v>
      </c>
      <c r="V53" s="80">
        <v>0.0</v>
      </c>
      <c r="W53" s="80">
        <v>0.0</v>
      </c>
      <c r="X53" s="80">
        <v>0.0</v>
      </c>
      <c r="Y53" s="80">
        <v>0.0</v>
      </c>
      <c r="Z53" s="80">
        <v>0.0</v>
      </c>
      <c r="AA53" s="80">
        <v>0.0</v>
      </c>
      <c r="AB53" s="80">
        <v>0.0</v>
      </c>
      <c r="AC53" s="80">
        <v>0.0</v>
      </c>
      <c r="AD53" s="80">
        <v>0.0</v>
      </c>
      <c r="AE53" s="13">
        <f t="shared" si="14"/>
        <v>1</v>
      </c>
    </row>
    <row r="54" ht="12.75" customHeight="1">
      <c r="A54" s="79"/>
      <c r="B54" s="49"/>
      <c r="C54" s="50" t="s">
        <v>47</v>
      </c>
      <c r="D54" s="51"/>
      <c r="E54" s="80">
        <v>1.0</v>
      </c>
      <c r="F54" s="80">
        <v>0.0</v>
      </c>
      <c r="G54" s="80">
        <v>0.0</v>
      </c>
      <c r="H54" s="80">
        <v>0.0</v>
      </c>
      <c r="I54" s="80">
        <v>0.0</v>
      </c>
      <c r="J54" s="80">
        <v>1.0</v>
      </c>
      <c r="K54" s="80">
        <v>0.0</v>
      </c>
      <c r="L54" s="80">
        <v>0.0</v>
      </c>
      <c r="M54" s="80">
        <v>1.0</v>
      </c>
      <c r="N54" s="80">
        <v>0.0</v>
      </c>
      <c r="O54" s="80">
        <v>0.0</v>
      </c>
      <c r="P54" s="80">
        <v>1.0</v>
      </c>
      <c r="Q54" s="80">
        <v>0.0</v>
      </c>
      <c r="R54" s="80">
        <v>1.0</v>
      </c>
      <c r="S54" s="80">
        <v>0.0</v>
      </c>
      <c r="T54" s="80">
        <v>0.0</v>
      </c>
      <c r="U54" s="80">
        <v>0.0</v>
      </c>
      <c r="V54" s="80">
        <v>0.0</v>
      </c>
      <c r="W54" s="80">
        <v>0.0</v>
      </c>
      <c r="X54" s="80">
        <v>0.0</v>
      </c>
      <c r="Y54" s="80">
        <v>0.0</v>
      </c>
      <c r="Z54" s="80">
        <v>0.0</v>
      </c>
      <c r="AA54" s="80">
        <v>0.0</v>
      </c>
      <c r="AB54" s="80">
        <v>0.0</v>
      </c>
      <c r="AC54" s="80">
        <v>0.0</v>
      </c>
      <c r="AD54" s="80">
        <v>1.0</v>
      </c>
      <c r="AE54" s="13">
        <f t="shared" si="14"/>
        <v>6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AE55" si="15">SUM(E45:E54)</f>
        <v>24</v>
      </c>
      <c r="F55" s="13">
        <f t="shared" si="15"/>
        <v>25</v>
      </c>
      <c r="G55" s="13">
        <f t="shared" si="15"/>
        <v>30</v>
      </c>
      <c r="H55" s="13">
        <f t="shared" si="15"/>
        <v>62</v>
      </c>
      <c r="I55" s="13">
        <f t="shared" si="15"/>
        <v>18</v>
      </c>
      <c r="J55" s="13">
        <f t="shared" si="15"/>
        <v>18</v>
      </c>
      <c r="K55" s="13">
        <f t="shared" si="15"/>
        <v>25</v>
      </c>
      <c r="L55" s="13">
        <f t="shared" si="15"/>
        <v>34</v>
      </c>
      <c r="M55" s="13">
        <f t="shared" si="15"/>
        <v>13</v>
      </c>
      <c r="N55" s="13">
        <f t="shared" si="15"/>
        <v>29</v>
      </c>
      <c r="O55" s="13">
        <f t="shared" si="15"/>
        <v>18</v>
      </c>
      <c r="P55" s="13">
        <f t="shared" si="15"/>
        <v>32</v>
      </c>
      <c r="Q55" s="13">
        <f t="shared" si="15"/>
        <v>35</v>
      </c>
      <c r="R55" s="13">
        <f t="shared" si="15"/>
        <v>16</v>
      </c>
      <c r="S55" s="13">
        <f t="shared" si="15"/>
        <v>39</v>
      </c>
      <c r="T55" s="13">
        <f t="shared" si="15"/>
        <v>8</v>
      </c>
      <c r="U55" s="13">
        <f t="shared" si="15"/>
        <v>17</v>
      </c>
      <c r="V55" s="13">
        <f t="shared" si="15"/>
        <v>26</v>
      </c>
      <c r="W55" s="13">
        <f t="shared" si="15"/>
        <v>12</v>
      </c>
      <c r="X55" s="13">
        <f t="shared" si="15"/>
        <v>19</v>
      </c>
      <c r="Y55" s="13">
        <f t="shared" si="15"/>
        <v>19</v>
      </c>
      <c r="Z55" s="13">
        <f t="shared" si="15"/>
        <v>16</v>
      </c>
      <c r="AA55" s="13">
        <f t="shared" si="15"/>
        <v>3</v>
      </c>
      <c r="AB55" s="13">
        <f t="shared" si="15"/>
        <v>19</v>
      </c>
      <c r="AC55" s="13">
        <f t="shared" si="15"/>
        <v>29</v>
      </c>
      <c r="AD55" s="13">
        <f t="shared" si="15"/>
        <v>44</v>
      </c>
      <c r="AE55" s="13">
        <f t="shared" si="15"/>
        <v>630</v>
      </c>
    </row>
    <row r="56" ht="12.75" customHeight="1">
      <c r="A56" s="45"/>
      <c r="B56" s="44"/>
      <c r="C56" s="44"/>
      <c r="D56" s="44"/>
      <c r="E56" s="44"/>
      <c r="AE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12.0</v>
      </c>
      <c r="F57" s="73">
        <v>15.0</v>
      </c>
      <c r="G57" s="73">
        <v>4.0</v>
      </c>
      <c r="H57" s="73">
        <v>8.0</v>
      </c>
      <c r="I57" s="73">
        <v>5.0</v>
      </c>
      <c r="J57" s="73">
        <v>3.0</v>
      </c>
      <c r="K57" s="73">
        <v>11.0</v>
      </c>
      <c r="L57" s="73">
        <v>14.0</v>
      </c>
      <c r="M57" s="73">
        <v>12.0</v>
      </c>
      <c r="N57" s="73">
        <v>16.0</v>
      </c>
      <c r="O57" s="73">
        <v>17.0</v>
      </c>
      <c r="P57" s="73">
        <v>7.0</v>
      </c>
      <c r="Q57" s="73">
        <v>14.0</v>
      </c>
      <c r="R57" s="73">
        <v>13.0</v>
      </c>
      <c r="S57" s="73">
        <v>14.0</v>
      </c>
      <c r="T57" s="73">
        <v>13.0</v>
      </c>
      <c r="U57" s="73">
        <v>11.0</v>
      </c>
      <c r="V57" s="73">
        <v>8.0</v>
      </c>
      <c r="W57" s="73">
        <v>7.0</v>
      </c>
      <c r="X57" s="73">
        <v>7.0</v>
      </c>
      <c r="Y57" s="73">
        <v>15.0</v>
      </c>
      <c r="Z57" s="73">
        <v>4.0</v>
      </c>
      <c r="AA57" s="73">
        <v>3.0</v>
      </c>
      <c r="AB57" s="73">
        <v>13.0</v>
      </c>
      <c r="AC57" s="73">
        <v>13.0</v>
      </c>
      <c r="AD57" s="73">
        <v>13.0</v>
      </c>
      <c r="AE57" s="13">
        <f t="shared" ref="AE57:AE66" si="16">SUM(E57:AD57)</f>
        <v>272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2.0</v>
      </c>
      <c r="F58" s="73">
        <v>5.0</v>
      </c>
      <c r="G58" s="73">
        <v>6.0</v>
      </c>
      <c r="H58" s="73">
        <v>4.0</v>
      </c>
      <c r="I58" s="73">
        <v>2.0</v>
      </c>
      <c r="J58" s="73">
        <v>2.0</v>
      </c>
      <c r="K58" s="73">
        <v>5.0</v>
      </c>
      <c r="L58" s="73">
        <v>5.0</v>
      </c>
      <c r="M58" s="73">
        <v>4.0</v>
      </c>
      <c r="N58" s="73">
        <v>2.0</v>
      </c>
      <c r="O58" s="73">
        <v>8.0</v>
      </c>
      <c r="P58" s="73">
        <v>7.0</v>
      </c>
      <c r="Q58" s="73">
        <v>5.0</v>
      </c>
      <c r="R58" s="73">
        <v>5.0</v>
      </c>
      <c r="S58" s="73">
        <v>8.0</v>
      </c>
      <c r="T58" s="73">
        <v>2.0</v>
      </c>
      <c r="U58" s="73">
        <v>2.0</v>
      </c>
      <c r="V58" s="73">
        <v>3.0</v>
      </c>
      <c r="W58" s="73">
        <v>5.0</v>
      </c>
      <c r="X58" s="73">
        <v>6.0</v>
      </c>
      <c r="Y58" s="73">
        <v>3.0</v>
      </c>
      <c r="Z58" s="73">
        <v>1.0</v>
      </c>
      <c r="AA58" s="73">
        <v>1.0</v>
      </c>
      <c r="AB58" s="73">
        <v>9.0</v>
      </c>
      <c r="AC58" s="73">
        <v>5.0</v>
      </c>
      <c r="AD58" s="73">
        <v>2.0</v>
      </c>
      <c r="AE58" s="13">
        <f t="shared" si="16"/>
        <v>109</v>
      </c>
    </row>
    <row r="59" ht="12.75" customHeight="1">
      <c r="A59" s="18"/>
      <c r="B59" s="49"/>
      <c r="C59" s="50" t="s">
        <v>51</v>
      </c>
      <c r="D59" s="51"/>
      <c r="E59" s="73">
        <v>5.0</v>
      </c>
      <c r="F59" s="73">
        <v>8.0</v>
      </c>
      <c r="G59" s="73">
        <v>6.0</v>
      </c>
      <c r="H59" s="73">
        <v>19.0</v>
      </c>
      <c r="I59" s="73">
        <v>5.0</v>
      </c>
      <c r="J59" s="73">
        <v>2.0</v>
      </c>
      <c r="K59" s="73">
        <v>7.0</v>
      </c>
      <c r="L59" s="73">
        <v>6.0</v>
      </c>
      <c r="M59" s="73">
        <v>5.0</v>
      </c>
      <c r="N59" s="73">
        <v>3.0</v>
      </c>
      <c r="O59" s="73">
        <v>7.0</v>
      </c>
      <c r="P59" s="73">
        <v>7.0</v>
      </c>
      <c r="Q59" s="73">
        <v>6.0</v>
      </c>
      <c r="R59" s="73">
        <v>4.0</v>
      </c>
      <c r="S59" s="73">
        <v>9.0</v>
      </c>
      <c r="T59" s="73">
        <v>3.0</v>
      </c>
      <c r="U59" s="73">
        <v>11.0</v>
      </c>
      <c r="V59" s="73">
        <v>9.0</v>
      </c>
      <c r="W59" s="73">
        <v>7.0</v>
      </c>
      <c r="X59" s="73">
        <v>9.0</v>
      </c>
      <c r="Y59" s="73">
        <v>7.0</v>
      </c>
      <c r="Z59" s="73">
        <v>5.0</v>
      </c>
      <c r="AA59" s="73">
        <v>8.0</v>
      </c>
      <c r="AB59" s="73">
        <v>12.0</v>
      </c>
      <c r="AC59" s="73">
        <v>11.0</v>
      </c>
      <c r="AD59" s="73">
        <v>10.0</v>
      </c>
      <c r="AE59" s="13">
        <f t="shared" si="16"/>
        <v>191</v>
      </c>
    </row>
    <row r="60" ht="12.75" customHeight="1">
      <c r="A60" s="18"/>
      <c r="B60" s="49"/>
      <c r="C60" s="50" t="s">
        <v>52</v>
      </c>
      <c r="D60" s="51"/>
      <c r="E60" s="73">
        <v>1.0</v>
      </c>
      <c r="F60" s="73">
        <v>4.0</v>
      </c>
      <c r="G60" s="73">
        <v>1.0</v>
      </c>
      <c r="H60" s="73">
        <v>4.0</v>
      </c>
      <c r="I60" s="73">
        <v>0.0</v>
      </c>
      <c r="J60" s="73">
        <v>1.0</v>
      </c>
      <c r="K60" s="73">
        <v>2.0</v>
      </c>
      <c r="L60" s="73">
        <v>1.0</v>
      </c>
      <c r="M60" s="73">
        <v>1.0</v>
      </c>
      <c r="N60" s="73">
        <v>2.0</v>
      </c>
      <c r="O60" s="73">
        <v>0.0</v>
      </c>
      <c r="P60" s="73">
        <v>2.0</v>
      </c>
      <c r="Q60" s="73">
        <v>3.0</v>
      </c>
      <c r="R60" s="73">
        <v>3.0</v>
      </c>
      <c r="S60" s="73">
        <v>2.0</v>
      </c>
      <c r="T60" s="73">
        <v>0.0</v>
      </c>
      <c r="U60" s="73">
        <v>2.0</v>
      </c>
      <c r="V60" s="73">
        <v>2.0</v>
      </c>
      <c r="W60" s="73">
        <v>1.0</v>
      </c>
      <c r="X60" s="73">
        <v>1.0</v>
      </c>
      <c r="Y60" s="73">
        <v>0.0</v>
      </c>
      <c r="Z60" s="73">
        <v>2.0</v>
      </c>
      <c r="AA60" s="73">
        <v>0.0</v>
      </c>
      <c r="AB60" s="73">
        <v>4.0</v>
      </c>
      <c r="AC60" s="73">
        <v>6.0</v>
      </c>
      <c r="AD60" s="73">
        <v>5.0</v>
      </c>
      <c r="AE60" s="13">
        <f t="shared" si="16"/>
        <v>50</v>
      </c>
    </row>
    <row r="61" ht="12.75" customHeight="1">
      <c r="A61" s="18"/>
      <c r="B61" s="49"/>
      <c r="C61" s="50" t="s">
        <v>53</v>
      </c>
      <c r="D61" s="51"/>
      <c r="E61" s="73">
        <v>2.0</v>
      </c>
      <c r="F61" s="73">
        <v>3.0</v>
      </c>
      <c r="G61" s="73">
        <v>2.0</v>
      </c>
      <c r="H61" s="73">
        <v>1.0</v>
      </c>
      <c r="I61" s="73">
        <v>1.0</v>
      </c>
      <c r="J61" s="73">
        <v>1.0</v>
      </c>
      <c r="K61" s="73">
        <v>7.0</v>
      </c>
      <c r="L61" s="73">
        <v>1.0</v>
      </c>
      <c r="M61" s="73">
        <v>1.0</v>
      </c>
      <c r="N61" s="73">
        <v>0.0</v>
      </c>
      <c r="O61" s="73">
        <v>0.0</v>
      </c>
      <c r="P61" s="73">
        <v>1.0</v>
      </c>
      <c r="Q61" s="73">
        <v>3.0</v>
      </c>
      <c r="R61" s="73">
        <v>0.0</v>
      </c>
      <c r="S61" s="73">
        <v>4.0</v>
      </c>
      <c r="T61" s="73">
        <v>9.0</v>
      </c>
      <c r="U61" s="73">
        <v>3.0</v>
      </c>
      <c r="V61" s="73">
        <v>2.0</v>
      </c>
      <c r="W61" s="73">
        <v>9.0</v>
      </c>
      <c r="X61" s="73">
        <v>3.0</v>
      </c>
      <c r="Y61" s="73">
        <v>3.0</v>
      </c>
      <c r="Z61" s="73">
        <v>1.0</v>
      </c>
      <c r="AA61" s="73">
        <v>0.0</v>
      </c>
      <c r="AB61" s="73">
        <v>2.0</v>
      </c>
      <c r="AC61" s="73">
        <v>5.0</v>
      </c>
      <c r="AD61" s="73">
        <v>6.0</v>
      </c>
      <c r="AE61" s="13">
        <f t="shared" si="16"/>
        <v>70</v>
      </c>
    </row>
    <row r="62" ht="12.75" customHeight="1">
      <c r="A62" s="18"/>
      <c r="B62" s="49"/>
      <c r="C62" s="50" t="s">
        <v>54</v>
      </c>
      <c r="D62" s="51"/>
      <c r="E62" s="73">
        <v>0.0</v>
      </c>
      <c r="F62" s="73">
        <v>0.0</v>
      </c>
      <c r="G62" s="73">
        <v>0.0</v>
      </c>
      <c r="H62" s="73">
        <v>2.0</v>
      </c>
      <c r="I62" s="73">
        <v>0.0</v>
      </c>
      <c r="J62" s="73">
        <v>0.0</v>
      </c>
      <c r="K62" s="73">
        <v>2.0</v>
      </c>
      <c r="L62" s="73">
        <v>0.0</v>
      </c>
      <c r="M62" s="73">
        <v>0.0</v>
      </c>
      <c r="N62" s="73">
        <v>2.0</v>
      </c>
      <c r="O62" s="73">
        <v>0.0</v>
      </c>
      <c r="P62" s="73">
        <v>1.0</v>
      </c>
      <c r="Q62" s="73">
        <v>3.0</v>
      </c>
      <c r="R62" s="73">
        <v>1.0</v>
      </c>
      <c r="S62" s="73">
        <v>1.0</v>
      </c>
      <c r="T62" s="73">
        <v>1.0</v>
      </c>
      <c r="U62" s="73">
        <v>0.0</v>
      </c>
      <c r="V62" s="73">
        <v>0.0</v>
      </c>
      <c r="W62" s="73">
        <v>1.0</v>
      </c>
      <c r="X62" s="73">
        <v>3.0</v>
      </c>
      <c r="Y62" s="73">
        <v>2.0</v>
      </c>
      <c r="Z62" s="73">
        <v>1.0</v>
      </c>
      <c r="AA62" s="73">
        <v>1.0</v>
      </c>
      <c r="AB62" s="73">
        <v>0.0</v>
      </c>
      <c r="AC62" s="73">
        <v>1.0</v>
      </c>
      <c r="AD62" s="73">
        <v>1.0</v>
      </c>
      <c r="AE62" s="13">
        <f t="shared" si="16"/>
        <v>23</v>
      </c>
    </row>
    <row r="63" ht="12.75" customHeight="1">
      <c r="A63" s="18"/>
      <c r="B63" s="49"/>
      <c r="C63" s="50" t="s">
        <v>55</v>
      </c>
      <c r="D63" s="51"/>
      <c r="E63" s="73">
        <v>0.0</v>
      </c>
      <c r="F63" s="73">
        <v>0.0</v>
      </c>
      <c r="G63" s="73">
        <v>1.0</v>
      </c>
      <c r="H63" s="73">
        <v>0.0</v>
      </c>
      <c r="I63" s="73">
        <v>0.0</v>
      </c>
      <c r="J63" s="73">
        <v>0.0</v>
      </c>
      <c r="K63" s="73">
        <v>1.0</v>
      </c>
      <c r="L63" s="73">
        <v>0.0</v>
      </c>
      <c r="M63" s="73">
        <v>0.0</v>
      </c>
      <c r="N63" s="73">
        <v>0.0</v>
      </c>
      <c r="O63" s="73">
        <v>0.0</v>
      </c>
      <c r="P63" s="73">
        <v>1.0</v>
      </c>
      <c r="Q63" s="73">
        <v>0.0</v>
      </c>
      <c r="R63" s="73">
        <v>0.0</v>
      </c>
      <c r="S63" s="73">
        <v>4.0</v>
      </c>
      <c r="T63" s="73">
        <v>0.0</v>
      </c>
      <c r="U63" s="73">
        <v>1.0</v>
      </c>
      <c r="V63" s="73">
        <v>1.0</v>
      </c>
      <c r="W63" s="73">
        <v>0.0</v>
      </c>
      <c r="X63" s="73">
        <v>0.0</v>
      </c>
      <c r="Y63" s="73">
        <v>0.0</v>
      </c>
      <c r="Z63" s="73">
        <v>1.0</v>
      </c>
      <c r="AA63" s="73">
        <v>1.0</v>
      </c>
      <c r="AB63" s="73">
        <v>0.0</v>
      </c>
      <c r="AC63" s="73">
        <v>1.0</v>
      </c>
      <c r="AD63" s="73">
        <v>0.0</v>
      </c>
      <c r="AE63" s="13">
        <f t="shared" si="16"/>
        <v>12</v>
      </c>
    </row>
    <row r="64" ht="12.75" customHeight="1">
      <c r="A64" s="79"/>
      <c r="B64" s="49"/>
      <c r="C64" s="50" t="s">
        <v>56</v>
      </c>
      <c r="D64" s="51"/>
      <c r="E64" s="80">
        <v>1.0</v>
      </c>
      <c r="F64" s="80">
        <v>1.0</v>
      </c>
      <c r="G64" s="80">
        <v>1.0</v>
      </c>
      <c r="H64" s="80">
        <v>0.0</v>
      </c>
      <c r="I64" s="80">
        <v>0.0</v>
      </c>
      <c r="J64" s="80">
        <v>0.0</v>
      </c>
      <c r="K64" s="80">
        <v>0.0</v>
      </c>
      <c r="L64" s="80">
        <v>1.0</v>
      </c>
      <c r="M64" s="80">
        <v>0.0</v>
      </c>
      <c r="N64" s="80">
        <v>0.0</v>
      </c>
      <c r="O64" s="80">
        <v>0.0</v>
      </c>
      <c r="P64" s="80">
        <v>0.0</v>
      </c>
      <c r="Q64" s="80">
        <v>0.0</v>
      </c>
      <c r="R64" s="80">
        <v>0.0</v>
      </c>
      <c r="S64" s="80">
        <v>0.0</v>
      </c>
      <c r="T64" s="80">
        <v>0.0</v>
      </c>
      <c r="U64" s="80">
        <v>0.0</v>
      </c>
      <c r="V64" s="80">
        <v>0.0</v>
      </c>
      <c r="W64" s="80">
        <v>0.0</v>
      </c>
      <c r="X64" s="80">
        <v>1.0</v>
      </c>
      <c r="Y64" s="80">
        <v>0.0</v>
      </c>
      <c r="Z64" s="80">
        <v>0.0</v>
      </c>
      <c r="AA64" s="80">
        <v>0.0</v>
      </c>
      <c r="AB64" s="80">
        <v>0.0</v>
      </c>
      <c r="AC64" s="80">
        <v>0.0</v>
      </c>
      <c r="AD64" s="80">
        <v>0.0</v>
      </c>
      <c r="AE64" s="13">
        <f t="shared" si="16"/>
        <v>5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0.0</v>
      </c>
      <c r="H65" s="80">
        <v>0.0</v>
      </c>
      <c r="I65" s="80">
        <v>1.0</v>
      </c>
      <c r="J65" s="80">
        <v>0.0</v>
      </c>
      <c r="K65" s="80">
        <v>0.0</v>
      </c>
      <c r="L65" s="80">
        <v>0.0</v>
      </c>
      <c r="M65" s="80">
        <v>0.0</v>
      </c>
      <c r="N65" s="80">
        <v>0.0</v>
      </c>
      <c r="O65" s="80">
        <v>0.0</v>
      </c>
      <c r="P65" s="80">
        <v>0.0</v>
      </c>
      <c r="Q65" s="80">
        <v>0.0</v>
      </c>
      <c r="R65" s="80">
        <v>0.0</v>
      </c>
      <c r="S65" s="80">
        <v>0.0</v>
      </c>
      <c r="T65" s="80">
        <v>0.0</v>
      </c>
      <c r="U65" s="80">
        <v>0.0</v>
      </c>
      <c r="V65" s="80">
        <v>0.0</v>
      </c>
      <c r="W65" s="80">
        <v>0.0</v>
      </c>
      <c r="X65" s="80">
        <v>0.0</v>
      </c>
      <c r="Y65" s="80">
        <v>0.0</v>
      </c>
      <c r="Z65" s="80">
        <v>0.0</v>
      </c>
      <c r="AA65" s="80">
        <v>1.0</v>
      </c>
      <c r="AB65" s="80">
        <v>0.0</v>
      </c>
      <c r="AC65" s="80">
        <v>0.0</v>
      </c>
      <c r="AD65" s="80">
        <v>1.0</v>
      </c>
      <c r="AE65" s="13">
        <f t="shared" si="16"/>
        <v>3</v>
      </c>
    </row>
    <row r="66" ht="12.75" customHeight="1">
      <c r="A66" s="79"/>
      <c r="B66" s="49"/>
      <c r="C66" s="50" t="s">
        <v>58</v>
      </c>
      <c r="D66" s="51"/>
      <c r="E66" s="80">
        <v>1.0</v>
      </c>
      <c r="F66" s="80">
        <v>1.0</v>
      </c>
      <c r="G66" s="80">
        <v>2.0</v>
      </c>
      <c r="H66" s="80">
        <v>4.0</v>
      </c>
      <c r="I66" s="80">
        <v>0.0</v>
      </c>
      <c r="J66" s="80">
        <v>0.0</v>
      </c>
      <c r="K66" s="80">
        <v>1.0</v>
      </c>
      <c r="L66" s="80">
        <v>1.0</v>
      </c>
      <c r="M66" s="80">
        <v>0.0</v>
      </c>
      <c r="N66" s="80">
        <v>1.0</v>
      </c>
      <c r="O66" s="80">
        <v>1.0</v>
      </c>
      <c r="P66" s="80">
        <v>2.0</v>
      </c>
      <c r="Q66" s="80">
        <v>0.0</v>
      </c>
      <c r="R66" s="80">
        <v>1.0</v>
      </c>
      <c r="S66" s="80">
        <v>0.0</v>
      </c>
      <c r="T66" s="80">
        <v>0.0</v>
      </c>
      <c r="U66" s="80">
        <v>1.0</v>
      </c>
      <c r="V66" s="80">
        <v>0.0</v>
      </c>
      <c r="W66" s="80">
        <v>0.0</v>
      </c>
      <c r="X66" s="80">
        <v>0.0</v>
      </c>
      <c r="Y66" s="80">
        <v>0.0</v>
      </c>
      <c r="Z66" s="80">
        <v>0.0</v>
      </c>
      <c r="AA66" s="80">
        <v>0.0</v>
      </c>
      <c r="AB66" s="80">
        <v>0.0</v>
      </c>
      <c r="AC66" s="80">
        <v>0.0</v>
      </c>
      <c r="AD66" s="80">
        <v>1.0</v>
      </c>
      <c r="AE66" s="13">
        <f t="shared" si="16"/>
        <v>17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AE67" si="17">SUM(E57:E66)</f>
        <v>24</v>
      </c>
      <c r="F67" s="13">
        <f t="shared" si="17"/>
        <v>37</v>
      </c>
      <c r="G67" s="13">
        <f t="shared" si="17"/>
        <v>23</v>
      </c>
      <c r="H67" s="13">
        <f t="shared" si="17"/>
        <v>42</v>
      </c>
      <c r="I67" s="13">
        <f t="shared" si="17"/>
        <v>14</v>
      </c>
      <c r="J67" s="13">
        <f t="shared" si="17"/>
        <v>9</v>
      </c>
      <c r="K67" s="13">
        <f t="shared" si="17"/>
        <v>36</v>
      </c>
      <c r="L67" s="13">
        <f t="shared" si="17"/>
        <v>29</v>
      </c>
      <c r="M67" s="13">
        <f t="shared" si="17"/>
        <v>23</v>
      </c>
      <c r="N67" s="13">
        <f t="shared" si="17"/>
        <v>26</v>
      </c>
      <c r="O67" s="13">
        <f t="shared" si="17"/>
        <v>33</v>
      </c>
      <c r="P67" s="13">
        <f t="shared" si="17"/>
        <v>28</v>
      </c>
      <c r="Q67" s="13">
        <f t="shared" si="17"/>
        <v>34</v>
      </c>
      <c r="R67" s="13">
        <f t="shared" si="17"/>
        <v>27</v>
      </c>
      <c r="S67" s="13">
        <f t="shared" si="17"/>
        <v>42</v>
      </c>
      <c r="T67" s="13">
        <f t="shared" si="17"/>
        <v>28</v>
      </c>
      <c r="U67" s="13">
        <f t="shared" si="17"/>
        <v>31</v>
      </c>
      <c r="V67" s="13">
        <f t="shared" si="17"/>
        <v>25</v>
      </c>
      <c r="W67" s="13">
        <f t="shared" si="17"/>
        <v>30</v>
      </c>
      <c r="X67" s="13">
        <f t="shared" si="17"/>
        <v>30</v>
      </c>
      <c r="Y67" s="13">
        <f t="shared" si="17"/>
        <v>30</v>
      </c>
      <c r="Z67" s="13">
        <f t="shared" si="17"/>
        <v>15</v>
      </c>
      <c r="AA67" s="13">
        <f t="shared" si="17"/>
        <v>15</v>
      </c>
      <c r="AB67" s="13">
        <f t="shared" si="17"/>
        <v>40</v>
      </c>
      <c r="AC67" s="13">
        <f t="shared" si="17"/>
        <v>42</v>
      </c>
      <c r="AD67" s="13">
        <f t="shared" si="17"/>
        <v>39</v>
      </c>
      <c r="AE67" s="13">
        <f t="shared" si="17"/>
        <v>752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8.0</v>
      </c>
      <c r="F69" s="73">
        <v>6.0</v>
      </c>
      <c r="G69" s="73">
        <v>11.0</v>
      </c>
      <c r="H69" s="73">
        <v>6.0</v>
      </c>
      <c r="I69" s="73">
        <v>15.0</v>
      </c>
      <c r="J69" s="73">
        <v>8.0</v>
      </c>
      <c r="K69" s="73">
        <v>7.0</v>
      </c>
      <c r="L69" s="73">
        <v>11.0</v>
      </c>
      <c r="M69" s="73">
        <v>8.0</v>
      </c>
      <c r="N69" s="73">
        <v>14.0</v>
      </c>
      <c r="O69" s="73">
        <v>6.0</v>
      </c>
      <c r="P69" s="73">
        <v>3.0</v>
      </c>
      <c r="Q69" s="73">
        <v>14.0</v>
      </c>
      <c r="R69" s="73">
        <v>9.0</v>
      </c>
      <c r="S69" s="73">
        <v>17.0</v>
      </c>
      <c r="T69" s="73">
        <v>4.0</v>
      </c>
      <c r="U69" s="73">
        <v>12.0</v>
      </c>
      <c r="V69" s="73">
        <v>19.0</v>
      </c>
      <c r="W69" s="73">
        <v>9.0</v>
      </c>
      <c r="X69" s="73">
        <v>25.0</v>
      </c>
      <c r="Y69" s="73">
        <v>7.0</v>
      </c>
      <c r="Z69" s="73">
        <v>17.0</v>
      </c>
      <c r="AA69" s="73">
        <v>11.0</v>
      </c>
      <c r="AB69" s="73">
        <v>12.0</v>
      </c>
      <c r="AC69" s="73">
        <v>11.0</v>
      </c>
      <c r="AD69" s="73">
        <v>7.0</v>
      </c>
      <c r="AE69" s="13">
        <f t="shared" ref="AE69:AE78" si="18">SUM(E69:AD69)</f>
        <v>277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5.0</v>
      </c>
      <c r="F70" s="73">
        <v>3.0</v>
      </c>
      <c r="G70" s="73">
        <v>3.0</v>
      </c>
      <c r="H70" s="73">
        <v>2.0</v>
      </c>
      <c r="I70" s="73">
        <v>1.0</v>
      </c>
      <c r="J70" s="73">
        <v>2.0</v>
      </c>
      <c r="K70" s="73">
        <v>3.0</v>
      </c>
      <c r="L70" s="73">
        <v>7.0</v>
      </c>
      <c r="M70" s="73">
        <v>1.0</v>
      </c>
      <c r="N70" s="73">
        <v>4.0</v>
      </c>
      <c r="O70" s="73">
        <v>3.0</v>
      </c>
      <c r="P70" s="73">
        <v>2.0</v>
      </c>
      <c r="Q70" s="73">
        <v>6.0</v>
      </c>
      <c r="R70" s="73">
        <v>2.0</v>
      </c>
      <c r="S70" s="73">
        <v>4.0</v>
      </c>
      <c r="T70" s="73">
        <v>1.0</v>
      </c>
      <c r="U70" s="73">
        <v>2.0</v>
      </c>
      <c r="V70" s="73">
        <v>6.0</v>
      </c>
      <c r="W70" s="73">
        <v>3.0</v>
      </c>
      <c r="X70" s="73">
        <v>0.0</v>
      </c>
      <c r="Y70" s="73">
        <v>8.0</v>
      </c>
      <c r="Z70" s="73">
        <v>5.0</v>
      </c>
      <c r="AA70" s="73">
        <v>8.0</v>
      </c>
      <c r="AB70" s="73">
        <v>7.0</v>
      </c>
      <c r="AC70" s="73">
        <v>8.0</v>
      </c>
      <c r="AD70" s="73">
        <v>4.0</v>
      </c>
      <c r="AE70" s="13">
        <f t="shared" si="18"/>
        <v>100</v>
      </c>
    </row>
    <row r="71" ht="12.75" customHeight="1">
      <c r="A71" s="18"/>
      <c r="B71" s="49"/>
      <c r="C71" s="50" t="s">
        <v>61</v>
      </c>
      <c r="D71" s="51"/>
      <c r="E71" s="73">
        <v>21.0</v>
      </c>
      <c r="F71" s="73">
        <v>14.0</v>
      </c>
      <c r="G71" s="73">
        <v>28.0</v>
      </c>
      <c r="H71" s="73">
        <v>13.0</v>
      </c>
      <c r="I71" s="73">
        <v>8.0</v>
      </c>
      <c r="J71" s="73">
        <v>5.0</v>
      </c>
      <c r="K71" s="73">
        <v>12.0</v>
      </c>
      <c r="L71" s="73">
        <v>14.0</v>
      </c>
      <c r="M71" s="73">
        <v>12.0</v>
      </c>
      <c r="N71" s="73">
        <v>10.0</v>
      </c>
      <c r="O71" s="73">
        <v>15.0</v>
      </c>
      <c r="P71" s="73">
        <v>16.0</v>
      </c>
      <c r="Q71" s="73">
        <v>7.0</v>
      </c>
      <c r="R71" s="73">
        <v>8.0</v>
      </c>
      <c r="S71" s="73">
        <v>13.0</v>
      </c>
      <c r="T71" s="73">
        <v>7.0</v>
      </c>
      <c r="U71" s="73">
        <v>4.0</v>
      </c>
      <c r="V71" s="73">
        <v>20.0</v>
      </c>
      <c r="W71" s="73">
        <v>16.0</v>
      </c>
      <c r="X71" s="73">
        <v>54.0</v>
      </c>
      <c r="Y71" s="73">
        <v>16.0</v>
      </c>
      <c r="Z71" s="73">
        <v>43.0</v>
      </c>
      <c r="AA71" s="73">
        <v>70.0</v>
      </c>
      <c r="AB71" s="73">
        <v>24.0</v>
      </c>
      <c r="AC71" s="73">
        <v>8.0</v>
      </c>
      <c r="AD71" s="73">
        <v>15.0</v>
      </c>
      <c r="AE71" s="13">
        <f t="shared" si="18"/>
        <v>473</v>
      </c>
    </row>
    <row r="72" ht="12.75" customHeight="1">
      <c r="A72" s="18"/>
      <c r="B72" s="49"/>
      <c r="C72" s="50" t="s">
        <v>62</v>
      </c>
      <c r="D72" s="51"/>
      <c r="E72" s="73">
        <v>1.0</v>
      </c>
      <c r="F72" s="73">
        <v>2.0</v>
      </c>
      <c r="G72" s="73">
        <v>6.0</v>
      </c>
      <c r="H72" s="73">
        <v>1.0</v>
      </c>
      <c r="I72" s="73">
        <v>0.0</v>
      </c>
      <c r="J72" s="73">
        <v>1.0</v>
      </c>
      <c r="K72" s="73">
        <v>3.0</v>
      </c>
      <c r="L72" s="73">
        <v>5.0</v>
      </c>
      <c r="M72" s="73">
        <v>4.0</v>
      </c>
      <c r="N72" s="73">
        <v>4.0</v>
      </c>
      <c r="O72" s="73">
        <v>2.0</v>
      </c>
      <c r="P72" s="73">
        <v>2.0</v>
      </c>
      <c r="Q72" s="73">
        <v>1.0</v>
      </c>
      <c r="R72" s="73">
        <v>1.0</v>
      </c>
      <c r="S72" s="73">
        <v>3.0</v>
      </c>
      <c r="T72" s="73">
        <v>0.0</v>
      </c>
      <c r="U72" s="73">
        <v>1.0</v>
      </c>
      <c r="V72" s="73">
        <v>2.0</v>
      </c>
      <c r="W72" s="73">
        <v>0.0</v>
      </c>
      <c r="X72" s="73">
        <v>5.0</v>
      </c>
      <c r="Y72" s="73">
        <v>5.0</v>
      </c>
      <c r="Z72" s="73">
        <v>4.0</v>
      </c>
      <c r="AA72" s="73">
        <v>2.0</v>
      </c>
      <c r="AB72" s="73">
        <v>3.0</v>
      </c>
      <c r="AC72" s="73">
        <v>4.0</v>
      </c>
      <c r="AD72" s="73">
        <v>3.0</v>
      </c>
      <c r="AE72" s="13">
        <f t="shared" si="18"/>
        <v>65</v>
      </c>
    </row>
    <row r="73" ht="12.75" customHeight="1">
      <c r="A73" s="18"/>
      <c r="B73" s="49"/>
      <c r="C73" s="50" t="s">
        <v>63</v>
      </c>
      <c r="D73" s="51"/>
      <c r="E73" s="73">
        <v>2.0</v>
      </c>
      <c r="F73" s="73">
        <v>3.0</v>
      </c>
      <c r="G73" s="73">
        <v>7.0</v>
      </c>
      <c r="H73" s="73">
        <v>2.0</v>
      </c>
      <c r="I73" s="73">
        <v>1.0</v>
      </c>
      <c r="J73" s="73">
        <v>0.0</v>
      </c>
      <c r="K73" s="73">
        <v>4.0</v>
      </c>
      <c r="L73" s="73">
        <v>3.0</v>
      </c>
      <c r="M73" s="73">
        <v>2.0</v>
      </c>
      <c r="N73" s="73">
        <v>4.0</v>
      </c>
      <c r="O73" s="73">
        <v>0.0</v>
      </c>
      <c r="P73" s="73">
        <v>1.0</v>
      </c>
      <c r="Q73" s="73">
        <v>1.0</v>
      </c>
      <c r="R73" s="73">
        <v>0.0</v>
      </c>
      <c r="S73" s="73">
        <v>0.0</v>
      </c>
      <c r="T73" s="73">
        <v>2.0</v>
      </c>
      <c r="U73" s="73">
        <v>1.0</v>
      </c>
      <c r="V73" s="73">
        <v>0.0</v>
      </c>
      <c r="W73" s="73">
        <v>2.0</v>
      </c>
      <c r="X73" s="73">
        <v>2.0</v>
      </c>
      <c r="Y73" s="73">
        <v>0.0</v>
      </c>
      <c r="Z73" s="73">
        <v>2.0</v>
      </c>
      <c r="AA73" s="73">
        <v>2.0</v>
      </c>
      <c r="AB73" s="73">
        <v>2.0</v>
      </c>
      <c r="AC73" s="73">
        <v>0.0</v>
      </c>
      <c r="AD73" s="73">
        <v>3.0</v>
      </c>
      <c r="AE73" s="13">
        <f t="shared" si="18"/>
        <v>46</v>
      </c>
    </row>
    <row r="74" ht="12.75" customHeight="1">
      <c r="A74" s="18"/>
      <c r="B74" s="49"/>
      <c r="C74" s="50" t="s">
        <v>64</v>
      </c>
      <c r="D74" s="51"/>
      <c r="E74" s="73">
        <v>0.0</v>
      </c>
      <c r="F74" s="73">
        <v>4.0</v>
      </c>
      <c r="G74" s="73">
        <v>3.0</v>
      </c>
      <c r="H74" s="73">
        <v>2.0</v>
      </c>
      <c r="I74" s="73">
        <v>0.0</v>
      </c>
      <c r="J74" s="73">
        <v>0.0</v>
      </c>
      <c r="K74" s="73">
        <v>0.0</v>
      </c>
      <c r="L74" s="73">
        <v>0.0</v>
      </c>
      <c r="M74" s="73">
        <v>1.0</v>
      </c>
      <c r="N74" s="73">
        <v>1.0</v>
      </c>
      <c r="O74" s="73">
        <v>0.0</v>
      </c>
      <c r="P74" s="73">
        <v>0.0</v>
      </c>
      <c r="Q74" s="73">
        <v>0.0</v>
      </c>
      <c r="R74" s="73">
        <v>1.0</v>
      </c>
      <c r="S74" s="73">
        <v>0.0</v>
      </c>
      <c r="T74" s="73">
        <v>2.0</v>
      </c>
      <c r="U74" s="73">
        <v>0.0</v>
      </c>
      <c r="V74" s="73">
        <v>1.0</v>
      </c>
      <c r="W74" s="73">
        <v>0.0</v>
      </c>
      <c r="X74" s="73">
        <v>4.0</v>
      </c>
      <c r="Y74" s="73">
        <v>2.0</v>
      </c>
      <c r="Z74" s="73">
        <v>1.0</v>
      </c>
      <c r="AA74" s="73">
        <v>1.0</v>
      </c>
      <c r="AB74" s="73">
        <v>0.0</v>
      </c>
      <c r="AC74" s="73">
        <v>1.0</v>
      </c>
      <c r="AD74" s="73">
        <v>2.0</v>
      </c>
      <c r="AE74" s="13">
        <f t="shared" si="18"/>
        <v>26</v>
      </c>
    </row>
    <row r="75" ht="12.75" customHeight="1">
      <c r="A75" s="18"/>
      <c r="B75" s="49"/>
      <c r="C75" s="50" t="s">
        <v>65</v>
      </c>
      <c r="D75" s="51"/>
      <c r="E75" s="73">
        <v>0.0</v>
      </c>
      <c r="F75" s="73">
        <v>0.0</v>
      </c>
      <c r="G75" s="73">
        <v>1.0</v>
      </c>
      <c r="H75" s="73">
        <v>0.0</v>
      </c>
      <c r="I75" s="73">
        <v>2.0</v>
      </c>
      <c r="J75" s="73">
        <v>0.0</v>
      </c>
      <c r="K75" s="73">
        <v>1.0</v>
      </c>
      <c r="L75" s="73">
        <v>3.0</v>
      </c>
      <c r="M75" s="73">
        <v>0.0</v>
      </c>
      <c r="N75" s="73">
        <v>2.0</v>
      </c>
      <c r="O75" s="73">
        <v>0.0</v>
      </c>
      <c r="P75" s="73">
        <v>0.0</v>
      </c>
      <c r="Q75" s="73">
        <v>0.0</v>
      </c>
      <c r="R75" s="73">
        <v>0.0</v>
      </c>
      <c r="S75" s="73">
        <v>1.0</v>
      </c>
      <c r="T75" s="73">
        <v>1.0</v>
      </c>
      <c r="U75" s="73">
        <v>0.0</v>
      </c>
      <c r="V75" s="73">
        <v>1.0</v>
      </c>
      <c r="W75" s="73">
        <v>1.0</v>
      </c>
      <c r="X75" s="73">
        <v>3.0</v>
      </c>
      <c r="Y75" s="73">
        <v>2.0</v>
      </c>
      <c r="Z75" s="73">
        <v>2.0</v>
      </c>
      <c r="AA75" s="73">
        <v>2.0</v>
      </c>
      <c r="AB75" s="73">
        <v>3.0</v>
      </c>
      <c r="AC75" s="73">
        <v>1.0</v>
      </c>
      <c r="AD75" s="73">
        <v>0.0</v>
      </c>
      <c r="AE75" s="13">
        <f t="shared" si="18"/>
        <v>26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0.0</v>
      </c>
      <c r="G76" s="80">
        <v>0.0</v>
      </c>
      <c r="H76" s="80">
        <v>0.0</v>
      </c>
      <c r="I76" s="80">
        <v>0.0</v>
      </c>
      <c r="J76" s="80">
        <v>0.0</v>
      </c>
      <c r="K76" s="80">
        <v>0.0</v>
      </c>
      <c r="L76" s="80">
        <v>0.0</v>
      </c>
      <c r="M76" s="80">
        <v>0.0</v>
      </c>
      <c r="N76" s="80">
        <v>0.0</v>
      </c>
      <c r="O76" s="80">
        <v>0.0</v>
      </c>
      <c r="P76" s="80">
        <v>0.0</v>
      </c>
      <c r="Q76" s="80">
        <v>0.0</v>
      </c>
      <c r="R76" s="80">
        <v>0.0</v>
      </c>
      <c r="S76" s="80">
        <v>2.0</v>
      </c>
      <c r="T76" s="80">
        <v>1.0</v>
      </c>
      <c r="U76" s="80">
        <v>0.0</v>
      </c>
      <c r="V76" s="80">
        <v>0.0</v>
      </c>
      <c r="W76" s="80">
        <v>0.0</v>
      </c>
      <c r="X76" s="80">
        <v>0.0</v>
      </c>
      <c r="Y76" s="80">
        <v>0.0</v>
      </c>
      <c r="Z76" s="80">
        <v>0.0</v>
      </c>
      <c r="AA76" s="80">
        <v>0.0</v>
      </c>
      <c r="AB76" s="80">
        <v>0.0</v>
      </c>
      <c r="AC76" s="80">
        <v>0.0</v>
      </c>
      <c r="AD76" s="80">
        <v>0.0</v>
      </c>
      <c r="AE76" s="13">
        <f t="shared" si="18"/>
        <v>3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0.0</v>
      </c>
      <c r="G77" s="80">
        <v>0.0</v>
      </c>
      <c r="H77" s="80">
        <v>1.0</v>
      </c>
      <c r="I77" s="80">
        <v>0.0</v>
      </c>
      <c r="J77" s="80">
        <v>1.0</v>
      </c>
      <c r="K77" s="80">
        <v>0.0</v>
      </c>
      <c r="L77" s="80">
        <v>1.0</v>
      </c>
      <c r="M77" s="80">
        <v>0.0</v>
      </c>
      <c r="N77" s="80">
        <v>0.0</v>
      </c>
      <c r="O77" s="80">
        <v>1.0</v>
      </c>
      <c r="P77" s="80">
        <v>0.0</v>
      </c>
      <c r="Q77" s="80">
        <v>0.0</v>
      </c>
      <c r="R77" s="80">
        <v>0.0</v>
      </c>
      <c r="S77" s="80">
        <v>1.0</v>
      </c>
      <c r="T77" s="80">
        <v>0.0</v>
      </c>
      <c r="U77" s="80">
        <v>0.0</v>
      </c>
      <c r="V77" s="80">
        <v>1.0</v>
      </c>
      <c r="W77" s="80">
        <v>1.0</v>
      </c>
      <c r="X77" s="80">
        <v>0.0</v>
      </c>
      <c r="Y77" s="80">
        <v>0.0</v>
      </c>
      <c r="Z77" s="80">
        <v>0.0</v>
      </c>
      <c r="AA77" s="80">
        <v>1.0</v>
      </c>
      <c r="AB77" s="80">
        <v>0.0</v>
      </c>
      <c r="AC77" s="80">
        <v>0.0</v>
      </c>
      <c r="AD77" s="80">
        <v>0.0</v>
      </c>
      <c r="AE77" s="13">
        <f t="shared" si="18"/>
        <v>8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0.0</v>
      </c>
      <c r="G78" s="80">
        <v>1.0</v>
      </c>
      <c r="H78" s="80">
        <v>0.0</v>
      </c>
      <c r="I78" s="80">
        <v>1.0</v>
      </c>
      <c r="J78" s="80">
        <v>0.0</v>
      </c>
      <c r="K78" s="80">
        <v>0.0</v>
      </c>
      <c r="L78" s="80">
        <v>0.0</v>
      </c>
      <c r="M78" s="80">
        <v>0.0</v>
      </c>
      <c r="N78" s="80">
        <v>1.0</v>
      </c>
      <c r="O78" s="80">
        <v>0.0</v>
      </c>
      <c r="P78" s="80">
        <v>1.0</v>
      </c>
      <c r="Q78" s="80">
        <v>0.0</v>
      </c>
      <c r="R78" s="80">
        <v>0.0</v>
      </c>
      <c r="S78" s="80">
        <v>1.0</v>
      </c>
      <c r="T78" s="80">
        <v>0.0</v>
      </c>
      <c r="U78" s="80">
        <v>0.0</v>
      </c>
      <c r="V78" s="80">
        <v>1.0</v>
      </c>
      <c r="W78" s="80">
        <v>0.0</v>
      </c>
      <c r="X78" s="80">
        <v>0.0</v>
      </c>
      <c r="Y78" s="80">
        <v>0.0</v>
      </c>
      <c r="Z78" s="80">
        <v>0.0</v>
      </c>
      <c r="AA78" s="80">
        <v>2.0</v>
      </c>
      <c r="AB78" s="80">
        <v>0.0</v>
      </c>
      <c r="AC78" s="80">
        <v>1.0</v>
      </c>
      <c r="AD78" s="80">
        <v>1.0</v>
      </c>
      <c r="AE78" s="13">
        <f t="shared" si="18"/>
        <v>10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AE79" si="19">SUM(E69:E78)</f>
        <v>37</v>
      </c>
      <c r="F79" s="13">
        <f t="shared" si="19"/>
        <v>32</v>
      </c>
      <c r="G79" s="13">
        <f t="shared" si="19"/>
        <v>60</v>
      </c>
      <c r="H79" s="13">
        <f t="shared" si="19"/>
        <v>27</v>
      </c>
      <c r="I79" s="13">
        <f t="shared" si="19"/>
        <v>28</v>
      </c>
      <c r="J79" s="13">
        <f t="shared" si="19"/>
        <v>17</v>
      </c>
      <c r="K79" s="13">
        <f t="shared" si="19"/>
        <v>30</v>
      </c>
      <c r="L79" s="13">
        <f t="shared" si="19"/>
        <v>44</v>
      </c>
      <c r="M79" s="13">
        <f t="shared" si="19"/>
        <v>28</v>
      </c>
      <c r="N79" s="13">
        <f t="shared" si="19"/>
        <v>40</v>
      </c>
      <c r="O79" s="13">
        <f t="shared" si="19"/>
        <v>27</v>
      </c>
      <c r="P79" s="13">
        <f t="shared" si="19"/>
        <v>25</v>
      </c>
      <c r="Q79" s="13">
        <f t="shared" si="19"/>
        <v>29</v>
      </c>
      <c r="R79" s="13">
        <f t="shared" si="19"/>
        <v>21</v>
      </c>
      <c r="S79" s="13">
        <f t="shared" si="19"/>
        <v>42</v>
      </c>
      <c r="T79" s="13">
        <f t="shared" si="19"/>
        <v>18</v>
      </c>
      <c r="U79" s="13">
        <f t="shared" si="19"/>
        <v>20</v>
      </c>
      <c r="V79" s="13">
        <f t="shared" si="19"/>
        <v>51</v>
      </c>
      <c r="W79" s="13">
        <f t="shared" si="19"/>
        <v>32</v>
      </c>
      <c r="X79" s="13">
        <f t="shared" si="19"/>
        <v>93</v>
      </c>
      <c r="Y79" s="13">
        <f t="shared" si="19"/>
        <v>40</v>
      </c>
      <c r="Z79" s="13">
        <f t="shared" si="19"/>
        <v>74</v>
      </c>
      <c r="AA79" s="13">
        <f t="shared" si="19"/>
        <v>99</v>
      </c>
      <c r="AB79" s="13">
        <f t="shared" si="19"/>
        <v>51</v>
      </c>
      <c r="AC79" s="13">
        <f t="shared" si="19"/>
        <v>34</v>
      </c>
      <c r="AD79" s="13">
        <f t="shared" si="19"/>
        <v>35</v>
      </c>
      <c r="AE79" s="13">
        <f t="shared" si="19"/>
        <v>1034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3.0</v>
      </c>
      <c r="F81" s="73">
        <v>5.0</v>
      </c>
      <c r="G81" s="73">
        <v>2.0</v>
      </c>
      <c r="H81" s="73">
        <v>4.0</v>
      </c>
      <c r="I81" s="73">
        <v>3.0</v>
      </c>
      <c r="J81" s="73">
        <v>7.0</v>
      </c>
      <c r="K81" s="73">
        <v>13.0</v>
      </c>
      <c r="L81" s="73">
        <v>7.0</v>
      </c>
      <c r="M81" s="73">
        <v>3.0</v>
      </c>
      <c r="N81" s="73">
        <v>0.0</v>
      </c>
      <c r="O81" s="73">
        <v>1.0</v>
      </c>
      <c r="P81" s="73">
        <v>2.0</v>
      </c>
      <c r="Q81" s="73">
        <v>4.0</v>
      </c>
      <c r="R81" s="73">
        <v>5.0</v>
      </c>
      <c r="S81" s="73">
        <v>3.0</v>
      </c>
      <c r="T81" s="73">
        <v>1.0</v>
      </c>
      <c r="U81" s="73">
        <v>1.0</v>
      </c>
      <c r="V81" s="73">
        <v>0.0</v>
      </c>
      <c r="W81" s="73">
        <v>0.0</v>
      </c>
      <c r="X81" s="73">
        <v>1.0</v>
      </c>
      <c r="Y81" s="73">
        <v>3.0</v>
      </c>
      <c r="Z81" s="73">
        <v>5.0</v>
      </c>
      <c r="AA81" s="73">
        <v>2.0</v>
      </c>
      <c r="AB81" s="73">
        <v>5.0</v>
      </c>
      <c r="AC81" s="73">
        <v>3.0</v>
      </c>
      <c r="AD81" s="73">
        <v>1.0</v>
      </c>
      <c r="AE81" s="13">
        <f t="shared" ref="AE81:AE90" si="20">SUM(E81:AD81)</f>
        <v>84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3.0</v>
      </c>
      <c r="F82" s="73">
        <v>4.0</v>
      </c>
      <c r="G82" s="73">
        <v>4.0</v>
      </c>
      <c r="H82" s="73">
        <v>6.0</v>
      </c>
      <c r="I82" s="73">
        <v>0.0</v>
      </c>
      <c r="J82" s="73">
        <v>0.0</v>
      </c>
      <c r="K82" s="73">
        <v>7.0</v>
      </c>
      <c r="L82" s="73">
        <v>6.0</v>
      </c>
      <c r="M82" s="73">
        <v>4.0</v>
      </c>
      <c r="N82" s="73">
        <v>0.0</v>
      </c>
      <c r="O82" s="73">
        <v>1.0</v>
      </c>
      <c r="P82" s="73">
        <v>2.0</v>
      </c>
      <c r="Q82" s="73">
        <v>5.0</v>
      </c>
      <c r="R82" s="73">
        <v>3.0</v>
      </c>
      <c r="S82" s="73">
        <v>8.0</v>
      </c>
      <c r="T82" s="73">
        <v>1.0</v>
      </c>
      <c r="U82" s="73">
        <v>1.0</v>
      </c>
      <c r="V82" s="73">
        <v>0.0</v>
      </c>
      <c r="W82" s="73">
        <v>0.0</v>
      </c>
      <c r="X82" s="73">
        <v>5.0</v>
      </c>
      <c r="Y82" s="73">
        <v>3.0</v>
      </c>
      <c r="Z82" s="73">
        <v>1.0</v>
      </c>
      <c r="AA82" s="73">
        <v>1.0</v>
      </c>
      <c r="AB82" s="73">
        <v>3.0</v>
      </c>
      <c r="AC82" s="73">
        <v>4.0</v>
      </c>
      <c r="AD82" s="73">
        <v>3.0</v>
      </c>
      <c r="AE82" s="13">
        <f t="shared" si="20"/>
        <v>75</v>
      </c>
    </row>
    <row r="83" ht="12.75" customHeight="1">
      <c r="A83" s="18"/>
      <c r="B83" s="49"/>
      <c r="C83" s="50" t="s">
        <v>71</v>
      </c>
      <c r="D83" s="51"/>
      <c r="E83" s="73">
        <v>2.0</v>
      </c>
      <c r="F83" s="73">
        <v>0.0</v>
      </c>
      <c r="G83" s="73">
        <v>0.0</v>
      </c>
      <c r="H83" s="73">
        <v>3.0</v>
      </c>
      <c r="I83" s="73">
        <v>1.0</v>
      </c>
      <c r="J83" s="73">
        <v>1.0</v>
      </c>
      <c r="K83" s="73">
        <v>0.0</v>
      </c>
      <c r="L83" s="73">
        <v>3.0</v>
      </c>
      <c r="M83" s="73">
        <v>1.0</v>
      </c>
      <c r="N83" s="73">
        <v>0.0</v>
      </c>
      <c r="O83" s="73">
        <v>2.0</v>
      </c>
      <c r="P83" s="73">
        <v>1.0</v>
      </c>
      <c r="Q83" s="73">
        <v>1.0</v>
      </c>
      <c r="R83" s="73">
        <v>2.0</v>
      </c>
      <c r="S83" s="73">
        <v>2.0</v>
      </c>
      <c r="T83" s="73">
        <v>2.0</v>
      </c>
      <c r="U83" s="73">
        <v>0.0</v>
      </c>
      <c r="V83" s="73">
        <v>1.0</v>
      </c>
      <c r="W83" s="73">
        <v>1.0</v>
      </c>
      <c r="X83" s="73">
        <v>4.0</v>
      </c>
      <c r="Y83" s="73">
        <v>1.0</v>
      </c>
      <c r="Z83" s="73">
        <v>1.0</v>
      </c>
      <c r="AA83" s="73">
        <v>1.0</v>
      </c>
      <c r="AB83" s="73">
        <v>0.0</v>
      </c>
      <c r="AC83" s="73">
        <v>1.0</v>
      </c>
      <c r="AD83" s="73">
        <v>2.0</v>
      </c>
      <c r="AE83" s="13">
        <f t="shared" si="20"/>
        <v>33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1.0</v>
      </c>
      <c r="G84" s="73">
        <v>0.0</v>
      </c>
      <c r="H84" s="73">
        <v>0.0</v>
      </c>
      <c r="I84" s="73">
        <v>0.0</v>
      </c>
      <c r="J84" s="73">
        <v>0.0</v>
      </c>
      <c r="K84" s="73">
        <v>1.0</v>
      </c>
      <c r="L84" s="73">
        <v>3.0</v>
      </c>
      <c r="M84" s="73">
        <v>2.0</v>
      </c>
      <c r="N84" s="73">
        <v>1.0</v>
      </c>
      <c r="O84" s="73">
        <v>0.0</v>
      </c>
      <c r="P84" s="73">
        <v>0.0</v>
      </c>
      <c r="Q84" s="73">
        <v>4.0</v>
      </c>
      <c r="R84" s="73">
        <v>1.0</v>
      </c>
      <c r="S84" s="73">
        <v>2.0</v>
      </c>
      <c r="T84" s="73">
        <v>1.0</v>
      </c>
      <c r="U84" s="73">
        <v>0.0</v>
      </c>
      <c r="V84" s="73">
        <v>0.0</v>
      </c>
      <c r="W84" s="73">
        <v>1.0</v>
      </c>
      <c r="X84" s="73">
        <v>0.0</v>
      </c>
      <c r="Y84" s="73">
        <v>0.0</v>
      </c>
      <c r="Z84" s="73">
        <v>1.0</v>
      </c>
      <c r="AA84" s="73">
        <v>0.0</v>
      </c>
      <c r="AB84" s="73">
        <v>0.0</v>
      </c>
      <c r="AC84" s="73">
        <v>0.0</v>
      </c>
      <c r="AD84" s="73">
        <v>0.0</v>
      </c>
      <c r="AE84" s="13">
        <f t="shared" si="20"/>
        <v>18</v>
      </c>
    </row>
    <row r="85" ht="12.75" customHeight="1">
      <c r="A85" s="18"/>
      <c r="B85" s="49"/>
      <c r="C85" s="50" t="s">
        <v>73</v>
      </c>
      <c r="D85" s="51"/>
      <c r="E85" s="73">
        <v>1.0</v>
      </c>
      <c r="F85" s="73">
        <v>5.0</v>
      </c>
      <c r="G85" s="73">
        <v>0.0</v>
      </c>
      <c r="H85" s="73">
        <v>2.0</v>
      </c>
      <c r="I85" s="73">
        <v>0.0</v>
      </c>
      <c r="J85" s="73">
        <v>0.0</v>
      </c>
      <c r="K85" s="73">
        <v>0.0</v>
      </c>
      <c r="L85" s="73">
        <v>2.0</v>
      </c>
      <c r="M85" s="73">
        <v>4.0</v>
      </c>
      <c r="N85" s="73">
        <v>2.0</v>
      </c>
      <c r="O85" s="73">
        <v>1.0</v>
      </c>
      <c r="P85" s="73">
        <v>3.0</v>
      </c>
      <c r="Q85" s="73">
        <v>2.0</v>
      </c>
      <c r="R85" s="73">
        <v>3.0</v>
      </c>
      <c r="S85" s="73">
        <v>4.0</v>
      </c>
      <c r="T85" s="73">
        <v>0.0</v>
      </c>
      <c r="U85" s="73">
        <v>2.0</v>
      </c>
      <c r="V85" s="73">
        <v>1.0</v>
      </c>
      <c r="W85" s="73">
        <v>0.0</v>
      </c>
      <c r="X85" s="73">
        <v>3.0</v>
      </c>
      <c r="Y85" s="73">
        <v>1.0</v>
      </c>
      <c r="Z85" s="73">
        <v>1.0</v>
      </c>
      <c r="AA85" s="73">
        <v>1.0</v>
      </c>
      <c r="AB85" s="73">
        <v>1.0</v>
      </c>
      <c r="AC85" s="73">
        <v>4.0</v>
      </c>
      <c r="AD85" s="73">
        <v>0.0</v>
      </c>
      <c r="AE85" s="13">
        <f t="shared" si="20"/>
        <v>43</v>
      </c>
    </row>
    <row r="86" ht="12.75" customHeight="1">
      <c r="A86" s="18"/>
      <c r="B86" s="49"/>
      <c r="C86" s="50" t="s">
        <v>74</v>
      </c>
      <c r="D86" s="51"/>
      <c r="E86" s="73">
        <v>1.0</v>
      </c>
      <c r="F86" s="73">
        <v>2.0</v>
      </c>
      <c r="G86" s="73">
        <v>2.0</v>
      </c>
      <c r="H86" s="73">
        <v>1.0</v>
      </c>
      <c r="I86" s="73">
        <v>0.0</v>
      </c>
      <c r="J86" s="73">
        <v>0.0</v>
      </c>
      <c r="K86" s="73">
        <v>0.0</v>
      </c>
      <c r="L86" s="73">
        <v>1.0</v>
      </c>
      <c r="M86" s="73">
        <v>1.0</v>
      </c>
      <c r="N86" s="73">
        <v>0.0</v>
      </c>
      <c r="O86" s="73">
        <v>0.0</v>
      </c>
      <c r="P86" s="73">
        <v>0.0</v>
      </c>
      <c r="Q86" s="73">
        <v>0.0</v>
      </c>
      <c r="R86" s="73">
        <v>2.0</v>
      </c>
      <c r="S86" s="73">
        <v>0.0</v>
      </c>
      <c r="T86" s="73">
        <v>0.0</v>
      </c>
      <c r="U86" s="73">
        <v>12.0</v>
      </c>
      <c r="V86" s="73">
        <v>0.0</v>
      </c>
      <c r="W86" s="73">
        <v>0.0</v>
      </c>
      <c r="X86" s="73">
        <v>0.0</v>
      </c>
      <c r="Y86" s="73">
        <v>0.0</v>
      </c>
      <c r="Z86" s="73">
        <v>1.0</v>
      </c>
      <c r="AA86" s="73">
        <v>0.0</v>
      </c>
      <c r="AB86" s="73">
        <v>0.0</v>
      </c>
      <c r="AC86" s="73">
        <v>0.0</v>
      </c>
      <c r="AD86" s="73">
        <v>0.0</v>
      </c>
      <c r="AE86" s="13">
        <f t="shared" si="20"/>
        <v>23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1.0</v>
      </c>
      <c r="J87" s="73">
        <v>1.0</v>
      </c>
      <c r="K87" s="73">
        <v>2.0</v>
      </c>
      <c r="L87" s="73">
        <v>1.0</v>
      </c>
      <c r="M87" s="73">
        <v>0.0</v>
      </c>
      <c r="N87" s="73">
        <v>1.0</v>
      </c>
      <c r="O87" s="73">
        <v>0.0</v>
      </c>
      <c r="P87" s="73">
        <v>0.0</v>
      </c>
      <c r="Q87" s="73">
        <v>0.0</v>
      </c>
      <c r="R87" s="73">
        <v>0.0</v>
      </c>
      <c r="S87" s="73">
        <v>1.0</v>
      </c>
      <c r="T87" s="73">
        <v>1.0</v>
      </c>
      <c r="U87" s="73">
        <v>0.0</v>
      </c>
      <c r="V87" s="73">
        <v>0.0</v>
      </c>
      <c r="W87" s="73">
        <v>0.0</v>
      </c>
      <c r="X87" s="73">
        <v>0.0</v>
      </c>
      <c r="Y87" s="73">
        <v>2.0</v>
      </c>
      <c r="Z87" s="73">
        <v>1.0</v>
      </c>
      <c r="AA87" s="73">
        <v>0.0</v>
      </c>
      <c r="AB87" s="73">
        <v>0.0</v>
      </c>
      <c r="AC87" s="73">
        <v>0.0</v>
      </c>
      <c r="AD87" s="73">
        <v>1.0</v>
      </c>
      <c r="AE87" s="13">
        <f t="shared" si="20"/>
        <v>12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1.0</v>
      </c>
      <c r="K88" s="80">
        <v>0.0</v>
      </c>
      <c r="L88" s="80">
        <v>0.0</v>
      </c>
      <c r="M88" s="80">
        <v>2.0</v>
      </c>
      <c r="N88" s="80">
        <v>0.0</v>
      </c>
      <c r="O88" s="80">
        <v>0.0</v>
      </c>
      <c r="P88" s="80">
        <v>0.0</v>
      </c>
      <c r="Q88" s="80">
        <v>0.0</v>
      </c>
      <c r="R88" s="80">
        <v>0.0</v>
      </c>
      <c r="S88" s="80">
        <v>0.0</v>
      </c>
      <c r="T88" s="80">
        <v>0.0</v>
      </c>
      <c r="U88" s="80">
        <v>0.0</v>
      </c>
      <c r="V88" s="80">
        <v>0.0</v>
      </c>
      <c r="W88" s="80">
        <v>0.0</v>
      </c>
      <c r="X88" s="80">
        <v>1.0</v>
      </c>
      <c r="Y88" s="80">
        <v>0.0</v>
      </c>
      <c r="Z88" s="80">
        <v>0.0</v>
      </c>
      <c r="AA88" s="80">
        <v>0.0</v>
      </c>
      <c r="AB88" s="80">
        <v>0.0</v>
      </c>
      <c r="AC88" s="80">
        <v>0.0</v>
      </c>
      <c r="AD88" s="80">
        <v>0.0</v>
      </c>
      <c r="AE88" s="13">
        <f t="shared" si="20"/>
        <v>4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0.0</v>
      </c>
      <c r="N89" s="80">
        <v>0.0</v>
      </c>
      <c r="O89" s="80">
        <v>0.0</v>
      </c>
      <c r="P89" s="80">
        <v>0.0</v>
      </c>
      <c r="Q89" s="80">
        <v>0.0</v>
      </c>
      <c r="R89" s="80">
        <v>0.0</v>
      </c>
      <c r="S89" s="80">
        <v>0.0</v>
      </c>
      <c r="T89" s="80">
        <v>0.0</v>
      </c>
      <c r="U89" s="80">
        <v>0.0</v>
      </c>
      <c r="V89" s="80">
        <v>0.0</v>
      </c>
      <c r="W89" s="80">
        <v>0.0</v>
      </c>
      <c r="X89" s="80">
        <v>0.0</v>
      </c>
      <c r="Y89" s="80">
        <v>0.0</v>
      </c>
      <c r="Z89" s="80">
        <v>1.0</v>
      </c>
      <c r="AA89" s="80">
        <v>0.0</v>
      </c>
      <c r="AB89" s="80">
        <v>0.0</v>
      </c>
      <c r="AC89" s="80">
        <v>0.0</v>
      </c>
      <c r="AD89" s="80">
        <v>0.0</v>
      </c>
      <c r="AE89" s="13">
        <f t="shared" si="20"/>
        <v>1</v>
      </c>
    </row>
    <row r="90" ht="12.75" customHeight="1">
      <c r="A90" s="79"/>
      <c r="B90" s="49"/>
      <c r="C90" s="50" t="s">
        <v>78</v>
      </c>
      <c r="D90" s="51"/>
      <c r="E90" s="80">
        <v>0.0</v>
      </c>
      <c r="F90" s="80">
        <v>0.0</v>
      </c>
      <c r="G90" s="80">
        <v>0.0</v>
      </c>
      <c r="H90" s="80">
        <v>0.0</v>
      </c>
      <c r="I90" s="80">
        <v>0.0</v>
      </c>
      <c r="J90" s="80">
        <v>0.0</v>
      </c>
      <c r="K90" s="80">
        <v>0.0</v>
      </c>
      <c r="L90" s="80">
        <v>2.0</v>
      </c>
      <c r="M90" s="80">
        <v>0.0</v>
      </c>
      <c r="N90" s="80">
        <v>0.0</v>
      </c>
      <c r="O90" s="80">
        <v>0.0</v>
      </c>
      <c r="P90" s="80">
        <v>1.0</v>
      </c>
      <c r="Q90" s="80">
        <v>0.0</v>
      </c>
      <c r="R90" s="80">
        <v>0.0</v>
      </c>
      <c r="S90" s="80">
        <v>0.0</v>
      </c>
      <c r="T90" s="80">
        <v>1.0</v>
      </c>
      <c r="U90" s="80">
        <v>0.0</v>
      </c>
      <c r="V90" s="80">
        <v>0.0</v>
      </c>
      <c r="W90" s="80">
        <v>0.0</v>
      </c>
      <c r="X90" s="80">
        <v>0.0</v>
      </c>
      <c r="Y90" s="80">
        <v>0.0</v>
      </c>
      <c r="Z90" s="80">
        <v>0.0</v>
      </c>
      <c r="AA90" s="80">
        <v>0.0</v>
      </c>
      <c r="AB90" s="80">
        <v>0.0</v>
      </c>
      <c r="AC90" s="80">
        <v>0.0</v>
      </c>
      <c r="AD90" s="80">
        <v>0.0</v>
      </c>
      <c r="AE90" s="13">
        <f t="shared" si="20"/>
        <v>4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AE91" si="21">SUM(E81:E90)</f>
        <v>10</v>
      </c>
      <c r="F91" s="13">
        <f t="shared" si="21"/>
        <v>17</v>
      </c>
      <c r="G91" s="13">
        <f t="shared" si="21"/>
        <v>8</v>
      </c>
      <c r="H91" s="13">
        <f t="shared" si="21"/>
        <v>16</v>
      </c>
      <c r="I91" s="13">
        <f t="shared" si="21"/>
        <v>5</v>
      </c>
      <c r="J91" s="13">
        <f t="shared" si="21"/>
        <v>10</v>
      </c>
      <c r="K91" s="13">
        <f t="shared" si="21"/>
        <v>23</v>
      </c>
      <c r="L91" s="13">
        <f t="shared" si="21"/>
        <v>25</v>
      </c>
      <c r="M91" s="13">
        <f t="shared" si="21"/>
        <v>17</v>
      </c>
      <c r="N91" s="13">
        <f t="shared" si="21"/>
        <v>4</v>
      </c>
      <c r="O91" s="13">
        <f t="shared" si="21"/>
        <v>5</v>
      </c>
      <c r="P91" s="13">
        <f t="shared" si="21"/>
        <v>9</v>
      </c>
      <c r="Q91" s="13">
        <f t="shared" si="21"/>
        <v>16</v>
      </c>
      <c r="R91" s="13">
        <f t="shared" si="21"/>
        <v>16</v>
      </c>
      <c r="S91" s="13">
        <f t="shared" si="21"/>
        <v>20</v>
      </c>
      <c r="T91" s="13">
        <f t="shared" si="21"/>
        <v>7</v>
      </c>
      <c r="U91" s="13">
        <f t="shared" si="21"/>
        <v>16</v>
      </c>
      <c r="V91" s="13">
        <f t="shared" si="21"/>
        <v>2</v>
      </c>
      <c r="W91" s="13">
        <f t="shared" si="21"/>
        <v>2</v>
      </c>
      <c r="X91" s="13">
        <f t="shared" si="21"/>
        <v>14</v>
      </c>
      <c r="Y91" s="13">
        <f t="shared" si="21"/>
        <v>10</v>
      </c>
      <c r="Z91" s="13">
        <f t="shared" si="21"/>
        <v>12</v>
      </c>
      <c r="AA91" s="13">
        <f t="shared" si="21"/>
        <v>5</v>
      </c>
      <c r="AB91" s="13">
        <f t="shared" si="21"/>
        <v>9</v>
      </c>
      <c r="AC91" s="13">
        <f t="shared" si="21"/>
        <v>12</v>
      </c>
      <c r="AD91" s="13">
        <f t="shared" si="21"/>
        <v>7</v>
      </c>
      <c r="AE91" s="13">
        <f t="shared" si="21"/>
        <v>297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2.0</v>
      </c>
      <c r="F93" s="73">
        <v>1.0</v>
      </c>
      <c r="G93" s="73">
        <v>2.0</v>
      </c>
      <c r="H93" s="73">
        <v>1.0</v>
      </c>
      <c r="I93" s="73">
        <v>1.0</v>
      </c>
      <c r="J93" s="73">
        <v>2.0</v>
      </c>
      <c r="K93" s="73">
        <v>8.0</v>
      </c>
      <c r="L93" s="73">
        <v>0.0</v>
      </c>
      <c r="M93" s="73">
        <v>0.0</v>
      </c>
      <c r="N93" s="73">
        <v>2.0</v>
      </c>
      <c r="O93" s="73">
        <v>4.0</v>
      </c>
      <c r="P93" s="73">
        <v>2.0</v>
      </c>
      <c r="Q93" s="73">
        <v>0.0</v>
      </c>
      <c r="R93" s="73">
        <v>1.0</v>
      </c>
      <c r="S93" s="73">
        <v>0.0</v>
      </c>
      <c r="T93" s="73">
        <v>1.0</v>
      </c>
      <c r="U93" s="73">
        <v>3.0</v>
      </c>
      <c r="V93" s="73">
        <v>3.0</v>
      </c>
      <c r="W93" s="73">
        <v>0.0</v>
      </c>
      <c r="X93" s="73">
        <v>0.0</v>
      </c>
      <c r="Y93" s="73">
        <v>0.0</v>
      </c>
      <c r="Z93" s="73">
        <v>2.0</v>
      </c>
      <c r="AA93" s="73">
        <v>0.0</v>
      </c>
      <c r="AB93" s="73">
        <v>0.0</v>
      </c>
      <c r="AC93" s="73">
        <v>3.0</v>
      </c>
      <c r="AD93" s="73">
        <v>0.0</v>
      </c>
      <c r="AE93" s="13">
        <f t="shared" ref="AE93:AE102" si="22">SUM(E93:AD93)</f>
        <v>38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4.0</v>
      </c>
      <c r="F94" s="73">
        <v>2.0</v>
      </c>
      <c r="G94" s="73">
        <v>1.0</v>
      </c>
      <c r="H94" s="73">
        <v>0.0</v>
      </c>
      <c r="I94" s="73">
        <v>0.0</v>
      </c>
      <c r="J94" s="73">
        <v>2.0</v>
      </c>
      <c r="K94" s="73">
        <v>4.0</v>
      </c>
      <c r="L94" s="73">
        <v>1.0</v>
      </c>
      <c r="M94" s="73">
        <v>1.0</v>
      </c>
      <c r="N94" s="73">
        <v>1.0</v>
      </c>
      <c r="O94" s="73">
        <v>0.0</v>
      </c>
      <c r="P94" s="73">
        <v>1.0</v>
      </c>
      <c r="Q94" s="73">
        <v>1.0</v>
      </c>
      <c r="R94" s="73">
        <v>0.0</v>
      </c>
      <c r="S94" s="73">
        <v>0.0</v>
      </c>
      <c r="T94" s="73">
        <v>1.0</v>
      </c>
      <c r="U94" s="73">
        <v>3.0</v>
      </c>
      <c r="V94" s="73">
        <v>1.0</v>
      </c>
      <c r="W94" s="73">
        <v>1.0</v>
      </c>
      <c r="X94" s="73">
        <v>1.0</v>
      </c>
      <c r="Y94" s="73">
        <v>1.0</v>
      </c>
      <c r="Z94" s="73">
        <v>3.0</v>
      </c>
      <c r="AA94" s="73">
        <v>2.0</v>
      </c>
      <c r="AB94" s="73">
        <v>1.0</v>
      </c>
      <c r="AC94" s="73">
        <v>0.0</v>
      </c>
      <c r="AD94" s="73">
        <v>5.0</v>
      </c>
      <c r="AE94" s="13">
        <f t="shared" si="22"/>
        <v>37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1.0</v>
      </c>
      <c r="G95" s="73">
        <v>0.0</v>
      </c>
      <c r="H95" s="73">
        <v>1.0</v>
      </c>
      <c r="I95" s="73">
        <v>0.0</v>
      </c>
      <c r="J95" s="73">
        <v>0.0</v>
      </c>
      <c r="K95" s="73">
        <v>1.0</v>
      </c>
      <c r="L95" s="73">
        <v>0.0</v>
      </c>
      <c r="M95" s="73">
        <v>0.0</v>
      </c>
      <c r="N95" s="73">
        <v>0.0</v>
      </c>
      <c r="O95" s="73">
        <v>0.0</v>
      </c>
      <c r="P95" s="73">
        <v>0.0</v>
      </c>
      <c r="Q95" s="73">
        <v>0.0</v>
      </c>
      <c r="R95" s="73">
        <v>0.0</v>
      </c>
      <c r="S95" s="73">
        <v>1.0</v>
      </c>
      <c r="T95" s="73">
        <v>0.0</v>
      </c>
      <c r="U95" s="73">
        <v>0.0</v>
      </c>
      <c r="V95" s="73">
        <v>1.0</v>
      </c>
      <c r="W95" s="73">
        <v>0.0</v>
      </c>
      <c r="X95" s="73">
        <v>1.0</v>
      </c>
      <c r="Y95" s="73">
        <v>0.0</v>
      </c>
      <c r="Z95" s="73">
        <v>0.0</v>
      </c>
      <c r="AA95" s="73">
        <v>0.0</v>
      </c>
      <c r="AB95" s="73">
        <v>0.0</v>
      </c>
      <c r="AC95" s="73">
        <v>0.0</v>
      </c>
      <c r="AD95" s="73">
        <v>0.0</v>
      </c>
      <c r="AE95" s="13">
        <f t="shared" si="22"/>
        <v>6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1.0</v>
      </c>
      <c r="Q96" s="73">
        <v>0.0</v>
      </c>
      <c r="R96" s="73">
        <v>0.0</v>
      </c>
      <c r="S96" s="73">
        <v>0.0</v>
      </c>
      <c r="T96" s="73">
        <v>0.0</v>
      </c>
      <c r="U96" s="73">
        <v>1.0</v>
      </c>
      <c r="V96" s="73">
        <v>0.0</v>
      </c>
      <c r="W96" s="73">
        <v>1.0</v>
      </c>
      <c r="X96" s="73">
        <v>1.0</v>
      </c>
      <c r="Y96" s="73">
        <v>0.0</v>
      </c>
      <c r="Z96" s="73">
        <v>0.0</v>
      </c>
      <c r="AA96" s="73">
        <v>0.0</v>
      </c>
      <c r="AB96" s="73">
        <v>0.0</v>
      </c>
      <c r="AC96" s="73">
        <v>0.0</v>
      </c>
      <c r="AD96" s="73">
        <v>0.0</v>
      </c>
      <c r="AE96" s="13">
        <f t="shared" si="22"/>
        <v>4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1.0</v>
      </c>
      <c r="K97" s="73">
        <v>1.0</v>
      </c>
      <c r="L97" s="73">
        <v>1.0</v>
      </c>
      <c r="M97" s="73">
        <v>0.0</v>
      </c>
      <c r="N97" s="73">
        <v>1.0</v>
      </c>
      <c r="O97" s="73">
        <v>0.0</v>
      </c>
      <c r="P97" s="73">
        <v>1.0</v>
      </c>
      <c r="Q97" s="73">
        <v>0.0</v>
      </c>
      <c r="R97" s="73">
        <v>0.0</v>
      </c>
      <c r="S97" s="73">
        <v>0.0</v>
      </c>
      <c r="T97" s="73">
        <v>1.0</v>
      </c>
      <c r="U97" s="73">
        <v>0.0</v>
      </c>
      <c r="V97" s="73">
        <v>0.0</v>
      </c>
      <c r="W97" s="73">
        <v>0.0</v>
      </c>
      <c r="X97" s="73">
        <v>0.0</v>
      </c>
      <c r="Y97" s="73">
        <v>0.0</v>
      </c>
      <c r="Z97" s="73">
        <v>1.0</v>
      </c>
      <c r="AA97" s="73">
        <v>0.0</v>
      </c>
      <c r="AB97" s="73">
        <v>0.0</v>
      </c>
      <c r="AC97" s="73">
        <v>0.0</v>
      </c>
      <c r="AD97" s="73">
        <v>0.0</v>
      </c>
      <c r="AE97" s="13">
        <f t="shared" si="22"/>
        <v>7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1.0</v>
      </c>
      <c r="L98" s="73">
        <v>0.0</v>
      </c>
      <c r="M98" s="73">
        <v>0.0</v>
      </c>
      <c r="N98" s="73">
        <v>0.0</v>
      </c>
      <c r="O98" s="73">
        <v>0.0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1.0</v>
      </c>
      <c r="V98" s="73">
        <v>0.0</v>
      </c>
      <c r="W98" s="73">
        <v>0.0</v>
      </c>
      <c r="X98" s="73">
        <v>0.0</v>
      </c>
      <c r="Y98" s="73">
        <v>1.0</v>
      </c>
      <c r="Z98" s="73">
        <v>0.0</v>
      </c>
      <c r="AA98" s="73">
        <v>0.0</v>
      </c>
      <c r="AB98" s="73">
        <v>0.0</v>
      </c>
      <c r="AC98" s="73">
        <v>0.0</v>
      </c>
      <c r="AD98" s="73">
        <v>0.0</v>
      </c>
      <c r="AE98" s="13">
        <f t="shared" si="22"/>
        <v>3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1.0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1.0</v>
      </c>
      <c r="U99" s="73">
        <v>0.0</v>
      </c>
      <c r="V99" s="73">
        <v>0.0</v>
      </c>
      <c r="W99" s="73">
        <v>0.0</v>
      </c>
      <c r="X99" s="73">
        <v>0.0</v>
      </c>
      <c r="Y99" s="73">
        <v>0.0</v>
      </c>
      <c r="Z99" s="73">
        <v>0.0</v>
      </c>
      <c r="AA99" s="73">
        <v>1.0</v>
      </c>
      <c r="AB99" s="73">
        <v>0.0</v>
      </c>
      <c r="AC99" s="73">
        <v>0.0</v>
      </c>
      <c r="AD99" s="73">
        <v>0.0</v>
      </c>
      <c r="AE99" s="13">
        <f t="shared" si="22"/>
        <v>3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1.0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0.0</v>
      </c>
      <c r="T100" s="80">
        <v>0.0</v>
      </c>
      <c r="U100" s="80">
        <v>0.0</v>
      </c>
      <c r="V100" s="80">
        <v>0.0</v>
      </c>
      <c r="W100" s="80">
        <v>0.0</v>
      </c>
      <c r="X100" s="80">
        <v>0.0</v>
      </c>
      <c r="Y100" s="80">
        <v>0.0</v>
      </c>
      <c r="Z100" s="80">
        <v>2.0</v>
      </c>
      <c r="AA100" s="80">
        <v>0.0</v>
      </c>
      <c r="AB100" s="80">
        <v>0.0</v>
      </c>
      <c r="AC100" s="80">
        <v>0.0</v>
      </c>
      <c r="AD100" s="80">
        <v>0.0</v>
      </c>
      <c r="AE100" s="13">
        <f t="shared" si="22"/>
        <v>3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1.0</v>
      </c>
      <c r="H101" s="80">
        <v>0.0</v>
      </c>
      <c r="I101" s="80">
        <v>3.0</v>
      </c>
      <c r="J101" s="80">
        <v>0.0</v>
      </c>
      <c r="K101" s="80">
        <v>0.0</v>
      </c>
      <c r="L101" s="80">
        <v>0.0</v>
      </c>
      <c r="M101" s="80">
        <v>1.0</v>
      </c>
      <c r="N101" s="80">
        <v>0.0</v>
      </c>
      <c r="O101" s="80">
        <v>0.0</v>
      </c>
      <c r="P101" s="80">
        <v>0.0</v>
      </c>
      <c r="Q101" s="80">
        <v>0.0</v>
      </c>
      <c r="R101" s="80">
        <v>0.0</v>
      </c>
      <c r="S101" s="80">
        <v>0.0</v>
      </c>
      <c r="T101" s="80">
        <v>4.0</v>
      </c>
      <c r="U101" s="80">
        <v>1.0</v>
      </c>
      <c r="V101" s="80">
        <v>1.0</v>
      </c>
      <c r="W101" s="80">
        <v>0.0</v>
      </c>
      <c r="X101" s="80">
        <v>0.0</v>
      </c>
      <c r="Y101" s="80">
        <v>0.0</v>
      </c>
      <c r="Z101" s="80">
        <v>0.0</v>
      </c>
      <c r="AA101" s="80">
        <v>0.0</v>
      </c>
      <c r="AB101" s="80">
        <v>1.0</v>
      </c>
      <c r="AC101" s="80">
        <v>0.0</v>
      </c>
      <c r="AD101" s="80">
        <v>1.0</v>
      </c>
      <c r="AE101" s="13">
        <f t="shared" si="22"/>
        <v>13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80">
        <v>0.0</v>
      </c>
      <c r="V102" s="80">
        <v>0.0</v>
      </c>
      <c r="W102" s="80">
        <v>0.0</v>
      </c>
      <c r="X102" s="80">
        <v>0.0</v>
      </c>
      <c r="Y102" s="80">
        <v>0.0</v>
      </c>
      <c r="Z102" s="80">
        <v>0.0</v>
      </c>
      <c r="AA102" s="80">
        <v>0.0</v>
      </c>
      <c r="AB102" s="80">
        <v>0.0</v>
      </c>
      <c r="AC102" s="80">
        <v>0.0</v>
      </c>
      <c r="AD102" s="80">
        <v>0.0</v>
      </c>
      <c r="AE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AE103" si="23">SUM(E93:E102)</f>
        <v>6</v>
      </c>
      <c r="F103" s="13">
        <f t="shared" si="23"/>
        <v>4</v>
      </c>
      <c r="G103" s="13">
        <f t="shared" si="23"/>
        <v>4</v>
      </c>
      <c r="H103" s="13">
        <f t="shared" si="23"/>
        <v>2</v>
      </c>
      <c r="I103" s="13">
        <f t="shared" si="23"/>
        <v>5</v>
      </c>
      <c r="J103" s="13">
        <f t="shared" si="23"/>
        <v>6</v>
      </c>
      <c r="K103" s="13">
        <f t="shared" si="23"/>
        <v>15</v>
      </c>
      <c r="L103" s="13">
        <f t="shared" si="23"/>
        <v>2</v>
      </c>
      <c r="M103" s="13">
        <f t="shared" si="23"/>
        <v>2</v>
      </c>
      <c r="N103" s="13">
        <f t="shared" si="23"/>
        <v>4</v>
      </c>
      <c r="O103" s="13">
        <f t="shared" si="23"/>
        <v>4</v>
      </c>
      <c r="P103" s="13">
        <f t="shared" si="23"/>
        <v>5</v>
      </c>
      <c r="Q103" s="13">
        <f t="shared" si="23"/>
        <v>1</v>
      </c>
      <c r="R103" s="13">
        <f t="shared" si="23"/>
        <v>1</v>
      </c>
      <c r="S103" s="13">
        <f t="shared" si="23"/>
        <v>1</v>
      </c>
      <c r="T103" s="13">
        <f t="shared" si="23"/>
        <v>8</v>
      </c>
      <c r="U103" s="13">
        <f t="shared" si="23"/>
        <v>9</v>
      </c>
      <c r="V103" s="13">
        <f t="shared" si="23"/>
        <v>6</v>
      </c>
      <c r="W103" s="13">
        <f t="shared" si="23"/>
        <v>2</v>
      </c>
      <c r="X103" s="13">
        <f t="shared" si="23"/>
        <v>3</v>
      </c>
      <c r="Y103" s="13">
        <f t="shared" si="23"/>
        <v>2</v>
      </c>
      <c r="Z103" s="13">
        <f t="shared" si="23"/>
        <v>8</v>
      </c>
      <c r="AA103" s="13">
        <f t="shared" si="23"/>
        <v>3</v>
      </c>
      <c r="AB103" s="13">
        <f t="shared" si="23"/>
        <v>2</v>
      </c>
      <c r="AC103" s="13">
        <f t="shared" si="23"/>
        <v>3</v>
      </c>
      <c r="AD103" s="13">
        <f t="shared" si="23"/>
        <v>6</v>
      </c>
      <c r="AE103" s="13">
        <f t="shared" si="23"/>
        <v>114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1.0</v>
      </c>
      <c r="F105" s="73">
        <v>0.0</v>
      </c>
      <c r="G105" s="73">
        <v>0.0</v>
      </c>
      <c r="H105" s="73">
        <v>0.0</v>
      </c>
      <c r="I105" s="73">
        <v>0.0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0.0</v>
      </c>
      <c r="P105" s="73">
        <v>0.0</v>
      </c>
      <c r="Q105" s="73">
        <v>2.0</v>
      </c>
      <c r="R105" s="73">
        <v>1.0</v>
      </c>
      <c r="S105" s="73">
        <v>1.0</v>
      </c>
      <c r="T105" s="73">
        <v>1.0</v>
      </c>
      <c r="U105" s="73">
        <v>3.0</v>
      </c>
      <c r="V105" s="73">
        <v>0.0</v>
      </c>
      <c r="W105" s="73">
        <v>1.0</v>
      </c>
      <c r="X105" s="73">
        <v>0.0</v>
      </c>
      <c r="Y105" s="73">
        <v>1.0</v>
      </c>
      <c r="Z105" s="73">
        <v>0.0</v>
      </c>
      <c r="AA105" s="73">
        <v>0.0</v>
      </c>
      <c r="AB105" s="73">
        <v>0.0</v>
      </c>
      <c r="AC105" s="73">
        <v>0.0</v>
      </c>
      <c r="AD105" s="73">
        <v>0.0</v>
      </c>
      <c r="AE105" s="13">
        <f t="shared" ref="AE105:AE114" si="24">SUM(E105:AD105)</f>
        <v>11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1.0</v>
      </c>
      <c r="I106" s="73">
        <v>0.0</v>
      </c>
      <c r="J106" s="73">
        <v>0.0</v>
      </c>
      <c r="K106" s="73">
        <v>1.0</v>
      </c>
      <c r="L106" s="73">
        <v>0.0</v>
      </c>
      <c r="M106" s="73">
        <v>0.0</v>
      </c>
      <c r="N106" s="73">
        <v>1.0</v>
      </c>
      <c r="O106" s="73">
        <v>0.0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0.0</v>
      </c>
      <c r="Z106" s="73">
        <v>0.0</v>
      </c>
      <c r="AA106" s="73">
        <v>0.0</v>
      </c>
      <c r="AB106" s="73">
        <v>0.0</v>
      </c>
      <c r="AC106" s="73">
        <v>0.0</v>
      </c>
      <c r="AD106" s="73">
        <v>0.0</v>
      </c>
      <c r="AE106" s="13">
        <f t="shared" si="24"/>
        <v>3</v>
      </c>
    </row>
    <row r="107" ht="12.75" customHeight="1">
      <c r="A107" s="79"/>
      <c r="B107" s="49"/>
      <c r="C107" s="50" t="s">
        <v>93</v>
      </c>
      <c r="D107" s="51"/>
      <c r="E107" s="80">
        <v>2.0</v>
      </c>
      <c r="F107" s="80">
        <v>0.0</v>
      </c>
      <c r="G107" s="80">
        <v>0.0</v>
      </c>
      <c r="H107" s="80">
        <v>0.0</v>
      </c>
      <c r="I107" s="80">
        <v>1.0</v>
      </c>
      <c r="J107" s="80">
        <v>0.0</v>
      </c>
      <c r="K107" s="80">
        <v>0.0</v>
      </c>
      <c r="L107" s="80">
        <v>0.0</v>
      </c>
      <c r="M107" s="80">
        <v>0.0</v>
      </c>
      <c r="N107" s="80">
        <v>1.0</v>
      </c>
      <c r="O107" s="80">
        <v>0.0</v>
      </c>
      <c r="P107" s="80">
        <v>0.0</v>
      </c>
      <c r="Q107" s="80">
        <v>0.0</v>
      </c>
      <c r="R107" s="80">
        <v>0.0</v>
      </c>
      <c r="S107" s="80">
        <v>0.0</v>
      </c>
      <c r="T107" s="80">
        <v>0.0</v>
      </c>
      <c r="U107" s="80">
        <v>0.0</v>
      </c>
      <c r="V107" s="80">
        <v>0.0</v>
      </c>
      <c r="W107" s="80">
        <v>0.0</v>
      </c>
      <c r="X107" s="80">
        <v>0.0</v>
      </c>
      <c r="Y107" s="80">
        <v>0.0</v>
      </c>
      <c r="Z107" s="80">
        <v>0.0</v>
      </c>
      <c r="AA107" s="80">
        <v>0.0</v>
      </c>
      <c r="AB107" s="80">
        <v>0.0</v>
      </c>
      <c r="AC107" s="80">
        <v>0.0</v>
      </c>
      <c r="AD107" s="80">
        <v>0.0</v>
      </c>
      <c r="AE107" s="13">
        <f t="shared" si="24"/>
        <v>4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AE115" si="25">SUM(E105:E114)</f>
        <v>3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2</v>
      </c>
      <c r="O115" s="13">
        <f t="shared" si="25"/>
        <v>0</v>
      </c>
      <c r="P115" s="13">
        <f t="shared" si="25"/>
        <v>0</v>
      </c>
      <c r="Q115" s="13">
        <f t="shared" si="25"/>
        <v>2</v>
      </c>
      <c r="R115" s="13">
        <f t="shared" si="25"/>
        <v>1</v>
      </c>
      <c r="S115" s="13">
        <f t="shared" si="25"/>
        <v>1</v>
      </c>
      <c r="T115" s="13">
        <f t="shared" si="25"/>
        <v>1</v>
      </c>
      <c r="U115" s="13">
        <f t="shared" si="25"/>
        <v>3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18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1.0</v>
      </c>
      <c r="G117" s="73">
        <v>0.0</v>
      </c>
      <c r="H117" s="73">
        <v>0.0</v>
      </c>
      <c r="I117" s="73">
        <v>1.0</v>
      </c>
      <c r="J117" s="73">
        <v>0.0</v>
      </c>
      <c r="K117" s="73">
        <v>2.0</v>
      </c>
      <c r="L117" s="73">
        <v>1.0</v>
      </c>
      <c r="M117" s="73">
        <v>1.0</v>
      </c>
      <c r="N117" s="73">
        <v>0.0</v>
      </c>
      <c r="O117" s="73">
        <v>1.0</v>
      </c>
      <c r="P117" s="73">
        <v>1.0</v>
      </c>
      <c r="Q117" s="73">
        <v>3.0</v>
      </c>
      <c r="R117" s="73">
        <v>1.0</v>
      </c>
      <c r="S117" s="73">
        <v>3.0</v>
      </c>
      <c r="T117" s="73">
        <v>2.0</v>
      </c>
      <c r="U117" s="73">
        <v>1.0</v>
      </c>
      <c r="V117" s="73">
        <v>1.0</v>
      </c>
      <c r="W117" s="73">
        <v>0.0</v>
      </c>
      <c r="X117" s="73">
        <v>0.0</v>
      </c>
      <c r="Y117" s="73">
        <v>1.0</v>
      </c>
      <c r="Z117" s="73">
        <v>0.0</v>
      </c>
      <c r="AA117" s="73">
        <v>0.0</v>
      </c>
      <c r="AB117" s="73">
        <v>1.0</v>
      </c>
      <c r="AC117" s="73">
        <v>0.0</v>
      </c>
      <c r="AD117" s="73">
        <v>0.0</v>
      </c>
      <c r="AE117" s="13">
        <f t="shared" ref="AE117:AE126" si="26">SUM(E117:AD117)</f>
        <v>21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1.0</v>
      </c>
      <c r="G118" s="73">
        <v>0.0</v>
      </c>
      <c r="H118" s="73">
        <v>0.0</v>
      </c>
      <c r="I118" s="73">
        <v>0.0</v>
      </c>
      <c r="J118" s="73">
        <v>1.0</v>
      </c>
      <c r="K118" s="73">
        <v>1.0</v>
      </c>
      <c r="L118" s="73">
        <v>1.0</v>
      </c>
      <c r="M118" s="73">
        <v>2.0</v>
      </c>
      <c r="N118" s="73">
        <v>1.0</v>
      </c>
      <c r="O118" s="73">
        <v>0.0</v>
      </c>
      <c r="P118" s="73">
        <v>0.0</v>
      </c>
      <c r="Q118" s="73">
        <v>1.0</v>
      </c>
      <c r="R118" s="73">
        <v>0.0</v>
      </c>
      <c r="S118" s="73">
        <v>0.0</v>
      </c>
      <c r="T118" s="73">
        <v>0.0</v>
      </c>
      <c r="U118" s="73">
        <v>0.0</v>
      </c>
      <c r="V118" s="73">
        <v>0.0</v>
      </c>
      <c r="W118" s="73">
        <v>0.0</v>
      </c>
      <c r="X118" s="73">
        <v>0.0</v>
      </c>
      <c r="Y118" s="73">
        <v>0.0</v>
      </c>
      <c r="Z118" s="73">
        <v>0.0</v>
      </c>
      <c r="AA118" s="73">
        <v>0.0</v>
      </c>
      <c r="AB118" s="73">
        <v>0.0</v>
      </c>
      <c r="AC118" s="73">
        <v>0.0</v>
      </c>
      <c r="AD118" s="73">
        <v>0.0</v>
      </c>
      <c r="AE118" s="13">
        <f t="shared" si="26"/>
        <v>8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1.0</v>
      </c>
      <c r="L119" s="73">
        <v>0.0</v>
      </c>
      <c r="M119" s="73">
        <v>3.0</v>
      </c>
      <c r="N119" s="73">
        <v>0.0</v>
      </c>
      <c r="O119" s="73">
        <v>0.0</v>
      </c>
      <c r="P119" s="73">
        <v>0.0</v>
      </c>
      <c r="Q119" s="73">
        <v>1.0</v>
      </c>
      <c r="R119" s="73">
        <v>1.0</v>
      </c>
      <c r="S119" s="73">
        <v>1.0</v>
      </c>
      <c r="T119" s="73">
        <v>1.0</v>
      </c>
      <c r="U119" s="73">
        <v>0.0</v>
      </c>
      <c r="V119" s="73">
        <v>1.0</v>
      </c>
      <c r="W119" s="73">
        <v>0.0</v>
      </c>
      <c r="X119" s="73">
        <v>0.0</v>
      </c>
      <c r="Y119" s="73">
        <v>1.0</v>
      </c>
      <c r="Z119" s="73">
        <v>0.0</v>
      </c>
      <c r="AA119" s="73">
        <v>1.0</v>
      </c>
      <c r="AB119" s="73">
        <v>0.0</v>
      </c>
      <c r="AC119" s="73">
        <v>0.0</v>
      </c>
      <c r="AD119" s="73">
        <v>0.0</v>
      </c>
      <c r="AE119" s="13">
        <f t="shared" si="26"/>
        <v>11</v>
      </c>
    </row>
    <row r="120" ht="12.75" customHeight="1">
      <c r="A120" s="18"/>
      <c r="B120" s="49"/>
      <c r="C120" s="50" t="s">
        <v>98</v>
      </c>
      <c r="D120" s="51"/>
      <c r="E120" s="73">
        <v>1.0</v>
      </c>
      <c r="F120" s="73">
        <v>1.0</v>
      </c>
      <c r="G120" s="73">
        <v>0.0</v>
      </c>
      <c r="H120" s="73">
        <v>0.0</v>
      </c>
      <c r="I120" s="73">
        <v>0.0</v>
      </c>
      <c r="J120" s="73">
        <v>2.0</v>
      </c>
      <c r="K120" s="73">
        <v>1.0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0.0</v>
      </c>
      <c r="S120" s="73">
        <v>0.0</v>
      </c>
      <c r="T120" s="73">
        <v>1.0</v>
      </c>
      <c r="U120" s="73">
        <v>0.0</v>
      </c>
      <c r="V120" s="73">
        <v>0.0</v>
      </c>
      <c r="W120" s="73">
        <v>0.0</v>
      </c>
      <c r="X120" s="73">
        <v>0.0</v>
      </c>
      <c r="Y120" s="73">
        <v>0.0</v>
      </c>
      <c r="Z120" s="73">
        <v>0.0</v>
      </c>
      <c r="AA120" s="73">
        <v>0.0</v>
      </c>
      <c r="AB120" s="73">
        <v>0.0</v>
      </c>
      <c r="AC120" s="73">
        <v>1.0</v>
      </c>
      <c r="AD120" s="73">
        <v>0.0</v>
      </c>
      <c r="AE120" s="13">
        <f t="shared" si="26"/>
        <v>7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80">
        <v>0.0</v>
      </c>
      <c r="U121" s="80">
        <v>0.0</v>
      </c>
      <c r="V121" s="80">
        <v>0.0</v>
      </c>
      <c r="W121" s="80">
        <v>0.0</v>
      </c>
      <c r="X121" s="80">
        <v>0.0</v>
      </c>
      <c r="Y121" s="80">
        <v>0.0</v>
      </c>
      <c r="Z121" s="80">
        <v>1.0</v>
      </c>
      <c r="AA121" s="80">
        <v>0.0</v>
      </c>
      <c r="AB121" s="80">
        <v>0.0</v>
      </c>
      <c r="AC121" s="80">
        <v>0.0</v>
      </c>
      <c r="AD121" s="80">
        <v>0.0</v>
      </c>
      <c r="AE121" s="13">
        <f t="shared" si="26"/>
        <v>1</v>
      </c>
    </row>
    <row r="122" ht="12.75" customHeight="1">
      <c r="A122" s="79"/>
      <c r="B122" s="49"/>
      <c r="C122" s="50" t="s">
        <v>100</v>
      </c>
      <c r="D122" s="51"/>
      <c r="E122" s="80">
        <v>1.0</v>
      </c>
      <c r="F122" s="80">
        <v>1.0</v>
      </c>
      <c r="G122" s="80">
        <v>1.0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0.0</v>
      </c>
      <c r="R122" s="80">
        <v>0.0</v>
      </c>
      <c r="S122" s="80">
        <v>0.0</v>
      </c>
      <c r="T122" s="80">
        <v>0.0</v>
      </c>
      <c r="U122" s="80">
        <v>0.0</v>
      </c>
      <c r="V122" s="80">
        <v>0.0</v>
      </c>
      <c r="W122" s="80">
        <v>0.0</v>
      </c>
      <c r="X122" s="80">
        <v>0.0</v>
      </c>
      <c r="Y122" s="80">
        <v>1.0</v>
      </c>
      <c r="Z122" s="80">
        <v>0.0</v>
      </c>
      <c r="AA122" s="80">
        <v>0.0</v>
      </c>
      <c r="AB122" s="80">
        <v>0.0</v>
      </c>
      <c r="AC122" s="80">
        <v>0.0</v>
      </c>
      <c r="AD122" s="80">
        <v>0.0</v>
      </c>
      <c r="AE122" s="13">
        <f t="shared" si="26"/>
        <v>4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AE127" si="27">SUM(E117:E126)</f>
        <v>2</v>
      </c>
      <c r="F127" s="13">
        <f t="shared" si="27"/>
        <v>4</v>
      </c>
      <c r="G127" s="13">
        <f t="shared" si="27"/>
        <v>1</v>
      </c>
      <c r="H127" s="13">
        <f t="shared" si="27"/>
        <v>0</v>
      </c>
      <c r="I127" s="13">
        <f t="shared" si="27"/>
        <v>1</v>
      </c>
      <c r="J127" s="13">
        <f t="shared" si="27"/>
        <v>3</v>
      </c>
      <c r="K127" s="13">
        <f t="shared" si="27"/>
        <v>5</v>
      </c>
      <c r="L127" s="13">
        <f t="shared" si="27"/>
        <v>2</v>
      </c>
      <c r="M127" s="13">
        <f t="shared" si="27"/>
        <v>6</v>
      </c>
      <c r="N127" s="13">
        <f t="shared" si="27"/>
        <v>1</v>
      </c>
      <c r="O127" s="13">
        <f t="shared" si="27"/>
        <v>1</v>
      </c>
      <c r="P127" s="13">
        <f t="shared" si="27"/>
        <v>1</v>
      </c>
      <c r="Q127" s="13">
        <f t="shared" si="27"/>
        <v>5</v>
      </c>
      <c r="R127" s="13">
        <f t="shared" si="27"/>
        <v>2</v>
      </c>
      <c r="S127" s="13">
        <f t="shared" si="27"/>
        <v>4</v>
      </c>
      <c r="T127" s="13">
        <f t="shared" si="27"/>
        <v>4</v>
      </c>
      <c r="U127" s="13">
        <f t="shared" si="27"/>
        <v>1</v>
      </c>
      <c r="V127" s="13">
        <f t="shared" si="27"/>
        <v>2</v>
      </c>
      <c r="W127" s="13">
        <f t="shared" si="27"/>
        <v>0</v>
      </c>
      <c r="X127" s="13">
        <f t="shared" si="27"/>
        <v>0</v>
      </c>
      <c r="Y127" s="13">
        <f t="shared" si="27"/>
        <v>3</v>
      </c>
      <c r="Z127" s="13">
        <f t="shared" si="27"/>
        <v>1</v>
      </c>
      <c r="AA127" s="13">
        <f t="shared" si="27"/>
        <v>1</v>
      </c>
      <c r="AB127" s="13">
        <f t="shared" si="27"/>
        <v>1</v>
      </c>
      <c r="AC127" s="13">
        <f t="shared" si="27"/>
        <v>1</v>
      </c>
      <c r="AD127" s="13">
        <f t="shared" si="27"/>
        <v>0</v>
      </c>
      <c r="AE127" s="13">
        <f t="shared" si="27"/>
        <v>52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3.0</v>
      </c>
      <c r="F129" s="73">
        <v>0.0</v>
      </c>
      <c r="G129" s="73">
        <v>1.0</v>
      </c>
      <c r="H129" s="73">
        <v>1.0</v>
      </c>
      <c r="I129" s="73">
        <v>9.0</v>
      </c>
      <c r="J129" s="73">
        <v>12.0</v>
      </c>
      <c r="K129" s="73">
        <v>4.0</v>
      </c>
      <c r="L129" s="73">
        <v>2.0</v>
      </c>
      <c r="M129" s="73">
        <v>5.0</v>
      </c>
      <c r="N129" s="73">
        <v>15.0</v>
      </c>
      <c r="O129" s="73">
        <v>6.0</v>
      </c>
      <c r="P129" s="73">
        <v>3.0</v>
      </c>
      <c r="Q129" s="73">
        <v>4.0</v>
      </c>
      <c r="R129" s="73">
        <v>13.0</v>
      </c>
      <c r="S129" s="73">
        <v>1.0</v>
      </c>
      <c r="T129" s="73">
        <v>2.0</v>
      </c>
      <c r="U129" s="73">
        <v>8.0</v>
      </c>
      <c r="V129" s="73">
        <v>1.0</v>
      </c>
      <c r="W129" s="73">
        <v>0.0</v>
      </c>
      <c r="X129" s="73">
        <v>1.0</v>
      </c>
      <c r="Y129" s="73">
        <v>2.0</v>
      </c>
      <c r="Z129" s="73">
        <v>5.0</v>
      </c>
      <c r="AA129" s="73">
        <v>1.0</v>
      </c>
      <c r="AB129" s="73">
        <v>7.0</v>
      </c>
      <c r="AC129" s="73">
        <v>7.0</v>
      </c>
      <c r="AD129" s="73">
        <v>5.0</v>
      </c>
      <c r="AE129" s="13">
        <f t="shared" ref="AE129:AE138" si="28">SUM(E129:AD129)</f>
        <v>118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3.0</v>
      </c>
      <c r="F130" s="73">
        <v>3.0</v>
      </c>
      <c r="G130" s="73">
        <v>2.0</v>
      </c>
      <c r="H130" s="73">
        <v>2.0</v>
      </c>
      <c r="I130" s="73">
        <v>4.0</v>
      </c>
      <c r="J130" s="73">
        <v>8.0</v>
      </c>
      <c r="K130" s="73">
        <v>2.0</v>
      </c>
      <c r="L130" s="73">
        <v>0.0</v>
      </c>
      <c r="M130" s="73">
        <v>8.0</v>
      </c>
      <c r="N130" s="73">
        <v>8.0</v>
      </c>
      <c r="O130" s="73">
        <v>22.0</v>
      </c>
      <c r="P130" s="73">
        <v>3.0</v>
      </c>
      <c r="Q130" s="73">
        <v>1.0</v>
      </c>
      <c r="R130" s="73">
        <v>56.0</v>
      </c>
      <c r="S130" s="73">
        <v>4.0</v>
      </c>
      <c r="T130" s="73">
        <v>4.0</v>
      </c>
      <c r="U130" s="73">
        <v>6.0</v>
      </c>
      <c r="V130" s="73">
        <v>0.0</v>
      </c>
      <c r="W130" s="73">
        <v>2.0</v>
      </c>
      <c r="X130" s="73">
        <v>5.0</v>
      </c>
      <c r="Y130" s="73">
        <v>1.0</v>
      </c>
      <c r="Z130" s="73">
        <v>1.0</v>
      </c>
      <c r="AA130" s="73">
        <v>0.0</v>
      </c>
      <c r="AB130" s="73">
        <v>5.0</v>
      </c>
      <c r="AC130" s="73">
        <v>1.0</v>
      </c>
      <c r="AD130" s="73">
        <v>1.0</v>
      </c>
      <c r="AE130" s="13">
        <f t="shared" si="28"/>
        <v>152</v>
      </c>
    </row>
    <row r="131" ht="12.75" customHeight="1">
      <c r="A131" s="18"/>
      <c r="B131" s="49"/>
      <c r="C131" s="50" t="s">
        <v>104</v>
      </c>
      <c r="D131" s="51"/>
      <c r="E131" s="73">
        <v>2.0</v>
      </c>
      <c r="F131" s="73">
        <v>1.0</v>
      </c>
      <c r="G131" s="73">
        <v>1.0</v>
      </c>
      <c r="H131" s="73">
        <v>2.0</v>
      </c>
      <c r="I131" s="73">
        <v>1.0</v>
      </c>
      <c r="J131" s="73">
        <v>1.0</v>
      </c>
      <c r="K131" s="73">
        <v>1.0</v>
      </c>
      <c r="L131" s="73">
        <v>2.0</v>
      </c>
      <c r="M131" s="73">
        <v>0.0</v>
      </c>
      <c r="N131" s="73">
        <v>2.0</v>
      </c>
      <c r="O131" s="73">
        <v>3.0</v>
      </c>
      <c r="P131" s="73">
        <v>2.0</v>
      </c>
      <c r="Q131" s="73">
        <v>0.0</v>
      </c>
      <c r="R131" s="73">
        <v>0.0</v>
      </c>
      <c r="S131" s="73">
        <v>1.0</v>
      </c>
      <c r="T131" s="73">
        <v>1.0</v>
      </c>
      <c r="U131" s="73">
        <v>2.0</v>
      </c>
      <c r="V131" s="73">
        <v>0.0</v>
      </c>
      <c r="W131" s="73">
        <v>0.0</v>
      </c>
      <c r="X131" s="73">
        <v>0.0</v>
      </c>
      <c r="Y131" s="73">
        <v>0.0</v>
      </c>
      <c r="Z131" s="73">
        <v>2.0</v>
      </c>
      <c r="AA131" s="73">
        <v>1.0</v>
      </c>
      <c r="AB131" s="73">
        <v>2.0</v>
      </c>
      <c r="AC131" s="73">
        <v>1.0</v>
      </c>
      <c r="AD131" s="73">
        <v>1.0</v>
      </c>
      <c r="AE131" s="13">
        <f t="shared" si="28"/>
        <v>29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2.0</v>
      </c>
      <c r="G132" s="73">
        <v>0.0</v>
      </c>
      <c r="H132" s="73">
        <v>0.0</v>
      </c>
      <c r="I132" s="73">
        <v>0.0</v>
      </c>
      <c r="J132" s="73">
        <v>0.0</v>
      </c>
      <c r="K132" s="73">
        <v>1.0</v>
      </c>
      <c r="L132" s="73">
        <v>1.0</v>
      </c>
      <c r="M132" s="73">
        <v>0.0</v>
      </c>
      <c r="N132" s="73">
        <v>1.0</v>
      </c>
      <c r="O132" s="73">
        <v>0.0</v>
      </c>
      <c r="P132" s="73">
        <v>0.0</v>
      </c>
      <c r="Q132" s="73">
        <v>0.0</v>
      </c>
      <c r="R132" s="73">
        <v>5.0</v>
      </c>
      <c r="S132" s="73">
        <v>0.0</v>
      </c>
      <c r="T132" s="73">
        <v>0.0</v>
      </c>
      <c r="U132" s="73">
        <v>2.0</v>
      </c>
      <c r="V132" s="73">
        <v>0.0</v>
      </c>
      <c r="W132" s="73">
        <v>1.0</v>
      </c>
      <c r="X132" s="73">
        <v>0.0</v>
      </c>
      <c r="Y132" s="73">
        <v>1.0</v>
      </c>
      <c r="Z132" s="73">
        <v>0.0</v>
      </c>
      <c r="AA132" s="73">
        <v>0.0</v>
      </c>
      <c r="AB132" s="73">
        <v>1.0</v>
      </c>
      <c r="AC132" s="73">
        <v>1.0</v>
      </c>
      <c r="AD132" s="73">
        <v>0.0</v>
      </c>
      <c r="AE132" s="13">
        <f t="shared" si="28"/>
        <v>16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0.0</v>
      </c>
      <c r="H133" s="73">
        <v>1.0</v>
      </c>
      <c r="I133" s="73">
        <v>1.0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1.0</v>
      </c>
      <c r="P133" s="73">
        <v>0.0</v>
      </c>
      <c r="Q133" s="73">
        <v>0.0</v>
      </c>
      <c r="R133" s="73">
        <v>1.0</v>
      </c>
      <c r="S133" s="73">
        <v>0.0</v>
      </c>
      <c r="T133" s="73">
        <v>0.0</v>
      </c>
      <c r="U133" s="73">
        <v>1.0</v>
      </c>
      <c r="V133" s="73">
        <v>0.0</v>
      </c>
      <c r="W133" s="73">
        <v>0.0</v>
      </c>
      <c r="X133" s="73">
        <v>0.0</v>
      </c>
      <c r="Y133" s="73">
        <v>0.0</v>
      </c>
      <c r="Z133" s="73">
        <v>1.0</v>
      </c>
      <c r="AA133" s="73">
        <v>0.0</v>
      </c>
      <c r="AB133" s="73">
        <v>0.0</v>
      </c>
      <c r="AC133" s="73">
        <v>0.0</v>
      </c>
      <c r="AD133" s="73">
        <v>0.0</v>
      </c>
      <c r="AE133" s="13">
        <f t="shared" si="28"/>
        <v>6</v>
      </c>
    </row>
    <row r="134" ht="12.75" customHeight="1">
      <c r="A134" s="18"/>
      <c r="B134" s="49"/>
      <c r="C134" s="50" t="s">
        <v>107</v>
      </c>
      <c r="D134" s="51"/>
      <c r="E134" s="73">
        <v>14.0</v>
      </c>
      <c r="F134" s="73">
        <v>3.0</v>
      </c>
      <c r="G134" s="73">
        <v>2.0</v>
      </c>
      <c r="H134" s="73">
        <v>8.0</v>
      </c>
      <c r="I134" s="73">
        <v>37.0</v>
      </c>
      <c r="J134" s="73">
        <v>21.0</v>
      </c>
      <c r="K134" s="73">
        <v>7.0</v>
      </c>
      <c r="L134" s="73">
        <v>3.0</v>
      </c>
      <c r="M134" s="73">
        <v>8.0</v>
      </c>
      <c r="N134" s="73">
        <v>31.0</v>
      </c>
      <c r="O134" s="73">
        <v>23.0</v>
      </c>
      <c r="P134" s="73">
        <v>12.0</v>
      </c>
      <c r="Q134" s="73">
        <v>3.0</v>
      </c>
      <c r="R134" s="73">
        <v>8.0</v>
      </c>
      <c r="S134" s="73">
        <v>4.0</v>
      </c>
      <c r="T134" s="73">
        <v>5.0</v>
      </c>
      <c r="U134" s="73">
        <v>12.0</v>
      </c>
      <c r="V134" s="73">
        <v>11.0</v>
      </c>
      <c r="W134" s="73">
        <v>0.0</v>
      </c>
      <c r="X134" s="73">
        <v>6.0</v>
      </c>
      <c r="Y134" s="73">
        <v>1.0</v>
      </c>
      <c r="Z134" s="73">
        <v>18.0</v>
      </c>
      <c r="AA134" s="73">
        <v>14.0</v>
      </c>
      <c r="AB134" s="73">
        <v>9.0</v>
      </c>
      <c r="AC134" s="73">
        <v>9.0</v>
      </c>
      <c r="AD134" s="73">
        <v>0.0</v>
      </c>
      <c r="AE134" s="13">
        <f t="shared" si="28"/>
        <v>269</v>
      </c>
    </row>
    <row r="135" ht="12.75" customHeight="1">
      <c r="A135" s="18"/>
      <c r="B135" s="49"/>
      <c r="C135" s="50" t="s">
        <v>108</v>
      </c>
      <c r="D135" s="51"/>
      <c r="E135" s="73">
        <v>0.0</v>
      </c>
      <c r="F135" s="73">
        <v>0.0</v>
      </c>
      <c r="G135" s="73">
        <v>0.0</v>
      </c>
      <c r="H135" s="73">
        <v>1.0</v>
      </c>
      <c r="I135" s="73">
        <v>0.0</v>
      </c>
      <c r="J135" s="73">
        <v>0.0</v>
      </c>
      <c r="K135" s="73">
        <v>1.0</v>
      </c>
      <c r="L135" s="73">
        <v>0.0</v>
      </c>
      <c r="M135" s="73">
        <v>0.0</v>
      </c>
      <c r="N135" s="73">
        <v>0.0</v>
      </c>
      <c r="O135" s="73">
        <v>1.0</v>
      </c>
      <c r="P135" s="73">
        <v>1.0</v>
      </c>
      <c r="Q135" s="73">
        <v>0.0</v>
      </c>
      <c r="R135" s="73">
        <v>2.0</v>
      </c>
      <c r="S135" s="73">
        <v>1.0</v>
      </c>
      <c r="T135" s="73">
        <v>0.0</v>
      </c>
      <c r="U135" s="73">
        <v>2.0</v>
      </c>
      <c r="V135" s="73">
        <v>2.0</v>
      </c>
      <c r="W135" s="73">
        <v>0.0</v>
      </c>
      <c r="X135" s="73">
        <v>1.0</v>
      </c>
      <c r="Y135" s="73">
        <v>2.0</v>
      </c>
      <c r="Z135" s="73">
        <v>1.0</v>
      </c>
      <c r="AA135" s="73">
        <v>0.0</v>
      </c>
      <c r="AB135" s="73">
        <v>0.0</v>
      </c>
      <c r="AC135" s="73">
        <v>1.0</v>
      </c>
      <c r="AD135" s="73">
        <v>0.0</v>
      </c>
      <c r="AE135" s="13">
        <f t="shared" si="28"/>
        <v>16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0.0</v>
      </c>
      <c r="I136" s="80">
        <v>0.0</v>
      </c>
      <c r="J136" s="80">
        <v>0.0</v>
      </c>
      <c r="K136" s="80">
        <v>0.0</v>
      </c>
      <c r="L136" s="80">
        <v>0.0</v>
      </c>
      <c r="M136" s="80">
        <v>0.0</v>
      </c>
      <c r="N136" s="80">
        <v>0.0</v>
      </c>
      <c r="O136" s="80">
        <v>2.0</v>
      </c>
      <c r="P136" s="80">
        <v>0.0</v>
      </c>
      <c r="Q136" s="80">
        <v>0.0</v>
      </c>
      <c r="R136" s="80">
        <v>0.0</v>
      </c>
      <c r="S136" s="80">
        <v>0.0</v>
      </c>
      <c r="T136" s="80">
        <v>0.0</v>
      </c>
      <c r="U136" s="80">
        <v>0.0</v>
      </c>
      <c r="V136" s="80">
        <v>0.0</v>
      </c>
      <c r="W136" s="80">
        <v>0.0</v>
      </c>
      <c r="X136" s="80">
        <v>0.0</v>
      </c>
      <c r="Y136" s="80">
        <v>0.0</v>
      </c>
      <c r="Z136" s="80">
        <v>1.0</v>
      </c>
      <c r="AA136" s="80">
        <v>0.0</v>
      </c>
      <c r="AB136" s="80">
        <v>1.0</v>
      </c>
      <c r="AC136" s="80">
        <v>0.0</v>
      </c>
      <c r="AD136" s="80">
        <v>0.0</v>
      </c>
      <c r="AE136" s="13">
        <f t="shared" si="28"/>
        <v>4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0.0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80">
        <v>0.0</v>
      </c>
      <c r="N137" s="80">
        <v>0.0</v>
      </c>
      <c r="O137" s="80">
        <v>1.0</v>
      </c>
      <c r="P137" s="80">
        <v>0.0</v>
      </c>
      <c r="Q137" s="80">
        <v>1.0</v>
      </c>
      <c r="R137" s="80">
        <v>2.0</v>
      </c>
      <c r="S137" s="80">
        <v>0.0</v>
      </c>
      <c r="T137" s="80">
        <v>1.0</v>
      </c>
      <c r="U137" s="80">
        <v>0.0</v>
      </c>
      <c r="V137" s="80">
        <v>0.0</v>
      </c>
      <c r="W137" s="80">
        <v>0.0</v>
      </c>
      <c r="X137" s="80">
        <v>0.0</v>
      </c>
      <c r="Y137" s="80">
        <v>1.0</v>
      </c>
      <c r="Z137" s="80">
        <v>0.0</v>
      </c>
      <c r="AA137" s="80">
        <v>0.0</v>
      </c>
      <c r="AB137" s="80">
        <v>0.0</v>
      </c>
      <c r="AC137" s="80">
        <v>0.0</v>
      </c>
      <c r="AD137" s="80">
        <v>0.0</v>
      </c>
      <c r="AE137" s="13">
        <f t="shared" si="28"/>
        <v>6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0.0</v>
      </c>
      <c r="I138" s="80">
        <v>0.0</v>
      </c>
      <c r="J138" s="80">
        <v>0.0</v>
      </c>
      <c r="K138" s="80">
        <v>0.0</v>
      </c>
      <c r="L138" s="80">
        <v>0.0</v>
      </c>
      <c r="M138" s="80">
        <v>2.0</v>
      </c>
      <c r="N138" s="80">
        <v>0.0</v>
      </c>
      <c r="O138" s="80">
        <v>0.0</v>
      </c>
      <c r="P138" s="80">
        <v>0.0</v>
      </c>
      <c r="Q138" s="80">
        <v>0.0</v>
      </c>
      <c r="R138" s="80">
        <v>0.0</v>
      </c>
      <c r="S138" s="80">
        <v>0.0</v>
      </c>
      <c r="T138" s="80">
        <v>0.0</v>
      </c>
      <c r="U138" s="80">
        <v>0.0</v>
      </c>
      <c r="V138" s="80">
        <v>0.0</v>
      </c>
      <c r="W138" s="80">
        <v>0.0</v>
      </c>
      <c r="X138" s="80">
        <v>1.0</v>
      </c>
      <c r="Y138" s="80">
        <v>0.0</v>
      </c>
      <c r="Z138" s="80">
        <v>0.0</v>
      </c>
      <c r="AA138" s="80">
        <v>0.0</v>
      </c>
      <c r="AB138" s="80">
        <v>2.0</v>
      </c>
      <c r="AC138" s="80">
        <v>0.0</v>
      </c>
      <c r="AD138" s="80">
        <v>0.0</v>
      </c>
      <c r="AE138" s="13">
        <f t="shared" si="28"/>
        <v>5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AE139" si="29">SUM(E129:E138)</f>
        <v>22</v>
      </c>
      <c r="F139" s="13">
        <f t="shared" si="29"/>
        <v>9</v>
      </c>
      <c r="G139" s="13">
        <f t="shared" si="29"/>
        <v>6</v>
      </c>
      <c r="H139" s="13">
        <f t="shared" si="29"/>
        <v>15</v>
      </c>
      <c r="I139" s="13">
        <f t="shared" si="29"/>
        <v>52</v>
      </c>
      <c r="J139" s="13">
        <f t="shared" si="29"/>
        <v>42</v>
      </c>
      <c r="K139" s="13">
        <f t="shared" si="29"/>
        <v>16</v>
      </c>
      <c r="L139" s="13">
        <f t="shared" si="29"/>
        <v>8</v>
      </c>
      <c r="M139" s="13">
        <f t="shared" si="29"/>
        <v>23</v>
      </c>
      <c r="N139" s="13">
        <f t="shared" si="29"/>
        <v>57</v>
      </c>
      <c r="O139" s="13">
        <f t="shared" si="29"/>
        <v>59</v>
      </c>
      <c r="P139" s="13">
        <f t="shared" si="29"/>
        <v>21</v>
      </c>
      <c r="Q139" s="13">
        <f t="shared" si="29"/>
        <v>9</v>
      </c>
      <c r="R139" s="13">
        <f t="shared" si="29"/>
        <v>87</v>
      </c>
      <c r="S139" s="13">
        <f t="shared" si="29"/>
        <v>11</v>
      </c>
      <c r="T139" s="13">
        <f t="shared" si="29"/>
        <v>13</v>
      </c>
      <c r="U139" s="13">
        <f t="shared" si="29"/>
        <v>33</v>
      </c>
      <c r="V139" s="13">
        <f t="shared" si="29"/>
        <v>14</v>
      </c>
      <c r="W139" s="13">
        <f t="shared" si="29"/>
        <v>3</v>
      </c>
      <c r="X139" s="13">
        <f t="shared" si="29"/>
        <v>14</v>
      </c>
      <c r="Y139" s="13">
        <f t="shared" si="29"/>
        <v>8</v>
      </c>
      <c r="Z139" s="13">
        <f t="shared" si="29"/>
        <v>29</v>
      </c>
      <c r="AA139" s="13">
        <f t="shared" si="29"/>
        <v>16</v>
      </c>
      <c r="AB139" s="13">
        <f t="shared" si="29"/>
        <v>27</v>
      </c>
      <c r="AC139" s="13">
        <f t="shared" si="29"/>
        <v>20</v>
      </c>
      <c r="AD139" s="13">
        <f t="shared" si="29"/>
        <v>7</v>
      </c>
      <c r="AE139" s="13">
        <f t="shared" si="29"/>
        <v>621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1.0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73">
        <v>0.0</v>
      </c>
      <c r="AA141" s="73">
        <v>0.0</v>
      </c>
      <c r="AB141" s="73">
        <v>0.0</v>
      </c>
      <c r="AC141" s="73">
        <v>0.0</v>
      </c>
      <c r="AD141" s="73">
        <v>0.0</v>
      </c>
      <c r="AE141" s="13">
        <f t="shared" ref="AE141:AE150" si="30">SUM(E141:AD141)</f>
        <v>1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2.0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73">
        <v>0.0</v>
      </c>
      <c r="AA142" s="73">
        <v>0.0</v>
      </c>
      <c r="AB142" s="73">
        <v>0.0</v>
      </c>
      <c r="AC142" s="73">
        <v>0.0</v>
      </c>
      <c r="AD142" s="73">
        <v>0.0</v>
      </c>
      <c r="AE142" s="13">
        <f t="shared" si="30"/>
        <v>2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80">
        <v>0.0</v>
      </c>
      <c r="U143" s="80">
        <v>0.0</v>
      </c>
      <c r="V143" s="80">
        <v>0.0</v>
      </c>
      <c r="W143" s="80">
        <v>0.0</v>
      </c>
      <c r="X143" s="80">
        <v>0.0</v>
      </c>
      <c r="Y143" s="80">
        <v>0.0</v>
      </c>
      <c r="Z143" s="80">
        <v>0.0</v>
      </c>
      <c r="AA143" s="80">
        <v>0.0</v>
      </c>
      <c r="AB143" s="80">
        <v>0.0</v>
      </c>
      <c r="AC143" s="80">
        <v>0.0</v>
      </c>
      <c r="AD143" s="80">
        <v>0.0</v>
      </c>
      <c r="AE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0.0</v>
      </c>
      <c r="T144" s="80">
        <v>0.0</v>
      </c>
      <c r="U144" s="80">
        <v>0.0</v>
      </c>
      <c r="V144" s="80">
        <v>0.0</v>
      </c>
      <c r="W144" s="80">
        <v>0.0</v>
      </c>
      <c r="X144" s="80">
        <v>0.0</v>
      </c>
      <c r="Y144" s="80">
        <v>0.0</v>
      </c>
      <c r="Z144" s="80">
        <v>0.0</v>
      </c>
      <c r="AA144" s="80">
        <v>0.0</v>
      </c>
      <c r="AB144" s="80">
        <v>0.0</v>
      </c>
      <c r="AC144" s="80">
        <v>0.0</v>
      </c>
      <c r="AD144" s="80">
        <v>0.0</v>
      </c>
      <c r="AE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AE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2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1.0</v>
      </c>
      <c r="G153" s="73">
        <v>0.0</v>
      </c>
      <c r="H153" s="73">
        <v>0.0</v>
      </c>
      <c r="I153" s="73">
        <v>0.0</v>
      </c>
      <c r="J153" s="73">
        <v>0.0</v>
      </c>
      <c r="K153" s="73">
        <v>0.0</v>
      </c>
      <c r="L153" s="73">
        <v>0.0</v>
      </c>
      <c r="M153" s="73">
        <v>1.0</v>
      </c>
      <c r="N153" s="73">
        <v>5.0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4.0</v>
      </c>
      <c r="U153" s="73">
        <v>8.0</v>
      </c>
      <c r="V153" s="73">
        <v>0.0</v>
      </c>
      <c r="W153" s="73">
        <v>2.0</v>
      </c>
      <c r="X153" s="73">
        <v>2.0</v>
      </c>
      <c r="Y153" s="73">
        <v>1.0</v>
      </c>
      <c r="Z153" s="73">
        <v>0.0</v>
      </c>
      <c r="AA153" s="73">
        <v>0.0</v>
      </c>
      <c r="AB153" s="73">
        <v>2.0</v>
      </c>
      <c r="AC153" s="73">
        <v>1.0</v>
      </c>
      <c r="AD153" s="73">
        <v>0.0</v>
      </c>
      <c r="AE153" s="13">
        <f t="shared" ref="AE153:AE162" si="32">SUM(E153:AD153)</f>
        <v>27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1.0</v>
      </c>
      <c r="H154" s="73">
        <v>0.0</v>
      </c>
      <c r="I154" s="73">
        <v>0.0</v>
      </c>
      <c r="J154" s="73">
        <v>0.0</v>
      </c>
      <c r="K154" s="73">
        <v>1.0</v>
      </c>
      <c r="L154" s="73">
        <v>0.0</v>
      </c>
      <c r="M154" s="73">
        <v>1.0</v>
      </c>
      <c r="N154" s="73">
        <v>1.0</v>
      </c>
      <c r="O154" s="73">
        <v>0.0</v>
      </c>
      <c r="P154" s="73">
        <v>0.0</v>
      </c>
      <c r="Q154" s="73">
        <v>0.0</v>
      </c>
      <c r="R154" s="73">
        <v>0.0</v>
      </c>
      <c r="S154" s="73">
        <v>1.0</v>
      </c>
      <c r="T154" s="73">
        <v>6.0</v>
      </c>
      <c r="U154" s="73">
        <v>1.0</v>
      </c>
      <c r="V154" s="73">
        <v>0.0</v>
      </c>
      <c r="W154" s="73">
        <v>1.0</v>
      </c>
      <c r="X154" s="73">
        <v>0.0</v>
      </c>
      <c r="Y154" s="73">
        <v>1.0</v>
      </c>
      <c r="Z154" s="73">
        <v>0.0</v>
      </c>
      <c r="AA154" s="73">
        <v>0.0</v>
      </c>
      <c r="AB154" s="73">
        <v>0.0</v>
      </c>
      <c r="AC154" s="73">
        <v>0.0</v>
      </c>
      <c r="AD154" s="73">
        <v>1.0</v>
      </c>
      <c r="AE154" s="13">
        <f t="shared" si="32"/>
        <v>15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1.0</v>
      </c>
      <c r="X155" s="73">
        <v>1.0</v>
      </c>
      <c r="Y155" s="73">
        <v>1.0</v>
      </c>
      <c r="Z155" s="73">
        <v>0.0</v>
      </c>
      <c r="AA155" s="73">
        <v>0.0</v>
      </c>
      <c r="AB155" s="73">
        <v>0.0</v>
      </c>
      <c r="AC155" s="73">
        <v>0.0</v>
      </c>
      <c r="AD155" s="73">
        <v>0.0</v>
      </c>
      <c r="AE155" s="13">
        <f t="shared" si="32"/>
        <v>3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1.0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1.0</v>
      </c>
      <c r="Y156" s="73">
        <v>0.0</v>
      </c>
      <c r="Z156" s="73">
        <v>0.0</v>
      </c>
      <c r="AA156" s="73">
        <v>0.0</v>
      </c>
      <c r="AB156" s="73">
        <v>0.0</v>
      </c>
      <c r="AC156" s="73">
        <v>0.0</v>
      </c>
      <c r="AD156" s="73">
        <v>0.0</v>
      </c>
      <c r="AE156" s="13">
        <f t="shared" si="32"/>
        <v>2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1.0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73">
        <v>0.0</v>
      </c>
      <c r="AA157" s="73">
        <v>0.0</v>
      </c>
      <c r="AB157" s="73">
        <v>0.0</v>
      </c>
      <c r="AC157" s="73">
        <v>0.0</v>
      </c>
      <c r="AD157" s="73">
        <v>0.0</v>
      </c>
      <c r="AE157" s="13">
        <f t="shared" si="32"/>
        <v>1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0.0</v>
      </c>
      <c r="N158" s="80">
        <v>0.0</v>
      </c>
      <c r="O158" s="80">
        <v>0.0</v>
      </c>
      <c r="P158" s="73">
        <v>0.0</v>
      </c>
      <c r="Q158" s="80">
        <v>0.0</v>
      </c>
      <c r="R158" s="80">
        <v>0.0</v>
      </c>
      <c r="S158" s="80">
        <v>0.0</v>
      </c>
      <c r="T158" s="80">
        <v>0.0</v>
      </c>
      <c r="U158" s="80">
        <v>0.0</v>
      </c>
      <c r="V158" s="80">
        <v>0.0</v>
      </c>
      <c r="W158" s="80">
        <v>1.0</v>
      </c>
      <c r="X158" s="80">
        <v>0.0</v>
      </c>
      <c r="Y158" s="80">
        <v>0.0</v>
      </c>
      <c r="Z158" s="80">
        <v>0.0</v>
      </c>
      <c r="AA158" s="80">
        <v>0.0</v>
      </c>
      <c r="AB158" s="80">
        <v>0.0</v>
      </c>
      <c r="AC158" s="80">
        <v>0.0</v>
      </c>
      <c r="AD158" s="80">
        <v>0.0</v>
      </c>
      <c r="AE158" s="13">
        <f t="shared" si="32"/>
        <v>1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80">
        <v>0.0</v>
      </c>
      <c r="S159" s="80">
        <v>0.0</v>
      </c>
      <c r="T159" s="80">
        <v>1.0</v>
      </c>
      <c r="U159" s="80">
        <v>1.0</v>
      </c>
      <c r="V159" s="80">
        <v>0.0</v>
      </c>
      <c r="W159" s="80">
        <v>0.0</v>
      </c>
      <c r="X159" s="80">
        <v>0.0</v>
      </c>
      <c r="Y159" s="80">
        <v>0.0</v>
      </c>
      <c r="Z159" s="80">
        <v>0.0</v>
      </c>
      <c r="AA159" s="80">
        <v>0.0</v>
      </c>
      <c r="AB159" s="80">
        <v>0.0</v>
      </c>
      <c r="AC159" s="80">
        <v>0.0</v>
      </c>
      <c r="AD159" s="80">
        <v>0.0</v>
      </c>
      <c r="AE159" s="13">
        <f t="shared" si="32"/>
        <v>2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1.0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80">
        <v>0.0</v>
      </c>
      <c r="U160" s="80">
        <v>0.0</v>
      </c>
      <c r="V160" s="80">
        <v>0.0</v>
      </c>
      <c r="W160" s="80">
        <v>0.0</v>
      </c>
      <c r="X160" s="80">
        <v>0.0</v>
      </c>
      <c r="Y160" s="80">
        <v>0.0</v>
      </c>
      <c r="Z160" s="80">
        <v>0.0</v>
      </c>
      <c r="AA160" s="80">
        <v>0.0</v>
      </c>
      <c r="AB160" s="80">
        <v>0.0</v>
      </c>
      <c r="AC160" s="80">
        <v>0.0</v>
      </c>
      <c r="AD160" s="80">
        <v>0.0</v>
      </c>
      <c r="AE160" s="13">
        <f t="shared" si="32"/>
        <v>1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AE163" si="33">SUM(E153:E162)</f>
        <v>0</v>
      </c>
      <c r="F163" s="13">
        <f t="shared" si="33"/>
        <v>2</v>
      </c>
      <c r="G163" s="13">
        <f t="shared" si="33"/>
        <v>1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3</v>
      </c>
      <c r="N163" s="13">
        <f t="shared" si="33"/>
        <v>6</v>
      </c>
      <c r="O163" s="13">
        <f t="shared" si="33"/>
        <v>0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1</v>
      </c>
      <c r="T163" s="13">
        <f t="shared" si="33"/>
        <v>11</v>
      </c>
      <c r="U163" s="13">
        <f t="shared" si="33"/>
        <v>10</v>
      </c>
      <c r="V163" s="13">
        <f t="shared" si="33"/>
        <v>0</v>
      </c>
      <c r="W163" s="13">
        <f t="shared" si="33"/>
        <v>5</v>
      </c>
      <c r="X163" s="13">
        <f t="shared" si="33"/>
        <v>4</v>
      </c>
      <c r="Y163" s="13">
        <f t="shared" si="33"/>
        <v>3</v>
      </c>
      <c r="Z163" s="13">
        <f t="shared" si="33"/>
        <v>0</v>
      </c>
      <c r="AA163" s="13">
        <f t="shared" si="33"/>
        <v>0</v>
      </c>
      <c r="AB163" s="13">
        <f t="shared" si="33"/>
        <v>2</v>
      </c>
      <c r="AC163" s="13">
        <f t="shared" si="33"/>
        <v>1</v>
      </c>
      <c r="AD163" s="13">
        <f t="shared" si="33"/>
        <v>1</v>
      </c>
      <c r="AE163" s="13">
        <f t="shared" si="33"/>
        <v>52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1.0</v>
      </c>
      <c r="F165" s="73">
        <v>0.0</v>
      </c>
      <c r="G165" s="73">
        <v>0.0</v>
      </c>
      <c r="H165" s="73">
        <v>2.0</v>
      </c>
      <c r="I165" s="73">
        <v>0.0</v>
      </c>
      <c r="J165" s="73">
        <v>0.0</v>
      </c>
      <c r="K165" s="73">
        <v>0.0</v>
      </c>
      <c r="L165" s="73">
        <v>0.0</v>
      </c>
      <c r="M165" s="73">
        <v>0.0</v>
      </c>
      <c r="N165" s="73">
        <v>0.0</v>
      </c>
      <c r="O165" s="73">
        <v>1.0</v>
      </c>
      <c r="P165" s="73">
        <v>0.0</v>
      </c>
      <c r="Q165" s="73">
        <v>0.0</v>
      </c>
      <c r="R165" s="73">
        <v>1.0</v>
      </c>
      <c r="S165" s="73">
        <v>2.0</v>
      </c>
      <c r="T165" s="73">
        <v>1.0</v>
      </c>
      <c r="U165" s="73">
        <v>0.0</v>
      </c>
      <c r="V165" s="73">
        <v>2.0</v>
      </c>
      <c r="W165" s="73">
        <v>0.0</v>
      </c>
      <c r="X165" s="73">
        <v>0.0</v>
      </c>
      <c r="Y165" s="73">
        <v>0.0</v>
      </c>
      <c r="Z165" s="73">
        <v>0.0</v>
      </c>
      <c r="AA165" s="73">
        <v>0.0</v>
      </c>
      <c r="AB165" s="73">
        <v>1.0</v>
      </c>
      <c r="AC165" s="73">
        <v>0.0</v>
      </c>
      <c r="AD165" s="73">
        <v>1.0</v>
      </c>
      <c r="AE165" s="13">
        <f t="shared" ref="AE165:AE174" si="34">SUM(E165:AD165)</f>
        <v>12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0.0</v>
      </c>
      <c r="F166" s="80">
        <v>0.0</v>
      </c>
      <c r="G166" s="80">
        <v>1.0</v>
      </c>
      <c r="H166" s="80">
        <v>0.0</v>
      </c>
      <c r="I166" s="80">
        <v>0.0</v>
      </c>
      <c r="J166" s="80">
        <v>0.0</v>
      </c>
      <c r="K166" s="80">
        <v>1.0</v>
      </c>
      <c r="L166" s="80">
        <v>0.0</v>
      </c>
      <c r="M166" s="80">
        <v>0.0</v>
      </c>
      <c r="N166" s="80">
        <v>0.0</v>
      </c>
      <c r="O166" s="80">
        <v>1.0</v>
      </c>
      <c r="P166" s="80">
        <v>1.0</v>
      </c>
      <c r="Q166" s="80">
        <v>1.0</v>
      </c>
      <c r="R166" s="80">
        <v>1.0</v>
      </c>
      <c r="S166" s="80">
        <v>0.0</v>
      </c>
      <c r="T166" s="80">
        <v>0.0</v>
      </c>
      <c r="U166" s="80">
        <v>0.0</v>
      </c>
      <c r="V166" s="80">
        <v>2.0</v>
      </c>
      <c r="W166" s="80">
        <v>3.0</v>
      </c>
      <c r="X166" s="80">
        <v>0.0</v>
      </c>
      <c r="Y166" s="80">
        <v>0.0</v>
      </c>
      <c r="Z166" s="80">
        <v>2.0</v>
      </c>
      <c r="AA166" s="80">
        <v>0.0</v>
      </c>
      <c r="AB166" s="80">
        <v>1.0</v>
      </c>
      <c r="AC166" s="80">
        <v>0.0</v>
      </c>
      <c r="AD166" s="80">
        <v>0.0</v>
      </c>
      <c r="AE166" s="13">
        <f t="shared" si="34"/>
        <v>14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AE175" si="35">SUM(E165:E174)</f>
        <v>1</v>
      </c>
      <c r="F175" s="13">
        <f t="shared" si="35"/>
        <v>0</v>
      </c>
      <c r="G175" s="13">
        <f t="shared" si="35"/>
        <v>1</v>
      </c>
      <c r="H175" s="13">
        <f t="shared" si="35"/>
        <v>2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2</v>
      </c>
      <c r="P175" s="13">
        <f t="shared" si="35"/>
        <v>1</v>
      </c>
      <c r="Q175" s="13">
        <f t="shared" si="35"/>
        <v>1</v>
      </c>
      <c r="R175" s="13">
        <f t="shared" si="35"/>
        <v>2</v>
      </c>
      <c r="S175" s="13">
        <f t="shared" si="35"/>
        <v>2</v>
      </c>
      <c r="T175" s="13">
        <f t="shared" si="35"/>
        <v>1</v>
      </c>
      <c r="U175" s="13">
        <f t="shared" si="35"/>
        <v>0</v>
      </c>
      <c r="V175" s="13">
        <f t="shared" si="35"/>
        <v>4</v>
      </c>
      <c r="W175" s="13">
        <f t="shared" si="35"/>
        <v>3</v>
      </c>
      <c r="X175" s="13">
        <f t="shared" si="35"/>
        <v>0</v>
      </c>
      <c r="Y175" s="13">
        <f t="shared" si="35"/>
        <v>0</v>
      </c>
      <c r="Z175" s="13">
        <f t="shared" si="35"/>
        <v>2</v>
      </c>
      <c r="AA175" s="13">
        <f t="shared" si="35"/>
        <v>0</v>
      </c>
      <c r="AB175" s="13">
        <f t="shared" si="35"/>
        <v>2</v>
      </c>
      <c r="AC175" s="13">
        <f t="shared" si="35"/>
        <v>0</v>
      </c>
      <c r="AD175" s="13">
        <f t="shared" si="35"/>
        <v>1</v>
      </c>
      <c r="AE175" s="13">
        <f t="shared" si="35"/>
        <v>26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2.0</v>
      </c>
      <c r="F177" s="73">
        <v>4.0</v>
      </c>
      <c r="G177" s="73">
        <v>4.0</v>
      </c>
      <c r="H177" s="73">
        <v>0.0</v>
      </c>
      <c r="I177" s="73">
        <v>0.0</v>
      </c>
      <c r="J177" s="73">
        <v>0.0</v>
      </c>
      <c r="K177" s="73">
        <v>2.0</v>
      </c>
      <c r="L177" s="73">
        <v>3.0</v>
      </c>
      <c r="M177" s="73">
        <v>2.0</v>
      </c>
      <c r="N177" s="73">
        <v>2.0</v>
      </c>
      <c r="O177" s="73">
        <v>0.0</v>
      </c>
      <c r="P177" s="73">
        <v>4.0</v>
      </c>
      <c r="Q177" s="73">
        <v>2.0</v>
      </c>
      <c r="R177" s="73">
        <v>1.0</v>
      </c>
      <c r="S177" s="73">
        <v>2.0</v>
      </c>
      <c r="T177" s="73">
        <v>1.0</v>
      </c>
      <c r="U177" s="73">
        <v>0.0</v>
      </c>
      <c r="V177" s="73">
        <v>3.0</v>
      </c>
      <c r="W177" s="73">
        <v>0.0</v>
      </c>
      <c r="X177" s="73">
        <v>0.0</v>
      </c>
      <c r="Y177" s="73">
        <v>2.0</v>
      </c>
      <c r="Z177" s="73">
        <v>0.0</v>
      </c>
      <c r="AA177" s="73">
        <v>0.0</v>
      </c>
      <c r="AB177" s="73">
        <v>1.0</v>
      </c>
      <c r="AC177" s="73">
        <v>3.0</v>
      </c>
      <c r="AD177" s="73">
        <v>6.0</v>
      </c>
      <c r="AE177" s="13">
        <f t="shared" ref="AE177:AE186" si="36">SUM(E177:AD177)</f>
        <v>44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3.0</v>
      </c>
      <c r="F178" s="73">
        <v>0.0</v>
      </c>
      <c r="G178" s="73">
        <v>0.0</v>
      </c>
      <c r="H178" s="73">
        <v>0.0</v>
      </c>
      <c r="I178" s="73">
        <v>0.0</v>
      </c>
      <c r="J178" s="73">
        <v>3.0</v>
      </c>
      <c r="K178" s="73">
        <v>0.0</v>
      </c>
      <c r="L178" s="73">
        <v>3.0</v>
      </c>
      <c r="M178" s="73">
        <v>2.0</v>
      </c>
      <c r="N178" s="73">
        <v>1.0</v>
      </c>
      <c r="O178" s="73">
        <v>2.0</v>
      </c>
      <c r="P178" s="73">
        <v>1.0</v>
      </c>
      <c r="Q178" s="73">
        <v>2.0</v>
      </c>
      <c r="R178" s="73">
        <v>1.0</v>
      </c>
      <c r="S178" s="73">
        <v>3.0</v>
      </c>
      <c r="T178" s="73">
        <v>0.0</v>
      </c>
      <c r="U178" s="73">
        <v>0.0</v>
      </c>
      <c r="V178" s="73">
        <v>0.0</v>
      </c>
      <c r="W178" s="73">
        <v>0.0</v>
      </c>
      <c r="X178" s="73">
        <v>2.0</v>
      </c>
      <c r="Y178" s="73">
        <v>2.0</v>
      </c>
      <c r="Z178" s="73">
        <v>1.0</v>
      </c>
      <c r="AA178" s="73">
        <v>0.0</v>
      </c>
      <c r="AB178" s="73">
        <v>2.0</v>
      </c>
      <c r="AC178" s="73">
        <v>1.0</v>
      </c>
      <c r="AD178" s="73">
        <v>6.0</v>
      </c>
      <c r="AE178" s="13">
        <f t="shared" si="36"/>
        <v>35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1.0</v>
      </c>
      <c r="G179" s="73">
        <v>0.0</v>
      </c>
      <c r="H179" s="73">
        <v>0.0</v>
      </c>
      <c r="I179" s="73">
        <v>1.0</v>
      </c>
      <c r="J179" s="73">
        <v>1.0</v>
      </c>
      <c r="K179" s="73">
        <v>0.0</v>
      </c>
      <c r="L179" s="73">
        <v>1.0</v>
      </c>
      <c r="M179" s="73">
        <v>1.0</v>
      </c>
      <c r="N179" s="73">
        <v>0.0</v>
      </c>
      <c r="O179" s="73">
        <v>0.0</v>
      </c>
      <c r="P179" s="73">
        <v>0.0</v>
      </c>
      <c r="Q179" s="73">
        <v>0.0</v>
      </c>
      <c r="R179" s="73">
        <v>0.0</v>
      </c>
      <c r="S179" s="73">
        <v>0.0</v>
      </c>
      <c r="T179" s="73">
        <v>1.0</v>
      </c>
      <c r="U179" s="73">
        <v>0.0</v>
      </c>
      <c r="V179" s="73">
        <v>1.0</v>
      </c>
      <c r="W179" s="73">
        <v>0.0</v>
      </c>
      <c r="X179" s="73">
        <v>0.0</v>
      </c>
      <c r="Y179" s="73">
        <v>1.0</v>
      </c>
      <c r="Z179" s="73">
        <v>0.0</v>
      </c>
      <c r="AA179" s="73">
        <v>0.0</v>
      </c>
      <c r="AB179" s="73">
        <v>0.0</v>
      </c>
      <c r="AC179" s="73">
        <v>0.0</v>
      </c>
      <c r="AD179" s="73">
        <v>1.0</v>
      </c>
      <c r="AE179" s="13">
        <f t="shared" si="36"/>
        <v>9</v>
      </c>
    </row>
    <row r="180" ht="12.75" customHeight="1">
      <c r="A180" s="18"/>
      <c r="B180" s="49"/>
      <c r="C180" s="50" t="s">
        <v>133</v>
      </c>
      <c r="D180" s="51"/>
      <c r="E180" s="73">
        <v>0.0</v>
      </c>
      <c r="F180" s="73">
        <v>1.0</v>
      </c>
      <c r="G180" s="73">
        <v>1.0</v>
      </c>
      <c r="H180" s="73">
        <v>0.0</v>
      </c>
      <c r="I180" s="73">
        <v>0.0</v>
      </c>
      <c r="J180" s="73">
        <v>0.0</v>
      </c>
      <c r="K180" s="73">
        <v>0.0</v>
      </c>
      <c r="L180" s="73">
        <v>0.0</v>
      </c>
      <c r="M180" s="73">
        <v>2.0</v>
      </c>
      <c r="N180" s="73">
        <v>0.0</v>
      </c>
      <c r="O180" s="73">
        <v>0.0</v>
      </c>
      <c r="P180" s="73">
        <v>0.0</v>
      </c>
      <c r="Q180" s="73">
        <v>1.0</v>
      </c>
      <c r="R180" s="73">
        <v>1.0</v>
      </c>
      <c r="S180" s="73">
        <v>0.0</v>
      </c>
      <c r="T180" s="73">
        <v>1.0</v>
      </c>
      <c r="U180" s="73">
        <v>0.0</v>
      </c>
      <c r="V180" s="73">
        <v>1.0</v>
      </c>
      <c r="W180" s="73">
        <v>1.0</v>
      </c>
      <c r="X180" s="73">
        <v>1.0</v>
      </c>
      <c r="Y180" s="73">
        <v>1.0</v>
      </c>
      <c r="Z180" s="73">
        <v>1.0</v>
      </c>
      <c r="AA180" s="73">
        <v>0.0</v>
      </c>
      <c r="AB180" s="73">
        <v>1.0</v>
      </c>
      <c r="AC180" s="73">
        <v>1.0</v>
      </c>
      <c r="AD180" s="73">
        <v>2.0</v>
      </c>
      <c r="AE180" s="13">
        <f t="shared" si="36"/>
        <v>16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2.0</v>
      </c>
      <c r="G181" s="73">
        <v>1.0</v>
      </c>
      <c r="H181" s="73">
        <v>2.0</v>
      </c>
      <c r="I181" s="73">
        <v>1.0</v>
      </c>
      <c r="J181" s="73">
        <v>2.0</v>
      </c>
      <c r="K181" s="73">
        <v>1.0</v>
      </c>
      <c r="L181" s="73">
        <v>1.0</v>
      </c>
      <c r="M181" s="73">
        <v>0.0</v>
      </c>
      <c r="N181" s="73">
        <v>0.0</v>
      </c>
      <c r="O181" s="73">
        <v>0.0</v>
      </c>
      <c r="P181" s="73">
        <v>1.0</v>
      </c>
      <c r="Q181" s="73">
        <v>0.0</v>
      </c>
      <c r="R181" s="73">
        <v>0.0</v>
      </c>
      <c r="S181" s="73">
        <v>2.0</v>
      </c>
      <c r="T181" s="73">
        <v>0.0</v>
      </c>
      <c r="U181" s="73">
        <v>1.0</v>
      </c>
      <c r="V181" s="73">
        <v>1.0</v>
      </c>
      <c r="W181" s="73">
        <v>0.0</v>
      </c>
      <c r="X181" s="73">
        <v>0.0</v>
      </c>
      <c r="Y181" s="73">
        <v>0.0</v>
      </c>
      <c r="Z181" s="73">
        <v>1.0</v>
      </c>
      <c r="AA181" s="73">
        <v>0.0</v>
      </c>
      <c r="AB181" s="73">
        <v>0.0</v>
      </c>
      <c r="AC181" s="73">
        <v>0.0</v>
      </c>
      <c r="AD181" s="73">
        <v>1.0</v>
      </c>
      <c r="AE181" s="13">
        <f t="shared" si="36"/>
        <v>17</v>
      </c>
    </row>
    <row r="182" ht="12.75" customHeight="1">
      <c r="A182" s="18"/>
      <c r="B182" s="49"/>
      <c r="C182" s="50" t="s">
        <v>135</v>
      </c>
      <c r="D182" s="51"/>
      <c r="E182" s="73">
        <v>1.0</v>
      </c>
      <c r="F182" s="73">
        <v>1.0</v>
      </c>
      <c r="G182" s="73">
        <v>0.0</v>
      </c>
      <c r="H182" s="73">
        <v>0.0</v>
      </c>
      <c r="I182" s="73">
        <v>0.0</v>
      </c>
      <c r="J182" s="73">
        <v>1.0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0.0</v>
      </c>
      <c r="V182" s="73">
        <v>0.0</v>
      </c>
      <c r="W182" s="73">
        <v>0.0</v>
      </c>
      <c r="X182" s="73">
        <v>0.0</v>
      </c>
      <c r="Y182" s="73">
        <v>1.0</v>
      </c>
      <c r="Z182" s="73">
        <v>0.0</v>
      </c>
      <c r="AA182" s="73">
        <v>0.0</v>
      </c>
      <c r="AB182" s="73">
        <v>1.0</v>
      </c>
      <c r="AC182" s="73">
        <v>1.0</v>
      </c>
      <c r="AD182" s="73">
        <v>1.0</v>
      </c>
      <c r="AE182" s="13">
        <f t="shared" si="36"/>
        <v>7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1.0</v>
      </c>
      <c r="H183" s="73">
        <v>0.0</v>
      </c>
      <c r="I183" s="73">
        <v>0.0</v>
      </c>
      <c r="J183" s="73">
        <v>1.0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1.0</v>
      </c>
      <c r="T183" s="73">
        <v>1.0</v>
      </c>
      <c r="U183" s="73">
        <v>0.0</v>
      </c>
      <c r="V183" s="73">
        <v>0.0</v>
      </c>
      <c r="W183" s="73">
        <v>0.0</v>
      </c>
      <c r="X183" s="73">
        <v>0.0</v>
      </c>
      <c r="Y183" s="73">
        <v>1.0</v>
      </c>
      <c r="Z183" s="73">
        <v>0.0</v>
      </c>
      <c r="AA183" s="73">
        <v>0.0</v>
      </c>
      <c r="AB183" s="73">
        <v>0.0</v>
      </c>
      <c r="AC183" s="73">
        <v>0.0</v>
      </c>
      <c r="AD183" s="73">
        <v>0.0</v>
      </c>
      <c r="AE183" s="13">
        <f t="shared" si="36"/>
        <v>5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0.0</v>
      </c>
      <c r="J184" s="80">
        <v>0.0</v>
      </c>
      <c r="K184" s="80">
        <v>0.0</v>
      </c>
      <c r="L184" s="80">
        <v>1.0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80">
        <v>0.0</v>
      </c>
      <c r="T184" s="80">
        <v>0.0</v>
      </c>
      <c r="U184" s="80">
        <v>0.0</v>
      </c>
      <c r="V184" s="80">
        <v>0.0</v>
      </c>
      <c r="W184" s="80">
        <v>0.0</v>
      </c>
      <c r="X184" s="80">
        <v>0.0</v>
      </c>
      <c r="Y184" s="80">
        <v>0.0</v>
      </c>
      <c r="Z184" s="80">
        <v>0.0</v>
      </c>
      <c r="AA184" s="80">
        <v>0.0</v>
      </c>
      <c r="AB184" s="80">
        <v>1.0</v>
      </c>
      <c r="AC184" s="80">
        <v>0.0</v>
      </c>
      <c r="AD184" s="80">
        <v>0.0</v>
      </c>
      <c r="AE184" s="13">
        <f t="shared" si="36"/>
        <v>2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0.0</v>
      </c>
      <c r="G185" s="80">
        <v>1.0</v>
      </c>
      <c r="H185" s="80">
        <v>0.0</v>
      </c>
      <c r="I185" s="80">
        <v>0.0</v>
      </c>
      <c r="J185" s="80">
        <v>0.0</v>
      </c>
      <c r="K185" s="80">
        <v>0.0</v>
      </c>
      <c r="L185" s="80">
        <v>0.0</v>
      </c>
      <c r="M185" s="80">
        <v>0.0</v>
      </c>
      <c r="N185" s="80">
        <v>0.0</v>
      </c>
      <c r="O185" s="80">
        <v>0.0</v>
      </c>
      <c r="P185" s="80">
        <v>0.0</v>
      </c>
      <c r="Q185" s="80">
        <v>0.0</v>
      </c>
      <c r="R185" s="80">
        <v>1.0</v>
      </c>
      <c r="S185" s="80">
        <v>0.0</v>
      </c>
      <c r="T185" s="80">
        <v>0.0</v>
      </c>
      <c r="U185" s="80">
        <v>0.0</v>
      </c>
      <c r="V185" s="80">
        <v>1.0</v>
      </c>
      <c r="W185" s="80">
        <v>0.0</v>
      </c>
      <c r="X185" s="80">
        <v>0.0</v>
      </c>
      <c r="Y185" s="80">
        <v>0.0</v>
      </c>
      <c r="Z185" s="80">
        <v>0.0</v>
      </c>
      <c r="AA185" s="80">
        <v>0.0</v>
      </c>
      <c r="AB185" s="80">
        <v>0.0</v>
      </c>
      <c r="AC185" s="80">
        <v>1.0</v>
      </c>
      <c r="AD185" s="80">
        <v>0.0</v>
      </c>
      <c r="AE185" s="13">
        <f t="shared" si="36"/>
        <v>4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1.0</v>
      </c>
      <c r="L186" s="80">
        <v>0.0</v>
      </c>
      <c r="M186" s="80">
        <v>0.0</v>
      </c>
      <c r="N186" s="80">
        <v>0.0</v>
      </c>
      <c r="O186" s="80">
        <v>0.0</v>
      </c>
      <c r="P186" s="80">
        <v>0.0</v>
      </c>
      <c r="Q186" s="80">
        <v>0.0</v>
      </c>
      <c r="R186" s="80">
        <v>0.0</v>
      </c>
      <c r="S186" s="80">
        <v>0.0</v>
      </c>
      <c r="T186" s="80">
        <v>0.0</v>
      </c>
      <c r="U186" s="80">
        <v>0.0</v>
      </c>
      <c r="V186" s="80">
        <v>1.0</v>
      </c>
      <c r="W186" s="80">
        <v>0.0</v>
      </c>
      <c r="X186" s="80">
        <v>0.0</v>
      </c>
      <c r="Y186" s="80">
        <v>0.0</v>
      </c>
      <c r="Z186" s="80">
        <v>0.0</v>
      </c>
      <c r="AA186" s="80">
        <v>0.0</v>
      </c>
      <c r="AB186" s="80">
        <v>0.0</v>
      </c>
      <c r="AC186" s="80">
        <v>0.0</v>
      </c>
      <c r="AD186" s="80">
        <v>0.0</v>
      </c>
      <c r="AE186" s="13">
        <f t="shared" si="36"/>
        <v>2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AE187" si="37">SUM(E177:E186)</f>
        <v>6</v>
      </c>
      <c r="F187" s="13">
        <f t="shared" si="37"/>
        <v>9</v>
      </c>
      <c r="G187" s="13">
        <f t="shared" si="37"/>
        <v>8</v>
      </c>
      <c r="H187" s="13">
        <f t="shared" si="37"/>
        <v>2</v>
      </c>
      <c r="I187" s="13">
        <f t="shared" si="37"/>
        <v>2</v>
      </c>
      <c r="J187" s="13">
        <f t="shared" si="37"/>
        <v>8</v>
      </c>
      <c r="K187" s="13">
        <f t="shared" si="37"/>
        <v>4</v>
      </c>
      <c r="L187" s="13">
        <f t="shared" si="37"/>
        <v>9</v>
      </c>
      <c r="M187" s="13">
        <f t="shared" si="37"/>
        <v>7</v>
      </c>
      <c r="N187" s="13">
        <f t="shared" si="37"/>
        <v>3</v>
      </c>
      <c r="O187" s="13">
        <f t="shared" si="37"/>
        <v>2</v>
      </c>
      <c r="P187" s="13">
        <f t="shared" si="37"/>
        <v>6</v>
      </c>
      <c r="Q187" s="13">
        <f t="shared" si="37"/>
        <v>5</v>
      </c>
      <c r="R187" s="13">
        <f t="shared" si="37"/>
        <v>4</v>
      </c>
      <c r="S187" s="13">
        <f t="shared" si="37"/>
        <v>8</v>
      </c>
      <c r="T187" s="13">
        <f t="shared" si="37"/>
        <v>4</v>
      </c>
      <c r="U187" s="13">
        <f t="shared" si="37"/>
        <v>1</v>
      </c>
      <c r="V187" s="13">
        <f t="shared" si="37"/>
        <v>8</v>
      </c>
      <c r="W187" s="13">
        <f t="shared" si="37"/>
        <v>1</v>
      </c>
      <c r="X187" s="13">
        <f t="shared" si="37"/>
        <v>3</v>
      </c>
      <c r="Y187" s="13">
        <f t="shared" si="37"/>
        <v>8</v>
      </c>
      <c r="Z187" s="13">
        <f t="shared" si="37"/>
        <v>3</v>
      </c>
      <c r="AA187" s="13">
        <f t="shared" si="37"/>
        <v>0</v>
      </c>
      <c r="AB187" s="13">
        <f t="shared" si="37"/>
        <v>6</v>
      </c>
      <c r="AC187" s="13">
        <f t="shared" si="37"/>
        <v>7</v>
      </c>
      <c r="AD187" s="13">
        <f t="shared" si="37"/>
        <v>17</v>
      </c>
      <c r="AE187" s="13">
        <f t="shared" si="37"/>
        <v>141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T188" s="81"/>
      <c r="U188" s="81"/>
      <c r="V188" s="81"/>
      <c r="W188" s="81"/>
      <c r="X188" s="81"/>
      <c r="AE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1.0</v>
      </c>
      <c r="F189" s="73">
        <v>0.0</v>
      </c>
      <c r="G189" s="73">
        <v>0.0</v>
      </c>
      <c r="H189" s="73">
        <v>0.0</v>
      </c>
      <c r="I189" s="73">
        <v>0.0</v>
      </c>
      <c r="J189" s="73">
        <v>1.0</v>
      </c>
      <c r="K189" s="73">
        <v>0.0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1.0</v>
      </c>
      <c r="U189" s="73">
        <v>0.0</v>
      </c>
      <c r="V189" s="73">
        <v>0.0</v>
      </c>
      <c r="W189" s="73">
        <v>0.0</v>
      </c>
      <c r="X189" s="73">
        <v>0.0</v>
      </c>
      <c r="Y189" s="73">
        <v>0.0</v>
      </c>
      <c r="Z189" s="73">
        <v>0.0</v>
      </c>
      <c r="AA189" s="73">
        <v>0.0</v>
      </c>
      <c r="AB189" s="73">
        <v>0.0</v>
      </c>
      <c r="AC189" s="73">
        <v>0.0</v>
      </c>
      <c r="AD189" s="73">
        <v>0.0</v>
      </c>
      <c r="AE189" s="13">
        <f t="shared" ref="AE189:AE198" si="38">SUM(E189:AD189)</f>
        <v>3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2.0</v>
      </c>
      <c r="H190" s="73">
        <v>0.0</v>
      </c>
      <c r="I190" s="73">
        <v>2.0</v>
      </c>
      <c r="J190" s="73">
        <v>0.0</v>
      </c>
      <c r="K190" s="73">
        <v>0.0</v>
      </c>
      <c r="L190" s="73">
        <v>0.0</v>
      </c>
      <c r="M190" s="73">
        <v>1.0</v>
      </c>
      <c r="N190" s="73">
        <v>0.0</v>
      </c>
      <c r="O190" s="73">
        <v>0.0</v>
      </c>
      <c r="P190" s="73">
        <v>0.0</v>
      </c>
      <c r="Q190" s="73">
        <v>2.0</v>
      </c>
      <c r="R190" s="73">
        <v>0.0</v>
      </c>
      <c r="S190" s="73">
        <v>1.0</v>
      </c>
      <c r="T190" s="73">
        <v>0.0</v>
      </c>
      <c r="U190" s="73">
        <v>0.0</v>
      </c>
      <c r="V190" s="73">
        <v>0.0</v>
      </c>
      <c r="W190" s="73">
        <v>0.0</v>
      </c>
      <c r="X190" s="73">
        <v>0.0</v>
      </c>
      <c r="Y190" s="73">
        <v>0.0</v>
      </c>
      <c r="Z190" s="73">
        <v>0.0</v>
      </c>
      <c r="AA190" s="73">
        <v>0.0</v>
      </c>
      <c r="AB190" s="73">
        <v>0.0</v>
      </c>
      <c r="AC190" s="73">
        <v>0.0</v>
      </c>
      <c r="AD190" s="73">
        <v>1.0</v>
      </c>
      <c r="AE190" s="13">
        <f t="shared" si="38"/>
        <v>9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1.0</v>
      </c>
      <c r="K191" s="73">
        <v>0.0</v>
      </c>
      <c r="L191" s="73">
        <v>0.0</v>
      </c>
      <c r="M191" s="73">
        <v>0.0</v>
      </c>
      <c r="N191" s="73">
        <v>1.0</v>
      </c>
      <c r="O191" s="73">
        <v>1.0</v>
      </c>
      <c r="P191" s="73">
        <v>0.0</v>
      </c>
      <c r="Q191" s="73">
        <v>0.0</v>
      </c>
      <c r="R191" s="73">
        <v>0.0</v>
      </c>
      <c r="S191" s="73">
        <v>0.0</v>
      </c>
      <c r="T191" s="73">
        <v>1.0</v>
      </c>
      <c r="U191" s="73">
        <v>0.0</v>
      </c>
      <c r="V191" s="73">
        <v>0.0</v>
      </c>
      <c r="W191" s="73">
        <v>0.0</v>
      </c>
      <c r="X191" s="73">
        <v>0.0</v>
      </c>
      <c r="Y191" s="73">
        <v>0.0</v>
      </c>
      <c r="Z191" s="73">
        <v>0.0</v>
      </c>
      <c r="AA191" s="73">
        <v>0.0</v>
      </c>
      <c r="AB191" s="73">
        <v>0.0</v>
      </c>
      <c r="AC191" s="73">
        <v>0.0</v>
      </c>
      <c r="AD191" s="73">
        <v>0.0</v>
      </c>
      <c r="AE191" s="13">
        <f t="shared" si="38"/>
        <v>4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73">
        <v>0.0</v>
      </c>
      <c r="AA192" s="73">
        <v>0.0</v>
      </c>
      <c r="AB192" s="73">
        <v>0.0</v>
      </c>
      <c r="AC192" s="73">
        <v>0.0</v>
      </c>
      <c r="AD192" s="73">
        <v>0.0</v>
      </c>
      <c r="AE192" s="13">
        <f t="shared" si="38"/>
        <v>0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1.0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73">
        <v>0.0</v>
      </c>
      <c r="AA193" s="73">
        <v>0.0</v>
      </c>
      <c r="AB193" s="73">
        <v>0.0</v>
      </c>
      <c r="AC193" s="73">
        <v>0.0</v>
      </c>
      <c r="AD193" s="73">
        <v>1.0</v>
      </c>
      <c r="AE193" s="13">
        <f t="shared" si="38"/>
        <v>2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1.0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1.0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73">
        <v>0.0</v>
      </c>
      <c r="AA194" s="73">
        <v>0.0</v>
      </c>
      <c r="AB194" s="73">
        <v>0.0</v>
      </c>
      <c r="AC194" s="73">
        <v>0.0</v>
      </c>
      <c r="AD194" s="73">
        <v>0.0</v>
      </c>
      <c r="AE194" s="13">
        <f t="shared" si="38"/>
        <v>2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73">
        <v>0.0</v>
      </c>
      <c r="AA195" s="73">
        <v>0.0</v>
      </c>
      <c r="AB195" s="73">
        <v>0.0</v>
      </c>
      <c r="AC195" s="73">
        <v>0.0</v>
      </c>
      <c r="AD195" s="73">
        <v>0.0</v>
      </c>
      <c r="AE195" s="13">
        <f t="shared" si="38"/>
        <v>0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1.0</v>
      </c>
      <c r="O196" s="80">
        <v>0.0</v>
      </c>
      <c r="P196" s="80">
        <v>0.0</v>
      </c>
      <c r="Q196" s="80">
        <v>0.0</v>
      </c>
      <c r="R196" s="80">
        <v>0.0</v>
      </c>
      <c r="S196" s="80">
        <v>0.0</v>
      </c>
      <c r="T196" s="80">
        <v>0.0</v>
      </c>
      <c r="U196" s="80">
        <v>0.0</v>
      </c>
      <c r="V196" s="80">
        <v>0.0</v>
      </c>
      <c r="W196" s="80">
        <v>0.0</v>
      </c>
      <c r="X196" s="80">
        <v>0.0</v>
      </c>
      <c r="Y196" s="80">
        <v>0.0</v>
      </c>
      <c r="Z196" s="80">
        <v>0.0</v>
      </c>
      <c r="AA196" s="80">
        <v>0.0</v>
      </c>
      <c r="AB196" s="80">
        <v>0.0</v>
      </c>
      <c r="AC196" s="80">
        <v>0.0</v>
      </c>
      <c r="AD196" s="80">
        <v>0.0</v>
      </c>
      <c r="AE196" s="13">
        <f t="shared" si="38"/>
        <v>1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1.0</v>
      </c>
      <c r="J197" s="80">
        <v>0.0</v>
      </c>
      <c r="K197" s="80">
        <v>0.0</v>
      </c>
      <c r="L197" s="80">
        <v>0.0</v>
      </c>
      <c r="M197" s="80">
        <v>0.0</v>
      </c>
      <c r="N197" s="80">
        <v>1.0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0">
        <v>0.0</v>
      </c>
      <c r="U197" s="80">
        <v>0.0</v>
      </c>
      <c r="V197" s="80">
        <v>0.0</v>
      </c>
      <c r="W197" s="80">
        <v>0.0</v>
      </c>
      <c r="X197" s="80">
        <v>0.0</v>
      </c>
      <c r="Y197" s="80">
        <v>0.0</v>
      </c>
      <c r="Z197" s="80">
        <v>0.0</v>
      </c>
      <c r="AA197" s="80">
        <v>0.0</v>
      </c>
      <c r="AB197" s="80">
        <v>0.0</v>
      </c>
      <c r="AC197" s="80">
        <v>0.0</v>
      </c>
      <c r="AD197" s="80">
        <v>0.0</v>
      </c>
      <c r="AE197" s="13">
        <f t="shared" si="38"/>
        <v>2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80">
        <v>0.0</v>
      </c>
      <c r="V198" s="80">
        <v>0.0</v>
      </c>
      <c r="W198" s="80">
        <v>0.0</v>
      </c>
      <c r="X198" s="80">
        <v>0.0</v>
      </c>
      <c r="Y198" s="80">
        <v>0.0</v>
      </c>
      <c r="Z198" s="80">
        <v>0.0</v>
      </c>
      <c r="AA198" s="80">
        <v>0.0</v>
      </c>
      <c r="AB198" s="80">
        <v>0.0</v>
      </c>
      <c r="AC198" s="80">
        <v>0.0</v>
      </c>
      <c r="AD198" s="80">
        <v>0.0</v>
      </c>
      <c r="AE198" s="13">
        <f t="shared" si="38"/>
        <v>0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AE199" si="39">SUM(E189:E198)</f>
        <v>1</v>
      </c>
      <c r="F199" s="13">
        <f t="shared" si="39"/>
        <v>0</v>
      </c>
      <c r="G199" s="13">
        <f t="shared" si="39"/>
        <v>2</v>
      </c>
      <c r="H199" s="13">
        <f t="shared" si="39"/>
        <v>1</v>
      </c>
      <c r="I199" s="13">
        <f t="shared" si="39"/>
        <v>3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3</v>
      </c>
      <c r="O199" s="13">
        <f t="shared" si="39"/>
        <v>2</v>
      </c>
      <c r="P199" s="13">
        <f t="shared" si="39"/>
        <v>0</v>
      </c>
      <c r="Q199" s="13">
        <f t="shared" si="39"/>
        <v>2</v>
      </c>
      <c r="R199" s="13">
        <f t="shared" si="39"/>
        <v>0</v>
      </c>
      <c r="S199" s="13">
        <f t="shared" si="39"/>
        <v>2</v>
      </c>
      <c r="T199" s="13">
        <f t="shared" si="39"/>
        <v>2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0</v>
      </c>
      <c r="AD199" s="13">
        <f t="shared" si="39"/>
        <v>2</v>
      </c>
      <c r="AE199" s="13">
        <f t="shared" si="39"/>
        <v>23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4.0</v>
      </c>
      <c r="F201" s="73">
        <v>4.0</v>
      </c>
      <c r="G201" s="73">
        <v>4.0</v>
      </c>
      <c r="H201" s="73">
        <v>4.0</v>
      </c>
      <c r="I201" s="73">
        <v>2.0</v>
      </c>
      <c r="J201" s="73">
        <v>1.0</v>
      </c>
      <c r="K201" s="73">
        <v>12.0</v>
      </c>
      <c r="L201" s="73">
        <v>9.0</v>
      </c>
      <c r="M201" s="73">
        <v>12.0</v>
      </c>
      <c r="N201" s="73">
        <v>11.0</v>
      </c>
      <c r="O201" s="73">
        <v>4.0</v>
      </c>
      <c r="P201" s="73">
        <v>10.0</v>
      </c>
      <c r="Q201" s="73">
        <v>4.0</v>
      </c>
      <c r="R201" s="73">
        <v>4.0</v>
      </c>
      <c r="S201" s="73">
        <v>5.0</v>
      </c>
      <c r="T201" s="73">
        <v>13.0</v>
      </c>
      <c r="U201" s="73">
        <v>3.0</v>
      </c>
      <c r="V201" s="73">
        <v>4.0</v>
      </c>
      <c r="W201" s="73">
        <v>8.0</v>
      </c>
      <c r="X201" s="73">
        <v>4.0</v>
      </c>
      <c r="Y201" s="73">
        <v>14.0</v>
      </c>
      <c r="Z201" s="73">
        <v>2.0</v>
      </c>
      <c r="AA201" s="73">
        <v>4.0</v>
      </c>
      <c r="AB201" s="73">
        <v>2.0</v>
      </c>
      <c r="AC201" s="73">
        <v>7.0</v>
      </c>
      <c r="AD201" s="73">
        <v>7.0</v>
      </c>
      <c r="AE201" s="13">
        <f t="shared" ref="AE201:AE210" si="40">SUM(E201:AD201)</f>
        <v>158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4.0</v>
      </c>
      <c r="F202" s="73">
        <v>5.0</v>
      </c>
      <c r="G202" s="73">
        <v>1.0</v>
      </c>
      <c r="H202" s="73">
        <v>3.0</v>
      </c>
      <c r="I202" s="73">
        <v>3.0</v>
      </c>
      <c r="J202" s="73">
        <v>1.0</v>
      </c>
      <c r="K202" s="73">
        <v>3.0</v>
      </c>
      <c r="L202" s="73">
        <v>5.0</v>
      </c>
      <c r="M202" s="73">
        <v>5.0</v>
      </c>
      <c r="N202" s="73">
        <v>4.0</v>
      </c>
      <c r="O202" s="73">
        <v>5.0</v>
      </c>
      <c r="P202" s="73">
        <v>2.0</v>
      </c>
      <c r="Q202" s="73">
        <v>8.0</v>
      </c>
      <c r="R202" s="73">
        <v>9.0</v>
      </c>
      <c r="S202" s="73">
        <v>3.0</v>
      </c>
      <c r="T202" s="73">
        <v>6.0</v>
      </c>
      <c r="U202" s="73">
        <v>2.0</v>
      </c>
      <c r="V202" s="73">
        <v>1.0</v>
      </c>
      <c r="W202" s="73">
        <v>2.0</v>
      </c>
      <c r="X202" s="73">
        <v>7.0</v>
      </c>
      <c r="Y202" s="73">
        <v>5.0</v>
      </c>
      <c r="Z202" s="73">
        <v>3.0</v>
      </c>
      <c r="AA202" s="73">
        <v>0.0</v>
      </c>
      <c r="AB202" s="73">
        <v>3.0</v>
      </c>
      <c r="AC202" s="73">
        <v>4.0</v>
      </c>
      <c r="AD202" s="73">
        <v>0.0</v>
      </c>
      <c r="AE202" s="13">
        <f t="shared" si="40"/>
        <v>94</v>
      </c>
    </row>
    <row r="203" ht="12.75" customHeight="1">
      <c r="A203" s="18"/>
      <c r="B203" s="49"/>
      <c r="C203" s="50" t="s">
        <v>154</v>
      </c>
      <c r="D203" s="51"/>
      <c r="E203" s="73">
        <v>2.0</v>
      </c>
      <c r="F203" s="73">
        <v>4.0</v>
      </c>
      <c r="G203" s="73">
        <v>7.0</v>
      </c>
      <c r="H203" s="73">
        <v>4.0</v>
      </c>
      <c r="I203" s="73">
        <v>0.0</v>
      </c>
      <c r="J203" s="73">
        <v>2.0</v>
      </c>
      <c r="K203" s="73">
        <v>7.0</v>
      </c>
      <c r="L203" s="73">
        <v>3.0</v>
      </c>
      <c r="M203" s="73">
        <v>0.0</v>
      </c>
      <c r="N203" s="73">
        <v>2.0</v>
      </c>
      <c r="O203" s="73">
        <v>3.0</v>
      </c>
      <c r="P203" s="73">
        <v>4.0</v>
      </c>
      <c r="Q203" s="73">
        <v>5.0</v>
      </c>
      <c r="R203" s="73">
        <v>5.0</v>
      </c>
      <c r="S203" s="73">
        <v>7.0</v>
      </c>
      <c r="T203" s="73">
        <v>10.0</v>
      </c>
      <c r="U203" s="73">
        <v>4.0</v>
      </c>
      <c r="V203" s="73">
        <v>6.0</v>
      </c>
      <c r="W203" s="73">
        <v>15.0</v>
      </c>
      <c r="X203" s="73">
        <v>3.0</v>
      </c>
      <c r="Y203" s="73">
        <v>20.0</v>
      </c>
      <c r="Z203" s="73">
        <v>0.0</v>
      </c>
      <c r="AA203" s="73">
        <v>2.0</v>
      </c>
      <c r="AB203" s="73">
        <v>1.0</v>
      </c>
      <c r="AC203" s="73">
        <v>1.0</v>
      </c>
      <c r="AD203" s="73">
        <v>3.0</v>
      </c>
      <c r="AE203" s="13">
        <f t="shared" si="40"/>
        <v>120</v>
      </c>
    </row>
    <row r="204" ht="12.75" customHeight="1">
      <c r="A204" s="18"/>
      <c r="B204" s="49"/>
      <c r="C204" s="50" t="s">
        <v>155</v>
      </c>
      <c r="D204" s="51"/>
      <c r="E204" s="73">
        <v>2.0</v>
      </c>
      <c r="F204" s="73">
        <v>1.0</v>
      </c>
      <c r="G204" s="73">
        <v>1.0</v>
      </c>
      <c r="H204" s="73">
        <v>1.0</v>
      </c>
      <c r="I204" s="73">
        <v>1.0</v>
      </c>
      <c r="J204" s="73">
        <v>1.0</v>
      </c>
      <c r="K204" s="73">
        <v>0.0</v>
      </c>
      <c r="L204" s="73">
        <v>2.0</v>
      </c>
      <c r="M204" s="73">
        <v>1.0</v>
      </c>
      <c r="N204" s="73">
        <v>1.0</v>
      </c>
      <c r="O204" s="73">
        <v>0.0</v>
      </c>
      <c r="P204" s="73">
        <v>2.0</v>
      </c>
      <c r="Q204" s="73">
        <v>2.0</v>
      </c>
      <c r="R204" s="73">
        <v>0.0</v>
      </c>
      <c r="S204" s="73">
        <v>0.0</v>
      </c>
      <c r="T204" s="73">
        <v>3.0</v>
      </c>
      <c r="U204" s="73">
        <v>1.0</v>
      </c>
      <c r="V204" s="73">
        <v>1.0</v>
      </c>
      <c r="W204" s="73">
        <v>0.0</v>
      </c>
      <c r="X204" s="73">
        <v>1.0</v>
      </c>
      <c r="Y204" s="73">
        <v>3.0</v>
      </c>
      <c r="Z204" s="73">
        <v>3.0</v>
      </c>
      <c r="AA204" s="73">
        <v>0.0</v>
      </c>
      <c r="AB204" s="73">
        <v>2.0</v>
      </c>
      <c r="AC204" s="73">
        <v>0.0</v>
      </c>
      <c r="AD204" s="73">
        <v>1.0</v>
      </c>
      <c r="AE204" s="13">
        <f t="shared" si="40"/>
        <v>30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1.0</v>
      </c>
      <c r="L205" s="73">
        <v>1.0</v>
      </c>
      <c r="M205" s="73">
        <v>1.0</v>
      </c>
      <c r="N205" s="73">
        <v>0.0</v>
      </c>
      <c r="O205" s="73">
        <v>1.0</v>
      </c>
      <c r="P205" s="73">
        <v>0.0</v>
      </c>
      <c r="Q205" s="73">
        <v>0.0</v>
      </c>
      <c r="R205" s="73">
        <v>1.0</v>
      </c>
      <c r="S205" s="73">
        <v>0.0</v>
      </c>
      <c r="T205" s="73">
        <v>1.0</v>
      </c>
      <c r="U205" s="73">
        <v>0.0</v>
      </c>
      <c r="V205" s="73">
        <v>1.0</v>
      </c>
      <c r="W205" s="73">
        <v>0.0</v>
      </c>
      <c r="X205" s="73">
        <v>1.0</v>
      </c>
      <c r="Y205" s="73">
        <v>1.0</v>
      </c>
      <c r="Z205" s="73">
        <v>0.0</v>
      </c>
      <c r="AA205" s="73">
        <v>0.0</v>
      </c>
      <c r="AB205" s="73">
        <v>0.0</v>
      </c>
      <c r="AC205" s="73">
        <v>0.0</v>
      </c>
      <c r="AD205" s="73">
        <v>1.0</v>
      </c>
      <c r="AE205" s="13">
        <f t="shared" si="40"/>
        <v>10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0.0</v>
      </c>
      <c r="I206" s="73">
        <v>0.0</v>
      </c>
      <c r="J206" s="73">
        <v>0.0</v>
      </c>
      <c r="K206" s="73">
        <v>0.0</v>
      </c>
      <c r="L206" s="73">
        <v>1.0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1.0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73">
        <v>0.0</v>
      </c>
      <c r="AA206" s="73">
        <v>0.0</v>
      </c>
      <c r="AB206" s="73">
        <v>0.0</v>
      </c>
      <c r="AC206" s="73">
        <v>0.0</v>
      </c>
      <c r="AD206" s="73">
        <v>0.0</v>
      </c>
      <c r="AE206" s="13">
        <f t="shared" si="40"/>
        <v>2</v>
      </c>
    </row>
    <row r="207" ht="12.75" customHeight="1">
      <c r="A207" s="18"/>
      <c r="B207" s="49"/>
      <c r="C207" s="50" t="s">
        <v>158</v>
      </c>
      <c r="D207" s="51"/>
      <c r="E207" s="73">
        <v>1.0</v>
      </c>
      <c r="F207" s="73">
        <v>1.0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1.0</v>
      </c>
      <c r="R207" s="73">
        <v>2.0</v>
      </c>
      <c r="S207" s="73">
        <v>0.0</v>
      </c>
      <c r="T207" s="73">
        <v>1.0</v>
      </c>
      <c r="U207" s="73">
        <v>0.0</v>
      </c>
      <c r="V207" s="73">
        <v>0.0</v>
      </c>
      <c r="W207" s="73">
        <v>0.0</v>
      </c>
      <c r="X207" s="73">
        <v>0.0</v>
      </c>
      <c r="Y207" s="73">
        <v>2.0</v>
      </c>
      <c r="Z207" s="73">
        <v>0.0</v>
      </c>
      <c r="AA207" s="73">
        <v>0.0</v>
      </c>
      <c r="AB207" s="73">
        <v>1.0</v>
      </c>
      <c r="AC207" s="73">
        <v>0.0</v>
      </c>
      <c r="AD207" s="73">
        <v>0.0</v>
      </c>
      <c r="AE207" s="13">
        <f t="shared" si="40"/>
        <v>9</v>
      </c>
    </row>
    <row r="208" ht="12.75" customHeight="1">
      <c r="A208" s="79"/>
      <c r="B208" s="49"/>
      <c r="C208" s="50" t="s">
        <v>159</v>
      </c>
      <c r="D208" s="51"/>
      <c r="E208" s="80">
        <v>1.0</v>
      </c>
      <c r="F208" s="80">
        <v>0.0</v>
      </c>
      <c r="G208" s="80">
        <v>0.0</v>
      </c>
      <c r="H208" s="80">
        <v>1.0</v>
      </c>
      <c r="I208" s="80">
        <v>0.0</v>
      </c>
      <c r="J208" s="80">
        <v>0.0</v>
      </c>
      <c r="K208" s="80">
        <v>2.0</v>
      </c>
      <c r="L208" s="80">
        <v>0.0</v>
      </c>
      <c r="M208" s="80">
        <v>0.0</v>
      </c>
      <c r="N208" s="80">
        <v>2.0</v>
      </c>
      <c r="O208" s="80">
        <v>0.0</v>
      </c>
      <c r="P208" s="80">
        <v>0.0</v>
      </c>
      <c r="Q208" s="80">
        <v>0.0</v>
      </c>
      <c r="R208" s="80">
        <v>0.0</v>
      </c>
      <c r="S208" s="80">
        <v>0.0</v>
      </c>
      <c r="T208" s="80">
        <v>3.0</v>
      </c>
      <c r="U208" s="80">
        <v>1.0</v>
      </c>
      <c r="V208" s="80">
        <v>0.0</v>
      </c>
      <c r="W208" s="80">
        <v>0.0</v>
      </c>
      <c r="X208" s="80">
        <v>2.0</v>
      </c>
      <c r="Y208" s="80">
        <v>2.0</v>
      </c>
      <c r="Z208" s="80">
        <v>1.0</v>
      </c>
      <c r="AA208" s="80">
        <v>0.0</v>
      </c>
      <c r="AB208" s="80">
        <v>0.0</v>
      </c>
      <c r="AC208" s="80">
        <v>0.0</v>
      </c>
      <c r="AD208" s="80">
        <v>0.0</v>
      </c>
      <c r="AE208" s="13">
        <f t="shared" si="40"/>
        <v>15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0.0</v>
      </c>
      <c r="T209" s="80">
        <v>0.0</v>
      </c>
      <c r="U209" s="80">
        <v>0.0</v>
      </c>
      <c r="V209" s="80">
        <v>0.0</v>
      </c>
      <c r="W209" s="80">
        <v>0.0</v>
      </c>
      <c r="X209" s="80">
        <v>0.0</v>
      </c>
      <c r="Y209" s="80">
        <v>0.0</v>
      </c>
      <c r="Z209" s="80">
        <v>0.0</v>
      </c>
      <c r="AA209" s="80">
        <v>0.0</v>
      </c>
      <c r="AB209" s="80">
        <v>0.0</v>
      </c>
      <c r="AC209" s="80">
        <v>0.0</v>
      </c>
      <c r="AD209" s="80">
        <v>0.0</v>
      </c>
      <c r="AE209" s="13">
        <f t="shared" si="40"/>
        <v>0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1.0</v>
      </c>
      <c r="G210" s="80">
        <v>0.0</v>
      </c>
      <c r="H210" s="80">
        <v>1.0</v>
      </c>
      <c r="I210" s="80">
        <v>0.0</v>
      </c>
      <c r="J210" s="80">
        <v>0.0</v>
      </c>
      <c r="K210" s="80">
        <v>1.0</v>
      </c>
      <c r="L210" s="80">
        <v>0.0</v>
      </c>
      <c r="M210" s="80">
        <v>0.0</v>
      </c>
      <c r="N210" s="80">
        <v>0.0</v>
      </c>
      <c r="O210" s="80">
        <v>0.0</v>
      </c>
      <c r="P210" s="80">
        <v>1.0</v>
      </c>
      <c r="Q210" s="80">
        <v>0.0</v>
      </c>
      <c r="R210" s="80">
        <v>0.0</v>
      </c>
      <c r="S210" s="80">
        <v>0.0</v>
      </c>
      <c r="T210" s="80">
        <v>0.0</v>
      </c>
      <c r="U210" s="80">
        <v>0.0</v>
      </c>
      <c r="V210" s="80">
        <v>0.0</v>
      </c>
      <c r="W210" s="80">
        <v>0.0</v>
      </c>
      <c r="X210" s="80">
        <v>0.0</v>
      </c>
      <c r="Y210" s="80">
        <v>0.0</v>
      </c>
      <c r="Z210" s="80">
        <v>0.0</v>
      </c>
      <c r="AA210" s="80">
        <v>0.0</v>
      </c>
      <c r="AB210" s="80">
        <v>1.0</v>
      </c>
      <c r="AC210" s="80">
        <v>0.0</v>
      </c>
      <c r="AD210" s="80">
        <v>0.0</v>
      </c>
      <c r="AE210" s="13">
        <f t="shared" si="40"/>
        <v>5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AE211" si="41">SUM(E201:E210)</f>
        <v>14</v>
      </c>
      <c r="F211" s="13">
        <f t="shared" si="41"/>
        <v>16</v>
      </c>
      <c r="G211" s="13">
        <f t="shared" si="41"/>
        <v>13</v>
      </c>
      <c r="H211" s="13">
        <f t="shared" si="41"/>
        <v>14</v>
      </c>
      <c r="I211" s="13">
        <f t="shared" si="41"/>
        <v>6</v>
      </c>
      <c r="J211" s="13">
        <f t="shared" si="41"/>
        <v>5</v>
      </c>
      <c r="K211" s="13">
        <f t="shared" si="41"/>
        <v>26</v>
      </c>
      <c r="L211" s="13">
        <f t="shared" si="41"/>
        <v>21</v>
      </c>
      <c r="M211" s="13">
        <f t="shared" si="41"/>
        <v>19</v>
      </c>
      <c r="N211" s="13">
        <f t="shared" si="41"/>
        <v>20</v>
      </c>
      <c r="O211" s="13">
        <f t="shared" si="41"/>
        <v>13</v>
      </c>
      <c r="P211" s="13">
        <f t="shared" si="41"/>
        <v>19</v>
      </c>
      <c r="Q211" s="13">
        <f t="shared" si="41"/>
        <v>20</v>
      </c>
      <c r="R211" s="13">
        <f t="shared" si="41"/>
        <v>21</v>
      </c>
      <c r="S211" s="13">
        <f t="shared" si="41"/>
        <v>16</v>
      </c>
      <c r="T211" s="13">
        <f t="shared" si="41"/>
        <v>37</v>
      </c>
      <c r="U211" s="13">
        <f t="shared" si="41"/>
        <v>11</v>
      </c>
      <c r="V211" s="13">
        <f t="shared" si="41"/>
        <v>13</v>
      </c>
      <c r="W211" s="13">
        <f t="shared" si="41"/>
        <v>25</v>
      </c>
      <c r="X211" s="13">
        <f t="shared" si="41"/>
        <v>18</v>
      </c>
      <c r="Y211" s="13">
        <f t="shared" si="41"/>
        <v>47</v>
      </c>
      <c r="Z211" s="13">
        <f t="shared" si="41"/>
        <v>9</v>
      </c>
      <c r="AA211" s="13">
        <f t="shared" si="41"/>
        <v>6</v>
      </c>
      <c r="AB211" s="13">
        <f t="shared" si="41"/>
        <v>10</v>
      </c>
      <c r="AC211" s="13">
        <f t="shared" si="41"/>
        <v>12</v>
      </c>
      <c r="AD211" s="13">
        <f t="shared" si="41"/>
        <v>12</v>
      </c>
      <c r="AE211" s="13">
        <f t="shared" si="41"/>
        <v>443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1.0</v>
      </c>
      <c r="F213" s="73">
        <v>1.0</v>
      </c>
      <c r="G213" s="73">
        <v>3.0</v>
      </c>
      <c r="H213" s="73">
        <v>1.0</v>
      </c>
      <c r="I213" s="73">
        <v>4.0</v>
      </c>
      <c r="J213" s="73">
        <v>1.0</v>
      </c>
      <c r="K213" s="73">
        <v>6.0</v>
      </c>
      <c r="L213" s="73">
        <v>2.0</v>
      </c>
      <c r="M213" s="73">
        <v>1.0</v>
      </c>
      <c r="N213" s="73">
        <v>1.0</v>
      </c>
      <c r="O213" s="73">
        <v>10.0</v>
      </c>
      <c r="P213" s="73">
        <v>4.0</v>
      </c>
      <c r="Q213" s="73">
        <v>2.0</v>
      </c>
      <c r="R213" s="73">
        <v>1.0</v>
      </c>
      <c r="S213" s="73">
        <v>2.0</v>
      </c>
      <c r="T213" s="73">
        <v>3.0</v>
      </c>
      <c r="U213" s="73">
        <v>3.0</v>
      </c>
      <c r="V213" s="73">
        <v>4.0</v>
      </c>
      <c r="W213" s="73">
        <v>0.0</v>
      </c>
      <c r="X213" s="73">
        <v>2.0</v>
      </c>
      <c r="Y213" s="73">
        <v>0.0</v>
      </c>
      <c r="Z213" s="73">
        <v>1.0</v>
      </c>
      <c r="AA213" s="73">
        <v>6.0</v>
      </c>
      <c r="AB213" s="73">
        <v>4.0</v>
      </c>
      <c r="AC213" s="73">
        <v>2.0</v>
      </c>
      <c r="AD213" s="73">
        <v>4.0</v>
      </c>
      <c r="AE213" s="13">
        <f t="shared" ref="AE213:AE222" si="42">SUM(E213:AD213)</f>
        <v>69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1.0</v>
      </c>
      <c r="F214" s="73">
        <v>0.0</v>
      </c>
      <c r="G214" s="73">
        <v>4.0</v>
      </c>
      <c r="H214" s="73">
        <v>0.0</v>
      </c>
      <c r="I214" s="73">
        <v>0.0</v>
      </c>
      <c r="J214" s="73">
        <v>1.0</v>
      </c>
      <c r="K214" s="73">
        <v>0.0</v>
      </c>
      <c r="L214" s="73">
        <v>0.0</v>
      </c>
      <c r="M214" s="73">
        <v>2.0</v>
      </c>
      <c r="N214" s="73">
        <v>0.0</v>
      </c>
      <c r="O214" s="73">
        <v>0.0</v>
      </c>
      <c r="P214" s="73">
        <v>1.0</v>
      </c>
      <c r="Q214" s="73">
        <v>4.0</v>
      </c>
      <c r="R214" s="73">
        <v>0.0</v>
      </c>
      <c r="S214" s="73">
        <v>1.0</v>
      </c>
      <c r="T214" s="73">
        <v>0.0</v>
      </c>
      <c r="U214" s="73">
        <v>4.0</v>
      </c>
      <c r="V214" s="73">
        <v>2.0</v>
      </c>
      <c r="W214" s="73">
        <v>2.0</v>
      </c>
      <c r="X214" s="73">
        <v>1.0</v>
      </c>
      <c r="Y214" s="73">
        <v>5.0</v>
      </c>
      <c r="Z214" s="73">
        <v>0.0</v>
      </c>
      <c r="AA214" s="73">
        <v>0.0</v>
      </c>
      <c r="AB214" s="73">
        <v>2.0</v>
      </c>
      <c r="AC214" s="73">
        <v>4.0</v>
      </c>
      <c r="AD214" s="73">
        <v>1.0</v>
      </c>
      <c r="AE214" s="13">
        <f t="shared" si="42"/>
        <v>35</v>
      </c>
    </row>
    <row r="215" ht="12.75" customHeight="1">
      <c r="A215" s="18"/>
      <c r="B215" s="49"/>
      <c r="C215" s="50" t="s">
        <v>165</v>
      </c>
      <c r="D215" s="51"/>
      <c r="E215" s="73">
        <v>2.0</v>
      </c>
      <c r="F215" s="73">
        <v>1.0</v>
      </c>
      <c r="G215" s="73">
        <v>1.0</v>
      </c>
      <c r="H215" s="73">
        <v>1.0</v>
      </c>
      <c r="I215" s="73">
        <v>1.0</v>
      </c>
      <c r="J215" s="73">
        <v>0.0</v>
      </c>
      <c r="K215" s="73">
        <v>1.0</v>
      </c>
      <c r="L215" s="73">
        <v>0.0</v>
      </c>
      <c r="M215" s="73">
        <v>0.0</v>
      </c>
      <c r="N215" s="73">
        <v>2.0</v>
      </c>
      <c r="O215" s="73">
        <v>1.0</v>
      </c>
      <c r="P215" s="73">
        <v>1.0</v>
      </c>
      <c r="Q215" s="73">
        <v>1.0</v>
      </c>
      <c r="R215" s="73">
        <v>1.0</v>
      </c>
      <c r="S215" s="73">
        <v>3.0</v>
      </c>
      <c r="T215" s="73">
        <v>0.0</v>
      </c>
      <c r="U215" s="73">
        <v>1.0</v>
      </c>
      <c r="V215" s="73">
        <v>1.0</v>
      </c>
      <c r="W215" s="73">
        <v>1.0</v>
      </c>
      <c r="X215" s="73">
        <v>0.0</v>
      </c>
      <c r="Y215" s="73">
        <v>3.0</v>
      </c>
      <c r="Z215" s="73">
        <v>0.0</v>
      </c>
      <c r="AA215" s="73">
        <v>1.0</v>
      </c>
      <c r="AB215" s="73">
        <v>5.0</v>
      </c>
      <c r="AC215" s="73">
        <v>4.0</v>
      </c>
      <c r="AD215" s="73">
        <v>1.0</v>
      </c>
      <c r="AE215" s="13">
        <f t="shared" si="42"/>
        <v>33</v>
      </c>
    </row>
    <row r="216" ht="12.75" customHeight="1">
      <c r="A216" s="18"/>
      <c r="B216" s="49"/>
      <c r="C216" s="50" t="s">
        <v>166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1.0</v>
      </c>
      <c r="Q216" s="73">
        <v>1.0</v>
      </c>
      <c r="R216" s="73">
        <v>0.0</v>
      </c>
      <c r="S216" s="73">
        <v>0.0</v>
      </c>
      <c r="T216" s="73">
        <v>0.0</v>
      </c>
      <c r="U216" s="73">
        <v>0.0</v>
      </c>
      <c r="V216" s="73">
        <v>1.0</v>
      </c>
      <c r="W216" s="73">
        <v>0.0</v>
      </c>
      <c r="X216" s="73">
        <v>1.0</v>
      </c>
      <c r="Y216" s="73">
        <v>2.0</v>
      </c>
      <c r="Z216" s="73">
        <v>0.0</v>
      </c>
      <c r="AA216" s="73">
        <v>0.0</v>
      </c>
      <c r="AB216" s="73">
        <v>2.0</v>
      </c>
      <c r="AC216" s="73">
        <v>0.0</v>
      </c>
      <c r="AD216" s="73">
        <v>0.0</v>
      </c>
      <c r="AE216" s="13">
        <f t="shared" si="42"/>
        <v>8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AE223" si="43">SUM(E213:E222)</f>
        <v>4</v>
      </c>
      <c r="F223" s="13">
        <f t="shared" si="43"/>
        <v>2</v>
      </c>
      <c r="G223" s="13">
        <f t="shared" si="43"/>
        <v>8</v>
      </c>
      <c r="H223" s="13">
        <f t="shared" si="43"/>
        <v>2</v>
      </c>
      <c r="I223" s="13">
        <f t="shared" si="43"/>
        <v>5</v>
      </c>
      <c r="J223" s="13">
        <f t="shared" si="43"/>
        <v>2</v>
      </c>
      <c r="K223" s="13">
        <f t="shared" si="43"/>
        <v>7</v>
      </c>
      <c r="L223" s="13">
        <f t="shared" si="43"/>
        <v>2</v>
      </c>
      <c r="M223" s="13">
        <f t="shared" si="43"/>
        <v>3</v>
      </c>
      <c r="N223" s="13">
        <f t="shared" si="43"/>
        <v>3</v>
      </c>
      <c r="O223" s="13">
        <f t="shared" si="43"/>
        <v>11</v>
      </c>
      <c r="P223" s="13">
        <f t="shared" si="43"/>
        <v>7</v>
      </c>
      <c r="Q223" s="13">
        <f t="shared" si="43"/>
        <v>8</v>
      </c>
      <c r="R223" s="13">
        <f t="shared" si="43"/>
        <v>2</v>
      </c>
      <c r="S223" s="13">
        <f t="shared" si="43"/>
        <v>6</v>
      </c>
      <c r="T223" s="13">
        <f t="shared" si="43"/>
        <v>3</v>
      </c>
      <c r="U223" s="13">
        <f t="shared" si="43"/>
        <v>8</v>
      </c>
      <c r="V223" s="13">
        <f t="shared" si="43"/>
        <v>8</v>
      </c>
      <c r="W223" s="13">
        <f t="shared" si="43"/>
        <v>3</v>
      </c>
      <c r="X223" s="13">
        <f t="shared" si="43"/>
        <v>4</v>
      </c>
      <c r="Y223" s="13">
        <f t="shared" si="43"/>
        <v>10</v>
      </c>
      <c r="Z223" s="13">
        <f t="shared" si="43"/>
        <v>1</v>
      </c>
      <c r="AA223" s="13">
        <f t="shared" si="43"/>
        <v>7</v>
      </c>
      <c r="AB223" s="13">
        <f t="shared" si="43"/>
        <v>13</v>
      </c>
      <c r="AC223" s="13">
        <f t="shared" si="43"/>
        <v>10</v>
      </c>
      <c r="AD223" s="13">
        <f t="shared" si="43"/>
        <v>6</v>
      </c>
      <c r="AE223" s="13">
        <f t="shared" si="43"/>
        <v>145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1.0</v>
      </c>
      <c r="G225" s="73">
        <v>0.0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2.0</v>
      </c>
      <c r="N225" s="73">
        <v>0.0</v>
      </c>
      <c r="O225" s="73">
        <v>0.0</v>
      </c>
      <c r="P225" s="73">
        <v>0.0</v>
      </c>
      <c r="Q225" s="73">
        <v>0.0</v>
      </c>
      <c r="R225" s="73">
        <v>1.0</v>
      </c>
      <c r="S225" s="73">
        <v>0.0</v>
      </c>
      <c r="T225" s="73">
        <v>0.0</v>
      </c>
      <c r="U225" s="73">
        <v>0.0</v>
      </c>
      <c r="V225" s="73">
        <v>1.0</v>
      </c>
      <c r="W225" s="73">
        <v>0.0</v>
      </c>
      <c r="X225" s="73">
        <v>0.0</v>
      </c>
      <c r="Y225" s="73">
        <v>0.0</v>
      </c>
      <c r="Z225" s="73">
        <v>0.0</v>
      </c>
      <c r="AA225" s="73">
        <v>0.0</v>
      </c>
      <c r="AB225" s="73">
        <v>0.0</v>
      </c>
      <c r="AC225" s="73">
        <v>0.0</v>
      </c>
      <c r="AD225" s="73">
        <v>0.0</v>
      </c>
      <c r="AE225" s="13">
        <f t="shared" ref="AE225:AE234" si="44">SUM(E225:AD225)</f>
        <v>5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0.0</v>
      </c>
      <c r="G226" s="73">
        <v>0.0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0.0</v>
      </c>
      <c r="T226" s="73">
        <v>3.0</v>
      </c>
      <c r="U226" s="73">
        <v>0.0</v>
      </c>
      <c r="V226" s="73">
        <v>0.0</v>
      </c>
      <c r="W226" s="73">
        <v>0.0</v>
      </c>
      <c r="X226" s="73">
        <v>1.0</v>
      </c>
      <c r="Y226" s="73">
        <v>0.0</v>
      </c>
      <c r="Z226" s="73">
        <v>0.0</v>
      </c>
      <c r="AA226" s="73">
        <v>0.0</v>
      </c>
      <c r="AB226" s="73">
        <v>0.0</v>
      </c>
      <c r="AC226" s="73">
        <v>0.0</v>
      </c>
      <c r="AD226" s="73">
        <v>1.0</v>
      </c>
      <c r="AE226" s="13">
        <f t="shared" si="44"/>
        <v>5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1.0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0.0</v>
      </c>
      <c r="W227" s="73">
        <v>0.0</v>
      </c>
      <c r="X227" s="73">
        <v>0.0</v>
      </c>
      <c r="Y227" s="73">
        <v>0.0</v>
      </c>
      <c r="Z227" s="73">
        <v>0.0</v>
      </c>
      <c r="AA227" s="73">
        <v>0.0</v>
      </c>
      <c r="AB227" s="73">
        <v>2.0</v>
      </c>
      <c r="AC227" s="73">
        <v>0.0</v>
      </c>
      <c r="AD227" s="73">
        <v>0.0</v>
      </c>
      <c r="AE227" s="13">
        <f t="shared" si="44"/>
        <v>3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73">
        <v>0.0</v>
      </c>
      <c r="Y228" s="73">
        <v>1.0</v>
      </c>
      <c r="Z228" s="73">
        <v>0.0</v>
      </c>
      <c r="AA228" s="73">
        <v>0.0</v>
      </c>
      <c r="AB228" s="73">
        <v>0.0</v>
      </c>
      <c r="AC228" s="73">
        <v>0.0</v>
      </c>
      <c r="AD228" s="73">
        <v>0.0</v>
      </c>
      <c r="AE228" s="13">
        <f t="shared" si="44"/>
        <v>1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73">
        <v>0.0</v>
      </c>
      <c r="AA229" s="73">
        <v>0.0</v>
      </c>
      <c r="AB229" s="73">
        <v>0.0</v>
      </c>
      <c r="AC229" s="73">
        <v>0.0</v>
      </c>
      <c r="AD229" s="73">
        <v>0.0</v>
      </c>
      <c r="AE229" s="13">
        <f t="shared" si="44"/>
        <v>0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AE235" si="45">SUM(E225:E234)</f>
        <v>0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2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0</v>
      </c>
      <c r="T235" s="13">
        <f t="shared" si="45"/>
        <v>3</v>
      </c>
      <c r="U235" s="13">
        <f t="shared" si="45"/>
        <v>0</v>
      </c>
      <c r="V235" s="13">
        <f t="shared" si="45"/>
        <v>1</v>
      </c>
      <c r="W235" s="13">
        <f t="shared" si="45"/>
        <v>0</v>
      </c>
      <c r="X235" s="13">
        <f t="shared" si="45"/>
        <v>1</v>
      </c>
      <c r="Y235" s="13">
        <f t="shared" si="45"/>
        <v>1</v>
      </c>
      <c r="Z235" s="13">
        <f t="shared" si="45"/>
        <v>0</v>
      </c>
      <c r="AA235" s="13">
        <f t="shared" si="45"/>
        <v>0</v>
      </c>
      <c r="AB235" s="13">
        <f t="shared" si="45"/>
        <v>2</v>
      </c>
      <c r="AC235" s="13">
        <f t="shared" si="45"/>
        <v>0</v>
      </c>
      <c r="AD235" s="13">
        <f t="shared" si="45"/>
        <v>1</v>
      </c>
      <c r="AE235" s="13">
        <f t="shared" si="45"/>
        <v>14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1.0</v>
      </c>
      <c r="F237" s="73">
        <v>4.0</v>
      </c>
      <c r="G237" s="73">
        <v>0.0</v>
      </c>
      <c r="H237" s="73">
        <v>1.0</v>
      </c>
      <c r="I237" s="73">
        <v>2.0</v>
      </c>
      <c r="J237" s="73">
        <v>3.0</v>
      </c>
      <c r="K237" s="73">
        <v>0.0</v>
      </c>
      <c r="L237" s="73">
        <v>0.0</v>
      </c>
      <c r="M237" s="73">
        <v>0.0</v>
      </c>
      <c r="N237" s="73">
        <v>0.0</v>
      </c>
      <c r="O237" s="73">
        <v>0.0</v>
      </c>
      <c r="P237" s="73">
        <v>0.0</v>
      </c>
      <c r="Q237" s="73">
        <v>0.0</v>
      </c>
      <c r="R237" s="73">
        <v>0.0</v>
      </c>
      <c r="S237" s="73">
        <v>0.0</v>
      </c>
      <c r="T237" s="73">
        <v>0.0</v>
      </c>
      <c r="U237" s="73">
        <v>1.0</v>
      </c>
      <c r="V237" s="73">
        <v>1.0</v>
      </c>
      <c r="W237" s="73">
        <v>1.0</v>
      </c>
      <c r="X237" s="73">
        <v>0.0</v>
      </c>
      <c r="Y237" s="73">
        <v>0.0</v>
      </c>
      <c r="Z237" s="73">
        <v>1.0</v>
      </c>
      <c r="AA237" s="73">
        <v>0.0</v>
      </c>
      <c r="AB237" s="73">
        <v>0.0</v>
      </c>
      <c r="AC237" s="73">
        <v>1.0</v>
      </c>
      <c r="AD237" s="73">
        <v>0.0</v>
      </c>
      <c r="AE237" s="13">
        <f t="shared" ref="AE237:AE246" si="46">SUM(E237:AD237)</f>
        <v>16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0.0</v>
      </c>
      <c r="F238" s="73">
        <v>2.0</v>
      </c>
      <c r="G238" s="73">
        <v>0.0</v>
      </c>
      <c r="H238" s="73">
        <v>0.0</v>
      </c>
      <c r="I238" s="73">
        <v>2.0</v>
      </c>
      <c r="J238" s="73">
        <v>1.0</v>
      </c>
      <c r="K238" s="73">
        <v>1.0</v>
      </c>
      <c r="L238" s="73">
        <v>0.0</v>
      </c>
      <c r="M238" s="73">
        <v>0.0</v>
      </c>
      <c r="N238" s="73">
        <v>0.0</v>
      </c>
      <c r="O238" s="73">
        <v>0.0</v>
      </c>
      <c r="P238" s="73">
        <v>0.0</v>
      </c>
      <c r="Q238" s="73">
        <v>0.0</v>
      </c>
      <c r="R238" s="73">
        <v>1.0</v>
      </c>
      <c r="S238" s="73">
        <v>0.0</v>
      </c>
      <c r="T238" s="73">
        <v>0.0</v>
      </c>
      <c r="U238" s="73">
        <v>0.0</v>
      </c>
      <c r="V238" s="73">
        <v>0.0</v>
      </c>
      <c r="W238" s="73">
        <v>0.0</v>
      </c>
      <c r="X238" s="73">
        <v>1.0</v>
      </c>
      <c r="Y238" s="73">
        <v>1.0</v>
      </c>
      <c r="Z238" s="73">
        <v>0.0</v>
      </c>
      <c r="AA238" s="73">
        <v>0.0</v>
      </c>
      <c r="AB238" s="73">
        <v>0.0</v>
      </c>
      <c r="AC238" s="73">
        <v>2.0</v>
      </c>
      <c r="AD238" s="73">
        <v>1.0</v>
      </c>
      <c r="AE238" s="13">
        <f t="shared" si="46"/>
        <v>12</v>
      </c>
    </row>
    <row r="239" ht="12.75" customHeight="1">
      <c r="A239" s="18"/>
      <c r="B239" s="49"/>
      <c r="C239" s="50" t="s">
        <v>176</v>
      </c>
      <c r="D239" s="51"/>
      <c r="E239" s="73">
        <v>1.0</v>
      </c>
      <c r="F239" s="73">
        <v>1.0</v>
      </c>
      <c r="G239" s="73">
        <v>1.0</v>
      </c>
      <c r="H239" s="73">
        <v>0.0</v>
      </c>
      <c r="I239" s="73">
        <v>2.0</v>
      </c>
      <c r="J239" s="73">
        <v>9.0</v>
      </c>
      <c r="K239" s="73">
        <v>0.0</v>
      </c>
      <c r="L239" s="73">
        <v>1.0</v>
      </c>
      <c r="M239" s="73">
        <v>3.0</v>
      </c>
      <c r="N239" s="73">
        <v>0.0</v>
      </c>
      <c r="O239" s="73">
        <v>1.0</v>
      </c>
      <c r="P239" s="73">
        <v>4.0</v>
      </c>
      <c r="Q239" s="73">
        <v>0.0</v>
      </c>
      <c r="R239" s="73">
        <v>0.0</v>
      </c>
      <c r="S239" s="73">
        <v>2.0</v>
      </c>
      <c r="T239" s="73">
        <v>0.0</v>
      </c>
      <c r="U239" s="73">
        <v>1.0</v>
      </c>
      <c r="V239" s="73">
        <v>3.0</v>
      </c>
      <c r="W239" s="73">
        <v>4.0</v>
      </c>
      <c r="X239" s="73">
        <v>1.0</v>
      </c>
      <c r="Y239" s="73">
        <v>0.0</v>
      </c>
      <c r="Z239" s="73">
        <v>0.0</v>
      </c>
      <c r="AA239" s="73">
        <v>0.0</v>
      </c>
      <c r="AB239" s="73">
        <v>0.0</v>
      </c>
      <c r="AC239" s="73">
        <v>0.0</v>
      </c>
      <c r="AD239" s="73">
        <v>0.0</v>
      </c>
      <c r="AE239" s="13">
        <f t="shared" si="46"/>
        <v>34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1.0</v>
      </c>
      <c r="H240" s="73">
        <v>0.0</v>
      </c>
      <c r="I240" s="73">
        <v>0.0</v>
      </c>
      <c r="J240" s="73">
        <v>0.0</v>
      </c>
      <c r="K240" s="73">
        <v>1.0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1.0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73">
        <v>0.0</v>
      </c>
      <c r="AA240" s="73">
        <v>0.0</v>
      </c>
      <c r="AB240" s="73">
        <v>0.0</v>
      </c>
      <c r="AC240" s="73">
        <v>0.0</v>
      </c>
      <c r="AD240" s="73">
        <v>0.0</v>
      </c>
      <c r="AE240" s="13">
        <f t="shared" si="46"/>
        <v>3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1.0</v>
      </c>
      <c r="L241" s="73">
        <v>0.0</v>
      </c>
      <c r="M241" s="73">
        <v>1.0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1.0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73">
        <v>0.0</v>
      </c>
      <c r="AA241" s="73">
        <v>0.0</v>
      </c>
      <c r="AB241" s="73">
        <v>0.0</v>
      </c>
      <c r="AC241" s="73">
        <v>1.0</v>
      </c>
      <c r="AD241" s="73">
        <v>0.0</v>
      </c>
      <c r="AE241" s="13">
        <f t="shared" si="46"/>
        <v>4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0.0</v>
      </c>
      <c r="G242" s="73">
        <v>0.0</v>
      </c>
      <c r="H242" s="73">
        <v>1.0</v>
      </c>
      <c r="I242" s="73">
        <v>1.0</v>
      </c>
      <c r="J242" s="73">
        <v>0.0</v>
      </c>
      <c r="K242" s="73">
        <v>0.0</v>
      </c>
      <c r="L242" s="73">
        <v>0.0</v>
      </c>
      <c r="M242" s="73">
        <v>0.0</v>
      </c>
      <c r="N242" s="73">
        <v>1.0</v>
      </c>
      <c r="O242" s="73">
        <v>0.0</v>
      </c>
      <c r="P242" s="73">
        <v>0.0</v>
      </c>
      <c r="Q242" s="73">
        <v>0.0</v>
      </c>
      <c r="R242" s="73">
        <v>0.0</v>
      </c>
      <c r="S242" s="73">
        <v>0.0</v>
      </c>
      <c r="T242" s="73">
        <v>0.0</v>
      </c>
      <c r="U242" s="73">
        <v>0.0</v>
      </c>
      <c r="V242" s="73">
        <v>1.0</v>
      </c>
      <c r="W242" s="73">
        <v>0.0</v>
      </c>
      <c r="X242" s="73">
        <v>1.0</v>
      </c>
      <c r="Y242" s="73">
        <v>1.0</v>
      </c>
      <c r="Z242" s="73">
        <v>0.0</v>
      </c>
      <c r="AA242" s="73">
        <v>0.0</v>
      </c>
      <c r="AB242" s="73">
        <v>0.0</v>
      </c>
      <c r="AC242" s="73">
        <v>0.0</v>
      </c>
      <c r="AD242" s="73">
        <v>0.0</v>
      </c>
      <c r="AE242" s="13">
        <f t="shared" si="46"/>
        <v>6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1.0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1.0</v>
      </c>
      <c r="U243" s="73">
        <v>0.0</v>
      </c>
      <c r="V243" s="73">
        <v>0.0</v>
      </c>
      <c r="W243" s="73">
        <v>0.0</v>
      </c>
      <c r="X243" s="73">
        <v>1.0</v>
      </c>
      <c r="Y243" s="73">
        <v>0.0</v>
      </c>
      <c r="Z243" s="73">
        <v>0.0</v>
      </c>
      <c r="AA243" s="73">
        <v>0.0</v>
      </c>
      <c r="AB243" s="73">
        <v>0.0</v>
      </c>
      <c r="AC243" s="73">
        <v>0.0</v>
      </c>
      <c r="AD243" s="73">
        <v>0.0</v>
      </c>
      <c r="AE243" s="13">
        <f t="shared" si="46"/>
        <v>3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80">
        <v>1.0</v>
      </c>
      <c r="T244" s="80">
        <v>0.0</v>
      </c>
      <c r="U244" s="80">
        <v>0.0</v>
      </c>
      <c r="V244" s="80">
        <v>0.0</v>
      </c>
      <c r="W244" s="80">
        <v>0.0</v>
      </c>
      <c r="X244" s="80">
        <v>0.0</v>
      </c>
      <c r="Y244" s="80">
        <v>0.0</v>
      </c>
      <c r="Z244" s="80">
        <v>0.0</v>
      </c>
      <c r="AA244" s="80">
        <v>0.0</v>
      </c>
      <c r="AB244" s="80">
        <v>0.0</v>
      </c>
      <c r="AC244" s="80">
        <v>0.0</v>
      </c>
      <c r="AD244" s="80">
        <v>1.0</v>
      </c>
      <c r="AE244" s="13">
        <f t="shared" si="46"/>
        <v>2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80">
        <v>0.0</v>
      </c>
      <c r="S245" s="80">
        <v>0.0</v>
      </c>
      <c r="T245" s="80">
        <v>0.0</v>
      </c>
      <c r="U245" s="80">
        <v>0.0</v>
      </c>
      <c r="V245" s="80">
        <v>0.0</v>
      </c>
      <c r="W245" s="80">
        <v>0.0</v>
      </c>
      <c r="X245" s="80">
        <v>0.0</v>
      </c>
      <c r="Y245" s="80">
        <v>0.0</v>
      </c>
      <c r="Z245" s="80">
        <v>0.0</v>
      </c>
      <c r="AA245" s="80">
        <v>0.0</v>
      </c>
      <c r="AB245" s="80">
        <v>0.0</v>
      </c>
      <c r="AC245" s="80">
        <v>0.0</v>
      </c>
      <c r="AD245" s="80">
        <v>0.0</v>
      </c>
      <c r="AE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0.0</v>
      </c>
      <c r="I246" s="80">
        <v>0.0</v>
      </c>
      <c r="J246" s="80">
        <v>0.0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0.0</v>
      </c>
      <c r="T246" s="80">
        <v>0.0</v>
      </c>
      <c r="U246" s="80">
        <v>0.0</v>
      </c>
      <c r="V246" s="80">
        <v>0.0</v>
      </c>
      <c r="W246" s="80">
        <v>0.0</v>
      </c>
      <c r="X246" s="80">
        <v>1.0</v>
      </c>
      <c r="Y246" s="80">
        <v>0.0</v>
      </c>
      <c r="Z246" s="80">
        <v>0.0</v>
      </c>
      <c r="AA246" s="80">
        <v>0.0</v>
      </c>
      <c r="AB246" s="80">
        <v>0.0</v>
      </c>
      <c r="AC246" s="80">
        <v>0.0</v>
      </c>
      <c r="AD246" s="80">
        <v>0.0</v>
      </c>
      <c r="AE246" s="13">
        <f t="shared" si="46"/>
        <v>1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AE247" si="47">SUM(E237:E246)</f>
        <v>2</v>
      </c>
      <c r="F247" s="13">
        <f t="shared" si="47"/>
        <v>8</v>
      </c>
      <c r="G247" s="13">
        <f t="shared" si="47"/>
        <v>2</v>
      </c>
      <c r="H247" s="13">
        <f t="shared" si="47"/>
        <v>2</v>
      </c>
      <c r="I247" s="13">
        <f t="shared" si="47"/>
        <v>7</v>
      </c>
      <c r="J247" s="13">
        <f t="shared" si="47"/>
        <v>13</v>
      </c>
      <c r="K247" s="13">
        <f t="shared" si="47"/>
        <v>3</v>
      </c>
      <c r="L247" s="13">
        <f t="shared" si="47"/>
        <v>1</v>
      </c>
      <c r="M247" s="13">
        <f t="shared" si="47"/>
        <v>4</v>
      </c>
      <c r="N247" s="13">
        <f t="shared" si="47"/>
        <v>1</v>
      </c>
      <c r="O247" s="13">
        <f t="shared" si="47"/>
        <v>1</v>
      </c>
      <c r="P247" s="13">
        <f t="shared" si="47"/>
        <v>4</v>
      </c>
      <c r="Q247" s="13">
        <f t="shared" si="47"/>
        <v>0</v>
      </c>
      <c r="R247" s="13">
        <f t="shared" si="47"/>
        <v>1</v>
      </c>
      <c r="S247" s="13">
        <f t="shared" si="47"/>
        <v>4</v>
      </c>
      <c r="T247" s="13">
        <f t="shared" si="47"/>
        <v>2</v>
      </c>
      <c r="U247" s="13">
        <f t="shared" si="47"/>
        <v>2</v>
      </c>
      <c r="V247" s="13">
        <f t="shared" si="47"/>
        <v>5</v>
      </c>
      <c r="W247" s="13">
        <f t="shared" si="47"/>
        <v>5</v>
      </c>
      <c r="X247" s="13">
        <f t="shared" si="47"/>
        <v>5</v>
      </c>
      <c r="Y247" s="13">
        <f t="shared" si="47"/>
        <v>2</v>
      </c>
      <c r="Z247" s="13">
        <f t="shared" si="47"/>
        <v>1</v>
      </c>
      <c r="AA247" s="13">
        <f t="shared" si="47"/>
        <v>0</v>
      </c>
      <c r="AB247" s="13">
        <f t="shared" si="47"/>
        <v>0</v>
      </c>
      <c r="AC247" s="13">
        <f t="shared" si="47"/>
        <v>4</v>
      </c>
      <c r="AD247" s="13">
        <f t="shared" si="47"/>
        <v>2</v>
      </c>
      <c r="AE247" s="13">
        <f t="shared" si="47"/>
        <v>81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0.0</v>
      </c>
      <c r="G249" s="73">
        <v>0.0</v>
      </c>
      <c r="H249" s="73">
        <v>0.0</v>
      </c>
      <c r="I249" s="73">
        <v>0.0</v>
      </c>
      <c r="J249" s="73">
        <v>0.0</v>
      </c>
      <c r="K249" s="73">
        <v>0.0</v>
      </c>
      <c r="L249" s="73">
        <v>1.0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1.0</v>
      </c>
      <c r="S249" s="73">
        <v>0.0</v>
      </c>
      <c r="T249" s="73">
        <v>0.0</v>
      </c>
      <c r="U249" s="73">
        <v>0.0</v>
      </c>
      <c r="V249" s="73">
        <v>1.0</v>
      </c>
      <c r="W249" s="73">
        <v>0.0</v>
      </c>
      <c r="X249" s="73">
        <v>0.0</v>
      </c>
      <c r="Y249" s="73">
        <v>0.0</v>
      </c>
      <c r="Z249" s="73">
        <v>0.0</v>
      </c>
      <c r="AA249" s="73">
        <v>0.0</v>
      </c>
      <c r="AB249" s="73">
        <v>1.0</v>
      </c>
      <c r="AC249" s="73">
        <v>0.0</v>
      </c>
      <c r="AD249" s="73">
        <v>2.0</v>
      </c>
      <c r="AE249" s="13">
        <f t="shared" ref="AE249:AE258" si="48">SUM(E249:AD249)</f>
        <v>6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1.0</v>
      </c>
      <c r="F250" s="73">
        <v>0.0</v>
      </c>
      <c r="G250" s="73">
        <v>0.0</v>
      </c>
      <c r="H250" s="73">
        <v>0.0</v>
      </c>
      <c r="I250" s="73">
        <v>1.0</v>
      </c>
      <c r="J250" s="73">
        <v>1.0</v>
      </c>
      <c r="K250" s="73">
        <v>0.0</v>
      </c>
      <c r="L250" s="73">
        <v>0.0</v>
      </c>
      <c r="M250" s="73">
        <v>3.0</v>
      </c>
      <c r="N250" s="73">
        <v>3.0</v>
      </c>
      <c r="O250" s="73">
        <v>2.0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73">
        <v>0.0</v>
      </c>
      <c r="V250" s="73">
        <v>1.0</v>
      </c>
      <c r="W250" s="73">
        <v>0.0</v>
      </c>
      <c r="X250" s="73">
        <v>1.0</v>
      </c>
      <c r="Y250" s="73">
        <v>1.0</v>
      </c>
      <c r="Z250" s="73">
        <v>0.0</v>
      </c>
      <c r="AA250" s="73">
        <v>0.0</v>
      </c>
      <c r="AB250" s="73">
        <v>1.0</v>
      </c>
      <c r="AC250" s="73">
        <v>0.0</v>
      </c>
      <c r="AD250" s="73">
        <v>3.0</v>
      </c>
      <c r="AE250" s="13">
        <f t="shared" si="48"/>
        <v>18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1.0</v>
      </c>
      <c r="N251" s="73">
        <v>0.0</v>
      </c>
      <c r="O251" s="73">
        <v>0.0</v>
      </c>
      <c r="P251" s="73">
        <v>1.0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1.0</v>
      </c>
      <c r="Y251" s="73">
        <v>0.0</v>
      </c>
      <c r="Z251" s="73">
        <v>0.0</v>
      </c>
      <c r="AA251" s="73">
        <v>0.0</v>
      </c>
      <c r="AB251" s="73">
        <v>0.0</v>
      </c>
      <c r="AC251" s="73">
        <v>0.0</v>
      </c>
      <c r="AD251" s="73">
        <v>0.0</v>
      </c>
      <c r="AE251" s="13">
        <f t="shared" si="48"/>
        <v>3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1.0</v>
      </c>
      <c r="K252" s="73">
        <v>0.0</v>
      </c>
      <c r="L252" s="73">
        <v>0.0</v>
      </c>
      <c r="M252" s="73">
        <v>0.0</v>
      </c>
      <c r="N252" s="73">
        <v>0.0</v>
      </c>
      <c r="O252" s="73">
        <v>1.0</v>
      </c>
      <c r="P252" s="73">
        <v>0.0</v>
      </c>
      <c r="Q252" s="73">
        <v>0.0</v>
      </c>
      <c r="R252" s="73">
        <v>2.0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73">
        <v>0.0</v>
      </c>
      <c r="AA252" s="73">
        <v>0.0</v>
      </c>
      <c r="AB252" s="73">
        <v>0.0</v>
      </c>
      <c r="AC252" s="73">
        <v>0.0</v>
      </c>
      <c r="AD252" s="73">
        <v>0.0</v>
      </c>
      <c r="AE252" s="13">
        <f t="shared" si="48"/>
        <v>4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AE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2</v>
      </c>
      <c r="K259" s="13">
        <f t="shared" si="49"/>
        <v>0</v>
      </c>
      <c r="L259" s="13">
        <f t="shared" si="49"/>
        <v>1</v>
      </c>
      <c r="M259" s="13">
        <f t="shared" si="49"/>
        <v>4</v>
      </c>
      <c r="N259" s="13">
        <f t="shared" si="49"/>
        <v>3</v>
      </c>
      <c r="O259" s="13">
        <f t="shared" si="49"/>
        <v>3</v>
      </c>
      <c r="P259" s="13">
        <f t="shared" si="49"/>
        <v>1</v>
      </c>
      <c r="Q259" s="13">
        <f t="shared" si="49"/>
        <v>0</v>
      </c>
      <c r="R259" s="13">
        <f t="shared" si="49"/>
        <v>3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2</v>
      </c>
      <c r="W259" s="13">
        <f t="shared" si="49"/>
        <v>0</v>
      </c>
      <c r="X259" s="13">
        <f t="shared" si="49"/>
        <v>2</v>
      </c>
      <c r="Y259" s="13">
        <f t="shared" si="49"/>
        <v>1</v>
      </c>
      <c r="Z259" s="13">
        <f t="shared" si="49"/>
        <v>0</v>
      </c>
      <c r="AA259" s="13">
        <f t="shared" si="49"/>
        <v>0</v>
      </c>
      <c r="AB259" s="13">
        <f t="shared" si="49"/>
        <v>2</v>
      </c>
      <c r="AC259" s="13">
        <f t="shared" si="49"/>
        <v>0</v>
      </c>
      <c r="AD259" s="13">
        <f t="shared" si="49"/>
        <v>5</v>
      </c>
      <c r="AE259" s="13">
        <f t="shared" si="49"/>
        <v>31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13"/>
      <c r="U261" s="13"/>
      <c r="V261" s="13"/>
      <c r="W261" s="13"/>
      <c r="X261" s="76"/>
      <c r="Y261" s="76"/>
      <c r="Z261" s="76"/>
      <c r="AA261" s="76"/>
      <c r="AB261" s="76"/>
      <c r="AC261" s="76"/>
      <c r="AD261" s="76"/>
      <c r="AE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AD262" si="50">E55+E67+E79+E91+E103+E115+E127+E139+E151+E163+E175+E187+E199+E211+E223+E235+E247+E259</f>
        <v>157</v>
      </c>
      <c r="F262" s="19">
        <f t="shared" si="50"/>
        <v>166</v>
      </c>
      <c r="G262" s="19">
        <f t="shared" si="50"/>
        <v>167</v>
      </c>
      <c r="H262" s="19">
        <f t="shared" si="50"/>
        <v>188</v>
      </c>
      <c r="I262" s="19">
        <f t="shared" si="50"/>
        <v>150</v>
      </c>
      <c r="J262" s="19">
        <f t="shared" si="50"/>
        <v>137</v>
      </c>
      <c r="K262" s="19">
        <f t="shared" si="50"/>
        <v>195</v>
      </c>
      <c r="L262" s="19">
        <f t="shared" si="50"/>
        <v>178</v>
      </c>
      <c r="M262" s="19">
        <f t="shared" si="50"/>
        <v>155</v>
      </c>
      <c r="N262" s="19">
        <f t="shared" si="50"/>
        <v>202</v>
      </c>
      <c r="O262" s="19">
        <f t="shared" si="50"/>
        <v>181</v>
      </c>
      <c r="P262" s="19">
        <f t="shared" si="50"/>
        <v>160</v>
      </c>
      <c r="Q262" s="19">
        <f t="shared" si="50"/>
        <v>167</v>
      </c>
      <c r="R262" s="19">
        <f t="shared" si="50"/>
        <v>205</v>
      </c>
      <c r="S262" s="19">
        <f t="shared" si="50"/>
        <v>199</v>
      </c>
      <c r="T262" s="19">
        <f t="shared" si="50"/>
        <v>150</v>
      </c>
      <c r="U262" s="19">
        <f t="shared" si="50"/>
        <v>162</v>
      </c>
      <c r="V262" s="19">
        <f t="shared" si="50"/>
        <v>167</v>
      </c>
      <c r="W262" s="19">
        <f t="shared" si="50"/>
        <v>124</v>
      </c>
      <c r="X262" s="19">
        <f t="shared" si="50"/>
        <v>210</v>
      </c>
      <c r="Y262" s="19">
        <f t="shared" si="50"/>
        <v>185</v>
      </c>
      <c r="Z262" s="19">
        <f t="shared" si="50"/>
        <v>171</v>
      </c>
      <c r="AA262" s="19">
        <f t="shared" si="50"/>
        <v>155</v>
      </c>
      <c r="AB262" s="19">
        <f t="shared" si="50"/>
        <v>186</v>
      </c>
      <c r="AC262" s="19">
        <f t="shared" si="50"/>
        <v>175</v>
      </c>
      <c r="AD262" s="19">
        <f t="shared" si="50"/>
        <v>185</v>
      </c>
      <c r="AE262" s="13">
        <f t="shared" ref="AE262:AE264" si="51">SUM(E262:AD262)</f>
        <v>4477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35.0</v>
      </c>
      <c r="F263" s="73">
        <v>27.0</v>
      </c>
      <c r="G263" s="73">
        <v>30.0</v>
      </c>
      <c r="H263" s="73">
        <v>27.0</v>
      </c>
      <c r="I263" s="73">
        <v>13.0</v>
      </c>
      <c r="J263" s="73">
        <v>10.0</v>
      </c>
      <c r="K263" s="73">
        <v>46.0</v>
      </c>
      <c r="L263" s="73">
        <v>36.0</v>
      </c>
      <c r="M263" s="73">
        <v>38.0</v>
      </c>
      <c r="N263" s="73">
        <v>26.0</v>
      </c>
      <c r="O263" s="73">
        <v>27.0</v>
      </c>
      <c r="P263" s="73">
        <v>20.0</v>
      </c>
      <c r="Q263" s="73">
        <v>30.0</v>
      </c>
      <c r="R263" s="73">
        <v>17.0</v>
      </c>
      <c r="S263" s="73">
        <v>37.0</v>
      </c>
      <c r="T263" s="73">
        <v>28.0</v>
      </c>
      <c r="U263" s="73">
        <v>23.0</v>
      </c>
      <c r="V263" s="73">
        <v>29.0</v>
      </c>
      <c r="W263" s="73">
        <v>28.0</v>
      </c>
      <c r="X263" s="73">
        <v>25.0</v>
      </c>
      <c r="Y263" s="73">
        <v>30.0</v>
      </c>
      <c r="Z263" s="73">
        <v>22.0</v>
      </c>
      <c r="AA263" s="73">
        <v>20.0</v>
      </c>
      <c r="AB263" s="73">
        <v>21.0</v>
      </c>
      <c r="AC263" s="73">
        <v>16.0</v>
      </c>
      <c r="AD263" s="73">
        <v>41.0</v>
      </c>
      <c r="AE263" s="13">
        <f t="shared" si="51"/>
        <v>702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AD264" si="52">SUM(E262:E263)</f>
        <v>192</v>
      </c>
      <c r="F264" s="13">
        <f t="shared" si="52"/>
        <v>193</v>
      </c>
      <c r="G264" s="13">
        <f t="shared" si="52"/>
        <v>197</v>
      </c>
      <c r="H264" s="13">
        <f t="shared" si="52"/>
        <v>215</v>
      </c>
      <c r="I264" s="13">
        <f t="shared" si="52"/>
        <v>163</v>
      </c>
      <c r="J264" s="13">
        <f t="shared" si="52"/>
        <v>147</v>
      </c>
      <c r="K264" s="13">
        <f t="shared" si="52"/>
        <v>241</v>
      </c>
      <c r="L264" s="13">
        <f t="shared" si="52"/>
        <v>214</v>
      </c>
      <c r="M264" s="13">
        <f t="shared" si="52"/>
        <v>193</v>
      </c>
      <c r="N264" s="13">
        <f t="shared" si="52"/>
        <v>228</v>
      </c>
      <c r="O264" s="13">
        <f t="shared" si="52"/>
        <v>208</v>
      </c>
      <c r="P264" s="13">
        <f t="shared" si="52"/>
        <v>180</v>
      </c>
      <c r="Q264" s="13">
        <f t="shared" si="52"/>
        <v>197</v>
      </c>
      <c r="R264" s="13">
        <f t="shared" si="52"/>
        <v>222</v>
      </c>
      <c r="S264" s="13">
        <f t="shared" si="52"/>
        <v>236</v>
      </c>
      <c r="T264" s="13">
        <f t="shared" si="52"/>
        <v>178</v>
      </c>
      <c r="U264" s="13">
        <f t="shared" si="52"/>
        <v>185</v>
      </c>
      <c r="V264" s="13">
        <f t="shared" si="52"/>
        <v>196</v>
      </c>
      <c r="W264" s="13">
        <f t="shared" si="52"/>
        <v>152</v>
      </c>
      <c r="X264" s="13">
        <f t="shared" si="52"/>
        <v>235</v>
      </c>
      <c r="Y264" s="13">
        <f t="shared" si="52"/>
        <v>215</v>
      </c>
      <c r="Z264" s="13">
        <f t="shared" si="52"/>
        <v>193</v>
      </c>
      <c r="AA264" s="13">
        <f t="shared" si="52"/>
        <v>175</v>
      </c>
      <c r="AB264" s="13">
        <f t="shared" si="52"/>
        <v>207</v>
      </c>
      <c r="AC264" s="13">
        <f t="shared" si="52"/>
        <v>191</v>
      </c>
      <c r="AD264" s="13">
        <f t="shared" si="52"/>
        <v>226</v>
      </c>
      <c r="AE264" s="13">
        <f t="shared" si="51"/>
        <v>5179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AD15">
    <cfRule type="containsBlanks" dxfId="1" priority="1">
      <formula>LEN(TRIM(E14))=0</formula>
    </cfRule>
  </conditionalFormatting>
  <conditionalFormatting sqref="E19:AD20">
    <cfRule type="containsBlanks" dxfId="1" priority="2">
      <formula>LEN(TRIM(E19))=0</formula>
    </cfRule>
  </conditionalFormatting>
  <conditionalFormatting sqref="E22:AD23 E25:AD26 E33:AD33 E35:AD35 E39:AD40">
    <cfRule type="containsBlanks" dxfId="1" priority="3">
      <formula>LEN(TRIM(E22))=0</formula>
    </cfRule>
  </conditionalFormatting>
  <conditionalFormatting sqref="E30:AD30">
    <cfRule type="expression" dxfId="0" priority="4">
      <formula>E30&lt;&gt;E47</formula>
    </cfRule>
  </conditionalFormatting>
  <conditionalFormatting sqref="E30:AD30">
    <cfRule type="expression" dxfId="0" priority="5">
      <formula>E30&lt;&gt;E34</formula>
    </cfRule>
  </conditionalFormatting>
  <conditionalFormatting sqref="E34:AD34">
    <cfRule type="expression" dxfId="2" priority="6">
      <formula>E30&lt;&gt;E34</formula>
    </cfRule>
  </conditionalFormatting>
  <conditionalFormatting sqref="E34:AD34">
    <cfRule type="expression" dxfId="3" priority="7">
      <formula>E30=E34</formula>
    </cfRule>
  </conditionalFormatting>
  <conditionalFormatting sqref="E34:AD34">
    <cfRule type="expression" dxfId="0" priority="8">
      <formula>E34&lt;&gt;E30</formula>
    </cfRule>
  </conditionalFormatting>
  <conditionalFormatting sqref="E34:AD34">
    <cfRule type="expression" dxfId="0" priority="9">
      <formula>E34&lt;&gt;E64</formula>
    </cfRule>
  </conditionalFormatting>
  <conditionalFormatting sqref="E45:AD54">
    <cfRule type="containsBlanks" dxfId="1" priority="10">
      <formula>LEN(TRIM(E45))=0</formula>
    </cfRule>
  </conditionalFormatting>
  <conditionalFormatting sqref="E57:AD66">
    <cfRule type="containsBlanks" dxfId="1" priority="11">
      <formula>LEN(TRIM(E57))=0</formula>
    </cfRule>
  </conditionalFormatting>
  <conditionalFormatting sqref="E69:AD78">
    <cfRule type="containsBlanks" dxfId="1" priority="12">
      <formula>LEN(TRIM(E69))=0</formula>
    </cfRule>
  </conditionalFormatting>
  <conditionalFormatting sqref="E81:AD90">
    <cfRule type="containsBlanks" dxfId="1" priority="13">
      <formula>LEN(TRIM(E81))=0</formula>
    </cfRule>
  </conditionalFormatting>
  <conditionalFormatting sqref="E93:AD102">
    <cfRule type="containsBlanks" dxfId="1" priority="14">
      <formula>LEN(TRIM(E93))=0</formula>
    </cfRule>
  </conditionalFormatting>
  <conditionalFormatting sqref="E105:AD114">
    <cfRule type="containsBlanks" dxfId="1" priority="15">
      <formula>LEN(TRIM(E105))=0</formula>
    </cfRule>
  </conditionalFormatting>
  <conditionalFormatting sqref="E117:AD126">
    <cfRule type="containsBlanks" dxfId="1" priority="16">
      <formula>LEN(TRIM(E117))=0</formula>
    </cfRule>
  </conditionalFormatting>
  <conditionalFormatting sqref="E129:AD138">
    <cfRule type="containsBlanks" dxfId="1" priority="17">
      <formula>LEN(TRIM(E129))=0</formula>
    </cfRule>
  </conditionalFormatting>
  <conditionalFormatting sqref="E141:AD150">
    <cfRule type="containsBlanks" dxfId="1" priority="18">
      <formula>LEN(TRIM(E141))=0</formula>
    </cfRule>
  </conditionalFormatting>
  <conditionalFormatting sqref="E153:AD162">
    <cfRule type="containsBlanks" dxfId="1" priority="19">
      <formula>LEN(TRIM(E153))=0</formula>
    </cfRule>
  </conditionalFormatting>
  <conditionalFormatting sqref="E165:AD174">
    <cfRule type="containsBlanks" dxfId="1" priority="20">
      <formula>LEN(TRIM(E165))=0</formula>
    </cfRule>
  </conditionalFormatting>
  <conditionalFormatting sqref="E177:AD186">
    <cfRule type="containsBlanks" dxfId="1" priority="21">
      <formula>LEN(TRIM(E177))=0</formula>
    </cfRule>
  </conditionalFormatting>
  <conditionalFormatting sqref="E189:AD198">
    <cfRule type="containsBlanks" dxfId="1" priority="22">
      <formula>LEN(TRIM(E189))=0</formula>
    </cfRule>
  </conditionalFormatting>
  <conditionalFormatting sqref="E201:AD210">
    <cfRule type="containsBlanks" dxfId="1" priority="23">
      <formula>LEN(TRIM(E201))=0</formula>
    </cfRule>
  </conditionalFormatting>
  <conditionalFormatting sqref="E213:AD222">
    <cfRule type="containsBlanks" dxfId="1" priority="24">
      <formula>LEN(TRIM(E213))=0</formula>
    </cfRule>
  </conditionalFormatting>
  <conditionalFormatting sqref="E225:AD234">
    <cfRule type="containsBlanks" dxfId="1" priority="25">
      <formula>LEN(TRIM(E225))=0</formula>
    </cfRule>
  </conditionalFormatting>
  <conditionalFormatting sqref="E237:AD246">
    <cfRule type="containsBlanks" dxfId="1" priority="26">
      <formula>LEN(TRIM(E237))=0</formula>
    </cfRule>
  </conditionalFormatting>
  <conditionalFormatting sqref="E249:AD258">
    <cfRule type="containsBlanks" dxfId="1" priority="27">
      <formula>LEN(TRIM(E249))=0</formula>
    </cfRule>
  </conditionalFormatting>
  <conditionalFormatting sqref="E262:AD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36"/>
    </row>
    <row r="14" ht="12.75" customHeight="1">
      <c r="A14" s="18"/>
      <c r="B14" s="22" t="s">
        <v>10</v>
      </c>
      <c r="C14" s="23"/>
      <c r="D14" s="19" t="s">
        <v>11</v>
      </c>
      <c r="E14" s="73">
        <v>138.0</v>
      </c>
      <c r="F14" s="73">
        <v>132.0</v>
      </c>
      <c r="G14" s="73">
        <v>110.0</v>
      </c>
      <c r="H14" s="73">
        <v>144.0</v>
      </c>
      <c r="I14" s="73">
        <v>130.0</v>
      </c>
      <c r="J14" s="73">
        <v>133.0</v>
      </c>
      <c r="K14" s="73">
        <v>127.0</v>
      </c>
      <c r="L14" s="73">
        <v>113.0</v>
      </c>
      <c r="M14" s="73">
        <v>126.0</v>
      </c>
      <c r="N14" s="73">
        <v>124.0</v>
      </c>
      <c r="O14" s="73">
        <v>120.0</v>
      </c>
      <c r="P14" s="73">
        <v>113.0</v>
      </c>
      <c r="Q14" s="73">
        <v>106.0</v>
      </c>
      <c r="R14" s="73">
        <v>106.0</v>
      </c>
      <c r="S14" s="73">
        <v>96.0</v>
      </c>
      <c r="T14" s="73">
        <v>130.0</v>
      </c>
      <c r="U14" s="73">
        <v>123.0</v>
      </c>
      <c r="V14" s="73">
        <v>98.0</v>
      </c>
      <c r="W14" s="73">
        <v>102.0</v>
      </c>
      <c r="X14" s="13">
        <f t="shared" ref="X14:X16" si="1">SUM(E14:W14)</f>
        <v>2271</v>
      </c>
    </row>
    <row r="15" ht="12.75" customHeight="1">
      <c r="A15" s="18"/>
      <c r="B15" s="26"/>
      <c r="C15" s="27"/>
      <c r="D15" s="19" t="s">
        <v>12</v>
      </c>
      <c r="E15" s="73">
        <v>150.0</v>
      </c>
      <c r="F15" s="73">
        <v>151.0</v>
      </c>
      <c r="G15" s="73">
        <v>134.0</v>
      </c>
      <c r="H15" s="73">
        <v>128.0</v>
      </c>
      <c r="I15" s="73">
        <v>136.0</v>
      </c>
      <c r="J15" s="73">
        <v>124.0</v>
      </c>
      <c r="K15" s="73">
        <v>130.0</v>
      </c>
      <c r="L15" s="73">
        <v>131.0</v>
      </c>
      <c r="M15" s="73">
        <v>137.0</v>
      </c>
      <c r="N15" s="73">
        <v>139.0</v>
      </c>
      <c r="O15" s="73">
        <v>141.0</v>
      </c>
      <c r="P15" s="73">
        <v>112.0</v>
      </c>
      <c r="Q15" s="73">
        <v>119.0</v>
      </c>
      <c r="R15" s="73">
        <v>110.0</v>
      </c>
      <c r="S15" s="73">
        <v>105.0</v>
      </c>
      <c r="T15" s="73">
        <v>134.0</v>
      </c>
      <c r="U15" s="73">
        <v>125.0</v>
      </c>
      <c r="V15" s="73">
        <v>102.0</v>
      </c>
      <c r="W15" s="73">
        <v>91.0</v>
      </c>
      <c r="X15" s="13">
        <f t="shared" si="1"/>
        <v>2399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288</v>
      </c>
      <c r="F16" s="13">
        <f t="shared" si="2"/>
        <v>283</v>
      </c>
      <c r="G16" s="13">
        <f t="shared" si="2"/>
        <v>244</v>
      </c>
      <c r="H16" s="13">
        <f t="shared" si="2"/>
        <v>272</v>
      </c>
      <c r="I16" s="13">
        <f t="shared" si="2"/>
        <v>266</v>
      </c>
      <c r="J16" s="13">
        <f t="shared" si="2"/>
        <v>257</v>
      </c>
      <c r="K16" s="13">
        <f t="shared" si="2"/>
        <v>257</v>
      </c>
      <c r="L16" s="13">
        <f t="shared" si="2"/>
        <v>244</v>
      </c>
      <c r="M16" s="13">
        <f t="shared" si="2"/>
        <v>263</v>
      </c>
      <c r="N16" s="13">
        <f t="shared" si="2"/>
        <v>263</v>
      </c>
      <c r="O16" s="13">
        <f t="shared" si="2"/>
        <v>261</v>
      </c>
      <c r="P16" s="13">
        <f t="shared" si="2"/>
        <v>225</v>
      </c>
      <c r="Q16" s="13">
        <f t="shared" si="2"/>
        <v>225</v>
      </c>
      <c r="R16" s="13">
        <f t="shared" si="2"/>
        <v>216</v>
      </c>
      <c r="S16" s="13">
        <f t="shared" si="2"/>
        <v>201</v>
      </c>
      <c r="T16" s="13">
        <f t="shared" si="2"/>
        <v>264</v>
      </c>
      <c r="U16" s="13">
        <f t="shared" si="2"/>
        <v>248</v>
      </c>
      <c r="V16" s="13">
        <f t="shared" si="2"/>
        <v>200</v>
      </c>
      <c r="W16" s="13">
        <f t="shared" si="2"/>
        <v>193</v>
      </c>
      <c r="X16" s="13">
        <f t="shared" si="1"/>
        <v>4670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98.0</v>
      </c>
      <c r="F19" s="73">
        <v>100.0</v>
      </c>
      <c r="G19" s="73">
        <v>86.0</v>
      </c>
      <c r="H19" s="73">
        <v>100.0</v>
      </c>
      <c r="I19" s="73">
        <v>92.0</v>
      </c>
      <c r="J19" s="73">
        <v>97.0</v>
      </c>
      <c r="K19" s="73">
        <v>95.0</v>
      </c>
      <c r="L19" s="73">
        <v>81.0</v>
      </c>
      <c r="M19" s="73">
        <v>84.0</v>
      </c>
      <c r="N19" s="73">
        <v>93.0</v>
      </c>
      <c r="O19" s="73">
        <v>89.0</v>
      </c>
      <c r="P19" s="73">
        <v>73.0</v>
      </c>
      <c r="Q19" s="73">
        <v>68.0</v>
      </c>
      <c r="R19" s="73">
        <v>75.0</v>
      </c>
      <c r="S19" s="73">
        <v>68.0</v>
      </c>
      <c r="T19" s="73">
        <v>103.0</v>
      </c>
      <c r="U19" s="73">
        <v>87.0</v>
      </c>
      <c r="V19" s="73">
        <v>81.0</v>
      </c>
      <c r="W19" s="73">
        <v>76.0</v>
      </c>
      <c r="X19" s="13">
        <f t="shared" ref="X19:X30" si="3">SUM(E19:W19)</f>
        <v>1646</v>
      </c>
    </row>
    <row r="20" ht="12.75" customHeight="1">
      <c r="A20" s="33"/>
      <c r="B20" s="27"/>
      <c r="C20" s="34"/>
      <c r="D20" s="19" t="s">
        <v>12</v>
      </c>
      <c r="E20" s="73">
        <v>128.0</v>
      </c>
      <c r="F20" s="73">
        <v>126.0</v>
      </c>
      <c r="G20" s="73">
        <v>114.0</v>
      </c>
      <c r="H20" s="73">
        <v>110.0</v>
      </c>
      <c r="I20" s="73">
        <v>102.0</v>
      </c>
      <c r="J20" s="73">
        <v>99.0</v>
      </c>
      <c r="K20" s="73">
        <v>112.0</v>
      </c>
      <c r="L20" s="73">
        <v>97.0</v>
      </c>
      <c r="M20" s="73">
        <v>113.0</v>
      </c>
      <c r="N20" s="73">
        <v>116.0</v>
      </c>
      <c r="O20" s="73">
        <v>110.0</v>
      </c>
      <c r="P20" s="73">
        <v>86.0</v>
      </c>
      <c r="Q20" s="73">
        <v>92.0</v>
      </c>
      <c r="R20" s="73">
        <v>86.0</v>
      </c>
      <c r="S20" s="73">
        <v>83.0</v>
      </c>
      <c r="T20" s="73">
        <v>101.0</v>
      </c>
      <c r="U20" s="73">
        <v>96.0</v>
      </c>
      <c r="V20" s="73">
        <v>94.0</v>
      </c>
      <c r="W20" s="73">
        <v>77.0</v>
      </c>
      <c r="X20" s="13">
        <f t="shared" si="3"/>
        <v>1942</v>
      </c>
    </row>
    <row r="21" ht="12.75" customHeight="1">
      <c r="A21" s="35"/>
      <c r="B21" s="28"/>
      <c r="C21" s="36"/>
      <c r="D21" s="13" t="s">
        <v>13</v>
      </c>
      <c r="E21" s="13">
        <f t="shared" ref="E21:W21" si="4">SUM(E19:E20)</f>
        <v>226</v>
      </c>
      <c r="F21" s="13">
        <f t="shared" si="4"/>
        <v>226</v>
      </c>
      <c r="G21" s="13">
        <f t="shared" si="4"/>
        <v>200</v>
      </c>
      <c r="H21" s="13">
        <f t="shared" si="4"/>
        <v>210</v>
      </c>
      <c r="I21" s="13">
        <f t="shared" si="4"/>
        <v>194</v>
      </c>
      <c r="J21" s="13">
        <f t="shared" si="4"/>
        <v>196</v>
      </c>
      <c r="K21" s="13">
        <f t="shared" si="4"/>
        <v>207</v>
      </c>
      <c r="L21" s="13">
        <f t="shared" si="4"/>
        <v>178</v>
      </c>
      <c r="M21" s="13">
        <f t="shared" si="4"/>
        <v>197</v>
      </c>
      <c r="N21" s="13">
        <f t="shared" si="4"/>
        <v>209</v>
      </c>
      <c r="O21" s="13">
        <f t="shared" si="4"/>
        <v>199</v>
      </c>
      <c r="P21" s="13">
        <f t="shared" si="4"/>
        <v>159</v>
      </c>
      <c r="Q21" s="13">
        <f t="shared" si="4"/>
        <v>160</v>
      </c>
      <c r="R21" s="13">
        <f t="shared" si="4"/>
        <v>161</v>
      </c>
      <c r="S21" s="13">
        <f t="shared" si="4"/>
        <v>151</v>
      </c>
      <c r="T21" s="13">
        <f t="shared" si="4"/>
        <v>204</v>
      </c>
      <c r="U21" s="13">
        <f t="shared" si="4"/>
        <v>183</v>
      </c>
      <c r="V21" s="13">
        <f t="shared" si="4"/>
        <v>175</v>
      </c>
      <c r="W21" s="13">
        <f t="shared" si="4"/>
        <v>153</v>
      </c>
      <c r="X21" s="13">
        <f t="shared" si="3"/>
        <v>3588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0.0</v>
      </c>
      <c r="G22" s="73">
        <v>0.0</v>
      </c>
      <c r="H22" s="73">
        <v>0.0</v>
      </c>
      <c r="I22" s="73">
        <v>0.0</v>
      </c>
      <c r="J22" s="73">
        <v>1.0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1.0</v>
      </c>
      <c r="U22" s="73">
        <v>0.0</v>
      </c>
      <c r="V22" s="73">
        <v>0.0</v>
      </c>
      <c r="W22" s="73">
        <v>1.0</v>
      </c>
      <c r="X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1.0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0.0</v>
      </c>
      <c r="O23" s="73">
        <v>0.0</v>
      </c>
      <c r="P23" s="73">
        <v>0.0</v>
      </c>
      <c r="Q23" s="73">
        <v>0.0</v>
      </c>
      <c r="R23" s="73">
        <v>0.0</v>
      </c>
      <c r="S23" s="73">
        <v>0.0</v>
      </c>
      <c r="T23" s="73">
        <v>2.0</v>
      </c>
      <c r="U23" s="73">
        <v>0.0</v>
      </c>
      <c r="V23" s="73">
        <v>0.0</v>
      </c>
      <c r="W23" s="73">
        <v>1.0</v>
      </c>
      <c r="X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W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3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3"/>
        <v>7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0.0</v>
      </c>
      <c r="F25" s="73">
        <v>0.0</v>
      </c>
      <c r="G25" s="73">
        <v>2.0</v>
      </c>
      <c r="H25" s="73">
        <v>0.0</v>
      </c>
      <c r="I25" s="73">
        <v>0.0</v>
      </c>
      <c r="J25" s="73">
        <v>1.0</v>
      </c>
      <c r="K25" s="73">
        <v>0.0</v>
      </c>
      <c r="L25" s="73">
        <v>1.0</v>
      </c>
      <c r="M25" s="73">
        <v>0.0</v>
      </c>
      <c r="N25" s="73">
        <v>1.0</v>
      </c>
      <c r="O25" s="73">
        <v>2.0</v>
      </c>
      <c r="P25" s="73">
        <v>1.0</v>
      </c>
      <c r="Q25" s="73">
        <v>0.0</v>
      </c>
      <c r="R25" s="73">
        <v>0.0</v>
      </c>
      <c r="S25" s="73">
        <v>0.0</v>
      </c>
      <c r="T25" s="73">
        <v>0.0</v>
      </c>
      <c r="U25" s="73">
        <v>2.0</v>
      </c>
      <c r="V25" s="73">
        <v>4.0</v>
      </c>
      <c r="W25" s="73">
        <v>2.0</v>
      </c>
      <c r="X25" s="13">
        <f t="shared" si="3"/>
        <v>16</v>
      </c>
    </row>
    <row r="26" ht="12.75" customHeight="1">
      <c r="A26" s="33"/>
      <c r="B26" s="27"/>
      <c r="C26" s="34"/>
      <c r="D26" s="19" t="s">
        <v>12</v>
      </c>
      <c r="E26" s="73">
        <v>1.0</v>
      </c>
      <c r="F26" s="73">
        <v>0.0</v>
      </c>
      <c r="G26" s="73">
        <v>3.0</v>
      </c>
      <c r="H26" s="73">
        <v>0.0</v>
      </c>
      <c r="I26" s="73">
        <v>0.0</v>
      </c>
      <c r="J26" s="73">
        <v>4.0</v>
      </c>
      <c r="K26" s="73">
        <v>1.0</v>
      </c>
      <c r="L26" s="73">
        <v>2.0</v>
      </c>
      <c r="M26" s="73">
        <v>0.0</v>
      </c>
      <c r="N26" s="73">
        <v>1.0</v>
      </c>
      <c r="O26" s="73">
        <v>0.0</v>
      </c>
      <c r="P26" s="73">
        <v>0.0</v>
      </c>
      <c r="Q26" s="73">
        <v>0.0</v>
      </c>
      <c r="R26" s="73">
        <v>0.0</v>
      </c>
      <c r="S26" s="73">
        <v>0.0</v>
      </c>
      <c r="T26" s="73">
        <v>0.0</v>
      </c>
      <c r="U26" s="73">
        <v>3.0</v>
      </c>
      <c r="V26" s="73">
        <v>2.0</v>
      </c>
      <c r="W26" s="73">
        <v>4.0</v>
      </c>
      <c r="X26" s="13">
        <f t="shared" si="3"/>
        <v>21</v>
      </c>
    </row>
    <row r="27" ht="12.75" customHeight="1">
      <c r="A27" s="35"/>
      <c r="B27" s="28"/>
      <c r="C27" s="36"/>
      <c r="D27" s="13" t="s">
        <v>13</v>
      </c>
      <c r="E27" s="13">
        <f t="shared" ref="E27:W27" si="6">SUM(E25:E26)</f>
        <v>1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0</v>
      </c>
      <c r="J27" s="13">
        <f t="shared" si="6"/>
        <v>5</v>
      </c>
      <c r="K27" s="13">
        <f t="shared" si="6"/>
        <v>1</v>
      </c>
      <c r="L27" s="13">
        <f t="shared" si="6"/>
        <v>3</v>
      </c>
      <c r="M27" s="13">
        <f t="shared" si="6"/>
        <v>0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5</v>
      </c>
      <c r="V27" s="13">
        <f t="shared" si="6"/>
        <v>6</v>
      </c>
      <c r="W27" s="13">
        <f t="shared" si="6"/>
        <v>6</v>
      </c>
      <c r="X27" s="13">
        <f t="shared" si="3"/>
        <v>37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W28" si="7">SUM(E19,E22,E25)</f>
        <v>98</v>
      </c>
      <c r="F28" s="13">
        <f t="shared" si="7"/>
        <v>100</v>
      </c>
      <c r="G28" s="13">
        <f t="shared" si="7"/>
        <v>88</v>
      </c>
      <c r="H28" s="13">
        <f t="shared" si="7"/>
        <v>100</v>
      </c>
      <c r="I28" s="13">
        <f t="shared" si="7"/>
        <v>92</v>
      </c>
      <c r="J28" s="13">
        <f t="shared" si="7"/>
        <v>99</v>
      </c>
      <c r="K28" s="13">
        <f t="shared" si="7"/>
        <v>95</v>
      </c>
      <c r="L28" s="13">
        <f t="shared" si="7"/>
        <v>82</v>
      </c>
      <c r="M28" s="13">
        <f t="shared" si="7"/>
        <v>84</v>
      </c>
      <c r="N28" s="13">
        <f t="shared" si="7"/>
        <v>94</v>
      </c>
      <c r="O28" s="13">
        <f t="shared" si="7"/>
        <v>91</v>
      </c>
      <c r="P28" s="13">
        <f t="shared" si="7"/>
        <v>74</v>
      </c>
      <c r="Q28" s="13">
        <f t="shared" si="7"/>
        <v>68</v>
      </c>
      <c r="R28" s="13">
        <f t="shared" si="7"/>
        <v>75</v>
      </c>
      <c r="S28" s="13">
        <f t="shared" si="7"/>
        <v>68</v>
      </c>
      <c r="T28" s="13">
        <f t="shared" si="7"/>
        <v>104</v>
      </c>
      <c r="U28" s="13">
        <f t="shared" si="7"/>
        <v>89</v>
      </c>
      <c r="V28" s="13">
        <f t="shared" si="7"/>
        <v>85</v>
      </c>
      <c r="W28" s="13">
        <f t="shared" si="7"/>
        <v>79</v>
      </c>
      <c r="X28" s="13">
        <f t="shared" si="3"/>
        <v>1665</v>
      </c>
    </row>
    <row r="29" ht="12.75" customHeight="1">
      <c r="A29" s="35"/>
      <c r="B29" s="27"/>
      <c r="C29" s="34"/>
      <c r="D29" s="13" t="s">
        <v>12</v>
      </c>
      <c r="E29" s="13">
        <f t="shared" ref="E29:W29" si="8">SUM(E20,E23,E26)</f>
        <v>129</v>
      </c>
      <c r="F29" s="13">
        <f t="shared" si="8"/>
        <v>127</v>
      </c>
      <c r="G29" s="13">
        <f t="shared" si="8"/>
        <v>117</v>
      </c>
      <c r="H29" s="13">
        <f t="shared" si="8"/>
        <v>110</v>
      </c>
      <c r="I29" s="13">
        <f t="shared" si="8"/>
        <v>102</v>
      </c>
      <c r="J29" s="13">
        <f t="shared" si="8"/>
        <v>103</v>
      </c>
      <c r="K29" s="13">
        <f t="shared" si="8"/>
        <v>113</v>
      </c>
      <c r="L29" s="13">
        <f t="shared" si="8"/>
        <v>99</v>
      </c>
      <c r="M29" s="13">
        <f t="shared" si="8"/>
        <v>113</v>
      </c>
      <c r="N29" s="13">
        <f t="shared" si="8"/>
        <v>117</v>
      </c>
      <c r="O29" s="13">
        <f t="shared" si="8"/>
        <v>110</v>
      </c>
      <c r="P29" s="13">
        <f t="shared" si="8"/>
        <v>86</v>
      </c>
      <c r="Q29" s="13">
        <f t="shared" si="8"/>
        <v>92</v>
      </c>
      <c r="R29" s="13">
        <f t="shared" si="8"/>
        <v>86</v>
      </c>
      <c r="S29" s="13">
        <f t="shared" si="8"/>
        <v>83</v>
      </c>
      <c r="T29" s="13">
        <f t="shared" si="8"/>
        <v>103</v>
      </c>
      <c r="U29" s="13">
        <f t="shared" si="8"/>
        <v>99</v>
      </c>
      <c r="V29" s="13">
        <f t="shared" si="8"/>
        <v>96</v>
      </c>
      <c r="W29" s="13">
        <f t="shared" si="8"/>
        <v>82</v>
      </c>
      <c r="X29" s="13">
        <f t="shared" si="3"/>
        <v>1967</v>
      </c>
    </row>
    <row r="30" ht="12.75" customHeight="1">
      <c r="A30" s="35"/>
      <c r="B30" s="28"/>
      <c r="C30" s="36"/>
      <c r="D30" s="13" t="s">
        <v>13</v>
      </c>
      <c r="E30" s="13">
        <f t="shared" ref="E30:W30" si="9">SUM(E28:E29)</f>
        <v>227</v>
      </c>
      <c r="F30" s="13">
        <f t="shared" si="9"/>
        <v>227</v>
      </c>
      <c r="G30" s="13">
        <f t="shared" si="9"/>
        <v>205</v>
      </c>
      <c r="H30" s="13">
        <f t="shared" si="9"/>
        <v>210</v>
      </c>
      <c r="I30" s="13">
        <f t="shared" si="9"/>
        <v>194</v>
      </c>
      <c r="J30" s="13">
        <f t="shared" si="9"/>
        <v>202</v>
      </c>
      <c r="K30" s="13">
        <f t="shared" si="9"/>
        <v>208</v>
      </c>
      <c r="L30" s="13">
        <f t="shared" si="9"/>
        <v>181</v>
      </c>
      <c r="M30" s="13">
        <f t="shared" si="9"/>
        <v>197</v>
      </c>
      <c r="N30" s="13">
        <f t="shared" si="9"/>
        <v>211</v>
      </c>
      <c r="O30" s="13">
        <f t="shared" si="9"/>
        <v>201</v>
      </c>
      <c r="P30" s="13">
        <f t="shared" si="9"/>
        <v>160</v>
      </c>
      <c r="Q30" s="13">
        <f t="shared" si="9"/>
        <v>160</v>
      </c>
      <c r="R30" s="13">
        <f t="shared" si="9"/>
        <v>161</v>
      </c>
      <c r="S30" s="13">
        <f t="shared" si="9"/>
        <v>151</v>
      </c>
      <c r="T30" s="13">
        <f t="shared" si="9"/>
        <v>207</v>
      </c>
      <c r="U30" s="13">
        <f t="shared" si="9"/>
        <v>188</v>
      </c>
      <c r="V30" s="13">
        <f t="shared" si="9"/>
        <v>181</v>
      </c>
      <c r="W30" s="13">
        <f t="shared" si="9"/>
        <v>161</v>
      </c>
      <c r="X30" s="13">
        <f t="shared" si="3"/>
        <v>3632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5"/>
    </row>
    <row r="33" ht="12.75" customHeight="1">
      <c r="A33" s="19">
        <v>1.0</v>
      </c>
      <c r="B33" s="20" t="s">
        <v>26</v>
      </c>
      <c r="C33" s="15"/>
      <c r="D33" s="16"/>
      <c r="E33" s="73">
        <v>294.0</v>
      </c>
      <c r="F33" s="73">
        <v>289.0</v>
      </c>
      <c r="G33" s="73">
        <v>249.0</v>
      </c>
      <c r="H33" s="73">
        <v>278.0</v>
      </c>
      <c r="I33" s="73">
        <v>272.0</v>
      </c>
      <c r="J33" s="73">
        <v>263.0</v>
      </c>
      <c r="K33" s="73">
        <v>263.0</v>
      </c>
      <c r="L33" s="73">
        <v>249.0</v>
      </c>
      <c r="M33" s="73">
        <v>269.0</v>
      </c>
      <c r="N33" s="73">
        <v>269.0</v>
      </c>
      <c r="O33" s="73">
        <v>267.0</v>
      </c>
      <c r="P33" s="73">
        <v>230.0</v>
      </c>
      <c r="Q33" s="73">
        <v>230.0</v>
      </c>
      <c r="R33" s="73">
        <v>221.0</v>
      </c>
      <c r="S33" s="73">
        <v>206.0</v>
      </c>
      <c r="T33" s="73">
        <v>270.0</v>
      </c>
      <c r="U33" s="73">
        <v>253.0</v>
      </c>
      <c r="V33" s="73">
        <v>204.0</v>
      </c>
      <c r="W33" s="73">
        <v>197.0</v>
      </c>
      <c r="X33" s="13">
        <f t="shared" ref="X33:X36" si="10">SUM(E33:W33)</f>
        <v>4773</v>
      </c>
    </row>
    <row r="34" ht="12.75" customHeight="1">
      <c r="A34" s="19">
        <v>2.0</v>
      </c>
      <c r="B34" s="20" t="s">
        <v>27</v>
      </c>
      <c r="C34" s="15"/>
      <c r="D34" s="16"/>
      <c r="E34" s="77">
        <v>227.0</v>
      </c>
      <c r="F34" s="77">
        <v>227.0</v>
      </c>
      <c r="G34" s="77">
        <v>205.0</v>
      </c>
      <c r="H34" s="77">
        <v>210.0</v>
      </c>
      <c r="I34" s="77">
        <v>194.0</v>
      </c>
      <c r="J34" s="77">
        <v>202.0</v>
      </c>
      <c r="K34" s="77">
        <v>208.0</v>
      </c>
      <c r="L34" s="77">
        <v>181.0</v>
      </c>
      <c r="M34" s="77">
        <v>197.0</v>
      </c>
      <c r="N34" s="77">
        <v>211.0</v>
      </c>
      <c r="O34" s="77">
        <v>201.0</v>
      </c>
      <c r="P34" s="77">
        <v>160.0</v>
      </c>
      <c r="Q34" s="77">
        <v>160.0</v>
      </c>
      <c r="R34" s="77">
        <v>161.0</v>
      </c>
      <c r="S34" s="77">
        <v>151.0</v>
      </c>
      <c r="T34" s="77">
        <v>207.0</v>
      </c>
      <c r="U34" s="77">
        <v>188.0</v>
      </c>
      <c r="V34" s="77">
        <v>181.0</v>
      </c>
      <c r="W34" s="77">
        <v>161.0</v>
      </c>
      <c r="X34" s="13">
        <f t="shared" si="10"/>
        <v>3632</v>
      </c>
    </row>
    <row r="35" ht="12.75" customHeight="1">
      <c r="A35" s="19">
        <v>3.0</v>
      </c>
      <c r="B35" s="20" t="s">
        <v>28</v>
      </c>
      <c r="C35" s="15"/>
      <c r="D35" s="16"/>
      <c r="E35" s="73">
        <v>1.0</v>
      </c>
      <c r="F35" s="73">
        <v>1.0</v>
      </c>
      <c r="G35" s="73">
        <v>3.0</v>
      </c>
      <c r="H35" s="73">
        <v>0.0</v>
      </c>
      <c r="I35" s="73">
        <v>2.0</v>
      </c>
      <c r="J35" s="73">
        <v>0.0</v>
      </c>
      <c r="K35" s="73">
        <v>1.0</v>
      </c>
      <c r="L35" s="73">
        <v>1.0</v>
      </c>
      <c r="M35" s="73">
        <v>0.0</v>
      </c>
      <c r="N35" s="73">
        <v>0.0</v>
      </c>
      <c r="O35" s="73">
        <v>1.0</v>
      </c>
      <c r="P35" s="73">
        <v>0.0</v>
      </c>
      <c r="Q35" s="73">
        <v>0.0</v>
      </c>
      <c r="R35" s="73">
        <v>0.0</v>
      </c>
      <c r="S35" s="73">
        <v>0.0</v>
      </c>
      <c r="T35" s="73">
        <v>0.0</v>
      </c>
      <c r="U35" s="73">
        <v>1.0</v>
      </c>
      <c r="V35" s="73">
        <v>0.0</v>
      </c>
      <c r="W35" s="73">
        <v>0.0</v>
      </c>
      <c r="X35" s="13">
        <f t="shared" si="10"/>
        <v>11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66</v>
      </c>
      <c r="F36" s="13">
        <f t="shared" si="11"/>
        <v>61</v>
      </c>
      <c r="G36" s="13">
        <f t="shared" si="11"/>
        <v>41</v>
      </c>
      <c r="H36" s="13">
        <f t="shared" si="11"/>
        <v>68</v>
      </c>
      <c r="I36" s="13">
        <f t="shared" si="11"/>
        <v>76</v>
      </c>
      <c r="J36" s="13">
        <f t="shared" si="11"/>
        <v>61</v>
      </c>
      <c r="K36" s="13">
        <f t="shared" si="11"/>
        <v>54</v>
      </c>
      <c r="L36" s="13">
        <f t="shared" si="11"/>
        <v>67</v>
      </c>
      <c r="M36" s="13">
        <f t="shared" si="11"/>
        <v>72</v>
      </c>
      <c r="N36" s="13">
        <f t="shared" si="11"/>
        <v>58</v>
      </c>
      <c r="O36" s="13">
        <f t="shared" si="11"/>
        <v>65</v>
      </c>
      <c r="P36" s="13">
        <f t="shared" si="11"/>
        <v>70</v>
      </c>
      <c r="Q36" s="13">
        <f t="shared" si="11"/>
        <v>70</v>
      </c>
      <c r="R36" s="13">
        <f t="shared" si="11"/>
        <v>60</v>
      </c>
      <c r="S36" s="13">
        <f t="shared" si="11"/>
        <v>55</v>
      </c>
      <c r="T36" s="13">
        <f t="shared" si="11"/>
        <v>63</v>
      </c>
      <c r="U36" s="13">
        <f t="shared" si="11"/>
        <v>64</v>
      </c>
      <c r="V36" s="13">
        <f t="shared" si="11"/>
        <v>23</v>
      </c>
      <c r="W36" s="13">
        <f t="shared" si="11"/>
        <v>36</v>
      </c>
      <c r="X36" s="13">
        <f t="shared" si="10"/>
        <v>1130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78"/>
      <c r="U37" s="78"/>
      <c r="V37" s="78"/>
      <c r="W37" s="78"/>
      <c r="X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5"/>
    </row>
    <row r="39" ht="12.75" customHeight="1">
      <c r="A39" s="30"/>
      <c r="B39" s="43" t="s">
        <v>32</v>
      </c>
      <c r="C39" s="23"/>
      <c r="D39" s="19" t="s">
        <v>11</v>
      </c>
      <c r="E39" s="73">
        <v>1.0</v>
      </c>
      <c r="F39" s="73">
        <v>0.0</v>
      </c>
      <c r="G39" s="73">
        <v>0.0</v>
      </c>
      <c r="H39" s="73">
        <v>0.0</v>
      </c>
      <c r="I39" s="73">
        <v>0.0</v>
      </c>
      <c r="J39" s="73">
        <v>2.0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1.0</v>
      </c>
      <c r="T39" s="73">
        <v>0.0</v>
      </c>
      <c r="U39" s="73">
        <v>0.0</v>
      </c>
      <c r="V39" s="73">
        <v>3.0</v>
      </c>
      <c r="W39" s="73">
        <v>0.0</v>
      </c>
      <c r="X39" s="13">
        <f t="shared" ref="X39:X41" si="12">SUM(E39:W39)</f>
        <v>7</v>
      </c>
    </row>
    <row r="40" ht="12.75" customHeight="1">
      <c r="A40" s="33"/>
      <c r="C40" s="27"/>
      <c r="D40" s="19" t="s">
        <v>12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1.0</v>
      </c>
      <c r="K40" s="73">
        <v>0.0</v>
      </c>
      <c r="L40" s="73">
        <v>0.0</v>
      </c>
      <c r="M40" s="73">
        <v>0.0</v>
      </c>
      <c r="N40" s="73">
        <v>0.0</v>
      </c>
      <c r="O40" s="73">
        <v>0.0</v>
      </c>
      <c r="P40" s="73">
        <v>0.0</v>
      </c>
      <c r="Q40" s="73">
        <v>0.0</v>
      </c>
      <c r="R40" s="73">
        <v>1.0</v>
      </c>
      <c r="S40" s="73">
        <v>0.0</v>
      </c>
      <c r="T40" s="73">
        <v>0.0</v>
      </c>
      <c r="U40" s="73">
        <v>0.0</v>
      </c>
      <c r="V40" s="73">
        <v>3.0</v>
      </c>
      <c r="W40" s="73">
        <v>0.0</v>
      </c>
      <c r="X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W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6</v>
      </c>
      <c r="W41" s="13">
        <f t="shared" si="13"/>
        <v>0</v>
      </c>
      <c r="X41" s="13">
        <f t="shared" si="12"/>
        <v>12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74"/>
      <c r="U42" s="19"/>
      <c r="V42" s="74"/>
      <c r="W42" s="19"/>
      <c r="X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76"/>
      <c r="U43" s="13"/>
      <c r="V43" s="76"/>
      <c r="W43" s="13"/>
      <c r="X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74"/>
      <c r="U44" s="19"/>
      <c r="V44" s="74"/>
      <c r="W44" s="19"/>
      <c r="X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4.0</v>
      </c>
      <c r="F45" s="73">
        <v>1.0</v>
      </c>
      <c r="G45" s="73">
        <v>12.0</v>
      </c>
      <c r="H45" s="73">
        <v>6.0</v>
      </c>
      <c r="I45" s="73">
        <v>8.0</v>
      </c>
      <c r="J45" s="73">
        <v>8.0</v>
      </c>
      <c r="K45" s="73">
        <v>7.0</v>
      </c>
      <c r="L45" s="73">
        <v>5.0</v>
      </c>
      <c r="M45" s="73">
        <v>6.0</v>
      </c>
      <c r="N45" s="73">
        <v>6.0</v>
      </c>
      <c r="O45" s="73">
        <v>2.0</v>
      </c>
      <c r="P45" s="73">
        <v>2.0</v>
      </c>
      <c r="Q45" s="73">
        <v>5.0</v>
      </c>
      <c r="R45" s="73">
        <v>5.0</v>
      </c>
      <c r="S45" s="73">
        <v>2.0</v>
      </c>
      <c r="T45" s="73">
        <v>6.0</v>
      </c>
      <c r="U45" s="73">
        <v>7.0</v>
      </c>
      <c r="V45" s="73">
        <v>2.0</v>
      </c>
      <c r="W45" s="73">
        <v>3.0</v>
      </c>
      <c r="X45" s="13">
        <f t="shared" ref="X45:X54" si="14">SUM(E45:W45)</f>
        <v>97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8.0</v>
      </c>
      <c r="F46" s="73">
        <v>2.0</v>
      </c>
      <c r="G46" s="73">
        <v>4.0</v>
      </c>
      <c r="H46" s="73">
        <v>2.0</v>
      </c>
      <c r="I46" s="73">
        <v>24.0</v>
      </c>
      <c r="J46" s="73">
        <v>38.0</v>
      </c>
      <c r="K46" s="73">
        <v>18.0</v>
      </c>
      <c r="L46" s="73">
        <v>14.0</v>
      </c>
      <c r="M46" s="73">
        <v>26.0</v>
      </c>
      <c r="N46" s="73">
        <v>21.0</v>
      </c>
      <c r="O46" s="73">
        <v>8.0</v>
      </c>
      <c r="P46" s="73">
        <v>5.0</v>
      </c>
      <c r="Q46" s="73">
        <v>8.0</v>
      </c>
      <c r="R46" s="73">
        <v>12.0</v>
      </c>
      <c r="S46" s="73">
        <v>15.0</v>
      </c>
      <c r="T46" s="73">
        <v>3.0</v>
      </c>
      <c r="U46" s="73">
        <v>8.0</v>
      </c>
      <c r="V46" s="73">
        <v>45.0</v>
      </c>
      <c r="W46" s="73">
        <v>14.0</v>
      </c>
      <c r="X46" s="13">
        <f t="shared" si="14"/>
        <v>275</v>
      </c>
    </row>
    <row r="47" ht="12.75" customHeight="1">
      <c r="A47" s="18"/>
      <c r="B47" s="49"/>
      <c r="C47" s="50" t="s">
        <v>40</v>
      </c>
      <c r="D47" s="51"/>
      <c r="E47" s="73">
        <v>2.0</v>
      </c>
      <c r="F47" s="73">
        <v>0.0</v>
      </c>
      <c r="G47" s="73">
        <v>0.0</v>
      </c>
      <c r="H47" s="73">
        <v>1.0</v>
      </c>
      <c r="I47" s="73">
        <v>0.0</v>
      </c>
      <c r="J47" s="73">
        <v>0.0</v>
      </c>
      <c r="K47" s="73">
        <v>3.0</v>
      </c>
      <c r="L47" s="73">
        <v>0.0</v>
      </c>
      <c r="M47" s="73">
        <v>0.0</v>
      </c>
      <c r="N47" s="73">
        <v>2.0</v>
      </c>
      <c r="O47" s="73">
        <v>2.0</v>
      </c>
      <c r="P47" s="73">
        <v>2.0</v>
      </c>
      <c r="Q47" s="73">
        <v>0.0</v>
      </c>
      <c r="R47" s="73">
        <v>1.0</v>
      </c>
      <c r="S47" s="73">
        <v>1.0</v>
      </c>
      <c r="T47" s="73">
        <v>1.0</v>
      </c>
      <c r="U47" s="73">
        <v>0.0</v>
      </c>
      <c r="V47" s="73">
        <v>2.0</v>
      </c>
      <c r="W47" s="73">
        <v>2.0</v>
      </c>
      <c r="X47" s="13">
        <f t="shared" si="14"/>
        <v>19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0.0</v>
      </c>
      <c r="G48" s="73">
        <v>1.0</v>
      </c>
      <c r="H48" s="73">
        <v>1.0</v>
      </c>
      <c r="I48" s="73">
        <v>0.0</v>
      </c>
      <c r="J48" s="73">
        <v>1.0</v>
      </c>
      <c r="K48" s="73">
        <v>1.0</v>
      </c>
      <c r="L48" s="73">
        <v>0.0</v>
      </c>
      <c r="M48" s="73">
        <v>0.0</v>
      </c>
      <c r="N48" s="73">
        <v>0.0</v>
      </c>
      <c r="O48" s="73">
        <v>0.0</v>
      </c>
      <c r="P48" s="73">
        <v>0.0</v>
      </c>
      <c r="Q48" s="73">
        <v>3.0</v>
      </c>
      <c r="R48" s="73">
        <v>1.0</v>
      </c>
      <c r="S48" s="73">
        <v>0.0</v>
      </c>
      <c r="T48" s="73">
        <v>0.0</v>
      </c>
      <c r="U48" s="73">
        <v>0.0</v>
      </c>
      <c r="V48" s="73">
        <v>1.0</v>
      </c>
      <c r="W48" s="73">
        <v>0.0</v>
      </c>
      <c r="X48" s="13">
        <f t="shared" si="14"/>
        <v>9</v>
      </c>
    </row>
    <row r="49" ht="12.75" customHeight="1">
      <c r="A49" s="18"/>
      <c r="B49" s="49"/>
      <c r="C49" s="50" t="s">
        <v>42</v>
      </c>
      <c r="D49" s="51"/>
      <c r="E49" s="73">
        <v>0.0</v>
      </c>
      <c r="F49" s="73">
        <v>2.0</v>
      </c>
      <c r="G49" s="73">
        <v>1.0</v>
      </c>
      <c r="H49" s="73">
        <v>0.0</v>
      </c>
      <c r="I49" s="73">
        <v>1.0</v>
      </c>
      <c r="J49" s="73">
        <v>2.0</v>
      </c>
      <c r="K49" s="73">
        <v>2.0</v>
      </c>
      <c r="L49" s="73">
        <v>0.0</v>
      </c>
      <c r="M49" s="73">
        <v>1.0</v>
      </c>
      <c r="N49" s="73">
        <v>2.0</v>
      </c>
      <c r="O49" s="73">
        <v>0.0</v>
      </c>
      <c r="P49" s="73">
        <v>0.0</v>
      </c>
      <c r="Q49" s="73">
        <v>1.0</v>
      </c>
      <c r="R49" s="73">
        <v>1.0</v>
      </c>
      <c r="S49" s="73">
        <v>0.0</v>
      </c>
      <c r="T49" s="73">
        <v>1.0</v>
      </c>
      <c r="U49" s="73">
        <v>1.0</v>
      </c>
      <c r="V49" s="73">
        <v>1.0</v>
      </c>
      <c r="W49" s="73">
        <v>0.0</v>
      </c>
      <c r="X49" s="13">
        <f t="shared" si="14"/>
        <v>16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1.0</v>
      </c>
      <c r="G50" s="73">
        <v>0.0</v>
      </c>
      <c r="H50" s="73">
        <v>1.0</v>
      </c>
      <c r="I50" s="73">
        <v>0.0</v>
      </c>
      <c r="J50" s="73">
        <v>0.0</v>
      </c>
      <c r="K50" s="73">
        <v>0.0</v>
      </c>
      <c r="L50" s="73">
        <v>1.0</v>
      </c>
      <c r="M50" s="73">
        <v>0.0</v>
      </c>
      <c r="N50" s="73">
        <v>0.0</v>
      </c>
      <c r="O50" s="73">
        <v>0.0</v>
      </c>
      <c r="P50" s="73">
        <v>2.0</v>
      </c>
      <c r="Q50" s="73">
        <v>1.0</v>
      </c>
      <c r="R50" s="73">
        <v>0.0</v>
      </c>
      <c r="S50" s="73">
        <v>1.0</v>
      </c>
      <c r="T50" s="73">
        <v>1.0</v>
      </c>
      <c r="U50" s="73">
        <v>0.0</v>
      </c>
      <c r="V50" s="73">
        <v>0.0</v>
      </c>
      <c r="W50" s="73">
        <v>0.0</v>
      </c>
      <c r="X50" s="13">
        <f t="shared" si="14"/>
        <v>8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1.0</v>
      </c>
      <c r="K51" s="73">
        <v>1.0</v>
      </c>
      <c r="L51" s="73">
        <v>0.0</v>
      </c>
      <c r="M51" s="73">
        <v>1.0</v>
      </c>
      <c r="N51" s="73">
        <v>0.0</v>
      </c>
      <c r="O51" s="73">
        <v>0.0</v>
      </c>
      <c r="P51" s="73">
        <v>0.0</v>
      </c>
      <c r="Q51" s="73">
        <v>1.0</v>
      </c>
      <c r="R51" s="73">
        <v>0.0</v>
      </c>
      <c r="S51" s="73">
        <v>0.0</v>
      </c>
      <c r="T51" s="73">
        <v>0.0</v>
      </c>
      <c r="U51" s="73">
        <v>2.0</v>
      </c>
      <c r="V51" s="73">
        <v>0.0</v>
      </c>
      <c r="W51" s="73">
        <v>0.0</v>
      </c>
      <c r="X51" s="13">
        <f t="shared" si="14"/>
        <v>6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0.0</v>
      </c>
      <c r="H52" s="80">
        <v>1.0</v>
      </c>
      <c r="I52" s="80">
        <v>0.0</v>
      </c>
      <c r="J52" s="80">
        <v>0.0</v>
      </c>
      <c r="K52" s="80">
        <v>1.0</v>
      </c>
      <c r="L52" s="80">
        <v>0.0</v>
      </c>
      <c r="M52" s="80">
        <v>1.0</v>
      </c>
      <c r="N52" s="80">
        <v>0.0</v>
      </c>
      <c r="O52" s="80">
        <v>0.0</v>
      </c>
      <c r="P52" s="80">
        <v>0.0</v>
      </c>
      <c r="Q52" s="80">
        <v>1.0</v>
      </c>
      <c r="R52" s="80">
        <v>0.0</v>
      </c>
      <c r="S52" s="80">
        <v>0.0</v>
      </c>
      <c r="T52" s="80">
        <v>0.0</v>
      </c>
      <c r="U52" s="80">
        <v>0.0</v>
      </c>
      <c r="V52" s="80">
        <v>1.0</v>
      </c>
      <c r="W52" s="80">
        <v>0.0</v>
      </c>
      <c r="X52" s="13">
        <f t="shared" si="14"/>
        <v>5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1.0</v>
      </c>
      <c r="H53" s="80">
        <v>0.0</v>
      </c>
      <c r="I53" s="80">
        <v>1.0</v>
      </c>
      <c r="J53" s="80">
        <v>1.0</v>
      </c>
      <c r="K53" s="80">
        <v>0.0</v>
      </c>
      <c r="L53" s="80">
        <v>0.0</v>
      </c>
      <c r="M53" s="80">
        <v>0.0</v>
      </c>
      <c r="N53" s="80">
        <v>1.0</v>
      </c>
      <c r="O53" s="80">
        <v>0.0</v>
      </c>
      <c r="P53" s="80">
        <v>1.0</v>
      </c>
      <c r="Q53" s="80">
        <v>0.0</v>
      </c>
      <c r="R53" s="80">
        <v>0.0</v>
      </c>
      <c r="S53" s="80">
        <v>0.0</v>
      </c>
      <c r="T53" s="80">
        <v>0.0</v>
      </c>
      <c r="U53" s="80">
        <v>0.0</v>
      </c>
      <c r="V53" s="80">
        <v>0.0</v>
      </c>
      <c r="W53" s="80">
        <v>0.0</v>
      </c>
      <c r="X53" s="13">
        <f t="shared" si="14"/>
        <v>5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0.0</v>
      </c>
      <c r="H54" s="80">
        <v>0.0</v>
      </c>
      <c r="I54" s="80">
        <v>0.0</v>
      </c>
      <c r="J54" s="80">
        <v>0.0</v>
      </c>
      <c r="K54" s="80">
        <v>1.0</v>
      </c>
      <c r="L54" s="80">
        <v>0.0</v>
      </c>
      <c r="M54" s="80">
        <v>0.0</v>
      </c>
      <c r="N54" s="80">
        <v>1.0</v>
      </c>
      <c r="O54" s="80">
        <v>1.0</v>
      </c>
      <c r="P54" s="80">
        <v>0.0</v>
      </c>
      <c r="Q54" s="80">
        <v>0.0</v>
      </c>
      <c r="R54" s="80">
        <v>0.0</v>
      </c>
      <c r="S54" s="80">
        <v>0.0</v>
      </c>
      <c r="T54" s="80">
        <v>0.0</v>
      </c>
      <c r="U54" s="80">
        <v>1.0</v>
      </c>
      <c r="V54" s="80">
        <v>0.0</v>
      </c>
      <c r="W54" s="80">
        <v>0.0</v>
      </c>
      <c r="X54" s="13">
        <f t="shared" si="14"/>
        <v>4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X55" si="15">SUM(E45:E54)</f>
        <v>14</v>
      </c>
      <c r="F55" s="13">
        <f t="shared" si="15"/>
        <v>6</v>
      </c>
      <c r="G55" s="13">
        <f t="shared" si="15"/>
        <v>19</v>
      </c>
      <c r="H55" s="13">
        <f t="shared" si="15"/>
        <v>12</v>
      </c>
      <c r="I55" s="13">
        <f t="shared" si="15"/>
        <v>34</v>
      </c>
      <c r="J55" s="13">
        <f t="shared" si="15"/>
        <v>51</v>
      </c>
      <c r="K55" s="13">
        <f t="shared" si="15"/>
        <v>34</v>
      </c>
      <c r="L55" s="13">
        <f t="shared" si="15"/>
        <v>20</v>
      </c>
      <c r="M55" s="13">
        <f t="shared" si="15"/>
        <v>35</v>
      </c>
      <c r="N55" s="13">
        <f t="shared" si="15"/>
        <v>33</v>
      </c>
      <c r="O55" s="13">
        <f t="shared" si="15"/>
        <v>13</v>
      </c>
      <c r="P55" s="13">
        <f t="shared" si="15"/>
        <v>12</v>
      </c>
      <c r="Q55" s="13">
        <f t="shared" si="15"/>
        <v>20</v>
      </c>
      <c r="R55" s="13">
        <f t="shared" si="15"/>
        <v>20</v>
      </c>
      <c r="S55" s="13">
        <f t="shared" si="15"/>
        <v>19</v>
      </c>
      <c r="T55" s="13">
        <f t="shared" si="15"/>
        <v>12</v>
      </c>
      <c r="U55" s="13">
        <f t="shared" si="15"/>
        <v>19</v>
      </c>
      <c r="V55" s="13">
        <f t="shared" si="15"/>
        <v>52</v>
      </c>
      <c r="W55" s="13">
        <f t="shared" si="15"/>
        <v>19</v>
      </c>
      <c r="X55" s="13">
        <f t="shared" si="15"/>
        <v>444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9.0</v>
      </c>
      <c r="F57" s="73">
        <v>14.0</v>
      </c>
      <c r="G57" s="73">
        <v>7.0</v>
      </c>
      <c r="H57" s="73">
        <v>15.0</v>
      </c>
      <c r="I57" s="73">
        <v>12.0</v>
      </c>
      <c r="J57" s="73">
        <v>11.0</v>
      </c>
      <c r="K57" s="73">
        <v>13.0</v>
      </c>
      <c r="L57" s="73">
        <v>14.0</v>
      </c>
      <c r="M57" s="73">
        <v>17.0</v>
      </c>
      <c r="N57" s="73">
        <v>7.0</v>
      </c>
      <c r="O57" s="73">
        <v>5.0</v>
      </c>
      <c r="P57" s="73">
        <v>7.0</v>
      </c>
      <c r="Q57" s="73">
        <v>7.0</v>
      </c>
      <c r="R57" s="73">
        <v>7.0</v>
      </c>
      <c r="S57" s="73">
        <v>8.0</v>
      </c>
      <c r="T57" s="73">
        <v>13.0</v>
      </c>
      <c r="U57" s="73">
        <v>13.0</v>
      </c>
      <c r="V57" s="73">
        <v>8.0</v>
      </c>
      <c r="W57" s="73">
        <v>14.0</v>
      </c>
      <c r="X57" s="13">
        <f t="shared" ref="X57:X66" si="16">SUM(E57:W57)</f>
        <v>201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10.0</v>
      </c>
      <c r="F58" s="73">
        <v>8.0</v>
      </c>
      <c r="G58" s="73">
        <v>6.0</v>
      </c>
      <c r="H58" s="73">
        <v>6.0</v>
      </c>
      <c r="I58" s="73">
        <v>0.0</v>
      </c>
      <c r="J58" s="73">
        <v>5.0</v>
      </c>
      <c r="K58" s="73">
        <v>4.0</v>
      </c>
      <c r="L58" s="73">
        <v>4.0</v>
      </c>
      <c r="M58" s="73">
        <v>2.0</v>
      </c>
      <c r="N58" s="73">
        <v>5.0</v>
      </c>
      <c r="O58" s="73">
        <v>5.0</v>
      </c>
      <c r="P58" s="73">
        <v>2.0</v>
      </c>
      <c r="Q58" s="73">
        <v>2.0</v>
      </c>
      <c r="R58" s="73">
        <v>5.0</v>
      </c>
      <c r="S58" s="73">
        <v>4.0</v>
      </c>
      <c r="T58" s="73">
        <v>6.0</v>
      </c>
      <c r="U58" s="73">
        <v>5.0</v>
      </c>
      <c r="V58" s="73">
        <v>2.0</v>
      </c>
      <c r="W58" s="73">
        <v>6.0</v>
      </c>
      <c r="X58" s="13">
        <f t="shared" si="16"/>
        <v>87</v>
      </c>
    </row>
    <row r="59" ht="12.75" customHeight="1">
      <c r="A59" s="18"/>
      <c r="B59" s="49"/>
      <c r="C59" s="50" t="s">
        <v>51</v>
      </c>
      <c r="D59" s="51"/>
      <c r="E59" s="73">
        <v>9.0</v>
      </c>
      <c r="F59" s="73">
        <v>4.0</v>
      </c>
      <c r="G59" s="73">
        <v>7.0</v>
      </c>
      <c r="H59" s="73">
        <v>5.0</v>
      </c>
      <c r="I59" s="73">
        <v>8.0</v>
      </c>
      <c r="J59" s="73">
        <v>5.0</v>
      </c>
      <c r="K59" s="73">
        <v>13.0</v>
      </c>
      <c r="L59" s="73">
        <v>16.0</v>
      </c>
      <c r="M59" s="73">
        <v>7.0</v>
      </c>
      <c r="N59" s="73">
        <v>10.0</v>
      </c>
      <c r="O59" s="73">
        <v>9.0</v>
      </c>
      <c r="P59" s="73">
        <v>1.0</v>
      </c>
      <c r="Q59" s="73">
        <v>14.0</v>
      </c>
      <c r="R59" s="73">
        <v>8.0</v>
      </c>
      <c r="S59" s="73">
        <v>7.0</v>
      </c>
      <c r="T59" s="73">
        <v>13.0</v>
      </c>
      <c r="U59" s="73">
        <v>11.0</v>
      </c>
      <c r="V59" s="73">
        <v>3.0</v>
      </c>
      <c r="W59" s="73">
        <v>4.0</v>
      </c>
      <c r="X59" s="13">
        <f t="shared" si="16"/>
        <v>154</v>
      </c>
    </row>
    <row r="60" ht="12.75" customHeight="1">
      <c r="A60" s="18"/>
      <c r="B60" s="49"/>
      <c r="C60" s="50" t="s">
        <v>52</v>
      </c>
      <c r="D60" s="51"/>
      <c r="E60" s="73">
        <v>3.0</v>
      </c>
      <c r="F60" s="73">
        <v>2.0</v>
      </c>
      <c r="G60" s="73">
        <v>3.0</v>
      </c>
      <c r="H60" s="73">
        <v>2.0</v>
      </c>
      <c r="I60" s="73">
        <v>2.0</v>
      </c>
      <c r="J60" s="73">
        <v>0.0</v>
      </c>
      <c r="K60" s="73">
        <v>4.0</v>
      </c>
      <c r="L60" s="73">
        <v>3.0</v>
      </c>
      <c r="M60" s="73">
        <v>1.0</v>
      </c>
      <c r="N60" s="73">
        <v>2.0</v>
      </c>
      <c r="O60" s="73">
        <v>2.0</v>
      </c>
      <c r="P60" s="73">
        <v>1.0</v>
      </c>
      <c r="Q60" s="73">
        <v>0.0</v>
      </c>
      <c r="R60" s="73">
        <v>1.0</v>
      </c>
      <c r="S60" s="73">
        <v>3.0</v>
      </c>
      <c r="T60" s="73">
        <v>2.0</v>
      </c>
      <c r="U60" s="73">
        <v>1.0</v>
      </c>
      <c r="V60" s="73">
        <v>2.0</v>
      </c>
      <c r="W60" s="73">
        <v>2.0</v>
      </c>
      <c r="X60" s="13">
        <f t="shared" si="16"/>
        <v>36</v>
      </c>
    </row>
    <row r="61" ht="12.75" customHeight="1">
      <c r="A61" s="18"/>
      <c r="B61" s="49"/>
      <c r="C61" s="50" t="s">
        <v>53</v>
      </c>
      <c r="D61" s="51"/>
      <c r="E61" s="73">
        <v>5.0</v>
      </c>
      <c r="F61" s="73">
        <v>3.0</v>
      </c>
      <c r="G61" s="73">
        <v>15.0</v>
      </c>
      <c r="H61" s="73">
        <v>29.0</v>
      </c>
      <c r="I61" s="73">
        <v>6.0</v>
      </c>
      <c r="J61" s="73">
        <v>1.0</v>
      </c>
      <c r="K61" s="73">
        <v>4.0</v>
      </c>
      <c r="L61" s="73">
        <v>0.0</v>
      </c>
      <c r="M61" s="73">
        <v>2.0</v>
      </c>
      <c r="N61" s="73">
        <v>4.0</v>
      </c>
      <c r="O61" s="73">
        <v>3.0</v>
      </c>
      <c r="P61" s="73">
        <v>3.0</v>
      </c>
      <c r="Q61" s="73">
        <v>1.0</v>
      </c>
      <c r="R61" s="73">
        <v>0.0</v>
      </c>
      <c r="S61" s="73">
        <v>0.0</v>
      </c>
      <c r="T61" s="73">
        <v>1.0</v>
      </c>
      <c r="U61" s="73">
        <v>0.0</v>
      </c>
      <c r="V61" s="73">
        <v>7.0</v>
      </c>
      <c r="W61" s="73">
        <v>27.0</v>
      </c>
      <c r="X61" s="13">
        <f t="shared" si="16"/>
        <v>111</v>
      </c>
    </row>
    <row r="62" ht="12.75" customHeight="1">
      <c r="A62" s="18"/>
      <c r="B62" s="49"/>
      <c r="C62" s="50" t="s">
        <v>54</v>
      </c>
      <c r="D62" s="51"/>
      <c r="E62" s="73">
        <v>2.0</v>
      </c>
      <c r="F62" s="73">
        <v>0.0</v>
      </c>
      <c r="G62" s="73">
        <v>0.0</v>
      </c>
      <c r="H62" s="73">
        <v>3.0</v>
      </c>
      <c r="I62" s="73">
        <v>0.0</v>
      </c>
      <c r="J62" s="73">
        <v>1.0</v>
      </c>
      <c r="K62" s="73">
        <v>4.0</v>
      </c>
      <c r="L62" s="73">
        <v>0.0</v>
      </c>
      <c r="M62" s="73">
        <v>1.0</v>
      </c>
      <c r="N62" s="73">
        <v>1.0</v>
      </c>
      <c r="O62" s="73">
        <v>1.0</v>
      </c>
      <c r="P62" s="73">
        <v>1.0</v>
      </c>
      <c r="Q62" s="73">
        <v>0.0</v>
      </c>
      <c r="R62" s="73">
        <v>0.0</v>
      </c>
      <c r="S62" s="73">
        <v>1.0</v>
      </c>
      <c r="T62" s="73">
        <v>0.0</v>
      </c>
      <c r="U62" s="73">
        <v>0.0</v>
      </c>
      <c r="V62" s="73">
        <v>2.0</v>
      </c>
      <c r="W62" s="73">
        <v>1.0</v>
      </c>
      <c r="X62" s="13">
        <f t="shared" si="16"/>
        <v>18</v>
      </c>
    </row>
    <row r="63" ht="12.75" customHeight="1">
      <c r="A63" s="18"/>
      <c r="B63" s="49"/>
      <c r="C63" s="50" t="s">
        <v>55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3.0</v>
      </c>
      <c r="L63" s="73">
        <v>0.0</v>
      </c>
      <c r="M63" s="73">
        <v>2.0</v>
      </c>
      <c r="N63" s="73">
        <v>2.0</v>
      </c>
      <c r="O63" s="73">
        <v>2.0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73">
        <v>0.0</v>
      </c>
      <c r="V63" s="73">
        <v>0.0</v>
      </c>
      <c r="W63" s="73">
        <v>0.0</v>
      </c>
      <c r="X63" s="13">
        <f t="shared" si="16"/>
        <v>9</v>
      </c>
    </row>
    <row r="64" ht="12.75" customHeight="1">
      <c r="A64" s="79"/>
      <c r="B64" s="49"/>
      <c r="C64" s="50" t="s">
        <v>56</v>
      </c>
      <c r="D64" s="51"/>
      <c r="E64" s="80">
        <v>1.0</v>
      </c>
      <c r="F64" s="80">
        <v>0.0</v>
      </c>
      <c r="G64" s="80">
        <v>0.0</v>
      </c>
      <c r="H64" s="80">
        <v>0.0</v>
      </c>
      <c r="I64" s="80">
        <v>0.0</v>
      </c>
      <c r="J64" s="80">
        <v>0.0</v>
      </c>
      <c r="K64" s="80">
        <v>1.0</v>
      </c>
      <c r="L64" s="80">
        <v>0.0</v>
      </c>
      <c r="M64" s="80">
        <v>0.0</v>
      </c>
      <c r="N64" s="80">
        <v>0.0</v>
      </c>
      <c r="O64" s="80">
        <v>0.0</v>
      </c>
      <c r="P64" s="80">
        <v>0.0</v>
      </c>
      <c r="Q64" s="80">
        <v>0.0</v>
      </c>
      <c r="R64" s="80">
        <v>1.0</v>
      </c>
      <c r="S64" s="80">
        <v>0.0</v>
      </c>
      <c r="T64" s="80">
        <v>0.0</v>
      </c>
      <c r="U64" s="80">
        <v>0.0</v>
      </c>
      <c r="V64" s="80">
        <v>0.0</v>
      </c>
      <c r="W64" s="80">
        <v>0.0</v>
      </c>
      <c r="X64" s="13">
        <f t="shared" si="16"/>
        <v>3</v>
      </c>
    </row>
    <row r="65" ht="12.75" customHeight="1">
      <c r="A65" s="79"/>
      <c r="B65" s="49"/>
      <c r="C65" s="50" t="s">
        <v>57</v>
      </c>
      <c r="D65" s="51"/>
      <c r="E65" s="80">
        <v>1.0</v>
      </c>
      <c r="F65" s="80">
        <v>0.0</v>
      </c>
      <c r="G65" s="80">
        <v>0.0</v>
      </c>
      <c r="H65" s="80">
        <v>0.0</v>
      </c>
      <c r="I65" s="80">
        <v>0.0</v>
      </c>
      <c r="J65" s="80">
        <v>0.0</v>
      </c>
      <c r="K65" s="80">
        <v>0.0</v>
      </c>
      <c r="L65" s="80">
        <v>1.0</v>
      </c>
      <c r="M65" s="80">
        <v>0.0</v>
      </c>
      <c r="N65" s="80">
        <v>0.0</v>
      </c>
      <c r="O65" s="80">
        <v>0.0</v>
      </c>
      <c r="P65" s="80">
        <v>0.0</v>
      </c>
      <c r="Q65" s="80">
        <v>0.0</v>
      </c>
      <c r="R65" s="80">
        <v>1.0</v>
      </c>
      <c r="S65" s="80">
        <v>0.0</v>
      </c>
      <c r="T65" s="80">
        <v>0.0</v>
      </c>
      <c r="U65" s="80">
        <v>0.0</v>
      </c>
      <c r="V65" s="80">
        <v>0.0</v>
      </c>
      <c r="W65" s="80">
        <v>1.0</v>
      </c>
      <c r="X65" s="13">
        <f t="shared" si="16"/>
        <v>4</v>
      </c>
    </row>
    <row r="66" ht="12.75" customHeight="1">
      <c r="A66" s="79"/>
      <c r="B66" s="49"/>
      <c r="C66" s="50" t="s">
        <v>58</v>
      </c>
      <c r="D66" s="51"/>
      <c r="E66" s="80">
        <v>0.0</v>
      </c>
      <c r="F66" s="80">
        <v>1.0</v>
      </c>
      <c r="G66" s="80">
        <v>0.0</v>
      </c>
      <c r="H66" s="80">
        <v>2.0</v>
      </c>
      <c r="I66" s="80">
        <v>0.0</v>
      </c>
      <c r="J66" s="80">
        <v>0.0</v>
      </c>
      <c r="K66" s="80">
        <v>1.0</v>
      </c>
      <c r="L66" s="80">
        <v>0.0</v>
      </c>
      <c r="M66" s="80">
        <v>1.0</v>
      </c>
      <c r="N66" s="80">
        <v>0.0</v>
      </c>
      <c r="O66" s="80">
        <v>0.0</v>
      </c>
      <c r="P66" s="80">
        <v>1.0</v>
      </c>
      <c r="Q66" s="80">
        <v>3.0</v>
      </c>
      <c r="R66" s="80">
        <v>2.0</v>
      </c>
      <c r="S66" s="80">
        <v>1.0</v>
      </c>
      <c r="T66" s="80">
        <v>1.0</v>
      </c>
      <c r="U66" s="80">
        <v>0.0</v>
      </c>
      <c r="V66" s="80">
        <v>0.0</v>
      </c>
      <c r="W66" s="80">
        <v>0.0</v>
      </c>
      <c r="X66" s="13">
        <f t="shared" si="16"/>
        <v>13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X67" si="17">SUM(E57:E66)</f>
        <v>40</v>
      </c>
      <c r="F67" s="13">
        <f t="shared" si="17"/>
        <v>32</v>
      </c>
      <c r="G67" s="13">
        <f t="shared" si="17"/>
        <v>38</v>
      </c>
      <c r="H67" s="13">
        <f t="shared" si="17"/>
        <v>62</v>
      </c>
      <c r="I67" s="13">
        <f t="shared" si="17"/>
        <v>28</v>
      </c>
      <c r="J67" s="13">
        <f t="shared" si="17"/>
        <v>23</v>
      </c>
      <c r="K67" s="13">
        <f t="shared" si="17"/>
        <v>47</v>
      </c>
      <c r="L67" s="13">
        <f t="shared" si="17"/>
        <v>38</v>
      </c>
      <c r="M67" s="13">
        <f t="shared" si="17"/>
        <v>33</v>
      </c>
      <c r="N67" s="13">
        <f t="shared" si="17"/>
        <v>31</v>
      </c>
      <c r="O67" s="13">
        <f t="shared" si="17"/>
        <v>27</v>
      </c>
      <c r="P67" s="13">
        <f t="shared" si="17"/>
        <v>16</v>
      </c>
      <c r="Q67" s="13">
        <f t="shared" si="17"/>
        <v>27</v>
      </c>
      <c r="R67" s="13">
        <f t="shared" si="17"/>
        <v>25</v>
      </c>
      <c r="S67" s="13">
        <f t="shared" si="17"/>
        <v>24</v>
      </c>
      <c r="T67" s="13">
        <f t="shared" si="17"/>
        <v>36</v>
      </c>
      <c r="U67" s="13">
        <f t="shared" si="17"/>
        <v>30</v>
      </c>
      <c r="V67" s="13">
        <f t="shared" si="17"/>
        <v>24</v>
      </c>
      <c r="W67" s="13">
        <f t="shared" si="17"/>
        <v>55</v>
      </c>
      <c r="X67" s="13">
        <f t="shared" si="17"/>
        <v>636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19.0</v>
      </c>
      <c r="F69" s="73">
        <v>28.0</v>
      </c>
      <c r="G69" s="73">
        <v>11.0</v>
      </c>
      <c r="H69" s="73">
        <v>13.0</v>
      </c>
      <c r="I69" s="73">
        <v>13.0</v>
      </c>
      <c r="J69" s="73">
        <v>9.0</v>
      </c>
      <c r="K69" s="73">
        <v>9.0</v>
      </c>
      <c r="L69" s="73">
        <v>5.0</v>
      </c>
      <c r="M69" s="73">
        <v>7.0</v>
      </c>
      <c r="N69" s="73">
        <v>8.0</v>
      </c>
      <c r="O69" s="73">
        <v>12.0</v>
      </c>
      <c r="P69" s="73">
        <v>15.0</v>
      </c>
      <c r="Q69" s="73">
        <v>8.0</v>
      </c>
      <c r="R69" s="73">
        <v>9.0</v>
      </c>
      <c r="S69" s="73">
        <v>9.0</v>
      </c>
      <c r="T69" s="73">
        <v>11.0</v>
      </c>
      <c r="U69" s="73">
        <v>5.0</v>
      </c>
      <c r="V69" s="73">
        <v>5.0</v>
      </c>
      <c r="W69" s="73">
        <v>1.0</v>
      </c>
      <c r="X69" s="13">
        <f t="shared" ref="X69:X78" si="18">SUM(E69:W69)</f>
        <v>197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10.0</v>
      </c>
      <c r="F70" s="73">
        <v>5.0</v>
      </c>
      <c r="G70" s="73">
        <v>2.0</v>
      </c>
      <c r="H70" s="73">
        <v>4.0</v>
      </c>
      <c r="I70" s="73">
        <v>4.0</v>
      </c>
      <c r="J70" s="73">
        <v>8.0</v>
      </c>
      <c r="K70" s="73">
        <v>4.0</v>
      </c>
      <c r="L70" s="73">
        <v>3.0</v>
      </c>
      <c r="M70" s="73">
        <v>2.0</v>
      </c>
      <c r="N70" s="73">
        <v>8.0</v>
      </c>
      <c r="O70" s="73">
        <v>6.0</v>
      </c>
      <c r="P70" s="73">
        <v>6.0</v>
      </c>
      <c r="Q70" s="73">
        <v>3.0</v>
      </c>
      <c r="R70" s="73">
        <v>2.0</v>
      </c>
      <c r="S70" s="73">
        <v>2.0</v>
      </c>
      <c r="T70" s="73">
        <v>3.0</v>
      </c>
      <c r="U70" s="73">
        <v>4.0</v>
      </c>
      <c r="V70" s="73">
        <v>1.0</v>
      </c>
      <c r="W70" s="73">
        <v>1.0</v>
      </c>
      <c r="X70" s="13">
        <f t="shared" si="18"/>
        <v>78</v>
      </c>
    </row>
    <row r="71" ht="12.75" customHeight="1">
      <c r="A71" s="18"/>
      <c r="B71" s="49"/>
      <c r="C71" s="50" t="s">
        <v>61</v>
      </c>
      <c r="D71" s="51"/>
      <c r="E71" s="73">
        <v>32.0</v>
      </c>
      <c r="F71" s="73">
        <v>27.0</v>
      </c>
      <c r="G71" s="73">
        <v>27.0</v>
      </c>
      <c r="H71" s="73">
        <v>15.0</v>
      </c>
      <c r="I71" s="73">
        <v>17.0</v>
      </c>
      <c r="J71" s="73">
        <v>22.0</v>
      </c>
      <c r="K71" s="73">
        <v>10.0</v>
      </c>
      <c r="L71" s="73">
        <v>16.0</v>
      </c>
      <c r="M71" s="73">
        <v>17.0</v>
      </c>
      <c r="N71" s="73">
        <v>16.0</v>
      </c>
      <c r="O71" s="73">
        <v>17.0</v>
      </c>
      <c r="P71" s="73">
        <v>18.0</v>
      </c>
      <c r="Q71" s="73">
        <v>14.0</v>
      </c>
      <c r="R71" s="73">
        <v>7.0</v>
      </c>
      <c r="S71" s="73">
        <v>15.0</v>
      </c>
      <c r="T71" s="73">
        <v>32.0</v>
      </c>
      <c r="U71" s="73">
        <v>7.0</v>
      </c>
      <c r="V71" s="73">
        <v>3.0</v>
      </c>
      <c r="W71" s="73">
        <v>0.0</v>
      </c>
      <c r="X71" s="13">
        <f t="shared" si="18"/>
        <v>312</v>
      </c>
    </row>
    <row r="72" ht="12.75" customHeight="1">
      <c r="A72" s="18"/>
      <c r="B72" s="49"/>
      <c r="C72" s="50" t="s">
        <v>62</v>
      </c>
      <c r="D72" s="51"/>
      <c r="E72" s="73">
        <v>6.0</v>
      </c>
      <c r="F72" s="73">
        <v>4.0</v>
      </c>
      <c r="G72" s="73">
        <v>5.0</v>
      </c>
      <c r="H72" s="73">
        <v>4.0</v>
      </c>
      <c r="I72" s="73">
        <v>2.0</v>
      </c>
      <c r="J72" s="73">
        <v>1.0</v>
      </c>
      <c r="K72" s="73">
        <v>2.0</v>
      </c>
      <c r="L72" s="73">
        <v>4.0</v>
      </c>
      <c r="M72" s="73">
        <v>2.0</v>
      </c>
      <c r="N72" s="73">
        <v>1.0</v>
      </c>
      <c r="O72" s="73">
        <v>1.0</v>
      </c>
      <c r="P72" s="73">
        <v>4.0</v>
      </c>
      <c r="Q72" s="73">
        <v>5.0</v>
      </c>
      <c r="R72" s="73">
        <v>0.0</v>
      </c>
      <c r="S72" s="73">
        <v>2.0</v>
      </c>
      <c r="T72" s="73">
        <v>3.0</v>
      </c>
      <c r="U72" s="73">
        <v>1.0</v>
      </c>
      <c r="V72" s="73">
        <v>2.0</v>
      </c>
      <c r="W72" s="73">
        <v>2.0</v>
      </c>
      <c r="X72" s="13">
        <f t="shared" si="18"/>
        <v>51</v>
      </c>
    </row>
    <row r="73" ht="12.75" customHeight="1">
      <c r="A73" s="18"/>
      <c r="B73" s="49"/>
      <c r="C73" s="50" t="s">
        <v>63</v>
      </c>
      <c r="D73" s="51"/>
      <c r="E73" s="73">
        <v>3.0</v>
      </c>
      <c r="F73" s="73">
        <v>0.0</v>
      </c>
      <c r="G73" s="73">
        <v>2.0</v>
      </c>
      <c r="H73" s="73">
        <v>0.0</v>
      </c>
      <c r="I73" s="73">
        <v>3.0</v>
      </c>
      <c r="J73" s="73">
        <v>2.0</v>
      </c>
      <c r="K73" s="73">
        <v>0.0</v>
      </c>
      <c r="L73" s="73">
        <v>1.0</v>
      </c>
      <c r="M73" s="73">
        <v>1.0</v>
      </c>
      <c r="N73" s="73">
        <v>1.0</v>
      </c>
      <c r="O73" s="73">
        <v>1.0</v>
      </c>
      <c r="P73" s="73">
        <v>4.0</v>
      </c>
      <c r="Q73" s="73">
        <v>4.0</v>
      </c>
      <c r="R73" s="73">
        <v>2.0</v>
      </c>
      <c r="S73" s="73">
        <v>0.0</v>
      </c>
      <c r="T73" s="73">
        <v>0.0</v>
      </c>
      <c r="U73" s="73">
        <v>1.0</v>
      </c>
      <c r="V73" s="73">
        <v>0.0</v>
      </c>
      <c r="W73" s="73">
        <v>1.0</v>
      </c>
      <c r="X73" s="13">
        <f t="shared" si="18"/>
        <v>26</v>
      </c>
    </row>
    <row r="74" ht="12.75" customHeight="1">
      <c r="A74" s="18"/>
      <c r="B74" s="49"/>
      <c r="C74" s="50" t="s">
        <v>64</v>
      </c>
      <c r="D74" s="51"/>
      <c r="E74" s="73">
        <v>1.0</v>
      </c>
      <c r="F74" s="73">
        <v>1.0</v>
      </c>
      <c r="G74" s="73">
        <v>1.0</v>
      </c>
      <c r="H74" s="73">
        <v>5.0</v>
      </c>
      <c r="I74" s="73">
        <v>3.0</v>
      </c>
      <c r="J74" s="73">
        <v>1.0</v>
      </c>
      <c r="K74" s="73">
        <v>3.0</v>
      </c>
      <c r="L74" s="73">
        <v>1.0</v>
      </c>
      <c r="M74" s="73">
        <v>0.0</v>
      </c>
      <c r="N74" s="73">
        <v>0.0</v>
      </c>
      <c r="O74" s="73">
        <v>2.0</v>
      </c>
      <c r="P74" s="73">
        <v>1.0</v>
      </c>
      <c r="Q74" s="73">
        <v>1.0</v>
      </c>
      <c r="R74" s="73">
        <v>2.0</v>
      </c>
      <c r="S74" s="73">
        <v>0.0</v>
      </c>
      <c r="T74" s="73">
        <v>0.0</v>
      </c>
      <c r="U74" s="73">
        <v>0.0</v>
      </c>
      <c r="V74" s="73">
        <v>2.0</v>
      </c>
      <c r="W74" s="73">
        <v>0.0</v>
      </c>
      <c r="X74" s="13">
        <f t="shared" si="18"/>
        <v>24</v>
      </c>
    </row>
    <row r="75" ht="12.75" customHeight="1">
      <c r="A75" s="18"/>
      <c r="B75" s="49"/>
      <c r="C75" s="50" t="s">
        <v>65</v>
      </c>
      <c r="D75" s="51"/>
      <c r="E75" s="73">
        <v>3.0</v>
      </c>
      <c r="F75" s="73">
        <v>2.0</v>
      </c>
      <c r="G75" s="73">
        <v>3.0</v>
      </c>
      <c r="H75" s="73">
        <v>1.0</v>
      </c>
      <c r="I75" s="73">
        <v>5.0</v>
      </c>
      <c r="J75" s="73">
        <v>1.0</v>
      </c>
      <c r="K75" s="73">
        <v>2.0</v>
      </c>
      <c r="L75" s="73">
        <v>0.0</v>
      </c>
      <c r="M75" s="73">
        <v>1.0</v>
      </c>
      <c r="N75" s="73">
        <v>0.0</v>
      </c>
      <c r="O75" s="73">
        <v>1.0</v>
      </c>
      <c r="P75" s="73">
        <v>3.0</v>
      </c>
      <c r="Q75" s="73">
        <v>1.0</v>
      </c>
      <c r="R75" s="73">
        <v>0.0</v>
      </c>
      <c r="S75" s="73">
        <v>2.0</v>
      </c>
      <c r="T75" s="73">
        <v>0.0</v>
      </c>
      <c r="U75" s="73">
        <v>0.0</v>
      </c>
      <c r="V75" s="73">
        <v>0.0</v>
      </c>
      <c r="W75" s="73">
        <v>0.0</v>
      </c>
      <c r="X75" s="13">
        <f t="shared" si="18"/>
        <v>25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1.0</v>
      </c>
      <c r="G76" s="80">
        <v>1.0</v>
      </c>
      <c r="H76" s="80">
        <v>1.0</v>
      </c>
      <c r="I76" s="80">
        <v>0.0</v>
      </c>
      <c r="J76" s="80">
        <v>0.0</v>
      </c>
      <c r="K76" s="80">
        <v>1.0</v>
      </c>
      <c r="L76" s="80">
        <v>0.0</v>
      </c>
      <c r="M76" s="80">
        <v>0.0</v>
      </c>
      <c r="N76" s="80">
        <v>0.0</v>
      </c>
      <c r="O76" s="80">
        <v>1.0</v>
      </c>
      <c r="P76" s="80">
        <v>1.0</v>
      </c>
      <c r="Q76" s="80">
        <v>1.0</v>
      </c>
      <c r="R76" s="80">
        <v>0.0</v>
      </c>
      <c r="S76" s="80">
        <v>1.0</v>
      </c>
      <c r="T76" s="80">
        <v>0.0</v>
      </c>
      <c r="U76" s="80">
        <v>0.0</v>
      </c>
      <c r="V76" s="80">
        <v>0.0</v>
      </c>
      <c r="W76" s="80">
        <v>0.0</v>
      </c>
      <c r="X76" s="13">
        <f t="shared" si="18"/>
        <v>8</v>
      </c>
    </row>
    <row r="77" ht="12.75" customHeight="1">
      <c r="A77" s="79"/>
      <c r="B77" s="49"/>
      <c r="C77" s="50" t="s">
        <v>67</v>
      </c>
      <c r="D77" s="51"/>
      <c r="E77" s="80">
        <v>0.0</v>
      </c>
      <c r="F77" s="80">
        <v>0.0</v>
      </c>
      <c r="G77" s="80">
        <v>2.0</v>
      </c>
      <c r="H77" s="80">
        <v>1.0</v>
      </c>
      <c r="I77" s="80">
        <v>1.0</v>
      </c>
      <c r="J77" s="80">
        <v>0.0</v>
      </c>
      <c r="K77" s="80">
        <v>1.0</v>
      </c>
      <c r="L77" s="80">
        <v>0.0</v>
      </c>
      <c r="M77" s="80">
        <v>0.0</v>
      </c>
      <c r="N77" s="80">
        <v>0.0</v>
      </c>
      <c r="O77" s="80">
        <v>1.0</v>
      </c>
      <c r="P77" s="80">
        <v>1.0</v>
      </c>
      <c r="Q77" s="80">
        <v>0.0</v>
      </c>
      <c r="R77" s="80">
        <v>1.0</v>
      </c>
      <c r="S77" s="80">
        <v>1.0</v>
      </c>
      <c r="T77" s="80">
        <v>0.0</v>
      </c>
      <c r="U77" s="80">
        <v>0.0</v>
      </c>
      <c r="V77" s="80">
        <v>0.0</v>
      </c>
      <c r="W77" s="80">
        <v>0.0</v>
      </c>
      <c r="X77" s="13">
        <f t="shared" si="18"/>
        <v>9</v>
      </c>
    </row>
    <row r="78" ht="12.75" customHeight="1">
      <c r="A78" s="79"/>
      <c r="B78" s="49"/>
      <c r="C78" s="50" t="s">
        <v>68</v>
      </c>
      <c r="D78" s="51"/>
      <c r="E78" s="80">
        <v>1.0</v>
      </c>
      <c r="F78" s="80">
        <v>0.0</v>
      </c>
      <c r="G78" s="80">
        <v>0.0</v>
      </c>
      <c r="H78" s="80">
        <v>1.0</v>
      </c>
      <c r="I78" s="80">
        <v>0.0</v>
      </c>
      <c r="J78" s="80">
        <v>0.0</v>
      </c>
      <c r="K78" s="80">
        <v>0.0</v>
      </c>
      <c r="L78" s="80">
        <v>1.0</v>
      </c>
      <c r="M78" s="80">
        <v>0.0</v>
      </c>
      <c r="N78" s="80">
        <v>0.0</v>
      </c>
      <c r="O78" s="80">
        <v>0.0</v>
      </c>
      <c r="P78" s="80">
        <v>1.0</v>
      </c>
      <c r="Q78" s="80">
        <v>0.0</v>
      </c>
      <c r="R78" s="80">
        <v>2.0</v>
      </c>
      <c r="S78" s="80">
        <v>1.0</v>
      </c>
      <c r="T78" s="80">
        <v>0.0</v>
      </c>
      <c r="U78" s="80">
        <v>0.0</v>
      </c>
      <c r="V78" s="80">
        <v>0.0</v>
      </c>
      <c r="W78" s="80">
        <v>0.0</v>
      </c>
      <c r="X78" s="13">
        <f t="shared" si="18"/>
        <v>7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X79" si="19">SUM(E69:E78)</f>
        <v>75</v>
      </c>
      <c r="F79" s="13">
        <f t="shared" si="19"/>
        <v>68</v>
      </c>
      <c r="G79" s="13">
        <f t="shared" si="19"/>
        <v>54</v>
      </c>
      <c r="H79" s="13">
        <f t="shared" si="19"/>
        <v>45</v>
      </c>
      <c r="I79" s="13">
        <f t="shared" si="19"/>
        <v>48</v>
      </c>
      <c r="J79" s="13">
        <f t="shared" si="19"/>
        <v>44</v>
      </c>
      <c r="K79" s="13">
        <f t="shared" si="19"/>
        <v>32</v>
      </c>
      <c r="L79" s="13">
        <f t="shared" si="19"/>
        <v>31</v>
      </c>
      <c r="M79" s="13">
        <f t="shared" si="19"/>
        <v>30</v>
      </c>
      <c r="N79" s="13">
        <f t="shared" si="19"/>
        <v>34</v>
      </c>
      <c r="O79" s="13">
        <f t="shared" si="19"/>
        <v>42</v>
      </c>
      <c r="P79" s="13">
        <f t="shared" si="19"/>
        <v>54</v>
      </c>
      <c r="Q79" s="13">
        <f t="shared" si="19"/>
        <v>37</v>
      </c>
      <c r="R79" s="13">
        <f t="shared" si="19"/>
        <v>25</v>
      </c>
      <c r="S79" s="13">
        <f t="shared" si="19"/>
        <v>33</v>
      </c>
      <c r="T79" s="13">
        <f t="shared" si="19"/>
        <v>49</v>
      </c>
      <c r="U79" s="13">
        <f t="shared" si="19"/>
        <v>18</v>
      </c>
      <c r="V79" s="13">
        <f t="shared" si="19"/>
        <v>13</v>
      </c>
      <c r="W79" s="13">
        <f t="shared" si="19"/>
        <v>5</v>
      </c>
      <c r="X79" s="13">
        <f t="shared" si="19"/>
        <v>737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2.0</v>
      </c>
      <c r="F81" s="73">
        <v>3.0</v>
      </c>
      <c r="G81" s="73">
        <v>7.0</v>
      </c>
      <c r="H81" s="73">
        <v>4.0</v>
      </c>
      <c r="I81" s="73">
        <v>2.0</v>
      </c>
      <c r="J81" s="73">
        <v>5.0</v>
      </c>
      <c r="K81" s="73">
        <v>11.0</v>
      </c>
      <c r="L81" s="73">
        <v>1.0</v>
      </c>
      <c r="M81" s="73">
        <v>3.0</v>
      </c>
      <c r="N81" s="73">
        <v>1.0</v>
      </c>
      <c r="O81" s="73">
        <v>5.0</v>
      </c>
      <c r="P81" s="73">
        <v>1.0</v>
      </c>
      <c r="Q81" s="73">
        <v>1.0</v>
      </c>
      <c r="R81" s="73">
        <v>3.0</v>
      </c>
      <c r="S81" s="73">
        <v>4.0</v>
      </c>
      <c r="T81" s="73">
        <v>13.0</v>
      </c>
      <c r="U81" s="73">
        <v>4.0</v>
      </c>
      <c r="V81" s="73">
        <v>0.0</v>
      </c>
      <c r="W81" s="73">
        <v>2.0</v>
      </c>
      <c r="X81" s="13">
        <f t="shared" ref="X81:X90" si="20">SUM(E81:W81)</f>
        <v>72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0.0</v>
      </c>
      <c r="F82" s="73">
        <v>1.0</v>
      </c>
      <c r="G82" s="73">
        <v>9.0</v>
      </c>
      <c r="H82" s="73">
        <v>1.0</v>
      </c>
      <c r="I82" s="73">
        <v>5.0</v>
      </c>
      <c r="J82" s="73">
        <v>3.0</v>
      </c>
      <c r="K82" s="73">
        <v>3.0</v>
      </c>
      <c r="L82" s="73">
        <v>1.0</v>
      </c>
      <c r="M82" s="73">
        <v>3.0</v>
      </c>
      <c r="N82" s="73">
        <v>5.0</v>
      </c>
      <c r="O82" s="73">
        <v>10.0</v>
      </c>
      <c r="P82" s="73">
        <v>2.0</v>
      </c>
      <c r="Q82" s="73">
        <v>3.0</v>
      </c>
      <c r="R82" s="73">
        <v>6.0</v>
      </c>
      <c r="S82" s="73">
        <v>1.0</v>
      </c>
      <c r="T82" s="73">
        <v>7.0</v>
      </c>
      <c r="U82" s="73">
        <v>0.0</v>
      </c>
      <c r="V82" s="73">
        <v>1.0</v>
      </c>
      <c r="W82" s="73">
        <v>1.0</v>
      </c>
      <c r="X82" s="13">
        <f t="shared" si="20"/>
        <v>62</v>
      </c>
    </row>
    <row r="83" ht="12.75" customHeight="1">
      <c r="A83" s="18"/>
      <c r="B83" s="49"/>
      <c r="C83" s="50" t="s">
        <v>71</v>
      </c>
      <c r="D83" s="51"/>
      <c r="E83" s="73">
        <v>0.0</v>
      </c>
      <c r="F83" s="73">
        <v>0.0</v>
      </c>
      <c r="G83" s="73">
        <v>2.0</v>
      </c>
      <c r="H83" s="73">
        <v>2.0</v>
      </c>
      <c r="I83" s="73">
        <v>0.0</v>
      </c>
      <c r="J83" s="73">
        <v>1.0</v>
      </c>
      <c r="K83" s="73">
        <v>2.0</v>
      </c>
      <c r="L83" s="73">
        <v>0.0</v>
      </c>
      <c r="M83" s="73">
        <v>1.0</v>
      </c>
      <c r="N83" s="73">
        <v>1.0</v>
      </c>
      <c r="O83" s="73">
        <v>0.0</v>
      </c>
      <c r="P83" s="73">
        <v>0.0</v>
      </c>
      <c r="Q83" s="73">
        <v>0.0</v>
      </c>
      <c r="R83" s="73">
        <v>2.0</v>
      </c>
      <c r="S83" s="73">
        <v>1.0</v>
      </c>
      <c r="T83" s="73">
        <v>5.0</v>
      </c>
      <c r="U83" s="73">
        <v>0.0</v>
      </c>
      <c r="V83" s="73">
        <v>1.0</v>
      </c>
      <c r="W83" s="73">
        <v>5.0</v>
      </c>
      <c r="X83" s="13">
        <f t="shared" si="20"/>
        <v>23</v>
      </c>
    </row>
    <row r="84" ht="12.75" customHeight="1">
      <c r="A84" s="18"/>
      <c r="B84" s="49"/>
      <c r="C84" s="50" t="s">
        <v>72</v>
      </c>
      <c r="D84" s="51"/>
      <c r="E84" s="73">
        <v>0.0</v>
      </c>
      <c r="F84" s="73">
        <v>0.0</v>
      </c>
      <c r="G84" s="73">
        <v>0.0</v>
      </c>
      <c r="H84" s="73">
        <v>1.0</v>
      </c>
      <c r="I84" s="73">
        <v>0.0</v>
      </c>
      <c r="J84" s="73">
        <v>1.0</v>
      </c>
      <c r="K84" s="73">
        <v>2.0</v>
      </c>
      <c r="L84" s="73">
        <v>0.0</v>
      </c>
      <c r="M84" s="73">
        <v>0.0</v>
      </c>
      <c r="N84" s="73">
        <v>0.0</v>
      </c>
      <c r="O84" s="73">
        <v>1.0</v>
      </c>
      <c r="P84" s="73">
        <v>0.0</v>
      </c>
      <c r="Q84" s="73">
        <v>1.0</v>
      </c>
      <c r="R84" s="73">
        <v>1.0</v>
      </c>
      <c r="S84" s="73">
        <v>1.0</v>
      </c>
      <c r="T84" s="73">
        <v>0.0</v>
      </c>
      <c r="U84" s="73">
        <v>1.0</v>
      </c>
      <c r="V84" s="73">
        <v>0.0</v>
      </c>
      <c r="W84" s="73">
        <v>0.0</v>
      </c>
      <c r="X84" s="13">
        <f t="shared" si="20"/>
        <v>9</v>
      </c>
    </row>
    <row r="85" ht="12.75" customHeight="1">
      <c r="A85" s="18"/>
      <c r="B85" s="49"/>
      <c r="C85" s="50" t="s">
        <v>73</v>
      </c>
      <c r="D85" s="51"/>
      <c r="E85" s="73">
        <v>2.0</v>
      </c>
      <c r="F85" s="73">
        <v>0.0</v>
      </c>
      <c r="G85" s="73">
        <v>2.0</v>
      </c>
      <c r="H85" s="73">
        <v>1.0</v>
      </c>
      <c r="I85" s="73">
        <v>0.0</v>
      </c>
      <c r="J85" s="73">
        <v>1.0</v>
      </c>
      <c r="K85" s="73">
        <v>5.0</v>
      </c>
      <c r="L85" s="73">
        <v>3.0</v>
      </c>
      <c r="M85" s="73">
        <v>5.0</v>
      </c>
      <c r="N85" s="73">
        <v>1.0</v>
      </c>
      <c r="O85" s="73">
        <v>2.0</v>
      </c>
      <c r="P85" s="73">
        <v>2.0</v>
      </c>
      <c r="Q85" s="73">
        <v>3.0</v>
      </c>
      <c r="R85" s="73">
        <v>1.0</v>
      </c>
      <c r="S85" s="73">
        <v>1.0</v>
      </c>
      <c r="T85" s="73">
        <v>0.0</v>
      </c>
      <c r="U85" s="73">
        <v>0.0</v>
      </c>
      <c r="V85" s="73">
        <v>0.0</v>
      </c>
      <c r="W85" s="73">
        <v>2.0</v>
      </c>
      <c r="X85" s="13">
        <f t="shared" si="20"/>
        <v>31</v>
      </c>
    </row>
    <row r="86" ht="12.75" customHeight="1">
      <c r="A86" s="18"/>
      <c r="B86" s="49"/>
      <c r="C86" s="50" t="s">
        <v>74</v>
      </c>
      <c r="D86" s="51"/>
      <c r="E86" s="73">
        <v>3.0</v>
      </c>
      <c r="F86" s="73">
        <v>0.0</v>
      </c>
      <c r="G86" s="73">
        <v>0.0</v>
      </c>
      <c r="H86" s="73">
        <v>0.0</v>
      </c>
      <c r="I86" s="73">
        <v>3.0</v>
      </c>
      <c r="J86" s="73">
        <v>1.0</v>
      </c>
      <c r="K86" s="73">
        <v>0.0</v>
      </c>
      <c r="L86" s="73">
        <v>0.0</v>
      </c>
      <c r="M86" s="73">
        <v>0.0</v>
      </c>
      <c r="N86" s="73">
        <v>2.0</v>
      </c>
      <c r="O86" s="73">
        <v>1.0</v>
      </c>
      <c r="P86" s="73">
        <v>3.0</v>
      </c>
      <c r="Q86" s="73">
        <v>0.0</v>
      </c>
      <c r="R86" s="73">
        <v>0.0</v>
      </c>
      <c r="S86" s="73">
        <v>2.0</v>
      </c>
      <c r="T86" s="73">
        <v>1.0</v>
      </c>
      <c r="U86" s="73">
        <v>0.0</v>
      </c>
      <c r="V86" s="73">
        <v>0.0</v>
      </c>
      <c r="W86" s="73">
        <v>0.0</v>
      </c>
      <c r="X86" s="13">
        <f t="shared" si="20"/>
        <v>16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0.0</v>
      </c>
      <c r="L87" s="73">
        <v>0.0</v>
      </c>
      <c r="M87" s="73">
        <v>0.0</v>
      </c>
      <c r="N87" s="73">
        <v>0.0</v>
      </c>
      <c r="O87" s="73">
        <v>2.0</v>
      </c>
      <c r="P87" s="73">
        <v>1.0</v>
      </c>
      <c r="Q87" s="73">
        <v>0.0</v>
      </c>
      <c r="R87" s="73">
        <v>0.0</v>
      </c>
      <c r="S87" s="73">
        <v>1.0</v>
      </c>
      <c r="T87" s="73">
        <v>0.0</v>
      </c>
      <c r="U87" s="73">
        <v>0.0</v>
      </c>
      <c r="V87" s="73">
        <v>0.0</v>
      </c>
      <c r="W87" s="73">
        <v>0.0</v>
      </c>
      <c r="X87" s="13">
        <f t="shared" si="20"/>
        <v>4</v>
      </c>
    </row>
    <row r="88" ht="12.75" customHeight="1">
      <c r="A88" s="79"/>
      <c r="B88" s="49"/>
      <c r="C88" s="50" t="s">
        <v>76</v>
      </c>
      <c r="D88" s="51"/>
      <c r="E88" s="80">
        <v>0.0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1.0</v>
      </c>
      <c r="L88" s="80">
        <v>0.0</v>
      </c>
      <c r="M88" s="80">
        <v>0.0</v>
      </c>
      <c r="N88" s="80">
        <v>0.0</v>
      </c>
      <c r="O88" s="80">
        <v>0.0</v>
      </c>
      <c r="P88" s="80">
        <v>0.0</v>
      </c>
      <c r="Q88" s="80">
        <v>0.0</v>
      </c>
      <c r="R88" s="80">
        <v>0.0</v>
      </c>
      <c r="S88" s="80">
        <v>1.0</v>
      </c>
      <c r="T88" s="80">
        <v>0.0</v>
      </c>
      <c r="U88" s="80">
        <v>0.0</v>
      </c>
      <c r="V88" s="80">
        <v>0.0</v>
      </c>
      <c r="W88" s="80">
        <v>0.0</v>
      </c>
      <c r="X88" s="13">
        <f t="shared" si="20"/>
        <v>2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1.0</v>
      </c>
      <c r="J89" s="80">
        <v>0.0</v>
      </c>
      <c r="K89" s="80">
        <v>1.0</v>
      </c>
      <c r="L89" s="80">
        <v>0.0</v>
      </c>
      <c r="M89" s="80">
        <v>1.0</v>
      </c>
      <c r="N89" s="80">
        <v>0.0</v>
      </c>
      <c r="O89" s="80">
        <v>0.0</v>
      </c>
      <c r="P89" s="80">
        <v>0.0</v>
      </c>
      <c r="Q89" s="80">
        <v>0.0</v>
      </c>
      <c r="R89" s="80">
        <v>0.0</v>
      </c>
      <c r="S89" s="80">
        <v>0.0</v>
      </c>
      <c r="T89" s="80">
        <v>0.0</v>
      </c>
      <c r="U89" s="80">
        <v>0.0</v>
      </c>
      <c r="V89" s="80">
        <v>0.0</v>
      </c>
      <c r="W89" s="80">
        <v>0.0</v>
      </c>
      <c r="X89" s="13">
        <f t="shared" si="20"/>
        <v>3</v>
      </c>
    </row>
    <row r="90" ht="12.75" customHeight="1">
      <c r="A90" s="79"/>
      <c r="B90" s="49"/>
      <c r="C90" s="50" t="s">
        <v>78</v>
      </c>
      <c r="D90" s="51"/>
      <c r="E90" s="80">
        <v>0.0</v>
      </c>
      <c r="F90" s="80">
        <v>1.0</v>
      </c>
      <c r="G90" s="80">
        <v>0.0</v>
      </c>
      <c r="H90" s="80">
        <v>0.0</v>
      </c>
      <c r="I90" s="80">
        <v>1.0</v>
      </c>
      <c r="J90" s="80">
        <v>0.0</v>
      </c>
      <c r="K90" s="80">
        <v>0.0</v>
      </c>
      <c r="L90" s="80">
        <v>0.0</v>
      </c>
      <c r="M90" s="80">
        <v>0.0</v>
      </c>
      <c r="N90" s="80">
        <v>0.0</v>
      </c>
      <c r="O90" s="80">
        <v>0.0</v>
      </c>
      <c r="P90" s="80">
        <v>0.0</v>
      </c>
      <c r="Q90" s="80">
        <v>0.0</v>
      </c>
      <c r="R90" s="80">
        <v>0.0</v>
      </c>
      <c r="S90" s="80">
        <v>0.0</v>
      </c>
      <c r="T90" s="80">
        <v>0.0</v>
      </c>
      <c r="U90" s="80">
        <v>0.0</v>
      </c>
      <c r="V90" s="80">
        <v>0.0</v>
      </c>
      <c r="W90" s="80">
        <v>0.0</v>
      </c>
      <c r="X90" s="13">
        <f t="shared" si="20"/>
        <v>2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X91" si="21">SUM(E81:E90)</f>
        <v>7</v>
      </c>
      <c r="F91" s="13">
        <f t="shared" si="21"/>
        <v>5</v>
      </c>
      <c r="G91" s="13">
        <f t="shared" si="21"/>
        <v>20</v>
      </c>
      <c r="H91" s="13">
        <f t="shared" si="21"/>
        <v>9</v>
      </c>
      <c r="I91" s="13">
        <f t="shared" si="21"/>
        <v>12</v>
      </c>
      <c r="J91" s="13">
        <f t="shared" si="21"/>
        <v>12</v>
      </c>
      <c r="K91" s="13">
        <f t="shared" si="21"/>
        <v>25</v>
      </c>
      <c r="L91" s="13">
        <f t="shared" si="21"/>
        <v>5</v>
      </c>
      <c r="M91" s="13">
        <f t="shared" si="21"/>
        <v>13</v>
      </c>
      <c r="N91" s="13">
        <f t="shared" si="21"/>
        <v>10</v>
      </c>
      <c r="O91" s="13">
        <f t="shared" si="21"/>
        <v>21</v>
      </c>
      <c r="P91" s="13">
        <f t="shared" si="21"/>
        <v>9</v>
      </c>
      <c r="Q91" s="13">
        <f t="shared" si="21"/>
        <v>8</v>
      </c>
      <c r="R91" s="13">
        <f t="shared" si="21"/>
        <v>13</v>
      </c>
      <c r="S91" s="13">
        <f t="shared" si="21"/>
        <v>12</v>
      </c>
      <c r="T91" s="13">
        <f t="shared" si="21"/>
        <v>26</v>
      </c>
      <c r="U91" s="13">
        <f t="shared" si="21"/>
        <v>5</v>
      </c>
      <c r="V91" s="13">
        <f t="shared" si="21"/>
        <v>2</v>
      </c>
      <c r="W91" s="13">
        <f t="shared" si="21"/>
        <v>10</v>
      </c>
      <c r="X91" s="13">
        <f t="shared" si="21"/>
        <v>224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2.0</v>
      </c>
      <c r="F93" s="73">
        <v>0.0</v>
      </c>
      <c r="G93" s="73">
        <v>2.0</v>
      </c>
      <c r="H93" s="73">
        <v>1.0</v>
      </c>
      <c r="I93" s="73">
        <v>0.0</v>
      </c>
      <c r="J93" s="73">
        <v>1.0</v>
      </c>
      <c r="K93" s="73">
        <v>2.0</v>
      </c>
      <c r="L93" s="73">
        <v>2.0</v>
      </c>
      <c r="M93" s="73">
        <v>1.0</v>
      </c>
      <c r="N93" s="73">
        <v>1.0</v>
      </c>
      <c r="O93" s="73">
        <v>2.0</v>
      </c>
      <c r="P93" s="73">
        <v>2.0</v>
      </c>
      <c r="Q93" s="73">
        <v>3.0</v>
      </c>
      <c r="R93" s="73">
        <v>2.0</v>
      </c>
      <c r="S93" s="73">
        <v>0.0</v>
      </c>
      <c r="T93" s="73">
        <v>1.0</v>
      </c>
      <c r="U93" s="73">
        <v>1.0</v>
      </c>
      <c r="V93" s="73">
        <v>0.0</v>
      </c>
      <c r="W93" s="73">
        <v>1.0</v>
      </c>
      <c r="X93" s="13">
        <f t="shared" ref="X93:X102" si="22">SUM(E93:W93)</f>
        <v>24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0.0</v>
      </c>
      <c r="F94" s="73">
        <v>1.0</v>
      </c>
      <c r="G94" s="73">
        <v>3.0</v>
      </c>
      <c r="H94" s="73">
        <v>0.0</v>
      </c>
      <c r="I94" s="73">
        <v>3.0</v>
      </c>
      <c r="J94" s="73">
        <v>2.0</v>
      </c>
      <c r="K94" s="73">
        <v>4.0</v>
      </c>
      <c r="L94" s="73">
        <v>0.0</v>
      </c>
      <c r="M94" s="73">
        <v>1.0</v>
      </c>
      <c r="N94" s="73">
        <v>3.0</v>
      </c>
      <c r="O94" s="73">
        <v>4.0</v>
      </c>
      <c r="P94" s="73">
        <v>2.0</v>
      </c>
      <c r="Q94" s="73">
        <v>2.0</v>
      </c>
      <c r="R94" s="73">
        <v>1.0</v>
      </c>
      <c r="S94" s="73">
        <v>2.0</v>
      </c>
      <c r="T94" s="73">
        <v>2.0</v>
      </c>
      <c r="U94" s="73">
        <v>3.0</v>
      </c>
      <c r="V94" s="73">
        <v>1.0</v>
      </c>
      <c r="W94" s="73">
        <v>2.0</v>
      </c>
      <c r="X94" s="13">
        <f t="shared" si="22"/>
        <v>36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1.0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1.0</v>
      </c>
      <c r="P95" s="73">
        <v>0.0</v>
      </c>
      <c r="Q95" s="73">
        <v>0.0</v>
      </c>
      <c r="R95" s="73">
        <v>0.0</v>
      </c>
      <c r="S95" s="73">
        <v>1.0</v>
      </c>
      <c r="T95" s="73">
        <v>0.0</v>
      </c>
      <c r="U95" s="73">
        <v>0.0</v>
      </c>
      <c r="V95" s="73">
        <v>0.0</v>
      </c>
      <c r="W95" s="73">
        <v>0.0</v>
      </c>
      <c r="X95" s="13">
        <f t="shared" si="22"/>
        <v>3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0.0</v>
      </c>
      <c r="I96" s="73">
        <v>0.0</v>
      </c>
      <c r="J96" s="73">
        <v>1.0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1.0</v>
      </c>
      <c r="R96" s="73">
        <v>0.0</v>
      </c>
      <c r="S96" s="73">
        <v>0.0</v>
      </c>
      <c r="T96" s="73">
        <v>0.0</v>
      </c>
      <c r="U96" s="73">
        <v>2.0</v>
      </c>
      <c r="V96" s="73">
        <v>0.0</v>
      </c>
      <c r="W96" s="73">
        <v>0.0</v>
      </c>
      <c r="X96" s="13">
        <f t="shared" si="22"/>
        <v>4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0.0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73">
        <v>1.0</v>
      </c>
      <c r="V97" s="73">
        <v>0.0</v>
      </c>
      <c r="W97" s="73">
        <v>0.0</v>
      </c>
      <c r="X97" s="13">
        <f t="shared" si="22"/>
        <v>1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1.0</v>
      </c>
      <c r="G98" s="73">
        <v>0.0</v>
      </c>
      <c r="H98" s="73">
        <v>2.0</v>
      </c>
      <c r="I98" s="73">
        <v>0.0</v>
      </c>
      <c r="J98" s="73">
        <v>0.0</v>
      </c>
      <c r="K98" s="73">
        <v>1.0</v>
      </c>
      <c r="L98" s="73">
        <v>0.0</v>
      </c>
      <c r="M98" s="73">
        <v>0.0</v>
      </c>
      <c r="N98" s="73">
        <v>0.0</v>
      </c>
      <c r="O98" s="73">
        <v>1.0</v>
      </c>
      <c r="P98" s="73">
        <v>0.0</v>
      </c>
      <c r="Q98" s="73">
        <v>0.0</v>
      </c>
      <c r="R98" s="73">
        <v>0.0</v>
      </c>
      <c r="S98" s="73">
        <v>0.0</v>
      </c>
      <c r="T98" s="73">
        <v>0.0</v>
      </c>
      <c r="U98" s="73">
        <v>0.0</v>
      </c>
      <c r="V98" s="73">
        <v>0.0</v>
      </c>
      <c r="W98" s="73">
        <v>0.0</v>
      </c>
      <c r="X98" s="13">
        <f t="shared" si="22"/>
        <v>5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73">
        <v>0.0</v>
      </c>
      <c r="V99" s="73">
        <v>0.0</v>
      </c>
      <c r="W99" s="73">
        <v>0.0</v>
      </c>
      <c r="X99" s="13">
        <f t="shared" si="22"/>
        <v>0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0.0</v>
      </c>
      <c r="T100" s="80">
        <v>0.0</v>
      </c>
      <c r="U100" s="80">
        <v>0.0</v>
      </c>
      <c r="V100" s="80">
        <v>0.0</v>
      </c>
      <c r="W100" s="80">
        <v>0.0</v>
      </c>
      <c r="X100" s="13">
        <f t="shared" si="22"/>
        <v>0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1.0</v>
      </c>
      <c r="K101" s="80">
        <v>1.0</v>
      </c>
      <c r="L101" s="80">
        <v>1.0</v>
      </c>
      <c r="M101" s="80">
        <v>1.0</v>
      </c>
      <c r="N101" s="80">
        <v>0.0</v>
      </c>
      <c r="O101" s="80">
        <v>0.0</v>
      </c>
      <c r="P101" s="80">
        <v>0.0</v>
      </c>
      <c r="Q101" s="80">
        <v>1.0</v>
      </c>
      <c r="R101" s="80">
        <v>0.0</v>
      </c>
      <c r="S101" s="80">
        <v>0.0</v>
      </c>
      <c r="T101" s="80">
        <v>0.0</v>
      </c>
      <c r="U101" s="80">
        <v>1.0</v>
      </c>
      <c r="V101" s="80">
        <v>0.0</v>
      </c>
      <c r="W101" s="80">
        <v>1.0</v>
      </c>
      <c r="X101" s="13">
        <f t="shared" si="22"/>
        <v>7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80">
        <v>0.0</v>
      </c>
      <c r="V102" s="80">
        <v>0.0</v>
      </c>
      <c r="W102" s="80">
        <v>0.0</v>
      </c>
      <c r="X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X103" si="23">SUM(E93:E102)</f>
        <v>2</v>
      </c>
      <c r="F103" s="13">
        <f t="shared" si="23"/>
        <v>2</v>
      </c>
      <c r="G103" s="13">
        <f t="shared" si="23"/>
        <v>6</v>
      </c>
      <c r="H103" s="13">
        <f t="shared" si="23"/>
        <v>3</v>
      </c>
      <c r="I103" s="13">
        <f t="shared" si="23"/>
        <v>3</v>
      </c>
      <c r="J103" s="13">
        <f t="shared" si="23"/>
        <v>5</v>
      </c>
      <c r="K103" s="13">
        <f t="shared" si="23"/>
        <v>8</v>
      </c>
      <c r="L103" s="13">
        <f t="shared" si="23"/>
        <v>3</v>
      </c>
      <c r="M103" s="13">
        <f t="shared" si="23"/>
        <v>3</v>
      </c>
      <c r="N103" s="13">
        <f t="shared" si="23"/>
        <v>4</v>
      </c>
      <c r="O103" s="13">
        <f t="shared" si="23"/>
        <v>8</v>
      </c>
      <c r="P103" s="13">
        <f t="shared" si="23"/>
        <v>4</v>
      </c>
      <c r="Q103" s="13">
        <f t="shared" si="23"/>
        <v>7</v>
      </c>
      <c r="R103" s="13">
        <f t="shared" si="23"/>
        <v>3</v>
      </c>
      <c r="S103" s="13">
        <f t="shared" si="23"/>
        <v>3</v>
      </c>
      <c r="T103" s="13">
        <f t="shared" si="23"/>
        <v>3</v>
      </c>
      <c r="U103" s="13">
        <f t="shared" si="23"/>
        <v>8</v>
      </c>
      <c r="V103" s="13">
        <f t="shared" si="23"/>
        <v>1</v>
      </c>
      <c r="W103" s="13">
        <f t="shared" si="23"/>
        <v>4</v>
      </c>
      <c r="X103" s="13">
        <f t="shared" si="23"/>
        <v>80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1.0</v>
      </c>
      <c r="G105" s="73">
        <v>0.0</v>
      </c>
      <c r="H105" s="73">
        <v>0.0</v>
      </c>
      <c r="I105" s="73">
        <v>1.0</v>
      </c>
      <c r="J105" s="73">
        <v>0.0</v>
      </c>
      <c r="K105" s="73">
        <v>0.0</v>
      </c>
      <c r="L105" s="73">
        <v>0.0</v>
      </c>
      <c r="M105" s="73">
        <v>0.0</v>
      </c>
      <c r="N105" s="73">
        <v>3.0</v>
      </c>
      <c r="O105" s="73">
        <v>0.0</v>
      </c>
      <c r="P105" s="73">
        <v>0.0</v>
      </c>
      <c r="Q105" s="73">
        <v>1.0</v>
      </c>
      <c r="R105" s="73">
        <v>0.0</v>
      </c>
      <c r="S105" s="73">
        <v>0.0</v>
      </c>
      <c r="T105" s="73">
        <v>0.0</v>
      </c>
      <c r="U105" s="73">
        <v>0.0</v>
      </c>
      <c r="V105" s="73">
        <v>0.0</v>
      </c>
      <c r="W105" s="73">
        <v>0.0</v>
      </c>
      <c r="X105" s="13">
        <f t="shared" ref="X105:X114" si="24">SUM(E105:W105)</f>
        <v>6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0.0</v>
      </c>
      <c r="R106" s="73">
        <v>0.0</v>
      </c>
      <c r="S106" s="73">
        <v>2.0</v>
      </c>
      <c r="T106" s="73">
        <v>0.0</v>
      </c>
      <c r="U106" s="73">
        <v>0.0</v>
      </c>
      <c r="V106" s="73">
        <v>0.0</v>
      </c>
      <c r="W106" s="73">
        <v>1.0</v>
      </c>
      <c r="X106" s="13">
        <f t="shared" si="24"/>
        <v>3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0.0</v>
      </c>
      <c r="I107" s="80">
        <v>0.0</v>
      </c>
      <c r="J107" s="80">
        <v>0.0</v>
      </c>
      <c r="K107" s="80">
        <v>1.0</v>
      </c>
      <c r="L107" s="80">
        <v>0.0</v>
      </c>
      <c r="M107" s="80">
        <v>0.0</v>
      </c>
      <c r="N107" s="80">
        <v>0.0</v>
      </c>
      <c r="O107" s="80">
        <v>0.0</v>
      </c>
      <c r="P107" s="80">
        <v>0.0</v>
      </c>
      <c r="Q107" s="80">
        <v>0.0</v>
      </c>
      <c r="R107" s="80">
        <v>1.0</v>
      </c>
      <c r="S107" s="80">
        <v>0.0</v>
      </c>
      <c r="T107" s="80">
        <v>0.0</v>
      </c>
      <c r="U107" s="80">
        <v>0.0</v>
      </c>
      <c r="V107" s="80">
        <v>0.0</v>
      </c>
      <c r="W107" s="80">
        <v>0.0</v>
      </c>
      <c r="X107" s="13">
        <f t="shared" si="24"/>
        <v>2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X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3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2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11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0.0</v>
      </c>
      <c r="G117" s="73">
        <v>0.0</v>
      </c>
      <c r="H117" s="73">
        <v>3.0</v>
      </c>
      <c r="I117" s="73">
        <v>0.0</v>
      </c>
      <c r="J117" s="73">
        <v>0.0</v>
      </c>
      <c r="K117" s="73">
        <v>0.0</v>
      </c>
      <c r="L117" s="73">
        <v>3.0</v>
      </c>
      <c r="M117" s="73">
        <v>0.0</v>
      </c>
      <c r="N117" s="73">
        <v>2.0</v>
      </c>
      <c r="O117" s="73">
        <v>0.0</v>
      </c>
      <c r="P117" s="73">
        <v>0.0</v>
      </c>
      <c r="Q117" s="73">
        <v>0.0</v>
      </c>
      <c r="R117" s="73">
        <v>1.0</v>
      </c>
      <c r="S117" s="73">
        <v>0.0</v>
      </c>
      <c r="T117" s="73">
        <v>1.0</v>
      </c>
      <c r="U117" s="73">
        <v>1.0</v>
      </c>
      <c r="V117" s="73">
        <v>1.0</v>
      </c>
      <c r="W117" s="73">
        <v>0.0</v>
      </c>
      <c r="X117" s="13">
        <f t="shared" ref="X117:X126" si="26">SUM(E117:W117)</f>
        <v>12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3.0</v>
      </c>
      <c r="F118" s="73">
        <v>0.0</v>
      </c>
      <c r="G118" s="73">
        <v>0.0</v>
      </c>
      <c r="H118" s="73">
        <v>1.0</v>
      </c>
      <c r="I118" s="73">
        <v>0.0</v>
      </c>
      <c r="J118" s="73">
        <v>1.0</v>
      </c>
      <c r="K118" s="73">
        <v>3.0</v>
      </c>
      <c r="L118" s="73">
        <v>3.0</v>
      </c>
      <c r="M118" s="73">
        <v>2.0</v>
      </c>
      <c r="N118" s="73">
        <v>2.0</v>
      </c>
      <c r="O118" s="73">
        <v>0.0</v>
      </c>
      <c r="P118" s="73">
        <v>1.0</v>
      </c>
      <c r="Q118" s="73">
        <v>2.0</v>
      </c>
      <c r="R118" s="73">
        <v>0.0</v>
      </c>
      <c r="S118" s="73">
        <v>0.0</v>
      </c>
      <c r="T118" s="73">
        <v>3.0</v>
      </c>
      <c r="U118" s="73">
        <v>0.0</v>
      </c>
      <c r="V118" s="73">
        <v>1.0</v>
      </c>
      <c r="W118" s="73">
        <v>1.0</v>
      </c>
      <c r="X118" s="13">
        <f t="shared" si="26"/>
        <v>23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1.0</v>
      </c>
      <c r="I119" s="73">
        <v>0.0</v>
      </c>
      <c r="J119" s="73">
        <v>0.0</v>
      </c>
      <c r="K119" s="73">
        <v>0.0</v>
      </c>
      <c r="L119" s="73">
        <v>1.0</v>
      </c>
      <c r="M119" s="73">
        <v>0.0</v>
      </c>
      <c r="N119" s="73">
        <v>1.0</v>
      </c>
      <c r="O119" s="73">
        <v>0.0</v>
      </c>
      <c r="P119" s="73">
        <v>0.0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1.0</v>
      </c>
      <c r="W119" s="73">
        <v>0.0</v>
      </c>
      <c r="X119" s="13">
        <f t="shared" si="26"/>
        <v>4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0.0</v>
      </c>
      <c r="Q120" s="73">
        <v>0.0</v>
      </c>
      <c r="R120" s="73">
        <v>1.0</v>
      </c>
      <c r="S120" s="73">
        <v>0.0</v>
      </c>
      <c r="T120" s="73">
        <v>0.0</v>
      </c>
      <c r="U120" s="73">
        <v>0.0</v>
      </c>
      <c r="V120" s="73">
        <v>2.0</v>
      </c>
      <c r="W120" s="73">
        <v>0.0</v>
      </c>
      <c r="X120" s="13">
        <f t="shared" si="26"/>
        <v>3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80">
        <v>0.0</v>
      </c>
      <c r="U121" s="80">
        <v>0.0</v>
      </c>
      <c r="V121" s="80">
        <v>0.0</v>
      </c>
      <c r="W121" s="80">
        <v>0.0</v>
      </c>
      <c r="X121" s="13">
        <f t="shared" si="26"/>
        <v>0</v>
      </c>
    </row>
    <row r="122" ht="12.75" customHeight="1">
      <c r="A122" s="79"/>
      <c r="B122" s="49"/>
      <c r="C122" s="50" t="s">
        <v>100</v>
      </c>
      <c r="D122" s="51"/>
      <c r="E122" s="80">
        <v>1.0</v>
      </c>
      <c r="F122" s="80">
        <v>1.0</v>
      </c>
      <c r="G122" s="80">
        <v>0.0</v>
      </c>
      <c r="H122" s="80">
        <v>0.0</v>
      </c>
      <c r="I122" s="80">
        <v>0.0</v>
      </c>
      <c r="J122" s="80">
        <v>0.0</v>
      </c>
      <c r="K122" s="80">
        <v>0.0</v>
      </c>
      <c r="L122" s="80">
        <v>2.0</v>
      </c>
      <c r="M122" s="80">
        <v>0.0</v>
      </c>
      <c r="N122" s="80">
        <v>0.0</v>
      </c>
      <c r="O122" s="80">
        <v>0.0</v>
      </c>
      <c r="P122" s="73">
        <v>1.0</v>
      </c>
      <c r="Q122" s="80">
        <v>0.0</v>
      </c>
      <c r="R122" s="80">
        <v>0.0</v>
      </c>
      <c r="S122" s="80">
        <v>0.0</v>
      </c>
      <c r="T122" s="80">
        <v>0.0</v>
      </c>
      <c r="U122" s="80">
        <v>1.0</v>
      </c>
      <c r="V122" s="80">
        <v>0.0</v>
      </c>
      <c r="W122" s="80">
        <v>0.0</v>
      </c>
      <c r="X122" s="13">
        <f t="shared" si="26"/>
        <v>6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62"/>
      <c r="V123" s="62"/>
      <c r="W123" s="62"/>
      <c r="X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X127" si="27">SUM(E117:E126)</f>
        <v>4</v>
      </c>
      <c r="F127" s="13">
        <f t="shared" si="27"/>
        <v>1</v>
      </c>
      <c r="G127" s="13">
        <f t="shared" si="27"/>
        <v>0</v>
      </c>
      <c r="H127" s="13">
        <f t="shared" si="27"/>
        <v>5</v>
      </c>
      <c r="I127" s="13">
        <f t="shared" si="27"/>
        <v>0</v>
      </c>
      <c r="J127" s="13">
        <f t="shared" si="27"/>
        <v>1</v>
      </c>
      <c r="K127" s="13">
        <f t="shared" si="27"/>
        <v>3</v>
      </c>
      <c r="L127" s="13">
        <f t="shared" si="27"/>
        <v>9</v>
      </c>
      <c r="M127" s="13">
        <f t="shared" si="27"/>
        <v>2</v>
      </c>
      <c r="N127" s="13">
        <f t="shared" si="27"/>
        <v>5</v>
      </c>
      <c r="O127" s="13">
        <f t="shared" si="27"/>
        <v>0</v>
      </c>
      <c r="P127" s="13">
        <f t="shared" si="27"/>
        <v>2</v>
      </c>
      <c r="Q127" s="13">
        <f t="shared" si="27"/>
        <v>2</v>
      </c>
      <c r="R127" s="13">
        <f t="shared" si="27"/>
        <v>2</v>
      </c>
      <c r="S127" s="13">
        <f t="shared" si="27"/>
        <v>0</v>
      </c>
      <c r="T127" s="13">
        <f t="shared" si="27"/>
        <v>4</v>
      </c>
      <c r="U127" s="13">
        <f t="shared" si="27"/>
        <v>2</v>
      </c>
      <c r="V127" s="13">
        <f t="shared" si="27"/>
        <v>5</v>
      </c>
      <c r="W127" s="13">
        <f t="shared" si="27"/>
        <v>1</v>
      </c>
      <c r="X127" s="13">
        <f t="shared" si="27"/>
        <v>48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3.0</v>
      </c>
      <c r="F129" s="73">
        <v>2.0</v>
      </c>
      <c r="G129" s="73">
        <v>1.0</v>
      </c>
      <c r="H129" s="73">
        <v>4.0</v>
      </c>
      <c r="I129" s="73">
        <v>1.0</v>
      </c>
      <c r="J129" s="73">
        <v>0.0</v>
      </c>
      <c r="K129" s="73">
        <v>1.0</v>
      </c>
      <c r="L129" s="73">
        <v>3.0</v>
      </c>
      <c r="M129" s="73">
        <v>1.0</v>
      </c>
      <c r="N129" s="73">
        <v>1.0</v>
      </c>
      <c r="O129" s="73">
        <v>5.0</v>
      </c>
      <c r="P129" s="73">
        <v>1.0</v>
      </c>
      <c r="Q129" s="73">
        <v>2.0</v>
      </c>
      <c r="R129" s="73">
        <v>1.0</v>
      </c>
      <c r="S129" s="73">
        <v>4.0</v>
      </c>
      <c r="T129" s="73">
        <v>4.0</v>
      </c>
      <c r="U129" s="73">
        <v>4.0</v>
      </c>
      <c r="V129" s="73">
        <v>0.0</v>
      </c>
      <c r="W129" s="73">
        <v>2.0</v>
      </c>
      <c r="X129" s="13">
        <f t="shared" ref="X129:X138" si="28">SUM(E129:W129)</f>
        <v>40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1.0</v>
      </c>
      <c r="F130" s="73">
        <v>4.0</v>
      </c>
      <c r="G130" s="73">
        <v>4.0</v>
      </c>
      <c r="H130" s="73">
        <v>0.0</v>
      </c>
      <c r="I130" s="73">
        <v>0.0</v>
      </c>
      <c r="J130" s="73">
        <v>1.0</v>
      </c>
      <c r="K130" s="73">
        <v>3.0</v>
      </c>
      <c r="L130" s="73">
        <v>5.0</v>
      </c>
      <c r="M130" s="73">
        <v>6.0</v>
      </c>
      <c r="N130" s="73">
        <v>4.0</v>
      </c>
      <c r="O130" s="73">
        <v>3.0</v>
      </c>
      <c r="P130" s="73">
        <v>3.0</v>
      </c>
      <c r="Q130" s="73">
        <v>0.0</v>
      </c>
      <c r="R130" s="73">
        <v>5.0</v>
      </c>
      <c r="S130" s="73">
        <v>5.0</v>
      </c>
      <c r="T130" s="73">
        <v>7.0</v>
      </c>
      <c r="U130" s="73">
        <v>2.0</v>
      </c>
      <c r="V130" s="73">
        <v>2.0</v>
      </c>
      <c r="W130" s="73">
        <v>1.0</v>
      </c>
      <c r="X130" s="13">
        <f t="shared" si="28"/>
        <v>56</v>
      </c>
    </row>
    <row r="131" ht="12.75" customHeight="1">
      <c r="A131" s="18"/>
      <c r="B131" s="49"/>
      <c r="C131" s="50" t="s">
        <v>104</v>
      </c>
      <c r="D131" s="51"/>
      <c r="E131" s="73">
        <v>0.0</v>
      </c>
      <c r="F131" s="73">
        <v>1.0</v>
      </c>
      <c r="G131" s="73">
        <v>0.0</v>
      </c>
      <c r="H131" s="73">
        <v>2.0</v>
      </c>
      <c r="I131" s="73">
        <v>0.0</v>
      </c>
      <c r="J131" s="73">
        <v>1.0</v>
      </c>
      <c r="K131" s="73">
        <v>0.0</v>
      </c>
      <c r="L131" s="73">
        <v>0.0</v>
      </c>
      <c r="M131" s="73">
        <v>1.0</v>
      </c>
      <c r="N131" s="73">
        <v>0.0</v>
      </c>
      <c r="O131" s="73">
        <v>0.0</v>
      </c>
      <c r="P131" s="73">
        <v>0.0</v>
      </c>
      <c r="Q131" s="73">
        <v>0.0</v>
      </c>
      <c r="R131" s="73">
        <v>0.0</v>
      </c>
      <c r="S131" s="73">
        <v>0.0</v>
      </c>
      <c r="T131" s="73">
        <v>1.0</v>
      </c>
      <c r="U131" s="73">
        <v>0.0</v>
      </c>
      <c r="V131" s="73">
        <v>0.0</v>
      </c>
      <c r="W131" s="73">
        <v>1.0</v>
      </c>
      <c r="X131" s="13">
        <f t="shared" si="28"/>
        <v>7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2.0</v>
      </c>
      <c r="J132" s="73">
        <v>0.0</v>
      </c>
      <c r="K132" s="73">
        <v>0.0</v>
      </c>
      <c r="L132" s="73">
        <v>1.0</v>
      </c>
      <c r="M132" s="73">
        <v>0.0</v>
      </c>
      <c r="N132" s="73">
        <v>2.0</v>
      </c>
      <c r="O132" s="73">
        <v>1.0</v>
      </c>
      <c r="P132" s="73">
        <v>1.0</v>
      </c>
      <c r="Q132" s="73">
        <v>0.0</v>
      </c>
      <c r="R132" s="73">
        <v>1.0</v>
      </c>
      <c r="S132" s="73">
        <v>0.0</v>
      </c>
      <c r="T132" s="73">
        <v>0.0</v>
      </c>
      <c r="U132" s="73">
        <v>0.0</v>
      </c>
      <c r="V132" s="73">
        <v>0.0</v>
      </c>
      <c r="W132" s="73">
        <v>1.0</v>
      </c>
      <c r="X132" s="13">
        <f t="shared" si="28"/>
        <v>9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1.0</v>
      </c>
      <c r="T133" s="73">
        <v>0.0</v>
      </c>
      <c r="U133" s="73">
        <v>0.0</v>
      </c>
      <c r="V133" s="73">
        <v>0.0</v>
      </c>
      <c r="W133" s="73">
        <v>0.0</v>
      </c>
      <c r="X133" s="13">
        <f t="shared" si="28"/>
        <v>1</v>
      </c>
    </row>
    <row r="134" ht="12.75" customHeight="1">
      <c r="A134" s="18"/>
      <c r="B134" s="49"/>
      <c r="C134" s="50" t="s">
        <v>107</v>
      </c>
      <c r="D134" s="51"/>
      <c r="E134" s="73">
        <v>2.0</v>
      </c>
      <c r="F134" s="73">
        <v>2.0</v>
      </c>
      <c r="G134" s="73">
        <v>0.0</v>
      </c>
      <c r="H134" s="73">
        <v>0.0</v>
      </c>
      <c r="I134" s="73">
        <v>2.0</v>
      </c>
      <c r="J134" s="73">
        <v>0.0</v>
      </c>
      <c r="K134" s="73">
        <v>0.0</v>
      </c>
      <c r="L134" s="73">
        <v>1.0</v>
      </c>
      <c r="M134" s="73">
        <v>1.0</v>
      </c>
      <c r="N134" s="73">
        <v>5.0</v>
      </c>
      <c r="O134" s="73">
        <v>5.0</v>
      </c>
      <c r="P134" s="73">
        <v>1.0</v>
      </c>
      <c r="Q134" s="73">
        <v>0.0</v>
      </c>
      <c r="R134" s="73">
        <v>3.0</v>
      </c>
      <c r="S134" s="73">
        <v>6.0</v>
      </c>
      <c r="T134" s="73">
        <v>0.0</v>
      </c>
      <c r="U134" s="73">
        <v>8.0</v>
      </c>
      <c r="V134" s="73">
        <v>0.0</v>
      </c>
      <c r="W134" s="73">
        <v>2.0</v>
      </c>
      <c r="X134" s="13">
        <f t="shared" si="28"/>
        <v>38</v>
      </c>
    </row>
    <row r="135" ht="12.75" customHeight="1">
      <c r="A135" s="18"/>
      <c r="B135" s="49"/>
      <c r="C135" s="50" t="s">
        <v>108</v>
      </c>
      <c r="D135" s="51"/>
      <c r="E135" s="73">
        <v>3.0</v>
      </c>
      <c r="F135" s="73">
        <v>2.0</v>
      </c>
      <c r="G135" s="73">
        <v>0.0</v>
      </c>
      <c r="H135" s="73">
        <v>1.0</v>
      </c>
      <c r="I135" s="73">
        <v>4.0</v>
      </c>
      <c r="J135" s="73">
        <v>0.0</v>
      </c>
      <c r="K135" s="73">
        <v>1.0</v>
      </c>
      <c r="L135" s="73">
        <v>0.0</v>
      </c>
      <c r="M135" s="73">
        <v>0.0</v>
      </c>
      <c r="N135" s="73">
        <v>0.0</v>
      </c>
      <c r="O135" s="73">
        <v>2.0</v>
      </c>
      <c r="P135" s="73">
        <v>0.0</v>
      </c>
      <c r="Q135" s="73">
        <v>3.0</v>
      </c>
      <c r="R135" s="73">
        <v>1.0</v>
      </c>
      <c r="S135" s="73">
        <v>0.0</v>
      </c>
      <c r="T135" s="73">
        <v>0.0</v>
      </c>
      <c r="U135" s="73">
        <v>1.0</v>
      </c>
      <c r="V135" s="73">
        <v>0.0</v>
      </c>
      <c r="W135" s="73">
        <v>0.0</v>
      </c>
      <c r="X135" s="13">
        <f t="shared" si="28"/>
        <v>18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0.0</v>
      </c>
      <c r="I136" s="80">
        <v>0.0</v>
      </c>
      <c r="J136" s="80">
        <v>0.0</v>
      </c>
      <c r="K136" s="80">
        <v>0.0</v>
      </c>
      <c r="L136" s="80">
        <v>0.0</v>
      </c>
      <c r="M136" s="80">
        <v>1.0</v>
      </c>
      <c r="N136" s="80">
        <v>0.0</v>
      </c>
      <c r="O136" s="80">
        <v>0.0</v>
      </c>
      <c r="P136" s="80">
        <v>0.0</v>
      </c>
      <c r="Q136" s="80">
        <v>0.0</v>
      </c>
      <c r="R136" s="80">
        <v>0.0</v>
      </c>
      <c r="S136" s="80">
        <v>0.0</v>
      </c>
      <c r="T136" s="80">
        <v>0.0</v>
      </c>
      <c r="U136" s="80">
        <v>0.0</v>
      </c>
      <c r="V136" s="80">
        <v>0.0</v>
      </c>
      <c r="W136" s="80">
        <v>0.0</v>
      </c>
      <c r="X136" s="13">
        <f t="shared" si="28"/>
        <v>1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0.0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80">
        <v>0.0</v>
      </c>
      <c r="N137" s="80">
        <v>0.0</v>
      </c>
      <c r="O137" s="80">
        <v>0.0</v>
      </c>
      <c r="P137" s="80">
        <v>0.0</v>
      </c>
      <c r="Q137" s="80">
        <v>0.0</v>
      </c>
      <c r="R137" s="80">
        <v>0.0</v>
      </c>
      <c r="S137" s="80">
        <v>0.0</v>
      </c>
      <c r="T137" s="80">
        <v>0.0</v>
      </c>
      <c r="U137" s="80">
        <v>0.0</v>
      </c>
      <c r="V137" s="80">
        <v>0.0</v>
      </c>
      <c r="W137" s="80">
        <v>0.0</v>
      </c>
      <c r="X137" s="13">
        <f t="shared" si="28"/>
        <v>0</v>
      </c>
    </row>
    <row r="138" ht="12.75" customHeight="1">
      <c r="A138" s="79"/>
      <c r="B138" s="49"/>
      <c r="C138" s="50" t="s">
        <v>111</v>
      </c>
      <c r="D138" s="51"/>
      <c r="E138" s="80">
        <v>1.0</v>
      </c>
      <c r="F138" s="80">
        <v>0.0</v>
      </c>
      <c r="G138" s="80">
        <v>0.0</v>
      </c>
      <c r="H138" s="80">
        <v>0.0</v>
      </c>
      <c r="I138" s="80">
        <v>0.0</v>
      </c>
      <c r="J138" s="80">
        <v>0.0</v>
      </c>
      <c r="K138" s="80">
        <v>0.0</v>
      </c>
      <c r="L138" s="80">
        <v>1.0</v>
      </c>
      <c r="M138" s="80">
        <v>0.0</v>
      </c>
      <c r="N138" s="80">
        <v>0.0</v>
      </c>
      <c r="O138" s="80">
        <v>0.0</v>
      </c>
      <c r="P138" s="80">
        <v>0.0</v>
      </c>
      <c r="Q138" s="80">
        <v>0.0</v>
      </c>
      <c r="R138" s="80">
        <v>1.0</v>
      </c>
      <c r="S138" s="80">
        <v>1.0</v>
      </c>
      <c r="T138" s="80">
        <v>0.0</v>
      </c>
      <c r="U138" s="80">
        <v>1.0</v>
      </c>
      <c r="V138" s="80">
        <v>0.0</v>
      </c>
      <c r="W138" s="80">
        <v>0.0</v>
      </c>
      <c r="X138" s="13">
        <f t="shared" si="28"/>
        <v>5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X139" si="29">SUM(E129:E138)</f>
        <v>10</v>
      </c>
      <c r="F139" s="13">
        <f t="shared" si="29"/>
        <v>11</v>
      </c>
      <c r="G139" s="13">
        <f t="shared" si="29"/>
        <v>5</v>
      </c>
      <c r="H139" s="13">
        <f t="shared" si="29"/>
        <v>7</v>
      </c>
      <c r="I139" s="13">
        <f t="shared" si="29"/>
        <v>9</v>
      </c>
      <c r="J139" s="13">
        <f t="shared" si="29"/>
        <v>2</v>
      </c>
      <c r="K139" s="13">
        <f t="shared" si="29"/>
        <v>5</v>
      </c>
      <c r="L139" s="13">
        <f t="shared" si="29"/>
        <v>11</v>
      </c>
      <c r="M139" s="13">
        <f t="shared" si="29"/>
        <v>10</v>
      </c>
      <c r="N139" s="13">
        <f t="shared" si="29"/>
        <v>12</v>
      </c>
      <c r="O139" s="13">
        <f t="shared" si="29"/>
        <v>16</v>
      </c>
      <c r="P139" s="13">
        <f t="shared" si="29"/>
        <v>6</v>
      </c>
      <c r="Q139" s="13">
        <f t="shared" si="29"/>
        <v>5</v>
      </c>
      <c r="R139" s="13">
        <f t="shared" si="29"/>
        <v>12</v>
      </c>
      <c r="S139" s="13">
        <f t="shared" si="29"/>
        <v>17</v>
      </c>
      <c r="T139" s="13">
        <f t="shared" si="29"/>
        <v>12</v>
      </c>
      <c r="U139" s="13">
        <f t="shared" si="29"/>
        <v>16</v>
      </c>
      <c r="V139" s="13">
        <f t="shared" si="29"/>
        <v>2</v>
      </c>
      <c r="W139" s="13">
        <f t="shared" si="29"/>
        <v>7</v>
      </c>
      <c r="X139" s="13">
        <f t="shared" si="29"/>
        <v>175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13">
        <f t="shared" ref="X141:X150" si="30">SUM(E141:W141)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1.0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1.0</v>
      </c>
      <c r="X142" s="13">
        <f t="shared" si="30"/>
        <v>2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80">
        <v>0.0</v>
      </c>
      <c r="U143" s="80">
        <v>0.0</v>
      </c>
      <c r="V143" s="80">
        <v>0.0</v>
      </c>
      <c r="W143" s="80">
        <v>0.0</v>
      </c>
      <c r="X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0.0</v>
      </c>
      <c r="T144" s="80">
        <v>0.0</v>
      </c>
      <c r="U144" s="80">
        <v>0.0</v>
      </c>
      <c r="V144" s="80">
        <v>0.0</v>
      </c>
      <c r="W144" s="80">
        <v>0.0</v>
      </c>
      <c r="X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X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0.0</v>
      </c>
      <c r="G153" s="73">
        <v>0.0</v>
      </c>
      <c r="H153" s="73">
        <v>1.0</v>
      </c>
      <c r="I153" s="73">
        <v>0.0</v>
      </c>
      <c r="J153" s="73">
        <v>0.0</v>
      </c>
      <c r="K153" s="73">
        <v>0.0</v>
      </c>
      <c r="L153" s="73">
        <v>0.0</v>
      </c>
      <c r="M153" s="73">
        <v>0.0</v>
      </c>
      <c r="N153" s="73">
        <v>1.0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1.0</v>
      </c>
      <c r="U153" s="73">
        <v>0.0</v>
      </c>
      <c r="V153" s="73">
        <v>0.0</v>
      </c>
      <c r="W153" s="73">
        <v>0.0</v>
      </c>
      <c r="X153" s="13">
        <f t="shared" ref="X153:X162" si="32">SUM(E153:W153)</f>
        <v>3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1.0</v>
      </c>
      <c r="P154" s="73">
        <v>0.0</v>
      </c>
      <c r="Q154" s="73">
        <v>1.0</v>
      </c>
      <c r="R154" s="73">
        <v>0.0</v>
      </c>
      <c r="S154" s="73">
        <v>0.0</v>
      </c>
      <c r="T154" s="73">
        <v>0.0</v>
      </c>
      <c r="U154" s="73">
        <v>0.0</v>
      </c>
      <c r="V154" s="73">
        <v>0.0</v>
      </c>
      <c r="W154" s="73">
        <v>0.0</v>
      </c>
      <c r="X154" s="13">
        <f t="shared" si="32"/>
        <v>2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1.0</v>
      </c>
      <c r="M155" s="73">
        <v>0.0</v>
      </c>
      <c r="N155" s="73">
        <v>0.0</v>
      </c>
      <c r="O155" s="73">
        <v>0.0</v>
      </c>
      <c r="P155" s="73">
        <v>0.0</v>
      </c>
      <c r="Q155" s="73">
        <v>0.0</v>
      </c>
      <c r="R155" s="73">
        <v>0.0</v>
      </c>
      <c r="S155" s="73">
        <v>0.0</v>
      </c>
      <c r="T155" s="73">
        <v>0.0</v>
      </c>
      <c r="U155" s="73">
        <v>0.0</v>
      </c>
      <c r="V155" s="73">
        <v>0.0</v>
      </c>
      <c r="W155" s="73">
        <v>0.0</v>
      </c>
      <c r="X155" s="13">
        <f t="shared" si="32"/>
        <v>1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0.0</v>
      </c>
      <c r="N156" s="73">
        <v>0.0</v>
      </c>
      <c r="O156" s="73">
        <v>0.0</v>
      </c>
      <c r="P156" s="73">
        <v>0.0</v>
      </c>
      <c r="Q156" s="73">
        <v>0.0</v>
      </c>
      <c r="R156" s="73">
        <v>1.0</v>
      </c>
      <c r="S156" s="73">
        <v>0.0</v>
      </c>
      <c r="T156" s="73">
        <v>0.0</v>
      </c>
      <c r="U156" s="73">
        <v>0.0</v>
      </c>
      <c r="V156" s="73">
        <v>0.0</v>
      </c>
      <c r="W156" s="73">
        <v>1.0</v>
      </c>
      <c r="X156" s="13">
        <f t="shared" si="32"/>
        <v>2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1.0</v>
      </c>
      <c r="T157" s="73">
        <v>0.0</v>
      </c>
      <c r="U157" s="73">
        <v>0.0</v>
      </c>
      <c r="V157" s="73">
        <v>0.0</v>
      </c>
      <c r="W157" s="73">
        <v>0.0</v>
      </c>
      <c r="X157" s="13">
        <f t="shared" si="32"/>
        <v>1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0.0</v>
      </c>
      <c r="M158" s="80">
        <v>0.0</v>
      </c>
      <c r="N158" s="80">
        <v>0.0</v>
      </c>
      <c r="O158" s="80">
        <v>0.0</v>
      </c>
      <c r="P158" s="73">
        <v>0.0</v>
      </c>
      <c r="Q158" s="80">
        <v>0.0</v>
      </c>
      <c r="R158" s="80">
        <v>0.0</v>
      </c>
      <c r="S158" s="80">
        <v>0.0</v>
      </c>
      <c r="T158" s="80">
        <v>0.0</v>
      </c>
      <c r="U158" s="80">
        <v>0.0</v>
      </c>
      <c r="V158" s="80">
        <v>0.0</v>
      </c>
      <c r="W158" s="80">
        <v>0.0</v>
      </c>
      <c r="X158" s="13">
        <f t="shared" si="32"/>
        <v>0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80">
        <v>1.0</v>
      </c>
      <c r="S159" s="80">
        <v>0.0</v>
      </c>
      <c r="T159" s="80">
        <v>0.0</v>
      </c>
      <c r="U159" s="80">
        <v>0.0</v>
      </c>
      <c r="V159" s="80">
        <v>0.0</v>
      </c>
      <c r="W159" s="80">
        <v>0.0</v>
      </c>
      <c r="X159" s="13">
        <f t="shared" si="32"/>
        <v>1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80">
        <v>0.0</v>
      </c>
      <c r="U160" s="80">
        <v>0.0</v>
      </c>
      <c r="V160" s="80">
        <v>0.0</v>
      </c>
      <c r="W160" s="80">
        <v>0.0</v>
      </c>
      <c r="X160" s="13">
        <f t="shared" si="32"/>
        <v>0</v>
      </c>
    </row>
    <row r="161" ht="12.75" customHeight="1">
      <c r="A161" s="79"/>
      <c r="B161" s="57"/>
      <c r="C161" s="65"/>
      <c r="D161" s="59"/>
      <c r="E161" s="84">
        <v>0.0</v>
      </c>
      <c r="F161" s="80">
        <v>0.0</v>
      </c>
      <c r="G161" s="80">
        <v>0.0</v>
      </c>
      <c r="H161" s="80">
        <v>0.0</v>
      </c>
      <c r="I161" s="80">
        <v>0.0</v>
      </c>
      <c r="J161" s="80">
        <v>0.0</v>
      </c>
      <c r="K161" s="80">
        <v>0.0</v>
      </c>
      <c r="L161" s="80">
        <v>0.0</v>
      </c>
      <c r="M161" s="80">
        <v>0.0</v>
      </c>
      <c r="N161" s="80">
        <v>0.0</v>
      </c>
      <c r="O161" s="80">
        <v>0.0</v>
      </c>
      <c r="P161" s="80">
        <v>0.0</v>
      </c>
      <c r="Q161" s="80">
        <v>0.0</v>
      </c>
      <c r="R161" s="80">
        <v>0.0</v>
      </c>
      <c r="S161" s="80">
        <v>0.0</v>
      </c>
      <c r="T161" s="82"/>
      <c r="U161" s="82"/>
      <c r="V161" s="82"/>
      <c r="W161" s="82"/>
      <c r="X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X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1</v>
      </c>
      <c r="R163" s="13">
        <f t="shared" si="33"/>
        <v>2</v>
      </c>
      <c r="S163" s="13">
        <f t="shared" si="33"/>
        <v>1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10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1.0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2.0</v>
      </c>
      <c r="L165" s="73">
        <v>2.0</v>
      </c>
      <c r="M165" s="73">
        <v>0.0</v>
      </c>
      <c r="N165" s="73">
        <v>1.0</v>
      </c>
      <c r="O165" s="73">
        <v>0.0</v>
      </c>
      <c r="P165" s="73">
        <v>2.0</v>
      </c>
      <c r="Q165" s="73">
        <v>0.0</v>
      </c>
      <c r="R165" s="73">
        <v>0.0</v>
      </c>
      <c r="S165" s="73">
        <v>1.0</v>
      </c>
      <c r="T165" s="73">
        <v>0.0</v>
      </c>
      <c r="U165" s="73">
        <v>0.0</v>
      </c>
      <c r="V165" s="73">
        <v>0.0</v>
      </c>
      <c r="W165" s="73">
        <v>0.0</v>
      </c>
      <c r="X165" s="13">
        <f t="shared" ref="X165:X174" si="34">SUM(E165:W165)</f>
        <v>9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1.0</v>
      </c>
      <c r="F166" s="80">
        <v>0.0</v>
      </c>
      <c r="G166" s="80">
        <v>1.0</v>
      </c>
      <c r="H166" s="80">
        <v>0.0</v>
      </c>
      <c r="I166" s="80">
        <v>0.0</v>
      </c>
      <c r="J166" s="80">
        <v>0.0</v>
      </c>
      <c r="K166" s="80">
        <v>0.0</v>
      </c>
      <c r="L166" s="80">
        <v>0.0</v>
      </c>
      <c r="M166" s="80">
        <v>0.0</v>
      </c>
      <c r="N166" s="80">
        <v>0.0</v>
      </c>
      <c r="O166" s="80">
        <v>1.0</v>
      </c>
      <c r="P166" s="80">
        <v>0.0</v>
      </c>
      <c r="Q166" s="80">
        <v>0.0</v>
      </c>
      <c r="R166" s="80">
        <v>0.0</v>
      </c>
      <c r="S166" s="80">
        <v>0.0</v>
      </c>
      <c r="T166" s="80">
        <v>0.0</v>
      </c>
      <c r="U166" s="80">
        <v>1.0</v>
      </c>
      <c r="V166" s="80">
        <v>0.0</v>
      </c>
      <c r="W166" s="80">
        <v>0.0</v>
      </c>
      <c r="X166" s="13">
        <f t="shared" si="34"/>
        <v>4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X175" si="35">SUM(E165:E174)</f>
        <v>2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2</v>
      </c>
      <c r="L175" s="13">
        <f t="shared" si="35"/>
        <v>2</v>
      </c>
      <c r="M175" s="13">
        <f t="shared" si="35"/>
        <v>0</v>
      </c>
      <c r="N175" s="13">
        <f t="shared" si="35"/>
        <v>1</v>
      </c>
      <c r="O175" s="13">
        <f t="shared" si="35"/>
        <v>1</v>
      </c>
      <c r="P175" s="13">
        <f t="shared" si="35"/>
        <v>2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13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3.0</v>
      </c>
      <c r="F177" s="73">
        <v>3.0</v>
      </c>
      <c r="G177" s="73">
        <v>1.0</v>
      </c>
      <c r="H177" s="73">
        <v>1.0</v>
      </c>
      <c r="I177" s="73">
        <v>1.0</v>
      </c>
      <c r="J177" s="73">
        <v>2.0</v>
      </c>
      <c r="K177" s="73">
        <v>1.0</v>
      </c>
      <c r="L177" s="73">
        <v>0.0</v>
      </c>
      <c r="M177" s="73">
        <v>2.0</v>
      </c>
      <c r="N177" s="73">
        <v>2.0</v>
      </c>
      <c r="O177" s="73">
        <v>4.0</v>
      </c>
      <c r="P177" s="73">
        <v>0.0</v>
      </c>
      <c r="Q177" s="73">
        <v>0.0</v>
      </c>
      <c r="R177" s="73">
        <v>1.0</v>
      </c>
      <c r="S177" s="73">
        <v>0.0</v>
      </c>
      <c r="T177" s="73">
        <v>0.0</v>
      </c>
      <c r="U177" s="73">
        <v>3.0</v>
      </c>
      <c r="V177" s="73">
        <v>1.0</v>
      </c>
      <c r="W177" s="73">
        <v>0.0</v>
      </c>
      <c r="X177" s="13">
        <f t="shared" ref="X177:X186" si="36">SUM(E177:W177)</f>
        <v>25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4.0</v>
      </c>
      <c r="F178" s="73">
        <v>4.0</v>
      </c>
      <c r="G178" s="73">
        <v>1.0</v>
      </c>
      <c r="H178" s="73">
        <v>1.0</v>
      </c>
      <c r="I178" s="73">
        <v>1.0</v>
      </c>
      <c r="J178" s="73">
        <v>6.0</v>
      </c>
      <c r="K178" s="73">
        <v>0.0</v>
      </c>
      <c r="L178" s="73">
        <v>2.0</v>
      </c>
      <c r="M178" s="73">
        <v>0.0</v>
      </c>
      <c r="N178" s="73">
        <v>2.0</v>
      </c>
      <c r="O178" s="73">
        <v>2.0</v>
      </c>
      <c r="P178" s="73">
        <v>0.0</v>
      </c>
      <c r="Q178" s="73">
        <v>1.0</v>
      </c>
      <c r="R178" s="73">
        <v>0.0</v>
      </c>
      <c r="S178" s="73">
        <v>0.0</v>
      </c>
      <c r="T178" s="73">
        <v>1.0</v>
      </c>
      <c r="U178" s="73">
        <v>2.0</v>
      </c>
      <c r="V178" s="73">
        <v>0.0</v>
      </c>
      <c r="W178" s="73">
        <v>0.0</v>
      </c>
      <c r="X178" s="13">
        <f t="shared" si="36"/>
        <v>27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0.0</v>
      </c>
      <c r="M179" s="73">
        <v>0.0</v>
      </c>
      <c r="N179" s="73">
        <v>0.0</v>
      </c>
      <c r="O179" s="73">
        <v>0.0</v>
      </c>
      <c r="P179" s="73">
        <v>0.0</v>
      </c>
      <c r="Q179" s="73">
        <v>1.0</v>
      </c>
      <c r="R179" s="73">
        <v>1.0</v>
      </c>
      <c r="S179" s="73">
        <v>1.0</v>
      </c>
      <c r="T179" s="73">
        <v>0.0</v>
      </c>
      <c r="U179" s="73">
        <v>0.0</v>
      </c>
      <c r="V179" s="73">
        <v>0.0</v>
      </c>
      <c r="W179" s="73">
        <v>0.0</v>
      </c>
      <c r="X179" s="13">
        <f t="shared" si="36"/>
        <v>3</v>
      </c>
    </row>
    <row r="180" ht="12.75" customHeight="1">
      <c r="A180" s="18"/>
      <c r="B180" s="49"/>
      <c r="C180" s="50" t="s">
        <v>133</v>
      </c>
      <c r="D180" s="51"/>
      <c r="E180" s="73">
        <v>1.0</v>
      </c>
      <c r="F180" s="73">
        <v>0.0</v>
      </c>
      <c r="G180" s="73">
        <v>1.0</v>
      </c>
      <c r="H180" s="73">
        <v>1.0</v>
      </c>
      <c r="I180" s="73">
        <v>0.0</v>
      </c>
      <c r="J180" s="73">
        <v>1.0</v>
      </c>
      <c r="K180" s="73">
        <v>0.0</v>
      </c>
      <c r="L180" s="73">
        <v>0.0</v>
      </c>
      <c r="M180" s="73">
        <v>3.0</v>
      </c>
      <c r="N180" s="73">
        <v>1.0</v>
      </c>
      <c r="O180" s="73">
        <v>3.0</v>
      </c>
      <c r="P180" s="73">
        <v>0.0</v>
      </c>
      <c r="Q180" s="73">
        <v>0.0</v>
      </c>
      <c r="R180" s="73">
        <v>0.0</v>
      </c>
      <c r="S180" s="73">
        <v>1.0</v>
      </c>
      <c r="T180" s="73">
        <v>0.0</v>
      </c>
      <c r="U180" s="73">
        <v>0.0</v>
      </c>
      <c r="V180" s="73">
        <v>1.0</v>
      </c>
      <c r="W180" s="73">
        <v>0.0</v>
      </c>
      <c r="X180" s="13">
        <f t="shared" si="36"/>
        <v>13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0.0</v>
      </c>
      <c r="G181" s="73">
        <v>0.0</v>
      </c>
      <c r="H181" s="73">
        <v>2.0</v>
      </c>
      <c r="I181" s="73">
        <v>0.0</v>
      </c>
      <c r="J181" s="73">
        <v>0.0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0.0</v>
      </c>
      <c r="S181" s="73">
        <v>0.0</v>
      </c>
      <c r="T181" s="73">
        <v>1.0</v>
      </c>
      <c r="U181" s="73">
        <v>0.0</v>
      </c>
      <c r="V181" s="73">
        <v>0.0</v>
      </c>
      <c r="W181" s="73">
        <v>0.0</v>
      </c>
      <c r="X181" s="13">
        <f t="shared" si="36"/>
        <v>3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3.0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1.0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1.0</v>
      </c>
      <c r="V182" s="73">
        <v>0.0</v>
      </c>
      <c r="W182" s="73">
        <v>0.0</v>
      </c>
      <c r="X182" s="13">
        <f t="shared" si="36"/>
        <v>5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73">
        <v>1.0</v>
      </c>
      <c r="V183" s="73">
        <v>0.0</v>
      </c>
      <c r="W183" s="73">
        <v>0.0</v>
      </c>
      <c r="X183" s="13">
        <f t="shared" si="36"/>
        <v>1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0.0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80">
        <v>0.0</v>
      </c>
      <c r="T184" s="80">
        <v>0.0</v>
      </c>
      <c r="U184" s="80">
        <v>0.0</v>
      </c>
      <c r="V184" s="80">
        <v>0.0</v>
      </c>
      <c r="W184" s="80">
        <v>0.0</v>
      </c>
      <c r="X184" s="13">
        <f t="shared" si="36"/>
        <v>0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1.0</v>
      </c>
      <c r="G185" s="80">
        <v>0.0</v>
      </c>
      <c r="H185" s="80">
        <v>0.0</v>
      </c>
      <c r="I185" s="80">
        <v>0.0</v>
      </c>
      <c r="J185" s="80">
        <v>0.0</v>
      </c>
      <c r="K185" s="80">
        <v>1.0</v>
      </c>
      <c r="L185" s="80">
        <v>0.0</v>
      </c>
      <c r="M185" s="80">
        <v>0.0</v>
      </c>
      <c r="N185" s="80">
        <v>1.0</v>
      </c>
      <c r="O185" s="80">
        <v>0.0</v>
      </c>
      <c r="P185" s="80">
        <v>0.0</v>
      </c>
      <c r="Q185" s="80">
        <v>0.0</v>
      </c>
      <c r="R185" s="80">
        <v>0.0</v>
      </c>
      <c r="S185" s="80">
        <v>0.0</v>
      </c>
      <c r="T185" s="80">
        <v>1.0</v>
      </c>
      <c r="U185" s="80">
        <v>0.0</v>
      </c>
      <c r="V185" s="80">
        <v>0.0</v>
      </c>
      <c r="W185" s="80">
        <v>0.0</v>
      </c>
      <c r="X185" s="13">
        <f t="shared" si="36"/>
        <v>4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1.0</v>
      </c>
      <c r="I186" s="80">
        <v>0.0</v>
      </c>
      <c r="J186" s="80">
        <v>0.0</v>
      </c>
      <c r="K186" s="80">
        <v>0.0</v>
      </c>
      <c r="L186" s="80">
        <v>0.0</v>
      </c>
      <c r="M186" s="80">
        <v>1.0</v>
      </c>
      <c r="N186" s="80">
        <v>0.0</v>
      </c>
      <c r="O186" s="80">
        <v>0.0</v>
      </c>
      <c r="P186" s="80">
        <v>0.0</v>
      </c>
      <c r="Q186" s="80">
        <v>0.0</v>
      </c>
      <c r="R186" s="80">
        <v>0.0</v>
      </c>
      <c r="S186" s="80">
        <v>0.0</v>
      </c>
      <c r="T186" s="80">
        <v>0.0</v>
      </c>
      <c r="U186" s="80">
        <v>0.0</v>
      </c>
      <c r="V186" s="80">
        <v>0.0</v>
      </c>
      <c r="W186" s="80">
        <v>0.0</v>
      </c>
      <c r="X186" s="13">
        <f t="shared" si="36"/>
        <v>2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X187" si="37">SUM(E177:E186)</f>
        <v>8</v>
      </c>
      <c r="F187" s="13">
        <f t="shared" si="37"/>
        <v>8</v>
      </c>
      <c r="G187" s="13">
        <f t="shared" si="37"/>
        <v>6</v>
      </c>
      <c r="H187" s="13">
        <f t="shared" si="37"/>
        <v>6</v>
      </c>
      <c r="I187" s="13">
        <f t="shared" si="37"/>
        <v>2</v>
      </c>
      <c r="J187" s="13">
        <f t="shared" si="37"/>
        <v>9</v>
      </c>
      <c r="K187" s="13">
        <f t="shared" si="37"/>
        <v>2</v>
      </c>
      <c r="L187" s="13">
        <f t="shared" si="37"/>
        <v>2</v>
      </c>
      <c r="M187" s="13">
        <f t="shared" si="37"/>
        <v>7</v>
      </c>
      <c r="N187" s="13">
        <f t="shared" si="37"/>
        <v>6</v>
      </c>
      <c r="O187" s="13">
        <f t="shared" si="37"/>
        <v>9</v>
      </c>
      <c r="P187" s="13">
        <f t="shared" si="37"/>
        <v>0</v>
      </c>
      <c r="Q187" s="13">
        <f t="shared" si="37"/>
        <v>2</v>
      </c>
      <c r="R187" s="13">
        <f t="shared" si="37"/>
        <v>2</v>
      </c>
      <c r="S187" s="13">
        <f t="shared" si="37"/>
        <v>2</v>
      </c>
      <c r="T187" s="13">
        <f t="shared" si="37"/>
        <v>3</v>
      </c>
      <c r="U187" s="13">
        <f t="shared" si="37"/>
        <v>7</v>
      </c>
      <c r="V187" s="13">
        <f t="shared" si="37"/>
        <v>2</v>
      </c>
      <c r="W187" s="13">
        <f t="shared" si="37"/>
        <v>0</v>
      </c>
      <c r="X187" s="13">
        <f t="shared" si="37"/>
        <v>83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X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1.0</v>
      </c>
      <c r="H189" s="73">
        <v>0.0</v>
      </c>
      <c r="I189" s="73">
        <v>0.0</v>
      </c>
      <c r="J189" s="73">
        <v>0.0</v>
      </c>
      <c r="K189" s="73">
        <v>0.0</v>
      </c>
      <c r="L189" s="73">
        <v>0.0</v>
      </c>
      <c r="M189" s="73">
        <v>0.0</v>
      </c>
      <c r="N189" s="73">
        <v>2.0</v>
      </c>
      <c r="O189" s="73">
        <v>0.0</v>
      </c>
      <c r="P189" s="73">
        <v>0.0</v>
      </c>
      <c r="Q189" s="73">
        <v>0.0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1.0</v>
      </c>
      <c r="X189" s="13">
        <f t="shared" ref="X189:X198" si="38">SUM(E189:W189)</f>
        <v>4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0.0</v>
      </c>
      <c r="W190" s="73">
        <v>0.0</v>
      </c>
      <c r="X190" s="13">
        <f t="shared" si="38"/>
        <v>0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1.0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0.0</v>
      </c>
      <c r="V191" s="73">
        <v>0.0</v>
      </c>
      <c r="W191" s="73">
        <v>0.0</v>
      </c>
      <c r="X191" s="13">
        <f t="shared" si="38"/>
        <v>1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13">
        <f t="shared" si="38"/>
        <v>0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13">
        <f t="shared" si="38"/>
        <v>0</v>
      </c>
    </row>
    <row r="194" ht="12.75" customHeight="1">
      <c r="A194" s="18"/>
      <c r="B194" s="49"/>
      <c r="C194" s="50" t="s">
        <v>146</v>
      </c>
      <c r="D194" s="51"/>
      <c r="E194" s="73">
        <v>1.0</v>
      </c>
      <c r="F194" s="73">
        <v>0.0</v>
      </c>
      <c r="G194" s="73">
        <v>1.0</v>
      </c>
      <c r="H194" s="73">
        <v>0.0</v>
      </c>
      <c r="I194" s="73">
        <v>0.0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0.0</v>
      </c>
      <c r="U194" s="73">
        <v>0.0</v>
      </c>
      <c r="V194" s="73">
        <v>0.0</v>
      </c>
      <c r="W194" s="73">
        <v>0.0</v>
      </c>
      <c r="X194" s="13">
        <f t="shared" si="38"/>
        <v>2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1.0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13">
        <f t="shared" si="38"/>
        <v>1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0.0</v>
      </c>
      <c r="S196" s="80">
        <v>0.0</v>
      </c>
      <c r="T196" s="80">
        <v>0.0</v>
      </c>
      <c r="U196" s="80">
        <v>0.0</v>
      </c>
      <c r="V196" s="80">
        <v>0.0</v>
      </c>
      <c r="W196" s="80">
        <v>0.0</v>
      </c>
      <c r="X196" s="13">
        <f t="shared" si="38"/>
        <v>0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0">
        <v>0.0</v>
      </c>
      <c r="U197" s="80">
        <v>0.0</v>
      </c>
      <c r="V197" s="80">
        <v>0.0</v>
      </c>
      <c r="W197" s="80">
        <v>0.0</v>
      </c>
      <c r="X197" s="13">
        <f t="shared" si="38"/>
        <v>0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0.0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80">
        <v>0.0</v>
      </c>
      <c r="V198" s="80">
        <v>0.0</v>
      </c>
      <c r="W198" s="80">
        <v>1.0</v>
      </c>
      <c r="X198" s="13">
        <f t="shared" si="38"/>
        <v>1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X199" si="39">SUM(E189:E198)</f>
        <v>1</v>
      </c>
      <c r="F199" s="13">
        <f t="shared" si="39"/>
        <v>0</v>
      </c>
      <c r="G199" s="13">
        <f t="shared" si="39"/>
        <v>2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2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2</v>
      </c>
      <c r="X199" s="13">
        <f t="shared" si="39"/>
        <v>9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4.0</v>
      </c>
      <c r="F201" s="73">
        <v>9.0</v>
      </c>
      <c r="G201" s="73">
        <v>5.0</v>
      </c>
      <c r="H201" s="73">
        <v>3.0</v>
      </c>
      <c r="I201" s="73">
        <v>4.0</v>
      </c>
      <c r="J201" s="73">
        <v>6.0</v>
      </c>
      <c r="K201" s="73">
        <v>8.0</v>
      </c>
      <c r="L201" s="73">
        <v>5.0</v>
      </c>
      <c r="M201" s="73">
        <v>2.0</v>
      </c>
      <c r="N201" s="73">
        <v>7.0</v>
      </c>
      <c r="O201" s="73">
        <v>4.0</v>
      </c>
      <c r="P201" s="73">
        <v>4.0</v>
      </c>
      <c r="Q201" s="73">
        <v>9.0</v>
      </c>
      <c r="R201" s="73">
        <v>3.0</v>
      </c>
      <c r="S201" s="73">
        <v>3.0</v>
      </c>
      <c r="T201" s="73">
        <v>4.0</v>
      </c>
      <c r="U201" s="73">
        <v>7.0</v>
      </c>
      <c r="V201" s="73">
        <v>4.0</v>
      </c>
      <c r="W201" s="73">
        <v>4.0</v>
      </c>
      <c r="X201" s="13">
        <f t="shared" ref="X201:X210" si="40">SUM(E201:W201)</f>
        <v>95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4.0</v>
      </c>
      <c r="F202" s="73">
        <v>3.0</v>
      </c>
      <c r="G202" s="73">
        <v>3.0</v>
      </c>
      <c r="H202" s="73">
        <v>3.0</v>
      </c>
      <c r="I202" s="73">
        <v>5.0</v>
      </c>
      <c r="J202" s="73">
        <v>5.0</v>
      </c>
      <c r="K202" s="73">
        <v>1.0</v>
      </c>
      <c r="L202" s="73">
        <v>10.0</v>
      </c>
      <c r="M202" s="73">
        <v>1.0</v>
      </c>
      <c r="N202" s="73">
        <v>3.0</v>
      </c>
      <c r="O202" s="73">
        <v>4.0</v>
      </c>
      <c r="P202" s="73">
        <v>2.0</v>
      </c>
      <c r="Q202" s="73">
        <v>4.0</v>
      </c>
      <c r="R202" s="73">
        <v>7.0</v>
      </c>
      <c r="S202" s="73">
        <v>3.0</v>
      </c>
      <c r="T202" s="73">
        <v>3.0</v>
      </c>
      <c r="U202" s="73">
        <v>10.0</v>
      </c>
      <c r="V202" s="73">
        <v>2.0</v>
      </c>
      <c r="W202" s="73">
        <v>5.0</v>
      </c>
      <c r="X202" s="13">
        <f t="shared" si="40"/>
        <v>78</v>
      </c>
    </row>
    <row r="203" ht="12.75" customHeight="1">
      <c r="A203" s="18"/>
      <c r="B203" s="49"/>
      <c r="C203" s="50" t="s">
        <v>154</v>
      </c>
      <c r="D203" s="51"/>
      <c r="E203" s="73">
        <v>1.0</v>
      </c>
      <c r="F203" s="73">
        <v>1.0</v>
      </c>
      <c r="G203" s="73">
        <v>1.0</v>
      </c>
      <c r="H203" s="73">
        <v>1.0</v>
      </c>
      <c r="I203" s="73">
        <v>0.0</v>
      </c>
      <c r="J203" s="73">
        <v>1.0</v>
      </c>
      <c r="K203" s="73">
        <v>2.0</v>
      </c>
      <c r="L203" s="73">
        <v>1.0</v>
      </c>
      <c r="M203" s="73">
        <v>1.0</v>
      </c>
      <c r="N203" s="73">
        <v>4.0</v>
      </c>
      <c r="O203" s="73">
        <v>1.0</v>
      </c>
      <c r="P203" s="73">
        <v>1.0</v>
      </c>
      <c r="Q203" s="73">
        <v>3.0</v>
      </c>
      <c r="R203" s="73">
        <v>4.0</v>
      </c>
      <c r="S203" s="73">
        <v>1.0</v>
      </c>
      <c r="T203" s="73">
        <v>1.0</v>
      </c>
      <c r="U203" s="73">
        <v>13.0</v>
      </c>
      <c r="V203" s="73">
        <v>0.0</v>
      </c>
      <c r="W203" s="73">
        <v>1.0</v>
      </c>
      <c r="X203" s="13">
        <f t="shared" si="40"/>
        <v>38</v>
      </c>
    </row>
    <row r="204" ht="12.75" customHeight="1">
      <c r="A204" s="18"/>
      <c r="B204" s="49"/>
      <c r="C204" s="50" t="s">
        <v>155</v>
      </c>
      <c r="D204" s="51"/>
      <c r="E204" s="73">
        <v>3.0</v>
      </c>
      <c r="F204" s="73">
        <v>1.0</v>
      </c>
      <c r="G204" s="73">
        <v>0.0</v>
      </c>
      <c r="H204" s="73">
        <v>1.0</v>
      </c>
      <c r="I204" s="73">
        <v>1.0</v>
      </c>
      <c r="J204" s="73">
        <v>0.0</v>
      </c>
      <c r="K204" s="73">
        <v>0.0</v>
      </c>
      <c r="L204" s="73">
        <v>0.0</v>
      </c>
      <c r="M204" s="73">
        <v>0.0</v>
      </c>
      <c r="N204" s="73">
        <v>1.0</v>
      </c>
      <c r="O204" s="73">
        <v>0.0</v>
      </c>
      <c r="P204" s="73">
        <v>0.0</v>
      </c>
      <c r="Q204" s="73">
        <v>2.0</v>
      </c>
      <c r="R204" s="73">
        <v>0.0</v>
      </c>
      <c r="S204" s="73">
        <v>1.0</v>
      </c>
      <c r="T204" s="73">
        <v>0.0</v>
      </c>
      <c r="U204" s="73">
        <v>0.0</v>
      </c>
      <c r="V204" s="73">
        <v>0.0</v>
      </c>
      <c r="W204" s="73">
        <v>0.0</v>
      </c>
      <c r="X204" s="13">
        <f t="shared" si="40"/>
        <v>10</v>
      </c>
    </row>
    <row r="205" ht="12.75" customHeight="1">
      <c r="A205" s="18"/>
      <c r="B205" s="49"/>
      <c r="C205" s="50" t="s">
        <v>156</v>
      </c>
      <c r="D205" s="51"/>
      <c r="E205" s="73">
        <v>1.0</v>
      </c>
      <c r="F205" s="73">
        <v>1.0</v>
      </c>
      <c r="G205" s="73">
        <v>0.0</v>
      </c>
      <c r="H205" s="73">
        <v>0.0</v>
      </c>
      <c r="I205" s="73">
        <v>0.0</v>
      </c>
      <c r="J205" s="73">
        <v>0.0</v>
      </c>
      <c r="K205" s="73">
        <v>1.0</v>
      </c>
      <c r="L205" s="73">
        <v>0.0</v>
      </c>
      <c r="M205" s="73">
        <v>0.0</v>
      </c>
      <c r="N205" s="73">
        <v>2.0</v>
      </c>
      <c r="O205" s="73">
        <v>0.0</v>
      </c>
      <c r="P205" s="73">
        <v>0.0</v>
      </c>
      <c r="Q205" s="73">
        <v>0.0</v>
      </c>
      <c r="R205" s="73">
        <v>0.0</v>
      </c>
      <c r="S205" s="73">
        <v>1.0</v>
      </c>
      <c r="T205" s="73">
        <v>0.0</v>
      </c>
      <c r="U205" s="73">
        <v>0.0</v>
      </c>
      <c r="V205" s="73">
        <v>0.0</v>
      </c>
      <c r="W205" s="73">
        <v>0.0</v>
      </c>
      <c r="X205" s="13">
        <f t="shared" si="40"/>
        <v>6</v>
      </c>
    </row>
    <row r="206" ht="12.75" customHeight="1">
      <c r="A206" s="18"/>
      <c r="B206" s="49"/>
      <c r="C206" s="50" t="s">
        <v>157</v>
      </c>
      <c r="D206" s="51"/>
      <c r="E206" s="73">
        <v>4.0</v>
      </c>
      <c r="F206" s="73">
        <v>0.0</v>
      </c>
      <c r="G206" s="73">
        <v>0.0</v>
      </c>
      <c r="H206" s="73">
        <v>1.0</v>
      </c>
      <c r="I206" s="73">
        <v>0.0</v>
      </c>
      <c r="J206" s="73">
        <v>0.0</v>
      </c>
      <c r="K206" s="73">
        <v>1.0</v>
      </c>
      <c r="L206" s="73">
        <v>1.0</v>
      </c>
      <c r="M206" s="73">
        <v>0.0</v>
      </c>
      <c r="N206" s="73">
        <v>0.0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13">
        <f t="shared" si="40"/>
        <v>7</v>
      </c>
    </row>
    <row r="207" ht="12.75" customHeight="1">
      <c r="A207" s="18"/>
      <c r="B207" s="49"/>
      <c r="C207" s="50" t="s">
        <v>158</v>
      </c>
      <c r="D207" s="51"/>
      <c r="E207" s="73">
        <v>1.0</v>
      </c>
      <c r="F207" s="73">
        <v>1.0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0.0</v>
      </c>
      <c r="O207" s="73">
        <v>0.0</v>
      </c>
      <c r="P207" s="73">
        <v>0.0</v>
      </c>
      <c r="Q207" s="73">
        <v>0.0</v>
      </c>
      <c r="R207" s="73">
        <v>1.0</v>
      </c>
      <c r="S207" s="73">
        <v>0.0</v>
      </c>
      <c r="T207" s="73">
        <v>1.0</v>
      </c>
      <c r="U207" s="73">
        <v>0.0</v>
      </c>
      <c r="V207" s="73">
        <v>0.0</v>
      </c>
      <c r="W207" s="73">
        <v>0.0</v>
      </c>
      <c r="X207" s="13">
        <f t="shared" si="40"/>
        <v>4</v>
      </c>
    </row>
    <row r="208" ht="12.75" customHeight="1">
      <c r="A208" s="79"/>
      <c r="B208" s="49"/>
      <c r="C208" s="50" t="s">
        <v>159</v>
      </c>
      <c r="D208" s="51"/>
      <c r="E208" s="80">
        <v>1.0</v>
      </c>
      <c r="F208" s="80">
        <v>1.0</v>
      </c>
      <c r="G208" s="80">
        <v>0.0</v>
      </c>
      <c r="H208" s="80">
        <v>3.0</v>
      </c>
      <c r="I208" s="80">
        <v>2.0</v>
      </c>
      <c r="J208" s="80">
        <v>1.0</v>
      </c>
      <c r="K208" s="80">
        <v>1.0</v>
      </c>
      <c r="L208" s="80">
        <v>0.0</v>
      </c>
      <c r="M208" s="80">
        <v>0.0</v>
      </c>
      <c r="N208" s="80">
        <v>1.0</v>
      </c>
      <c r="O208" s="80">
        <v>1.0</v>
      </c>
      <c r="P208" s="80">
        <v>0.0</v>
      </c>
      <c r="Q208" s="80">
        <v>1.0</v>
      </c>
      <c r="R208" s="80">
        <v>1.0</v>
      </c>
      <c r="S208" s="80">
        <v>0.0</v>
      </c>
      <c r="T208" s="80">
        <v>0.0</v>
      </c>
      <c r="U208" s="80">
        <v>0.0</v>
      </c>
      <c r="V208" s="80">
        <v>0.0</v>
      </c>
      <c r="W208" s="80">
        <v>0.0</v>
      </c>
      <c r="X208" s="13">
        <f t="shared" si="40"/>
        <v>13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0.0</v>
      </c>
      <c r="T209" s="80">
        <v>0.0</v>
      </c>
      <c r="U209" s="80">
        <v>0.0</v>
      </c>
      <c r="V209" s="80">
        <v>0.0</v>
      </c>
      <c r="W209" s="80">
        <v>0.0</v>
      </c>
      <c r="X209" s="13">
        <f t="shared" si="40"/>
        <v>0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1.0</v>
      </c>
      <c r="H210" s="80">
        <v>1.0</v>
      </c>
      <c r="I210" s="80">
        <v>1.0</v>
      </c>
      <c r="J210" s="80">
        <v>0.0</v>
      </c>
      <c r="K210" s="80">
        <v>0.0</v>
      </c>
      <c r="L210" s="80">
        <v>0.0</v>
      </c>
      <c r="M210" s="80">
        <v>0.0</v>
      </c>
      <c r="N210" s="80">
        <v>0.0</v>
      </c>
      <c r="O210" s="80">
        <v>0.0</v>
      </c>
      <c r="P210" s="80">
        <v>0.0</v>
      </c>
      <c r="Q210" s="80">
        <v>0.0</v>
      </c>
      <c r="R210" s="80">
        <v>0.0</v>
      </c>
      <c r="S210" s="80">
        <v>0.0</v>
      </c>
      <c r="T210" s="80">
        <v>0.0</v>
      </c>
      <c r="U210" s="80">
        <v>0.0</v>
      </c>
      <c r="V210" s="80">
        <v>0.0</v>
      </c>
      <c r="W210" s="80">
        <v>0.0</v>
      </c>
      <c r="X210" s="13">
        <f t="shared" si="40"/>
        <v>3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X211" si="41">SUM(E201:E210)</f>
        <v>19</v>
      </c>
      <c r="F211" s="13">
        <f t="shared" si="41"/>
        <v>17</v>
      </c>
      <c r="G211" s="13">
        <f t="shared" si="41"/>
        <v>10</v>
      </c>
      <c r="H211" s="13">
        <f t="shared" si="41"/>
        <v>13</v>
      </c>
      <c r="I211" s="13">
        <f t="shared" si="41"/>
        <v>13</v>
      </c>
      <c r="J211" s="13">
        <f t="shared" si="41"/>
        <v>13</v>
      </c>
      <c r="K211" s="13">
        <f t="shared" si="41"/>
        <v>14</v>
      </c>
      <c r="L211" s="13">
        <f t="shared" si="41"/>
        <v>17</v>
      </c>
      <c r="M211" s="13">
        <f t="shared" si="41"/>
        <v>4</v>
      </c>
      <c r="N211" s="13">
        <f t="shared" si="41"/>
        <v>18</v>
      </c>
      <c r="O211" s="13">
        <f t="shared" si="41"/>
        <v>10</v>
      </c>
      <c r="P211" s="13">
        <f t="shared" si="41"/>
        <v>7</v>
      </c>
      <c r="Q211" s="13">
        <f t="shared" si="41"/>
        <v>19</v>
      </c>
      <c r="R211" s="13">
        <f t="shared" si="41"/>
        <v>16</v>
      </c>
      <c r="S211" s="13">
        <f t="shared" si="41"/>
        <v>9</v>
      </c>
      <c r="T211" s="13">
        <f t="shared" si="41"/>
        <v>9</v>
      </c>
      <c r="U211" s="13">
        <f t="shared" si="41"/>
        <v>30</v>
      </c>
      <c r="V211" s="13">
        <f t="shared" si="41"/>
        <v>6</v>
      </c>
      <c r="W211" s="13">
        <f t="shared" si="41"/>
        <v>10</v>
      </c>
      <c r="X211" s="13">
        <f t="shared" si="41"/>
        <v>254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4.0</v>
      </c>
      <c r="F213" s="73">
        <v>6.0</v>
      </c>
      <c r="G213" s="73">
        <v>5.0</v>
      </c>
      <c r="H213" s="73">
        <v>2.0</v>
      </c>
      <c r="I213" s="73">
        <v>5.0</v>
      </c>
      <c r="J213" s="73">
        <v>1.0</v>
      </c>
      <c r="K213" s="73">
        <v>3.0</v>
      </c>
      <c r="L213" s="73">
        <v>1.0</v>
      </c>
      <c r="M213" s="73">
        <v>2.0</v>
      </c>
      <c r="N213" s="73">
        <v>4.0</v>
      </c>
      <c r="O213" s="73">
        <v>10.0</v>
      </c>
      <c r="P213" s="73">
        <v>1.0</v>
      </c>
      <c r="Q213" s="73">
        <v>4.0</v>
      </c>
      <c r="R213" s="73">
        <v>8.0</v>
      </c>
      <c r="S213" s="73">
        <v>3.0</v>
      </c>
      <c r="T213" s="73">
        <v>2.0</v>
      </c>
      <c r="U213" s="73">
        <v>5.0</v>
      </c>
      <c r="V213" s="73">
        <v>2.0</v>
      </c>
      <c r="W213" s="73">
        <v>1.0</v>
      </c>
      <c r="X213" s="13">
        <f t="shared" ref="X213:X222" si="42">SUM(E213:W213)</f>
        <v>69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1.0</v>
      </c>
      <c r="F214" s="73">
        <v>0.0</v>
      </c>
      <c r="G214" s="73">
        <v>0.0</v>
      </c>
      <c r="H214" s="73">
        <v>1.0</v>
      </c>
      <c r="I214" s="73">
        <v>1.0</v>
      </c>
      <c r="J214" s="73">
        <v>1.0</v>
      </c>
      <c r="K214" s="73">
        <v>1.0</v>
      </c>
      <c r="L214" s="73">
        <v>1.0</v>
      </c>
      <c r="M214" s="73">
        <v>1.0</v>
      </c>
      <c r="N214" s="73">
        <v>3.0</v>
      </c>
      <c r="O214" s="73">
        <v>2.0</v>
      </c>
      <c r="P214" s="73">
        <v>0.0</v>
      </c>
      <c r="Q214" s="73">
        <v>0.0</v>
      </c>
      <c r="R214" s="73">
        <v>0.0</v>
      </c>
      <c r="S214" s="73">
        <v>2.0</v>
      </c>
      <c r="T214" s="73">
        <v>0.0</v>
      </c>
      <c r="U214" s="73">
        <v>3.0</v>
      </c>
      <c r="V214" s="73">
        <v>0.0</v>
      </c>
      <c r="W214" s="73">
        <v>1.0</v>
      </c>
      <c r="X214" s="13">
        <f t="shared" si="42"/>
        <v>18</v>
      </c>
    </row>
    <row r="215" ht="12.75" customHeight="1">
      <c r="A215" s="18"/>
      <c r="B215" s="49"/>
      <c r="C215" s="50" t="s">
        <v>165</v>
      </c>
      <c r="D215" s="51"/>
      <c r="E215" s="73">
        <v>3.0</v>
      </c>
      <c r="F215" s="73">
        <v>3.0</v>
      </c>
      <c r="G215" s="73">
        <v>1.0</v>
      </c>
      <c r="H215" s="73">
        <v>2.0</v>
      </c>
      <c r="I215" s="73">
        <v>2.0</v>
      </c>
      <c r="J215" s="73">
        <v>0.0</v>
      </c>
      <c r="K215" s="73">
        <v>0.0</v>
      </c>
      <c r="L215" s="73">
        <v>2.0</v>
      </c>
      <c r="M215" s="73">
        <v>1.0</v>
      </c>
      <c r="N215" s="73">
        <v>2.0</v>
      </c>
      <c r="O215" s="73">
        <v>2.0</v>
      </c>
      <c r="P215" s="73">
        <v>1.0</v>
      </c>
      <c r="Q215" s="73">
        <v>1.0</v>
      </c>
      <c r="R215" s="73">
        <v>1.0</v>
      </c>
      <c r="S215" s="73">
        <v>2.0</v>
      </c>
      <c r="T215" s="73">
        <v>0.0</v>
      </c>
      <c r="U215" s="73">
        <v>4.0</v>
      </c>
      <c r="V215" s="73">
        <v>0.0</v>
      </c>
      <c r="W215" s="73">
        <v>0.0</v>
      </c>
      <c r="X215" s="13">
        <f t="shared" si="42"/>
        <v>27</v>
      </c>
    </row>
    <row r="216" ht="12.75" customHeight="1">
      <c r="A216" s="18"/>
      <c r="B216" s="49"/>
      <c r="C216" s="50" t="s">
        <v>166</v>
      </c>
      <c r="D216" s="51"/>
      <c r="E216" s="73">
        <v>1.0</v>
      </c>
      <c r="F216" s="73">
        <v>3.0</v>
      </c>
      <c r="G216" s="73">
        <v>0.0</v>
      </c>
      <c r="H216" s="73">
        <v>0.0</v>
      </c>
      <c r="I216" s="73">
        <v>0.0</v>
      </c>
      <c r="J216" s="73">
        <v>0.0</v>
      </c>
      <c r="K216" s="73">
        <v>0.0</v>
      </c>
      <c r="L216" s="73">
        <v>0.0</v>
      </c>
      <c r="M216" s="73">
        <v>0.0</v>
      </c>
      <c r="N216" s="73">
        <v>0.0</v>
      </c>
      <c r="O216" s="73">
        <v>0.0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73">
        <v>1.0</v>
      </c>
      <c r="V216" s="73">
        <v>0.0</v>
      </c>
      <c r="W216" s="73">
        <v>0.0</v>
      </c>
      <c r="X216" s="13">
        <f t="shared" si="42"/>
        <v>5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X223" si="43">SUM(E213:E222)</f>
        <v>9</v>
      </c>
      <c r="F223" s="13">
        <f t="shared" si="43"/>
        <v>12</v>
      </c>
      <c r="G223" s="13">
        <f t="shared" si="43"/>
        <v>6</v>
      </c>
      <c r="H223" s="13">
        <f t="shared" si="43"/>
        <v>5</v>
      </c>
      <c r="I223" s="13">
        <f t="shared" si="43"/>
        <v>8</v>
      </c>
      <c r="J223" s="13">
        <f t="shared" si="43"/>
        <v>2</v>
      </c>
      <c r="K223" s="13">
        <f t="shared" si="43"/>
        <v>4</v>
      </c>
      <c r="L223" s="13">
        <f t="shared" si="43"/>
        <v>4</v>
      </c>
      <c r="M223" s="13">
        <f t="shared" si="43"/>
        <v>4</v>
      </c>
      <c r="N223" s="13">
        <f t="shared" si="43"/>
        <v>9</v>
      </c>
      <c r="O223" s="13">
        <f t="shared" si="43"/>
        <v>14</v>
      </c>
      <c r="P223" s="13">
        <f t="shared" si="43"/>
        <v>2</v>
      </c>
      <c r="Q223" s="13">
        <f t="shared" si="43"/>
        <v>5</v>
      </c>
      <c r="R223" s="13">
        <f t="shared" si="43"/>
        <v>9</v>
      </c>
      <c r="S223" s="13">
        <f t="shared" si="43"/>
        <v>7</v>
      </c>
      <c r="T223" s="13">
        <f t="shared" si="43"/>
        <v>2</v>
      </c>
      <c r="U223" s="13">
        <f t="shared" si="43"/>
        <v>13</v>
      </c>
      <c r="V223" s="13">
        <f t="shared" si="43"/>
        <v>2</v>
      </c>
      <c r="W223" s="13">
        <f t="shared" si="43"/>
        <v>2</v>
      </c>
      <c r="X223" s="13">
        <f t="shared" si="43"/>
        <v>119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1.0</v>
      </c>
      <c r="F225" s="73">
        <v>2.0</v>
      </c>
      <c r="G225" s="73">
        <v>1.0</v>
      </c>
      <c r="H225" s="73">
        <v>0.0</v>
      </c>
      <c r="I225" s="73">
        <v>0.0</v>
      </c>
      <c r="J225" s="73">
        <v>0.0</v>
      </c>
      <c r="K225" s="73">
        <v>0.0</v>
      </c>
      <c r="L225" s="73">
        <v>0.0</v>
      </c>
      <c r="M225" s="73">
        <v>0.0</v>
      </c>
      <c r="N225" s="73">
        <v>1.0</v>
      </c>
      <c r="O225" s="73">
        <v>0.0</v>
      </c>
      <c r="P225" s="73">
        <v>0.0</v>
      </c>
      <c r="Q225" s="73">
        <v>0.0</v>
      </c>
      <c r="R225" s="73">
        <v>0.0</v>
      </c>
      <c r="S225" s="73">
        <v>0.0</v>
      </c>
      <c r="T225" s="73">
        <v>0.0</v>
      </c>
      <c r="U225" s="73">
        <v>2.0</v>
      </c>
      <c r="V225" s="73">
        <v>0.0</v>
      </c>
      <c r="W225" s="73">
        <v>0.0</v>
      </c>
      <c r="X225" s="13">
        <f t="shared" ref="X225:X234" si="44">SUM(E225:W225)</f>
        <v>7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0.0</v>
      </c>
      <c r="G226" s="73">
        <v>2.0</v>
      </c>
      <c r="H226" s="73">
        <v>3.0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2.0</v>
      </c>
      <c r="P226" s="73">
        <v>0.0</v>
      </c>
      <c r="Q226" s="73">
        <v>0.0</v>
      </c>
      <c r="R226" s="73">
        <v>2.0</v>
      </c>
      <c r="S226" s="73">
        <v>0.0</v>
      </c>
      <c r="T226" s="73">
        <v>1.0</v>
      </c>
      <c r="U226" s="73">
        <v>0.0</v>
      </c>
      <c r="V226" s="73">
        <v>0.0</v>
      </c>
      <c r="W226" s="73">
        <v>0.0</v>
      </c>
      <c r="X226" s="13">
        <f t="shared" si="44"/>
        <v>10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2.0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1.0</v>
      </c>
      <c r="S227" s="73">
        <v>0.0</v>
      </c>
      <c r="T227" s="73">
        <v>0.0</v>
      </c>
      <c r="U227" s="73">
        <v>0.0</v>
      </c>
      <c r="V227" s="73">
        <v>0.0</v>
      </c>
      <c r="W227" s="73">
        <v>1.0</v>
      </c>
      <c r="X227" s="13">
        <f t="shared" si="44"/>
        <v>4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1.0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1.0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0.0</v>
      </c>
      <c r="V228" s="73">
        <v>0.0</v>
      </c>
      <c r="W228" s="73">
        <v>0.0</v>
      </c>
      <c r="X228" s="13">
        <f t="shared" si="44"/>
        <v>2</v>
      </c>
    </row>
    <row r="229" ht="12.75" customHeight="1">
      <c r="A229" s="18"/>
      <c r="B229" s="49"/>
      <c r="C229" s="50" t="s">
        <v>172</v>
      </c>
      <c r="D229" s="51"/>
      <c r="E229" s="73">
        <v>1.0</v>
      </c>
      <c r="F229" s="73">
        <v>1.0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13">
        <f t="shared" si="44"/>
        <v>2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X235" si="45">SUM(E225:E234)</f>
        <v>2</v>
      </c>
      <c r="F235" s="13">
        <f t="shared" si="45"/>
        <v>4</v>
      </c>
      <c r="G235" s="13">
        <f t="shared" si="45"/>
        <v>3</v>
      </c>
      <c r="H235" s="13">
        <f t="shared" si="45"/>
        <v>5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1</v>
      </c>
      <c r="O235" s="13">
        <f t="shared" si="45"/>
        <v>2</v>
      </c>
      <c r="P235" s="13">
        <f t="shared" si="45"/>
        <v>0</v>
      </c>
      <c r="Q235" s="13">
        <f t="shared" si="45"/>
        <v>0</v>
      </c>
      <c r="R235" s="13">
        <f t="shared" si="45"/>
        <v>3</v>
      </c>
      <c r="S235" s="13">
        <f t="shared" si="45"/>
        <v>0</v>
      </c>
      <c r="T235" s="13">
        <f t="shared" si="45"/>
        <v>1</v>
      </c>
      <c r="U235" s="13">
        <f t="shared" si="45"/>
        <v>2</v>
      </c>
      <c r="V235" s="13">
        <f t="shared" si="45"/>
        <v>0</v>
      </c>
      <c r="W235" s="13">
        <f t="shared" si="45"/>
        <v>1</v>
      </c>
      <c r="X235" s="13">
        <f t="shared" si="45"/>
        <v>25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1.0</v>
      </c>
      <c r="F237" s="73">
        <v>4.0</v>
      </c>
      <c r="G237" s="73">
        <v>4.0</v>
      </c>
      <c r="H237" s="73">
        <v>2.0</v>
      </c>
      <c r="I237" s="73">
        <v>1.0</v>
      </c>
      <c r="J237" s="73">
        <v>0.0</v>
      </c>
      <c r="K237" s="73">
        <v>1.0</v>
      </c>
      <c r="L237" s="73">
        <v>1.0</v>
      </c>
      <c r="M237" s="73">
        <v>1.0</v>
      </c>
      <c r="N237" s="73">
        <v>1.0</v>
      </c>
      <c r="O237" s="73">
        <v>1.0</v>
      </c>
      <c r="P237" s="73">
        <v>1.0</v>
      </c>
      <c r="Q237" s="73">
        <v>0.0</v>
      </c>
      <c r="R237" s="73">
        <v>0.0</v>
      </c>
      <c r="S237" s="73">
        <v>1.0</v>
      </c>
      <c r="T237" s="73">
        <v>5.0</v>
      </c>
      <c r="U237" s="73">
        <v>0.0</v>
      </c>
      <c r="V237" s="73">
        <v>10.0</v>
      </c>
      <c r="W237" s="73">
        <v>3.0</v>
      </c>
      <c r="X237" s="13">
        <f t="shared" ref="X237:X246" si="46">SUM(E237:W237)</f>
        <v>37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1.0</v>
      </c>
      <c r="F238" s="73">
        <v>0.0</v>
      </c>
      <c r="G238" s="73">
        <v>0.0</v>
      </c>
      <c r="H238" s="73">
        <v>0.0</v>
      </c>
      <c r="I238" s="73">
        <v>1.0</v>
      </c>
      <c r="J238" s="73">
        <v>2.0</v>
      </c>
      <c r="K238" s="73">
        <v>1.0</v>
      </c>
      <c r="L238" s="73">
        <v>0.0</v>
      </c>
      <c r="M238" s="73">
        <v>1.0</v>
      </c>
      <c r="N238" s="73">
        <v>1.0</v>
      </c>
      <c r="O238" s="73">
        <v>0.0</v>
      </c>
      <c r="P238" s="73">
        <v>0.0</v>
      </c>
      <c r="Q238" s="73">
        <v>1.0</v>
      </c>
      <c r="R238" s="73">
        <v>0.0</v>
      </c>
      <c r="S238" s="73">
        <v>0.0</v>
      </c>
      <c r="T238" s="73">
        <v>0.0</v>
      </c>
      <c r="U238" s="73">
        <v>0.0</v>
      </c>
      <c r="V238" s="73">
        <v>4.0</v>
      </c>
      <c r="W238" s="73">
        <v>1.0</v>
      </c>
      <c r="X238" s="13">
        <f t="shared" si="46"/>
        <v>13</v>
      </c>
    </row>
    <row r="239" ht="12.75" customHeight="1">
      <c r="A239" s="18"/>
      <c r="B239" s="49"/>
      <c r="C239" s="50" t="s">
        <v>176</v>
      </c>
      <c r="D239" s="51"/>
      <c r="E239" s="73">
        <v>1.0</v>
      </c>
      <c r="F239" s="73">
        <v>5.0</v>
      </c>
      <c r="G239" s="73">
        <v>1.0</v>
      </c>
      <c r="H239" s="73">
        <v>0.0</v>
      </c>
      <c r="I239" s="73">
        <v>3.0</v>
      </c>
      <c r="J239" s="73">
        <v>3.0</v>
      </c>
      <c r="K239" s="73">
        <v>0.0</v>
      </c>
      <c r="L239" s="73">
        <v>1.0</v>
      </c>
      <c r="M239" s="73">
        <v>3.0</v>
      </c>
      <c r="N239" s="73">
        <v>6.0</v>
      </c>
      <c r="O239" s="73">
        <v>1.0</v>
      </c>
      <c r="P239" s="73">
        <v>0.0</v>
      </c>
      <c r="Q239" s="73">
        <v>0.0</v>
      </c>
      <c r="R239" s="73">
        <v>1.0</v>
      </c>
      <c r="S239" s="73">
        <v>1.0</v>
      </c>
      <c r="T239" s="73">
        <v>1.0</v>
      </c>
      <c r="U239" s="73">
        <v>1.0</v>
      </c>
      <c r="V239" s="73">
        <v>7.0</v>
      </c>
      <c r="W239" s="73">
        <v>4.0</v>
      </c>
      <c r="X239" s="13">
        <f t="shared" si="46"/>
        <v>39</v>
      </c>
    </row>
    <row r="240" ht="12.75" customHeight="1">
      <c r="A240" s="18"/>
      <c r="B240" s="49"/>
      <c r="C240" s="50" t="s">
        <v>177</v>
      </c>
      <c r="D240" s="51"/>
      <c r="E240" s="73">
        <v>1.0</v>
      </c>
      <c r="F240" s="73">
        <v>8.0</v>
      </c>
      <c r="G240" s="73">
        <v>1.0</v>
      </c>
      <c r="H240" s="73">
        <v>1.0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0.0</v>
      </c>
      <c r="S240" s="73">
        <v>2.0</v>
      </c>
      <c r="T240" s="73">
        <v>1.0</v>
      </c>
      <c r="U240" s="73">
        <v>0.0</v>
      </c>
      <c r="V240" s="73">
        <v>11.0</v>
      </c>
      <c r="W240" s="73">
        <v>7.0</v>
      </c>
      <c r="X240" s="13">
        <f t="shared" si="46"/>
        <v>32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1.0</v>
      </c>
      <c r="G241" s="73">
        <v>0.0</v>
      </c>
      <c r="H241" s="73">
        <v>0.0</v>
      </c>
      <c r="I241" s="73">
        <v>0.0</v>
      </c>
      <c r="J241" s="73">
        <v>0.0</v>
      </c>
      <c r="K241" s="73">
        <v>0.0</v>
      </c>
      <c r="L241" s="73">
        <v>0.0</v>
      </c>
      <c r="M241" s="73">
        <v>1.0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1.0</v>
      </c>
      <c r="U241" s="73">
        <v>0.0</v>
      </c>
      <c r="V241" s="73">
        <v>1.0</v>
      </c>
      <c r="W241" s="73">
        <v>0.0</v>
      </c>
      <c r="X241" s="13">
        <f t="shared" si="46"/>
        <v>4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1.0</v>
      </c>
      <c r="G242" s="73">
        <v>0.0</v>
      </c>
      <c r="H242" s="73">
        <v>3.0</v>
      </c>
      <c r="I242" s="73">
        <v>0.0</v>
      </c>
      <c r="J242" s="73">
        <v>1.0</v>
      </c>
      <c r="K242" s="73">
        <v>1.0</v>
      </c>
      <c r="L242" s="73">
        <v>0.0</v>
      </c>
      <c r="M242" s="73">
        <v>2.0</v>
      </c>
      <c r="N242" s="73">
        <v>0.0</v>
      </c>
      <c r="O242" s="73">
        <v>0.0</v>
      </c>
      <c r="P242" s="73">
        <v>0.0</v>
      </c>
      <c r="Q242" s="73">
        <v>1.0</v>
      </c>
      <c r="R242" s="73">
        <v>0.0</v>
      </c>
      <c r="S242" s="73">
        <v>1.0</v>
      </c>
      <c r="T242" s="73">
        <v>0.0</v>
      </c>
      <c r="U242" s="73">
        <v>0.0</v>
      </c>
      <c r="V242" s="73">
        <v>0.0</v>
      </c>
      <c r="W242" s="73">
        <v>1.0</v>
      </c>
      <c r="X242" s="13">
        <f t="shared" si="46"/>
        <v>11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13">
        <f t="shared" si="46"/>
        <v>0</v>
      </c>
    </row>
    <row r="244" ht="12.75" customHeight="1">
      <c r="A244" s="79"/>
      <c r="B244" s="49"/>
      <c r="C244" s="50" t="s">
        <v>181</v>
      </c>
      <c r="D244" s="51"/>
      <c r="E244" s="80">
        <v>1.0</v>
      </c>
      <c r="F244" s="80">
        <v>1.0</v>
      </c>
      <c r="G244" s="80">
        <v>0.0</v>
      </c>
      <c r="H244" s="80">
        <v>0.0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80">
        <v>0.0</v>
      </c>
      <c r="T244" s="80">
        <v>0.0</v>
      </c>
      <c r="U244" s="80">
        <v>0.0</v>
      </c>
      <c r="V244" s="80">
        <v>0.0</v>
      </c>
      <c r="W244" s="80">
        <v>0.0</v>
      </c>
      <c r="X244" s="13">
        <f t="shared" si="46"/>
        <v>2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80">
        <v>0.0</v>
      </c>
      <c r="S245" s="80">
        <v>0.0</v>
      </c>
      <c r="T245" s="80">
        <v>0.0</v>
      </c>
      <c r="U245" s="80">
        <v>0.0</v>
      </c>
      <c r="V245" s="80">
        <v>0.0</v>
      </c>
      <c r="W245" s="80">
        <v>0.0</v>
      </c>
      <c r="X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0.0</v>
      </c>
      <c r="I246" s="80">
        <v>1.0</v>
      </c>
      <c r="J246" s="80">
        <v>0.0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0.0</v>
      </c>
      <c r="T246" s="80">
        <v>0.0</v>
      </c>
      <c r="U246" s="80">
        <v>0.0</v>
      </c>
      <c r="V246" s="80">
        <v>2.0</v>
      </c>
      <c r="W246" s="80">
        <v>0.0</v>
      </c>
      <c r="X246" s="13">
        <f t="shared" si="46"/>
        <v>3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X247" si="47">SUM(E237:E246)</f>
        <v>5</v>
      </c>
      <c r="F247" s="13">
        <f t="shared" si="47"/>
        <v>20</v>
      </c>
      <c r="G247" s="13">
        <f t="shared" si="47"/>
        <v>6</v>
      </c>
      <c r="H247" s="13">
        <f t="shared" si="47"/>
        <v>6</v>
      </c>
      <c r="I247" s="13">
        <f t="shared" si="47"/>
        <v>6</v>
      </c>
      <c r="J247" s="13">
        <f t="shared" si="47"/>
        <v>6</v>
      </c>
      <c r="K247" s="13">
        <f t="shared" si="47"/>
        <v>3</v>
      </c>
      <c r="L247" s="13">
        <f t="shared" si="47"/>
        <v>2</v>
      </c>
      <c r="M247" s="13">
        <f t="shared" si="47"/>
        <v>8</v>
      </c>
      <c r="N247" s="13">
        <f t="shared" si="47"/>
        <v>8</v>
      </c>
      <c r="O247" s="13">
        <f t="shared" si="47"/>
        <v>2</v>
      </c>
      <c r="P247" s="13">
        <f t="shared" si="47"/>
        <v>1</v>
      </c>
      <c r="Q247" s="13">
        <f t="shared" si="47"/>
        <v>2</v>
      </c>
      <c r="R247" s="13">
        <f t="shared" si="47"/>
        <v>1</v>
      </c>
      <c r="S247" s="13">
        <f t="shared" si="47"/>
        <v>5</v>
      </c>
      <c r="T247" s="13">
        <f t="shared" si="47"/>
        <v>8</v>
      </c>
      <c r="U247" s="13">
        <f t="shared" si="47"/>
        <v>1</v>
      </c>
      <c r="V247" s="13">
        <f t="shared" si="47"/>
        <v>35</v>
      </c>
      <c r="W247" s="13">
        <f t="shared" si="47"/>
        <v>16</v>
      </c>
      <c r="X247" s="13">
        <f t="shared" si="47"/>
        <v>141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1.0</v>
      </c>
      <c r="G249" s="73">
        <v>1.0</v>
      </c>
      <c r="H249" s="73">
        <v>0.0</v>
      </c>
      <c r="I249" s="73">
        <v>1.0</v>
      </c>
      <c r="J249" s="73">
        <v>1.0</v>
      </c>
      <c r="K249" s="73">
        <v>0.0</v>
      </c>
      <c r="L249" s="73">
        <v>0.0</v>
      </c>
      <c r="M249" s="73">
        <v>0.0</v>
      </c>
      <c r="N249" s="73">
        <v>0.0</v>
      </c>
      <c r="O249" s="73">
        <v>2.0</v>
      </c>
      <c r="P249" s="73">
        <v>0.0</v>
      </c>
      <c r="Q249" s="73">
        <v>0.0</v>
      </c>
      <c r="R249" s="73">
        <v>0.0</v>
      </c>
      <c r="S249" s="73">
        <v>0.0</v>
      </c>
      <c r="T249" s="73">
        <v>0.0</v>
      </c>
      <c r="U249" s="73">
        <v>0.0</v>
      </c>
      <c r="V249" s="73">
        <v>0.0</v>
      </c>
      <c r="W249" s="73">
        <v>0.0</v>
      </c>
      <c r="X249" s="13">
        <f t="shared" ref="X249:X258" si="48">SUM(E249:W249)</f>
        <v>6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1.0</v>
      </c>
      <c r="F250" s="73">
        <v>2.0</v>
      </c>
      <c r="G250" s="73">
        <v>0.0</v>
      </c>
      <c r="H250" s="73">
        <v>0.0</v>
      </c>
      <c r="I250" s="73">
        <v>0.0</v>
      </c>
      <c r="J250" s="73">
        <v>1.0</v>
      </c>
      <c r="K250" s="73">
        <v>1.0</v>
      </c>
      <c r="L250" s="73">
        <v>0.0</v>
      </c>
      <c r="M250" s="73">
        <v>1.0</v>
      </c>
      <c r="N250" s="73">
        <v>0.0</v>
      </c>
      <c r="O250" s="73">
        <v>1.0</v>
      </c>
      <c r="P250" s="73">
        <v>0.0</v>
      </c>
      <c r="Q250" s="73">
        <v>0.0</v>
      </c>
      <c r="R250" s="73">
        <v>0.0</v>
      </c>
      <c r="S250" s="73">
        <v>2.0</v>
      </c>
      <c r="T250" s="73">
        <v>0.0</v>
      </c>
      <c r="U250" s="73">
        <v>1.0</v>
      </c>
      <c r="V250" s="73">
        <v>0.0</v>
      </c>
      <c r="W250" s="73">
        <v>0.0</v>
      </c>
      <c r="X250" s="13">
        <f t="shared" si="48"/>
        <v>10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1.0</v>
      </c>
      <c r="V251" s="73">
        <v>0.0</v>
      </c>
      <c r="W251" s="73">
        <v>0.0</v>
      </c>
      <c r="X251" s="13">
        <f t="shared" si="48"/>
        <v>1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13">
        <f t="shared" si="48"/>
        <v>0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X259" si="49">SUM(E249:E258)</f>
        <v>1</v>
      </c>
      <c r="F259" s="13">
        <f t="shared" si="49"/>
        <v>3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2</v>
      </c>
      <c r="K259" s="13">
        <f t="shared" si="49"/>
        <v>1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3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0</v>
      </c>
      <c r="U259" s="13">
        <f t="shared" si="49"/>
        <v>2</v>
      </c>
      <c r="V259" s="13">
        <f t="shared" si="49"/>
        <v>0</v>
      </c>
      <c r="W259" s="13">
        <f t="shared" si="49"/>
        <v>0</v>
      </c>
      <c r="X259" s="13">
        <f t="shared" si="49"/>
        <v>17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W262" si="50">E55+E67+E79+E91+E103+E115+E127+E139+E151+E163+E175+E187+E199+E211+E223+E235+E247+E259</f>
        <v>200</v>
      </c>
      <c r="F262" s="19">
        <f t="shared" si="50"/>
        <v>190</v>
      </c>
      <c r="G262" s="19">
        <f t="shared" si="50"/>
        <v>177</v>
      </c>
      <c r="H262" s="19">
        <f t="shared" si="50"/>
        <v>179</v>
      </c>
      <c r="I262" s="19">
        <f t="shared" si="50"/>
        <v>165</v>
      </c>
      <c r="J262" s="19">
        <f t="shared" si="50"/>
        <v>171</v>
      </c>
      <c r="K262" s="19">
        <f t="shared" si="50"/>
        <v>181</v>
      </c>
      <c r="L262" s="19">
        <f t="shared" si="50"/>
        <v>146</v>
      </c>
      <c r="M262" s="19">
        <f t="shared" si="50"/>
        <v>151</v>
      </c>
      <c r="N262" s="19">
        <f t="shared" si="50"/>
        <v>178</v>
      </c>
      <c r="O262" s="19">
        <f t="shared" si="50"/>
        <v>169</v>
      </c>
      <c r="P262" s="19">
        <f t="shared" si="50"/>
        <v>115</v>
      </c>
      <c r="Q262" s="19">
        <f t="shared" si="50"/>
        <v>136</v>
      </c>
      <c r="R262" s="19">
        <f t="shared" si="50"/>
        <v>134</v>
      </c>
      <c r="S262" s="19">
        <f t="shared" si="50"/>
        <v>137</v>
      </c>
      <c r="T262" s="19">
        <f t="shared" si="50"/>
        <v>166</v>
      </c>
      <c r="U262" s="19">
        <f t="shared" si="50"/>
        <v>154</v>
      </c>
      <c r="V262" s="19">
        <f t="shared" si="50"/>
        <v>144</v>
      </c>
      <c r="W262" s="19">
        <f t="shared" si="50"/>
        <v>135</v>
      </c>
      <c r="X262" s="13">
        <f t="shared" ref="X262:X264" si="51">SUM(E262:W262)</f>
        <v>3028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27.0</v>
      </c>
      <c r="F263" s="73">
        <v>37.0</v>
      </c>
      <c r="G263" s="73">
        <v>28.0</v>
      </c>
      <c r="H263" s="73">
        <v>31.0</v>
      </c>
      <c r="I263" s="73">
        <v>29.0</v>
      </c>
      <c r="J263" s="73">
        <v>31.0</v>
      </c>
      <c r="K263" s="73">
        <v>27.0</v>
      </c>
      <c r="L263" s="73">
        <v>35.0</v>
      </c>
      <c r="M263" s="73">
        <v>46.0</v>
      </c>
      <c r="N263" s="73">
        <v>33.0</v>
      </c>
      <c r="O263" s="73">
        <v>32.0</v>
      </c>
      <c r="P263" s="73">
        <v>45.0</v>
      </c>
      <c r="Q263" s="73">
        <v>24.0</v>
      </c>
      <c r="R263" s="73">
        <v>27.0</v>
      </c>
      <c r="S263" s="73">
        <v>14.0</v>
      </c>
      <c r="T263" s="73">
        <v>41.0</v>
      </c>
      <c r="U263" s="73">
        <v>34.0</v>
      </c>
      <c r="V263" s="73">
        <v>37.0</v>
      </c>
      <c r="W263" s="73">
        <v>26.0</v>
      </c>
      <c r="X263" s="13">
        <f t="shared" si="51"/>
        <v>604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W264" si="52">SUM(E262:E263)</f>
        <v>227</v>
      </c>
      <c r="F264" s="13">
        <f t="shared" si="52"/>
        <v>227</v>
      </c>
      <c r="G264" s="13">
        <f t="shared" si="52"/>
        <v>205</v>
      </c>
      <c r="H264" s="13">
        <f t="shared" si="52"/>
        <v>210</v>
      </c>
      <c r="I264" s="13">
        <f t="shared" si="52"/>
        <v>194</v>
      </c>
      <c r="J264" s="13">
        <f t="shared" si="52"/>
        <v>202</v>
      </c>
      <c r="K264" s="13">
        <f t="shared" si="52"/>
        <v>208</v>
      </c>
      <c r="L264" s="13">
        <f t="shared" si="52"/>
        <v>181</v>
      </c>
      <c r="M264" s="13">
        <f t="shared" si="52"/>
        <v>197</v>
      </c>
      <c r="N264" s="13">
        <f t="shared" si="52"/>
        <v>211</v>
      </c>
      <c r="O264" s="13">
        <f t="shared" si="52"/>
        <v>201</v>
      </c>
      <c r="P264" s="13">
        <f t="shared" si="52"/>
        <v>160</v>
      </c>
      <c r="Q264" s="13">
        <f t="shared" si="52"/>
        <v>160</v>
      </c>
      <c r="R264" s="13">
        <f t="shared" si="52"/>
        <v>161</v>
      </c>
      <c r="S264" s="13">
        <f t="shared" si="52"/>
        <v>151</v>
      </c>
      <c r="T264" s="13">
        <f t="shared" si="52"/>
        <v>207</v>
      </c>
      <c r="U264" s="13">
        <f t="shared" si="52"/>
        <v>188</v>
      </c>
      <c r="V264" s="13">
        <f t="shared" si="52"/>
        <v>181</v>
      </c>
      <c r="W264" s="13">
        <f t="shared" si="52"/>
        <v>161</v>
      </c>
      <c r="X264" s="13">
        <f t="shared" si="51"/>
        <v>3632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W15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E34&lt;&gt;E64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8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36"/>
    </row>
    <row r="14" ht="12.75" customHeight="1">
      <c r="A14" s="18"/>
      <c r="B14" s="22" t="s">
        <v>10</v>
      </c>
      <c r="C14" s="23"/>
      <c r="D14" s="19" t="s">
        <v>11</v>
      </c>
      <c r="E14" s="73">
        <v>124.0</v>
      </c>
      <c r="F14" s="73">
        <v>127.0</v>
      </c>
      <c r="G14" s="73">
        <v>113.0</v>
      </c>
      <c r="H14" s="73">
        <v>117.0</v>
      </c>
      <c r="I14" s="73">
        <v>116.0</v>
      </c>
      <c r="J14" s="73">
        <v>146.0</v>
      </c>
      <c r="K14" s="73">
        <v>142.0</v>
      </c>
      <c r="L14" s="73">
        <v>125.0</v>
      </c>
      <c r="M14" s="73">
        <v>117.0</v>
      </c>
      <c r="N14" s="73">
        <v>115.0</v>
      </c>
      <c r="O14" s="73">
        <v>133.0</v>
      </c>
      <c r="P14" s="73">
        <v>145.0</v>
      </c>
      <c r="Q14" s="73">
        <v>139.0</v>
      </c>
      <c r="R14" s="73">
        <v>124.0</v>
      </c>
      <c r="S14" s="73">
        <v>142.0</v>
      </c>
      <c r="T14" s="73">
        <v>138.0</v>
      </c>
      <c r="U14" s="73">
        <v>134.0</v>
      </c>
      <c r="V14" s="73">
        <v>133.0</v>
      </c>
      <c r="W14" s="73">
        <v>124.0</v>
      </c>
      <c r="X14" s="73">
        <v>126.0</v>
      </c>
      <c r="Y14" s="73">
        <v>131.0</v>
      </c>
      <c r="Z14" s="13">
        <f t="shared" ref="Z14:Z16" si="1">SUM(E14:Y14)</f>
        <v>2711</v>
      </c>
    </row>
    <row r="15" ht="12.75" customHeight="1">
      <c r="A15" s="18"/>
      <c r="B15" s="26"/>
      <c r="C15" s="27"/>
      <c r="D15" s="19" t="s">
        <v>12</v>
      </c>
      <c r="E15" s="73">
        <v>150.0</v>
      </c>
      <c r="F15" s="73">
        <v>138.0</v>
      </c>
      <c r="G15" s="73">
        <v>145.0</v>
      </c>
      <c r="H15" s="73">
        <v>131.0</v>
      </c>
      <c r="I15" s="73">
        <v>134.0</v>
      </c>
      <c r="J15" s="73">
        <v>145.0</v>
      </c>
      <c r="K15" s="73">
        <v>154.0</v>
      </c>
      <c r="L15" s="73">
        <v>150.0</v>
      </c>
      <c r="M15" s="73">
        <v>130.0</v>
      </c>
      <c r="N15" s="73">
        <v>144.0</v>
      </c>
      <c r="O15" s="73">
        <v>156.0</v>
      </c>
      <c r="P15" s="73">
        <v>147.0</v>
      </c>
      <c r="Q15" s="73">
        <v>146.0</v>
      </c>
      <c r="R15" s="73">
        <v>133.0</v>
      </c>
      <c r="S15" s="73">
        <v>150.0</v>
      </c>
      <c r="T15" s="73">
        <v>156.0</v>
      </c>
      <c r="U15" s="73">
        <v>161.0</v>
      </c>
      <c r="V15" s="73">
        <v>152.0</v>
      </c>
      <c r="W15" s="73">
        <v>145.0</v>
      </c>
      <c r="X15" s="73">
        <v>134.0</v>
      </c>
      <c r="Y15" s="73">
        <v>167.0</v>
      </c>
      <c r="Z15" s="13">
        <f t="shared" si="1"/>
        <v>3068</v>
      </c>
    </row>
    <row r="16" ht="12.75" customHeight="1">
      <c r="A16" s="25"/>
      <c r="B16" s="21"/>
      <c r="C16" s="28"/>
      <c r="D16" s="13" t="s">
        <v>13</v>
      </c>
      <c r="E16" s="13">
        <f t="shared" ref="E16:Y16" si="2">SUM(E14:E15)</f>
        <v>274</v>
      </c>
      <c r="F16" s="13">
        <f t="shared" si="2"/>
        <v>265</v>
      </c>
      <c r="G16" s="13">
        <f t="shared" si="2"/>
        <v>258</v>
      </c>
      <c r="H16" s="13">
        <f t="shared" si="2"/>
        <v>248</v>
      </c>
      <c r="I16" s="13">
        <f t="shared" si="2"/>
        <v>250</v>
      </c>
      <c r="J16" s="13">
        <f t="shared" si="2"/>
        <v>291</v>
      </c>
      <c r="K16" s="13">
        <f t="shared" si="2"/>
        <v>296</v>
      </c>
      <c r="L16" s="13">
        <f t="shared" si="2"/>
        <v>275</v>
      </c>
      <c r="M16" s="13">
        <f t="shared" si="2"/>
        <v>247</v>
      </c>
      <c r="N16" s="13">
        <f t="shared" si="2"/>
        <v>259</v>
      </c>
      <c r="O16" s="13">
        <f t="shared" si="2"/>
        <v>289</v>
      </c>
      <c r="P16" s="13">
        <f t="shared" si="2"/>
        <v>292</v>
      </c>
      <c r="Q16" s="13">
        <f t="shared" si="2"/>
        <v>285</v>
      </c>
      <c r="R16" s="13">
        <f t="shared" si="2"/>
        <v>257</v>
      </c>
      <c r="S16" s="13">
        <f t="shared" si="2"/>
        <v>292</v>
      </c>
      <c r="T16" s="13">
        <f t="shared" si="2"/>
        <v>294</v>
      </c>
      <c r="U16" s="13">
        <f t="shared" si="2"/>
        <v>295</v>
      </c>
      <c r="V16" s="13">
        <f t="shared" si="2"/>
        <v>285</v>
      </c>
      <c r="W16" s="13">
        <f t="shared" si="2"/>
        <v>269</v>
      </c>
      <c r="X16" s="13">
        <f t="shared" si="2"/>
        <v>260</v>
      </c>
      <c r="Y16" s="13">
        <f t="shared" si="2"/>
        <v>298</v>
      </c>
      <c r="Z16" s="13">
        <f t="shared" si="1"/>
        <v>5779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19"/>
      <c r="U17" s="19"/>
      <c r="V17" s="19"/>
      <c r="W17" s="19"/>
      <c r="X17" s="74"/>
      <c r="Y17" s="74"/>
      <c r="Z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19"/>
      <c r="U18" s="19"/>
      <c r="V18" s="19"/>
      <c r="W18" s="19"/>
      <c r="X18" s="74"/>
      <c r="Y18" s="74"/>
      <c r="Z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83.0</v>
      </c>
      <c r="F19" s="73">
        <v>74.0</v>
      </c>
      <c r="G19" s="73">
        <v>82.0</v>
      </c>
      <c r="H19" s="73">
        <v>85.0</v>
      </c>
      <c r="I19" s="73">
        <v>89.0</v>
      </c>
      <c r="J19" s="73">
        <v>108.0</v>
      </c>
      <c r="K19" s="73">
        <v>100.0</v>
      </c>
      <c r="L19" s="73">
        <v>96.0</v>
      </c>
      <c r="M19" s="73">
        <v>80.0</v>
      </c>
      <c r="N19" s="73">
        <v>82.0</v>
      </c>
      <c r="O19" s="73">
        <v>100.0</v>
      </c>
      <c r="P19" s="73">
        <v>99.0</v>
      </c>
      <c r="Q19" s="73">
        <v>97.0</v>
      </c>
      <c r="R19" s="73">
        <v>86.0</v>
      </c>
      <c r="S19" s="73">
        <v>87.0</v>
      </c>
      <c r="T19" s="73">
        <v>96.0</v>
      </c>
      <c r="U19" s="73">
        <v>103.0</v>
      </c>
      <c r="V19" s="73">
        <v>103.0</v>
      </c>
      <c r="W19" s="73">
        <v>83.0</v>
      </c>
      <c r="X19" s="73">
        <v>71.0</v>
      </c>
      <c r="Y19" s="73">
        <v>86.0</v>
      </c>
      <c r="Z19" s="13">
        <f t="shared" ref="Z19:Z30" si="3">SUM(E19:Y19)</f>
        <v>1890</v>
      </c>
    </row>
    <row r="20" ht="12.75" customHeight="1">
      <c r="A20" s="33"/>
      <c r="B20" s="27"/>
      <c r="C20" s="34"/>
      <c r="D20" s="19" t="s">
        <v>12</v>
      </c>
      <c r="E20" s="73">
        <v>118.0</v>
      </c>
      <c r="F20" s="73">
        <v>104.0</v>
      </c>
      <c r="G20" s="73">
        <v>123.0</v>
      </c>
      <c r="H20" s="73">
        <v>104.0</v>
      </c>
      <c r="I20" s="73">
        <v>98.0</v>
      </c>
      <c r="J20" s="73">
        <v>112.0</v>
      </c>
      <c r="K20" s="73">
        <v>120.0</v>
      </c>
      <c r="L20" s="73">
        <v>107.0</v>
      </c>
      <c r="M20" s="73">
        <v>99.0</v>
      </c>
      <c r="N20" s="73">
        <v>112.0</v>
      </c>
      <c r="O20" s="73">
        <v>124.0</v>
      </c>
      <c r="P20" s="73">
        <v>121.0</v>
      </c>
      <c r="Q20" s="73">
        <v>117.0</v>
      </c>
      <c r="R20" s="73">
        <v>99.0</v>
      </c>
      <c r="S20" s="73">
        <v>109.0</v>
      </c>
      <c r="T20" s="73">
        <v>122.0</v>
      </c>
      <c r="U20" s="73">
        <v>129.0</v>
      </c>
      <c r="V20" s="73">
        <v>126.0</v>
      </c>
      <c r="W20" s="73">
        <v>110.0</v>
      </c>
      <c r="X20" s="73">
        <v>84.0</v>
      </c>
      <c r="Y20" s="73">
        <v>113.0</v>
      </c>
      <c r="Z20" s="13">
        <f t="shared" si="3"/>
        <v>2351</v>
      </c>
    </row>
    <row r="21" ht="12.75" customHeight="1">
      <c r="A21" s="35"/>
      <c r="B21" s="28"/>
      <c r="C21" s="36"/>
      <c r="D21" s="13" t="s">
        <v>13</v>
      </c>
      <c r="E21" s="13">
        <f t="shared" ref="E21:Y21" si="4">SUM(E19:E20)</f>
        <v>201</v>
      </c>
      <c r="F21" s="13">
        <f t="shared" si="4"/>
        <v>178</v>
      </c>
      <c r="G21" s="13">
        <f t="shared" si="4"/>
        <v>205</v>
      </c>
      <c r="H21" s="13">
        <f t="shared" si="4"/>
        <v>189</v>
      </c>
      <c r="I21" s="13">
        <f t="shared" si="4"/>
        <v>187</v>
      </c>
      <c r="J21" s="13">
        <f t="shared" si="4"/>
        <v>220</v>
      </c>
      <c r="K21" s="13">
        <f t="shared" si="4"/>
        <v>220</v>
      </c>
      <c r="L21" s="13">
        <f t="shared" si="4"/>
        <v>203</v>
      </c>
      <c r="M21" s="13">
        <f t="shared" si="4"/>
        <v>179</v>
      </c>
      <c r="N21" s="13">
        <f t="shared" si="4"/>
        <v>194</v>
      </c>
      <c r="O21" s="13">
        <f t="shared" si="4"/>
        <v>224</v>
      </c>
      <c r="P21" s="13">
        <f t="shared" si="4"/>
        <v>220</v>
      </c>
      <c r="Q21" s="13">
        <f t="shared" si="4"/>
        <v>214</v>
      </c>
      <c r="R21" s="13">
        <f t="shared" si="4"/>
        <v>185</v>
      </c>
      <c r="S21" s="13">
        <f t="shared" si="4"/>
        <v>196</v>
      </c>
      <c r="T21" s="13">
        <f t="shared" si="4"/>
        <v>218</v>
      </c>
      <c r="U21" s="13">
        <f t="shared" si="4"/>
        <v>232</v>
      </c>
      <c r="V21" s="13">
        <f t="shared" si="4"/>
        <v>229</v>
      </c>
      <c r="W21" s="13">
        <f t="shared" si="4"/>
        <v>193</v>
      </c>
      <c r="X21" s="13">
        <f t="shared" si="4"/>
        <v>155</v>
      </c>
      <c r="Y21" s="13">
        <f t="shared" si="4"/>
        <v>199</v>
      </c>
      <c r="Z21" s="13">
        <f t="shared" si="3"/>
        <v>4241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1.0</v>
      </c>
      <c r="F22" s="73">
        <v>0.0</v>
      </c>
      <c r="G22" s="73">
        <v>2.0</v>
      </c>
      <c r="H22" s="73">
        <v>0.0</v>
      </c>
      <c r="I22" s="73">
        <v>0.0</v>
      </c>
      <c r="J22" s="73">
        <v>1.0</v>
      </c>
      <c r="K22" s="73">
        <v>0.0</v>
      </c>
      <c r="L22" s="73">
        <v>0.0</v>
      </c>
      <c r="M22" s="73">
        <v>0.0</v>
      </c>
      <c r="N22" s="73">
        <v>3.0</v>
      </c>
      <c r="O22" s="73">
        <v>0.0</v>
      </c>
      <c r="P22" s="73">
        <v>2.0</v>
      </c>
      <c r="Q22" s="73">
        <v>0.0</v>
      </c>
      <c r="R22" s="73">
        <v>0.0</v>
      </c>
      <c r="S22" s="73">
        <v>0.0</v>
      </c>
      <c r="T22" s="73">
        <v>1.0</v>
      </c>
      <c r="U22" s="73">
        <v>0.0</v>
      </c>
      <c r="V22" s="73">
        <v>0.0</v>
      </c>
      <c r="W22" s="73">
        <v>0.0</v>
      </c>
      <c r="X22" s="73">
        <v>1.0</v>
      </c>
      <c r="Y22" s="73">
        <v>0.0</v>
      </c>
      <c r="Z22" s="13">
        <f t="shared" si="3"/>
        <v>11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4.0</v>
      </c>
      <c r="H23" s="73">
        <v>0.0</v>
      </c>
      <c r="I23" s="73">
        <v>0.0</v>
      </c>
      <c r="J23" s="73">
        <v>1.0</v>
      </c>
      <c r="K23" s="73">
        <v>0.0</v>
      </c>
      <c r="L23" s="73">
        <v>0.0</v>
      </c>
      <c r="M23" s="73">
        <v>0.0</v>
      </c>
      <c r="N23" s="73">
        <v>2.0</v>
      </c>
      <c r="O23" s="73">
        <v>1.0</v>
      </c>
      <c r="P23" s="73">
        <v>3.0</v>
      </c>
      <c r="Q23" s="73">
        <v>0.0</v>
      </c>
      <c r="R23" s="73">
        <v>0.0</v>
      </c>
      <c r="S23" s="73">
        <v>0.0</v>
      </c>
      <c r="T23" s="73">
        <v>1.0</v>
      </c>
      <c r="U23" s="73">
        <v>0.0</v>
      </c>
      <c r="V23" s="73">
        <v>0.0</v>
      </c>
      <c r="W23" s="73">
        <v>0.0</v>
      </c>
      <c r="X23" s="73">
        <v>1.0</v>
      </c>
      <c r="Y23" s="73">
        <v>0.0</v>
      </c>
      <c r="Z23" s="13">
        <f t="shared" si="3"/>
        <v>13</v>
      </c>
    </row>
    <row r="24" ht="12.75" customHeight="1">
      <c r="A24" s="35"/>
      <c r="B24" s="28"/>
      <c r="C24" s="36"/>
      <c r="D24" s="13" t="s">
        <v>13</v>
      </c>
      <c r="E24" s="13">
        <f t="shared" ref="E24:Y24" si="5">SUM(E22:E23)</f>
        <v>1</v>
      </c>
      <c r="F24" s="13">
        <f t="shared" si="5"/>
        <v>0</v>
      </c>
      <c r="G24" s="13">
        <f t="shared" si="5"/>
        <v>6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5</v>
      </c>
      <c r="O24" s="13">
        <f t="shared" si="5"/>
        <v>1</v>
      </c>
      <c r="P24" s="13">
        <f t="shared" si="5"/>
        <v>5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2</v>
      </c>
      <c r="Y24" s="13">
        <f t="shared" si="5"/>
        <v>0</v>
      </c>
      <c r="Z24" s="13">
        <f t="shared" si="3"/>
        <v>24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0.0</v>
      </c>
      <c r="F25" s="73">
        <v>4.0</v>
      </c>
      <c r="G25" s="73">
        <v>5.0</v>
      </c>
      <c r="H25" s="73">
        <v>2.0</v>
      </c>
      <c r="I25" s="73">
        <v>1.0</v>
      </c>
      <c r="J25" s="73">
        <v>1.0</v>
      </c>
      <c r="K25" s="73">
        <v>1.0</v>
      </c>
      <c r="L25" s="73">
        <v>3.0</v>
      </c>
      <c r="M25" s="73">
        <v>2.0</v>
      </c>
      <c r="N25" s="73">
        <v>3.0</v>
      </c>
      <c r="O25" s="73">
        <v>2.0</v>
      </c>
      <c r="P25" s="73">
        <v>5.0</v>
      </c>
      <c r="Q25" s="73">
        <v>1.0</v>
      </c>
      <c r="R25" s="73">
        <v>2.0</v>
      </c>
      <c r="S25" s="73">
        <v>2.0</v>
      </c>
      <c r="T25" s="73">
        <v>0.0</v>
      </c>
      <c r="U25" s="73">
        <v>3.0</v>
      </c>
      <c r="V25" s="73">
        <v>3.0</v>
      </c>
      <c r="W25" s="73">
        <v>5.0</v>
      </c>
      <c r="X25" s="73">
        <v>11.0</v>
      </c>
      <c r="Y25" s="73">
        <v>3.0</v>
      </c>
      <c r="Z25" s="13">
        <f t="shared" si="3"/>
        <v>59</v>
      </c>
    </row>
    <row r="26" ht="12.75" customHeight="1">
      <c r="A26" s="33"/>
      <c r="B26" s="27"/>
      <c r="C26" s="34"/>
      <c r="D26" s="19" t="s">
        <v>12</v>
      </c>
      <c r="E26" s="73">
        <v>1.0</v>
      </c>
      <c r="F26" s="73">
        <v>4.0</v>
      </c>
      <c r="G26" s="73">
        <v>1.0</v>
      </c>
      <c r="H26" s="73">
        <v>1.0</v>
      </c>
      <c r="I26" s="73">
        <v>1.0</v>
      </c>
      <c r="J26" s="73">
        <v>4.0</v>
      </c>
      <c r="K26" s="73">
        <v>1.0</v>
      </c>
      <c r="L26" s="73">
        <v>2.0</v>
      </c>
      <c r="M26" s="73">
        <v>5.0</v>
      </c>
      <c r="N26" s="73">
        <v>2.0</v>
      </c>
      <c r="O26" s="73">
        <v>1.0</v>
      </c>
      <c r="P26" s="73">
        <v>5.0</v>
      </c>
      <c r="Q26" s="73">
        <v>3.0</v>
      </c>
      <c r="R26" s="73">
        <v>2.0</v>
      </c>
      <c r="S26" s="73">
        <v>5.0</v>
      </c>
      <c r="T26" s="73">
        <v>0.0</v>
      </c>
      <c r="U26" s="73">
        <v>3.0</v>
      </c>
      <c r="V26" s="73">
        <v>1.0</v>
      </c>
      <c r="W26" s="73">
        <v>4.0</v>
      </c>
      <c r="X26" s="73">
        <v>8.0</v>
      </c>
      <c r="Y26" s="73">
        <v>4.0</v>
      </c>
      <c r="Z26" s="13">
        <f t="shared" si="3"/>
        <v>58</v>
      </c>
    </row>
    <row r="27" ht="12.75" customHeight="1">
      <c r="A27" s="35"/>
      <c r="B27" s="28"/>
      <c r="C27" s="36"/>
      <c r="D27" s="13" t="s">
        <v>13</v>
      </c>
      <c r="E27" s="13">
        <f t="shared" ref="E27:Y27" si="6">SUM(E25:E26)</f>
        <v>1</v>
      </c>
      <c r="F27" s="13">
        <f t="shared" si="6"/>
        <v>8</v>
      </c>
      <c r="G27" s="13">
        <f t="shared" si="6"/>
        <v>6</v>
      </c>
      <c r="H27" s="13">
        <f t="shared" si="6"/>
        <v>3</v>
      </c>
      <c r="I27" s="13">
        <f t="shared" si="6"/>
        <v>2</v>
      </c>
      <c r="J27" s="13">
        <f t="shared" si="6"/>
        <v>5</v>
      </c>
      <c r="K27" s="13">
        <f t="shared" si="6"/>
        <v>2</v>
      </c>
      <c r="L27" s="13">
        <f t="shared" si="6"/>
        <v>5</v>
      </c>
      <c r="M27" s="13">
        <f t="shared" si="6"/>
        <v>7</v>
      </c>
      <c r="N27" s="13">
        <f t="shared" si="6"/>
        <v>5</v>
      </c>
      <c r="O27" s="13">
        <f t="shared" si="6"/>
        <v>3</v>
      </c>
      <c r="P27" s="13">
        <f t="shared" si="6"/>
        <v>10</v>
      </c>
      <c r="Q27" s="13">
        <f t="shared" si="6"/>
        <v>4</v>
      </c>
      <c r="R27" s="13">
        <f t="shared" si="6"/>
        <v>4</v>
      </c>
      <c r="S27" s="13">
        <f t="shared" si="6"/>
        <v>7</v>
      </c>
      <c r="T27" s="13">
        <f t="shared" si="6"/>
        <v>0</v>
      </c>
      <c r="U27" s="13">
        <f t="shared" si="6"/>
        <v>6</v>
      </c>
      <c r="V27" s="13">
        <f t="shared" si="6"/>
        <v>4</v>
      </c>
      <c r="W27" s="13">
        <f t="shared" si="6"/>
        <v>9</v>
      </c>
      <c r="X27" s="13">
        <f t="shared" si="6"/>
        <v>19</v>
      </c>
      <c r="Y27" s="13">
        <f t="shared" si="6"/>
        <v>7</v>
      </c>
      <c r="Z27" s="13">
        <f t="shared" si="3"/>
        <v>117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Y28" si="7">SUM(E19,E22,E25)</f>
        <v>84</v>
      </c>
      <c r="F28" s="13">
        <f t="shared" si="7"/>
        <v>78</v>
      </c>
      <c r="G28" s="13">
        <f t="shared" si="7"/>
        <v>89</v>
      </c>
      <c r="H28" s="13">
        <f t="shared" si="7"/>
        <v>87</v>
      </c>
      <c r="I28" s="13">
        <f t="shared" si="7"/>
        <v>90</v>
      </c>
      <c r="J28" s="13">
        <f t="shared" si="7"/>
        <v>110</v>
      </c>
      <c r="K28" s="13">
        <f t="shared" si="7"/>
        <v>101</v>
      </c>
      <c r="L28" s="13">
        <f t="shared" si="7"/>
        <v>99</v>
      </c>
      <c r="M28" s="13">
        <f t="shared" si="7"/>
        <v>82</v>
      </c>
      <c r="N28" s="13">
        <f t="shared" si="7"/>
        <v>88</v>
      </c>
      <c r="O28" s="13">
        <f t="shared" si="7"/>
        <v>102</v>
      </c>
      <c r="P28" s="13">
        <f t="shared" si="7"/>
        <v>106</v>
      </c>
      <c r="Q28" s="13">
        <f t="shared" si="7"/>
        <v>98</v>
      </c>
      <c r="R28" s="13">
        <f t="shared" si="7"/>
        <v>88</v>
      </c>
      <c r="S28" s="13">
        <f t="shared" si="7"/>
        <v>89</v>
      </c>
      <c r="T28" s="13">
        <f t="shared" si="7"/>
        <v>97</v>
      </c>
      <c r="U28" s="13">
        <f t="shared" si="7"/>
        <v>106</v>
      </c>
      <c r="V28" s="13">
        <f t="shared" si="7"/>
        <v>106</v>
      </c>
      <c r="W28" s="13">
        <f t="shared" si="7"/>
        <v>88</v>
      </c>
      <c r="X28" s="13">
        <f t="shared" si="7"/>
        <v>83</v>
      </c>
      <c r="Y28" s="13">
        <f t="shared" si="7"/>
        <v>89</v>
      </c>
      <c r="Z28" s="13">
        <f t="shared" si="3"/>
        <v>1960</v>
      </c>
    </row>
    <row r="29" ht="12.75" customHeight="1">
      <c r="A29" s="35"/>
      <c r="B29" s="27"/>
      <c r="C29" s="34"/>
      <c r="D29" s="13" t="s">
        <v>12</v>
      </c>
      <c r="E29" s="13">
        <f t="shared" ref="E29:Y29" si="8">SUM(E20,E23,E26)</f>
        <v>119</v>
      </c>
      <c r="F29" s="13">
        <f t="shared" si="8"/>
        <v>108</v>
      </c>
      <c r="G29" s="13">
        <f t="shared" si="8"/>
        <v>128</v>
      </c>
      <c r="H29" s="13">
        <f t="shared" si="8"/>
        <v>105</v>
      </c>
      <c r="I29" s="13">
        <f t="shared" si="8"/>
        <v>99</v>
      </c>
      <c r="J29" s="13">
        <f t="shared" si="8"/>
        <v>117</v>
      </c>
      <c r="K29" s="13">
        <f t="shared" si="8"/>
        <v>121</v>
      </c>
      <c r="L29" s="13">
        <f t="shared" si="8"/>
        <v>109</v>
      </c>
      <c r="M29" s="13">
        <f t="shared" si="8"/>
        <v>104</v>
      </c>
      <c r="N29" s="13">
        <f t="shared" si="8"/>
        <v>116</v>
      </c>
      <c r="O29" s="13">
        <f t="shared" si="8"/>
        <v>126</v>
      </c>
      <c r="P29" s="13">
        <f t="shared" si="8"/>
        <v>129</v>
      </c>
      <c r="Q29" s="13">
        <f t="shared" si="8"/>
        <v>120</v>
      </c>
      <c r="R29" s="13">
        <f t="shared" si="8"/>
        <v>101</v>
      </c>
      <c r="S29" s="13">
        <f t="shared" si="8"/>
        <v>114</v>
      </c>
      <c r="T29" s="13">
        <f t="shared" si="8"/>
        <v>123</v>
      </c>
      <c r="U29" s="13">
        <f t="shared" si="8"/>
        <v>132</v>
      </c>
      <c r="V29" s="13">
        <f t="shared" si="8"/>
        <v>127</v>
      </c>
      <c r="W29" s="13">
        <f t="shared" si="8"/>
        <v>114</v>
      </c>
      <c r="X29" s="13">
        <f t="shared" si="8"/>
        <v>93</v>
      </c>
      <c r="Y29" s="13">
        <f t="shared" si="8"/>
        <v>117</v>
      </c>
      <c r="Z29" s="13">
        <f t="shared" si="3"/>
        <v>2422</v>
      </c>
    </row>
    <row r="30" ht="12.75" customHeight="1">
      <c r="A30" s="35"/>
      <c r="B30" s="28"/>
      <c r="C30" s="36"/>
      <c r="D30" s="13" t="s">
        <v>13</v>
      </c>
      <c r="E30" s="13">
        <f t="shared" ref="E30:Y30" si="9">SUM(E28:E29)</f>
        <v>203</v>
      </c>
      <c r="F30" s="13">
        <f t="shared" si="9"/>
        <v>186</v>
      </c>
      <c r="G30" s="13">
        <f t="shared" si="9"/>
        <v>217</v>
      </c>
      <c r="H30" s="13">
        <f t="shared" si="9"/>
        <v>192</v>
      </c>
      <c r="I30" s="13">
        <f t="shared" si="9"/>
        <v>189</v>
      </c>
      <c r="J30" s="13">
        <f t="shared" si="9"/>
        <v>227</v>
      </c>
      <c r="K30" s="13">
        <f t="shared" si="9"/>
        <v>222</v>
      </c>
      <c r="L30" s="13">
        <f t="shared" si="9"/>
        <v>208</v>
      </c>
      <c r="M30" s="13">
        <f t="shared" si="9"/>
        <v>186</v>
      </c>
      <c r="N30" s="13">
        <f t="shared" si="9"/>
        <v>204</v>
      </c>
      <c r="O30" s="13">
        <f t="shared" si="9"/>
        <v>228</v>
      </c>
      <c r="P30" s="13">
        <f t="shared" si="9"/>
        <v>235</v>
      </c>
      <c r="Q30" s="13">
        <f t="shared" si="9"/>
        <v>218</v>
      </c>
      <c r="R30" s="13">
        <f t="shared" si="9"/>
        <v>189</v>
      </c>
      <c r="S30" s="13">
        <f t="shared" si="9"/>
        <v>203</v>
      </c>
      <c r="T30" s="13">
        <f t="shared" si="9"/>
        <v>220</v>
      </c>
      <c r="U30" s="13">
        <f t="shared" si="9"/>
        <v>238</v>
      </c>
      <c r="V30" s="13">
        <f t="shared" si="9"/>
        <v>233</v>
      </c>
      <c r="W30" s="13">
        <f t="shared" si="9"/>
        <v>202</v>
      </c>
      <c r="X30" s="13">
        <f t="shared" si="9"/>
        <v>176</v>
      </c>
      <c r="Y30" s="13">
        <f t="shared" si="9"/>
        <v>206</v>
      </c>
      <c r="Z30" s="13">
        <f t="shared" si="3"/>
        <v>4382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19"/>
      <c r="U31" s="19"/>
      <c r="V31" s="19"/>
      <c r="W31" s="19"/>
      <c r="X31" s="74"/>
      <c r="Y31" s="74"/>
      <c r="Z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13"/>
      <c r="U32" s="13"/>
      <c r="V32" s="13"/>
      <c r="W32" s="13"/>
      <c r="X32" s="76"/>
      <c r="Y32" s="76"/>
      <c r="Z32" s="75"/>
    </row>
    <row r="33" ht="12.75" customHeight="1">
      <c r="A33" s="19">
        <v>1.0</v>
      </c>
      <c r="B33" s="20" t="s">
        <v>26</v>
      </c>
      <c r="C33" s="15"/>
      <c r="D33" s="16"/>
      <c r="E33" s="73">
        <v>280.0</v>
      </c>
      <c r="F33" s="73">
        <v>271.0</v>
      </c>
      <c r="G33" s="73">
        <v>264.0</v>
      </c>
      <c r="H33" s="73">
        <v>253.0</v>
      </c>
      <c r="I33" s="73">
        <v>255.0</v>
      </c>
      <c r="J33" s="73">
        <v>306.0</v>
      </c>
      <c r="K33" s="73">
        <v>302.0</v>
      </c>
      <c r="L33" s="73">
        <v>281.0</v>
      </c>
      <c r="M33" s="73">
        <v>252.0</v>
      </c>
      <c r="N33" s="73">
        <v>262.0</v>
      </c>
      <c r="O33" s="73">
        <v>295.0</v>
      </c>
      <c r="P33" s="73">
        <v>298.0</v>
      </c>
      <c r="Q33" s="73">
        <v>291.0</v>
      </c>
      <c r="R33" s="73">
        <v>263.0</v>
      </c>
      <c r="S33" s="73">
        <v>298.0</v>
      </c>
      <c r="T33" s="19">
        <v>300.0</v>
      </c>
      <c r="U33" s="19">
        <v>301.0</v>
      </c>
      <c r="V33" s="19">
        <v>290.0</v>
      </c>
      <c r="W33" s="19">
        <v>276.0</v>
      </c>
      <c r="X33" s="19">
        <v>256.0</v>
      </c>
      <c r="Y33" s="73">
        <v>303.0</v>
      </c>
      <c r="Z33" s="13">
        <f t="shared" ref="Z33:Z36" si="10">SUM(E33:Y33)</f>
        <v>5897</v>
      </c>
    </row>
    <row r="34" ht="12.75" customHeight="1">
      <c r="A34" s="19">
        <v>2.0</v>
      </c>
      <c r="B34" s="20" t="s">
        <v>27</v>
      </c>
      <c r="C34" s="15"/>
      <c r="D34" s="16"/>
      <c r="E34" s="77">
        <v>203.0</v>
      </c>
      <c r="F34" s="77">
        <v>186.0</v>
      </c>
      <c r="G34" s="77">
        <v>217.0</v>
      </c>
      <c r="H34" s="77">
        <v>192.0</v>
      </c>
      <c r="I34" s="77">
        <v>189.0</v>
      </c>
      <c r="J34" s="77">
        <v>227.0</v>
      </c>
      <c r="K34" s="77">
        <v>222.0</v>
      </c>
      <c r="L34" s="77">
        <v>208.0</v>
      </c>
      <c r="M34" s="77">
        <v>186.0</v>
      </c>
      <c r="N34" s="77">
        <v>204.0</v>
      </c>
      <c r="O34" s="77">
        <v>228.0</v>
      </c>
      <c r="P34" s="77">
        <v>235.0</v>
      </c>
      <c r="Q34" s="77">
        <v>218.0</v>
      </c>
      <c r="R34" s="77">
        <v>189.0</v>
      </c>
      <c r="S34" s="77">
        <v>203.0</v>
      </c>
      <c r="T34" s="13">
        <v>220.0</v>
      </c>
      <c r="U34" s="13">
        <v>238.0</v>
      </c>
      <c r="V34" s="13">
        <v>233.0</v>
      </c>
      <c r="W34" s="13">
        <v>202.0</v>
      </c>
      <c r="X34" s="13">
        <v>176.0</v>
      </c>
      <c r="Y34" s="77">
        <v>206.0</v>
      </c>
      <c r="Z34" s="13">
        <f t="shared" si="10"/>
        <v>4382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1.0</v>
      </c>
      <c r="Q35" s="73">
        <v>0.0</v>
      </c>
      <c r="R35" s="73">
        <v>0.0</v>
      </c>
      <c r="S35" s="73">
        <v>0.0</v>
      </c>
      <c r="T35" s="19">
        <v>0.0</v>
      </c>
      <c r="U35" s="19">
        <v>0.0</v>
      </c>
      <c r="V35" s="19">
        <v>4.0</v>
      </c>
      <c r="W35" s="19">
        <v>0.0</v>
      </c>
      <c r="X35" s="19">
        <v>0.0</v>
      </c>
      <c r="Y35" s="73">
        <v>0.0</v>
      </c>
      <c r="Z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Y36" si="11">E33-(E34+E35)</f>
        <v>77</v>
      </c>
      <c r="F36" s="13">
        <f t="shared" si="11"/>
        <v>85</v>
      </c>
      <c r="G36" s="13">
        <f t="shared" si="11"/>
        <v>47</v>
      </c>
      <c r="H36" s="13">
        <f t="shared" si="11"/>
        <v>61</v>
      </c>
      <c r="I36" s="13">
        <f t="shared" si="11"/>
        <v>66</v>
      </c>
      <c r="J36" s="13">
        <f t="shared" si="11"/>
        <v>79</v>
      </c>
      <c r="K36" s="13">
        <f t="shared" si="11"/>
        <v>80</v>
      </c>
      <c r="L36" s="13">
        <f t="shared" si="11"/>
        <v>73</v>
      </c>
      <c r="M36" s="13">
        <f t="shared" si="11"/>
        <v>66</v>
      </c>
      <c r="N36" s="13">
        <f t="shared" si="11"/>
        <v>58</v>
      </c>
      <c r="O36" s="13">
        <f t="shared" si="11"/>
        <v>67</v>
      </c>
      <c r="P36" s="13">
        <f t="shared" si="11"/>
        <v>62</v>
      </c>
      <c r="Q36" s="13">
        <f t="shared" si="11"/>
        <v>73</v>
      </c>
      <c r="R36" s="13">
        <f t="shared" si="11"/>
        <v>74</v>
      </c>
      <c r="S36" s="13">
        <f t="shared" si="11"/>
        <v>95</v>
      </c>
      <c r="T36" s="13">
        <f t="shared" si="11"/>
        <v>80</v>
      </c>
      <c r="U36" s="13">
        <f t="shared" si="11"/>
        <v>63</v>
      </c>
      <c r="V36" s="13">
        <f t="shared" si="11"/>
        <v>53</v>
      </c>
      <c r="W36" s="13">
        <f t="shared" si="11"/>
        <v>74</v>
      </c>
      <c r="X36" s="13">
        <f t="shared" si="11"/>
        <v>80</v>
      </c>
      <c r="Y36" s="13">
        <f t="shared" si="11"/>
        <v>97</v>
      </c>
      <c r="Z36" s="13">
        <f t="shared" si="10"/>
        <v>1510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19"/>
      <c r="U37" s="19"/>
      <c r="V37" s="19"/>
      <c r="W37" s="19"/>
      <c r="X37" s="74"/>
      <c r="Y37" s="78"/>
      <c r="Z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13"/>
      <c r="U38" s="13"/>
      <c r="V38" s="13"/>
      <c r="W38" s="13"/>
      <c r="X38" s="76"/>
      <c r="Y38" s="76"/>
      <c r="Z38" s="75"/>
    </row>
    <row r="39" ht="12.75" customHeight="1">
      <c r="A39" s="30"/>
      <c r="B39" s="43" t="s">
        <v>32</v>
      </c>
      <c r="C39" s="23"/>
      <c r="D39" s="19" t="s">
        <v>11</v>
      </c>
      <c r="E39" s="73">
        <v>0.0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0.0</v>
      </c>
      <c r="L39" s="73">
        <v>0.0</v>
      </c>
      <c r="M39" s="73">
        <v>0.0</v>
      </c>
      <c r="N39" s="73">
        <v>0.0</v>
      </c>
      <c r="O39" s="73">
        <v>0.0</v>
      </c>
      <c r="P39" s="73">
        <v>0.0</v>
      </c>
      <c r="Q39" s="73">
        <v>0.0</v>
      </c>
      <c r="R39" s="73">
        <v>0.0</v>
      </c>
      <c r="S39" s="73">
        <v>0.0</v>
      </c>
      <c r="T39" s="73">
        <v>0.0</v>
      </c>
      <c r="U39" s="73">
        <v>0.0</v>
      </c>
      <c r="V39" s="73">
        <v>0.0</v>
      </c>
      <c r="W39" s="73">
        <v>0.0</v>
      </c>
      <c r="X39" s="73">
        <v>0.0</v>
      </c>
      <c r="Y39" s="73">
        <v>2.0</v>
      </c>
      <c r="Z39" s="13">
        <f t="shared" ref="Z39:Z41" si="12">SUM(E39:Y39)</f>
        <v>2</v>
      </c>
    </row>
    <row r="40" ht="12.75" customHeight="1">
      <c r="A40" s="33"/>
      <c r="C40" s="27"/>
      <c r="D40" s="19" t="s">
        <v>12</v>
      </c>
      <c r="E40" s="73">
        <v>0.0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0.0</v>
      </c>
      <c r="L40" s="73">
        <v>0.0</v>
      </c>
      <c r="M40" s="73">
        <v>0.0</v>
      </c>
      <c r="N40" s="73">
        <v>1.0</v>
      </c>
      <c r="O40" s="73">
        <v>0.0</v>
      </c>
      <c r="P40" s="73">
        <v>0.0</v>
      </c>
      <c r="Q40" s="73">
        <v>0.0</v>
      </c>
      <c r="R40" s="73">
        <v>0.0</v>
      </c>
      <c r="S40" s="73">
        <v>0.0</v>
      </c>
      <c r="T40" s="73">
        <v>0.0</v>
      </c>
      <c r="U40" s="73">
        <v>0.0</v>
      </c>
      <c r="V40" s="73">
        <v>0.0</v>
      </c>
      <c r="W40" s="73">
        <v>0.0</v>
      </c>
      <c r="X40" s="73">
        <v>0.0</v>
      </c>
      <c r="Y40" s="73">
        <v>0.0</v>
      </c>
      <c r="Z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19"/>
      <c r="U42" s="19"/>
      <c r="V42" s="19"/>
      <c r="W42" s="19"/>
      <c r="X42" s="74"/>
      <c r="Y42" s="19"/>
      <c r="Z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13"/>
      <c r="U43" s="13"/>
      <c r="V43" s="13"/>
      <c r="W43" s="13"/>
      <c r="X43" s="76"/>
      <c r="Y43" s="13"/>
      <c r="Z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19"/>
      <c r="U44" s="19"/>
      <c r="V44" s="19"/>
      <c r="W44" s="19"/>
      <c r="X44" s="74"/>
      <c r="Y44" s="19"/>
      <c r="Z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8.0</v>
      </c>
      <c r="F45" s="73">
        <v>5.0</v>
      </c>
      <c r="G45" s="73">
        <v>9.0</v>
      </c>
      <c r="H45" s="73">
        <v>7.0</v>
      </c>
      <c r="I45" s="73">
        <v>4.0</v>
      </c>
      <c r="J45" s="73">
        <v>7.0</v>
      </c>
      <c r="K45" s="73">
        <v>6.0</v>
      </c>
      <c r="L45" s="73">
        <v>5.0</v>
      </c>
      <c r="M45" s="73">
        <v>8.0</v>
      </c>
      <c r="N45" s="73">
        <v>8.0</v>
      </c>
      <c r="O45" s="73">
        <v>5.0</v>
      </c>
      <c r="P45" s="73">
        <v>8.0</v>
      </c>
      <c r="Q45" s="73">
        <v>7.0</v>
      </c>
      <c r="R45" s="73">
        <v>9.0</v>
      </c>
      <c r="S45" s="73">
        <v>2.0</v>
      </c>
      <c r="T45" s="73">
        <v>11.0</v>
      </c>
      <c r="U45" s="73">
        <v>1.0</v>
      </c>
      <c r="V45" s="73">
        <v>2.0</v>
      </c>
      <c r="W45" s="73">
        <v>3.0</v>
      </c>
      <c r="X45" s="73">
        <v>7.0</v>
      </c>
      <c r="Y45" s="73">
        <v>6.0</v>
      </c>
      <c r="Z45" s="13">
        <f t="shared" ref="Z45:Z54" si="14">SUM(E45:Y45)</f>
        <v>128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14.0</v>
      </c>
      <c r="F46" s="73">
        <v>13.0</v>
      </c>
      <c r="G46" s="73">
        <v>16.0</v>
      </c>
      <c r="H46" s="73">
        <v>21.0</v>
      </c>
      <c r="I46" s="73">
        <v>12.0</v>
      </c>
      <c r="J46" s="73">
        <v>25.0</v>
      </c>
      <c r="K46" s="73">
        <v>21.0</v>
      </c>
      <c r="L46" s="73">
        <v>7.0</v>
      </c>
      <c r="M46" s="73">
        <v>16.0</v>
      </c>
      <c r="N46" s="73">
        <v>15.0</v>
      </c>
      <c r="O46" s="73">
        <v>10.0</v>
      </c>
      <c r="P46" s="73">
        <v>8.0</v>
      </c>
      <c r="Q46" s="73">
        <v>16.0</v>
      </c>
      <c r="R46" s="73">
        <v>13.0</v>
      </c>
      <c r="S46" s="73">
        <v>9.0</v>
      </c>
      <c r="T46" s="73">
        <v>12.0</v>
      </c>
      <c r="U46" s="73">
        <v>7.0</v>
      </c>
      <c r="V46" s="73">
        <v>8.0</v>
      </c>
      <c r="W46" s="73">
        <v>2.0</v>
      </c>
      <c r="X46" s="73">
        <v>5.0</v>
      </c>
      <c r="Y46" s="73">
        <v>4.0</v>
      </c>
      <c r="Z46" s="13">
        <f t="shared" si="14"/>
        <v>254</v>
      </c>
    </row>
    <row r="47" ht="12.75" customHeight="1">
      <c r="A47" s="18"/>
      <c r="B47" s="49"/>
      <c r="C47" s="50" t="s">
        <v>40</v>
      </c>
      <c r="D47" s="51"/>
      <c r="E47" s="73">
        <v>1.0</v>
      </c>
      <c r="F47" s="73">
        <v>0.0</v>
      </c>
      <c r="G47" s="73">
        <v>1.0</v>
      </c>
      <c r="H47" s="73">
        <v>1.0</v>
      </c>
      <c r="I47" s="73">
        <v>2.0</v>
      </c>
      <c r="J47" s="73">
        <v>0.0</v>
      </c>
      <c r="K47" s="73">
        <v>2.0</v>
      </c>
      <c r="L47" s="73">
        <v>0.0</v>
      </c>
      <c r="M47" s="73">
        <v>0.0</v>
      </c>
      <c r="N47" s="73">
        <v>2.0</v>
      </c>
      <c r="O47" s="73">
        <v>1.0</v>
      </c>
      <c r="P47" s="73">
        <v>2.0</v>
      </c>
      <c r="Q47" s="73">
        <v>1.0</v>
      </c>
      <c r="R47" s="73">
        <v>2.0</v>
      </c>
      <c r="S47" s="73">
        <v>0.0</v>
      </c>
      <c r="T47" s="73">
        <v>0.0</v>
      </c>
      <c r="U47" s="73">
        <v>0.0</v>
      </c>
      <c r="V47" s="73">
        <v>1.0</v>
      </c>
      <c r="W47" s="73">
        <v>0.0</v>
      </c>
      <c r="X47" s="73">
        <v>0.0</v>
      </c>
      <c r="Y47" s="73">
        <v>0.0</v>
      </c>
      <c r="Z47" s="13">
        <f t="shared" si="14"/>
        <v>16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0.0</v>
      </c>
      <c r="G48" s="73">
        <v>2.0</v>
      </c>
      <c r="H48" s="73">
        <v>2.0</v>
      </c>
      <c r="I48" s="73">
        <v>1.0</v>
      </c>
      <c r="J48" s="73">
        <v>2.0</v>
      </c>
      <c r="K48" s="73">
        <v>1.0</v>
      </c>
      <c r="L48" s="73">
        <v>2.0</v>
      </c>
      <c r="M48" s="73">
        <v>0.0</v>
      </c>
      <c r="N48" s="73">
        <v>2.0</v>
      </c>
      <c r="O48" s="73">
        <v>1.0</v>
      </c>
      <c r="P48" s="73">
        <v>0.0</v>
      </c>
      <c r="Q48" s="73">
        <v>0.0</v>
      </c>
      <c r="R48" s="73">
        <v>0.0</v>
      </c>
      <c r="S48" s="73">
        <v>1.0</v>
      </c>
      <c r="T48" s="73">
        <v>1.0</v>
      </c>
      <c r="U48" s="73">
        <v>0.0</v>
      </c>
      <c r="V48" s="73">
        <v>0.0</v>
      </c>
      <c r="W48" s="73">
        <v>1.0</v>
      </c>
      <c r="X48" s="73">
        <v>0.0</v>
      </c>
      <c r="Y48" s="73">
        <v>1.0</v>
      </c>
      <c r="Z48" s="13">
        <f t="shared" si="14"/>
        <v>17</v>
      </c>
    </row>
    <row r="49" ht="12.75" customHeight="1">
      <c r="A49" s="18"/>
      <c r="B49" s="49"/>
      <c r="C49" s="50" t="s">
        <v>42</v>
      </c>
      <c r="D49" s="51"/>
      <c r="E49" s="73">
        <v>4.0</v>
      </c>
      <c r="F49" s="73">
        <v>0.0</v>
      </c>
      <c r="G49" s="73">
        <v>0.0</v>
      </c>
      <c r="H49" s="73">
        <v>1.0</v>
      </c>
      <c r="I49" s="73">
        <v>1.0</v>
      </c>
      <c r="J49" s="73">
        <v>2.0</v>
      </c>
      <c r="K49" s="73">
        <v>0.0</v>
      </c>
      <c r="L49" s="73">
        <v>2.0</v>
      </c>
      <c r="M49" s="73">
        <v>6.0</v>
      </c>
      <c r="N49" s="73">
        <v>1.0</v>
      </c>
      <c r="O49" s="73">
        <v>0.0</v>
      </c>
      <c r="P49" s="73">
        <v>2.0</v>
      </c>
      <c r="Q49" s="73">
        <v>1.0</v>
      </c>
      <c r="R49" s="73">
        <v>0.0</v>
      </c>
      <c r="S49" s="73">
        <v>0.0</v>
      </c>
      <c r="T49" s="73">
        <v>0.0</v>
      </c>
      <c r="U49" s="73">
        <v>0.0</v>
      </c>
      <c r="V49" s="73">
        <v>0.0</v>
      </c>
      <c r="W49" s="73">
        <v>0.0</v>
      </c>
      <c r="X49" s="73">
        <v>1.0</v>
      </c>
      <c r="Y49" s="73">
        <v>1.0</v>
      </c>
      <c r="Z49" s="13">
        <f t="shared" si="14"/>
        <v>22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1.0</v>
      </c>
      <c r="H50" s="73">
        <v>2.0</v>
      </c>
      <c r="I50" s="73">
        <v>1.0</v>
      </c>
      <c r="J50" s="73">
        <v>0.0</v>
      </c>
      <c r="K50" s="73">
        <v>0.0</v>
      </c>
      <c r="L50" s="73">
        <v>0.0</v>
      </c>
      <c r="M50" s="73">
        <v>0.0</v>
      </c>
      <c r="N50" s="73">
        <v>0.0</v>
      </c>
      <c r="O50" s="73">
        <v>0.0</v>
      </c>
      <c r="P50" s="73">
        <v>1.0</v>
      </c>
      <c r="Q50" s="73">
        <v>0.0</v>
      </c>
      <c r="R50" s="73">
        <v>0.0</v>
      </c>
      <c r="S50" s="73">
        <v>0.0</v>
      </c>
      <c r="T50" s="73">
        <v>1.0</v>
      </c>
      <c r="U50" s="73">
        <v>0.0</v>
      </c>
      <c r="V50" s="73">
        <v>0.0</v>
      </c>
      <c r="W50" s="73">
        <v>0.0</v>
      </c>
      <c r="X50" s="73">
        <v>0.0</v>
      </c>
      <c r="Y50" s="73">
        <v>0.0</v>
      </c>
      <c r="Z50" s="13">
        <f t="shared" si="14"/>
        <v>6</v>
      </c>
    </row>
    <row r="51" ht="12.75" customHeight="1">
      <c r="A51" s="18"/>
      <c r="B51" s="49"/>
      <c r="C51" s="50" t="s">
        <v>44</v>
      </c>
      <c r="D51" s="51"/>
      <c r="E51" s="73">
        <v>1.0</v>
      </c>
      <c r="F51" s="73">
        <v>1.0</v>
      </c>
      <c r="G51" s="73">
        <v>1.0</v>
      </c>
      <c r="H51" s="73">
        <v>0.0</v>
      </c>
      <c r="I51" s="73">
        <v>0.0</v>
      </c>
      <c r="J51" s="73">
        <v>0.0</v>
      </c>
      <c r="K51" s="73">
        <v>0.0</v>
      </c>
      <c r="L51" s="73">
        <v>0.0</v>
      </c>
      <c r="M51" s="73">
        <v>2.0</v>
      </c>
      <c r="N51" s="73">
        <v>0.0</v>
      </c>
      <c r="O51" s="73">
        <v>0.0</v>
      </c>
      <c r="P51" s="73">
        <v>1.0</v>
      </c>
      <c r="Q51" s="73">
        <v>0.0</v>
      </c>
      <c r="R51" s="73">
        <v>0.0</v>
      </c>
      <c r="S51" s="73">
        <v>0.0</v>
      </c>
      <c r="T51" s="73">
        <v>2.0</v>
      </c>
      <c r="U51" s="73">
        <v>0.0</v>
      </c>
      <c r="V51" s="73">
        <v>0.0</v>
      </c>
      <c r="W51" s="73">
        <v>1.0</v>
      </c>
      <c r="X51" s="73">
        <v>0.0</v>
      </c>
      <c r="Y51" s="73">
        <v>0.0</v>
      </c>
      <c r="Z51" s="13">
        <f t="shared" si="14"/>
        <v>9</v>
      </c>
    </row>
    <row r="52" ht="12.75" customHeight="1">
      <c r="A52" s="79"/>
      <c r="B52" s="49"/>
      <c r="C52" s="50" t="s">
        <v>45</v>
      </c>
      <c r="D52" s="51"/>
      <c r="E52" s="80">
        <v>1.0</v>
      </c>
      <c r="F52" s="80">
        <v>0.0</v>
      </c>
      <c r="G52" s="80">
        <v>0.0</v>
      </c>
      <c r="H52" s="80">
        <v>1.0</v>
      </c>
      <c r="I52" s="80">
        <v>0.0</v>
      </c>
      <c r="J52" s="80">
        <v>0.0</v>
      </c>
      <c r="K52" s="80">
        <v>0.0</v>
      </c>
      <c r="L52" s="80">
        <v>0.0</v>
      </c>
      <c r="M52" s="80">
        <v>1.0</v>
      </c>
      <c r="N52" s="80">
        <v>0.0</v>
      </c>
      <c r="O52" s="80">
        <v>0.0</v>
      </c>
      <c r="P52" s="80">
        <v>0.0</v>
      </c>
      <c r="Q52" s="80">
        <v>0.0</v>
      </c>
      <c r="R52" s="80">
        <v>0.0</v>
      </c>
      <c r="S52" s="80">
        <v>0.0</v>
      </c>
      <c r="T52" s="80">
        <v>0.0</v>
      </c>
      <c r="U52" s="80">
        <v>0.0</v>
      </c>
      <c r="V52" s="80">
        <v>0.0</v>
      </c>
      <c r="W52" s="80">
        <v>0.0</v>
      </c>
      <c r="X52" s="80">
        <v>1.0</v>
      </c>
      <c r="Y52" s="80">
        <v>0.0</v>
      </c>
      <c r="Z52" s="13">
        <f t="shared" si="14"/>
        <v>4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0.0</v>
      </c>
      <c r="I53" s="80">
        <v>0.0</v>
      </c>
      <c r="J53" s="80">
        <v>0.0</v>
      </c>
      <c r="K53" s="80">
        <v>0.0</v>
      </c>
      <c r="L53" s="80">
        <v>0.0</v>
      </c>
      <c r="M53" s="80">
        <v>0.0</v>
      </c>
      <c r="N53" s="80">
        <v>0.0</v>
      </c>
      <c r="O53" s="80">
        <v>0.0</v>
      </c>
      <c r="P53" s="80">
        <v>0.0</v>
      </c>
      <c r="Q53" s="80">
        <v>0.0</v>
      </c>
      <c r="R53" s="80">
        <v>0.0</v>
      </c>
      <c r="S53" s="80">
        <v>0.0</v>
      </c>
      <c r="T53" s="80">
        <v>0.0</v>
      </c>
      <c r="U53" s="80">
        <v>0.0</v>
      </c>
      <c r="V53" s="80">
        <v>0.0</v>
      </c>
      <c r="W53" s="80">
        <v>0.0</v>
      </c>
      <c r="X53" s="80">
        <v>0.0</v>
      </c>
      <c r="Y53" s="80">
        <v>0.0</v>
      </c>
      <c r="Z53" s="13">
        <f t="shared" si="14"/>
        <v>0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0.0</v>
      </c>
      <c r="H54" s="80">
        <v>1.0</v>
      </c>
      <c r="I54" s="80">
        <v>0.0</v>
      </c>
      <c r="J54" s="80">
        <v>2.0</v>
      </c>
      <c r="K54" s="80">
        <v>1.0</v>
      </c>
      <c r="L54" s="80">
        <v>0.0</v>
      </c>
      <c r="M54" s="80">
        <v>0.0</v>
      </c>
      <c r="N54" s="80">
        <v>0.0</v>
      </c>
      <c r="O54" s="80">
        <v>0.0</v>
      </c>
      <c r="P54" s="80">
        <v>0.0</v>
      </c>
      <c r="Q54" s="80">
        <v>0.0</v>
      </c>
      <c r="R54" s="80">
        <v>1.0</v>
      </c>
      <c r="S54" s="80">
        <v>0.0</v>
      </c>
      <c r="T54" s="80">
        <v>0.0</v>
      </c>
      <c r="U54" s="80">
        <v>0.0</v>
      </c>
      <c r="V54" s="80">
        <v>0.0</v>
      </c>
      <c r="W54" s="80">
        <v>0.0</v>
      </c>
      <c r="X54" s="80">
        <v>0.0</v>
      </c>
      <c r="Y54" s="80">
        <v>0.0</v>
      </c>
      <c r="Z54" s="13">
        <f t="shared" si="14"/>
        <v>5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Z55" si="15">SUM(E45:E54)</f>
        <v>29</v>
      </c>
      <c r="F55" s="13">
        <f t="shared" si="15"/>
        <v>19</v>
      </c>
      <c r="G55" s="13">
        <f t="shared" si="15"/>
        <v>30</v>
      </c>
      <c r="H55" s="13">
        <f t="shared" si="15"/>
        <v>36</v>
      </c>
      <c r="I55" s="13">
        <f t="shared" si="15"/>
        <v>21</v>
      </c>
      <c r="J55" s="13">
        <f t="shared" si="15"/>
        <v>38</v>
      </c>
      <c r="K55" s="13">
        <f t="shared" si="15"/>
        <v>31</v>
      </c>
      <c r="L55" s="13">
        <f t="shared" si="15"/>
        <v>16</v>
      </c>
      <c r="M55" s="13">
        <f t="shared" si="15"/>
        <v>33</v>
      </c>
      <c r="N55" s="13">
        <f t="shared" si="15"/>
        <v>28</v>
      </c>
      <c r="O55" s="13">
        <f t="shared" si="15"/>
        <v>17</v>
      </c>
      <c r="P55" s="13">
        <f t="shared" si="15"/>
        <v>22</v>
      </c>
      <c r="Q55" s="13">
        <f t="shared" si="15"/>
        <v>25</v>
      </c>
      <c r="R55" s="13">
        <f t="shared" si="15"/>
        <v>25</v>
      </c>
      <c r="S55" s="13">
        <f t="shared" si="15"/>
        <v>12</v>
      </c>
      <c r="T55" s="13">
        <f t="shared" si="15"/>
        <v>27</v>
      </c>
      <c r="U55" s="13">
        <f t="shared" si="15"/>
        <v>8</v>
      </c>
      <c r="V55" s="13">
        <f t="shared" si="15"/>
        <v>11</v>
      </c>
      <c r="W55" s="13">
        <f t="shared" si="15"/>
        <v>7</v>
      </c>
      <c r="X55" s="13">
        <f t="shared" si="15"/>
        <v>14</v>
      </c>
      <c r="Y55" s="13">
        <f t="shared" si="15"/>
        <v>12</v>
      </c>
      <c r="Z55" s="13">
        <f t="shared" si="15"/>
        <v>461</v>
      </c>
    </row>
    <row r="56" ht="12.75" customHeight="1">
      <c r="A56" s="45"/>
      <c r="B56" s="44"/>
      <c r="C56" s="44"/>
      <c r="D56" s="44"/>
      <c r="E56" s="44"/>
      <c r="Z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12.0</v>
      </c>
      <c r="F57" s="73">
        <v>8.0</v>
      </c>
      <c r="G57" s="73">
        <v>8.0</v>
      </c>
      <c r="H57" s="73">
        <v>7.0</v>
      </c>
      <c r="I57" s="73">
        <v>7.0</v>
      </c>
      <c r="J57" s="73">
        <v>13.0</v>
      </c>
      <c r="K57" s="73">
        <v>13.0</v>
      </c>
      <c r="L57" s="73">
        <v>6.0</v>
      </c>
      <c r="M57" s="73">
        <v>10.0</v>
      </c>
      <c r="N57" s="73">
        <v>14.0</v>
      </c>
      <c r="O57" s="73">
        <v>5.0</v>
      </c>
      <c r="P57" s="73">
        <v>9.0</v>
      </c>
      <c r="Q57" s="73">
        <v>4.0</v>
      </c>
      <c r="R57" s="73">
        <v>13.0</v>
      </c>
      <c r="S57" s="73">
        <v>6.0</v>
      </c>
      <c r="T57" s="73">
        <v>9.0</v>
      </c>
      <c r="U57" s="73">
        <v>7.0</v>
      </c>
      <c r="V57" s="73">
        <v>3.0</v>
      </c>
      <c r="W57" s="73">
        <v>8.0</v>
      </c>
      <c r="X57" s="73">
        <v>5.0</v>
      </c>
      <c r="Y57" s="73">
        <v>24.0</v>
      </c>
      <c r="Z57" s="13">
        <f t="shared" ref="Z57:Z66" si="16">SUM(E57:Y57)</f>
        <v>191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4.0</v>
      </c>
      <c r="F58" s="73">
        <v>2.0</v>
      </c>
      <c r="G58" s="73">
        <v>5.0</v>
      </c>
      <c r="H58" s="73">
        <v>5.0</v>
      </c>
      <c r="I58" s="73">
        <v>7.0</v>
      </c>
      <c r="J58" s="73">
        <v>2.0</v>
      </c>
      <c r="K58" s="73">
        <v>4.0</v>
      </c>
      <c r="L58" s="73">
        <v>5.0</v>
      </c>
      <c r="M58" s="73">
        <v>9.0</v>
      </c>
      <c r="N58" s="73">
        <v>3.0</v>
      </c>
      <c r="O58" s="73">
        <v>5.0</v>
      </c>
      <c r="P58" s="73">
        <v>8.0</v>
      </c>
      <c r="Q58" s="73">
        <v>4.0</v>
      </c>
      <c r="R58" s="73">
        <v>3.0</v>
      </c>
      <c r="S58" s="73">
        <v>9.0</v>
      </c>
      <c r="T58" s="73">
        <v>0.0</v>
      </c>
      <c r="U58" s="73">
        <v>5.0</v>
      </c>
      <c r="V58" s="73">
        <v>2.0</v>
      </c>
      <c r="W58" s="73">
        <v>5.0</v>
      </c>
      <c r="X58" s="73">
        <v>4.0</v>
      </c>
      <c r="Y58" s="73">
        <v>7.0</v>
      </c>
      <c r="Z58" s="13">
        <f t="shared" si="16"/>
        <v>98</v>
      </c>
    </row>
    <row r="59" ht="12.75" customHeight="1">
      <c r="A59" s="18"/>
      <c r="B59" s="49"/>
      <c r="C59" s="50" t="s">
        <v>51</v>
      </c>
      <c r="D59" s="51"/>
      <c r="E59" s="73">
        <v>9.0</v>
      </c>
      <c r="F59" s="73">
        <v>4.0</v>
      </c>
      <c r="G59" s="73">
        <v>1.0</v>
      </c>
      <c r="H59" s="73">
        <v>1.0</v>
      </c>
      <c r="I59" s="73">
        <v>5.0</v>
      </c>
      <c r="J59" s="73">
        <v>5.0</v>
      </c>
      <c r="K59" s="73">
        <v>11.0</v>
      </c>
      <c r="L59" s="73">
        <v>23.0</v>
      </c>
      <c r="M59" s="73">
        <v>9.0</v>
      </c>
      <c r="N59" s="73">
        <v>11.0</v>
      </c>
      <c r="O59" s="73">
        <v>5.0</v>
      </c>
      <c r="P59" s="73">
        <v>9.0</v>
      </c>
      <c r="Q59" s="73">
        <v>8.0</v>
      </c>
      <c r="R59" s="73">
        <v>10.0</v>
      </c>
      <c r="S59" s="73">
        <v>4.0</v>
      </c>
      <c r="T59" s="73">
        <v>10.0</v>
      </c>
      <c r="U59" s="73">
        <v>2.0</v>
      </c>
      <c r="V59" s="73">
        <v>4.0</v>
      </c>
      <c r="W59" s="73">
        <v>6.0</v>
      </c>
      <c r="X59" s="73">
        <v>7.0</v>
      </c>
      <c r="Y59" s="73">
        <v>8.0</v>
      </c>
      <c r="Z59" s="13">
        <f t="shared" si="16"/>
        <v>152</v>
      </c>
    </row>
    <row r="60" ht="12.75" customHeight="1">
      <c r="A60" s="18"/>
      <c r="B60" s="49"/>
      <c r="C60" s="50" t="s">
        <v>52</v>
      </c>
      <c r="D60" s="51"/>
      <c r="E60" s="73">
        <v>0.0</v>
      </c>
      <c r="F60" s="73">
        <v>2.0</v>
      </c>
      <c r="G60" s="73">
        <v>1.0</v>
      </c>
      <c r="H60" s="73">
        <v>2.0</v>
      </c>
      <c r="I60" s="73">
        <v>2.0</v>
      </c>
      <c r="J60" s="73">
        <v>3.0</v>
      </c>
      <c r="K60" s="73">
        <v>2.0</v>
      </c>
      <c r="L60" s="73">
        <v>2.0</v>
      </c>
      <c r="M60" s="73">
        <v>3.0</v>
      </c>
      <c r="N60" s="73">
        <v>1.0</v>
      </c>
      <c r="O60" s="73">
        <v>4.0</v>
      </c>
      <c r="P60" s="73">
        <v>2.0</v>
      </c>
      <c r="Q60" s="73">
        <v>2.0</v>
      </c>
      <c r="R60" s="73">
        <v>0.0</v>
      </c>
      <c r="S60" s="73">
        <v>0.0</v>
      </c>
      <c r="T60" s="73">
        <v>1.0</v>
      </c>
      <c r="U60" s="73">
        <v>6.0</v>
      </c>
      <c r="V60" s="73">
        <v>1.0</v>
      </c>
      <c r="W60" s="73">
        <v>5.0</v>
      </c>
      <c r="X60" s="73">
        <v>2.0</v>
      </c>
      <c r="Y60" s="73">
        <v>1.0</v>
      </c>
      <c r="Z60" s="13">
        <f t="shared" si="16"/>
        <v>42</v>
      </c>
    </row>
    <row r="61" ht="12.75" customHeight="1">
      <c r="A61" s="18"/>
      <c r="B61" s="49"/>
      <c r="C61" s="50" t="s">
        <v>53</v>
      </c>
      <c r="D61" s="51"/>
      <c r="E61" s="73">
        <v>6.0</v>
      </c>
      <c r="F61" s="73">
        <v>7.0</v>
      </c>
      <c r="G61" s="73">
        <v>15.0</v>
      </c>
      <c r="H61" s="73">
        <v>14.0</v>
      </c>
      <c r="I61" s="73">
        <v>3.0</v>
      </c>
      <c r="J61" s="73">
        <v>4.0</v>
      </c>
      <c r="K61" s="73">
        <v>0.0</v>
      </c>
      <c r="L61" s="73">
        <v>3.0</v>
      </c>
      <c r="M61" s="73">
        <v>1.0</v>
      </c>
      <c r="N61" s="73">
        <v>1.0</v>
      </c>
      <c r="O61" s="73">
        <v>6.0</v>
      </c>
      <c r="P61" s="73">
        <v>0.0</v>
      </c>
      <c r="Q61" s="73">
        <v>0.0</v>
      </c>
      <c r="R61" s="73">
        <v>1.0</v>
      </c>
      <c r="S61" s="73">
        <v>2.0</v>
      </c>
      <c r="T61" s="73">
        <v>2.0</v>
      </c>
      <c r="U61" s="73">
        <v>1.0</v>
      </c>
      <c r="V61" s="73">
        <v>4.0</v>
      </c>
      <c r="W61" s="73">
        <v>5.0</v>
      </c>
      <c r="X61" s="73">
        <v>0.0</v>
      </c>
      <c r="Y61" s="73">
        <v>6.0</v>
      </c>
      <c r="Z61" s="13">
        <f t="shared" si="16"/>
        <v>81</v>
      </c>
    </row>
    <row r="62" ht="12.75" customHeight="1">
      <c r="A62" s="18"/>
      <c r="B62" s="49"/>
      <c r="C62" s="50" t="s">
        <v>54</v>
      </c>
      <c r="D62" s="51"/>
      <c r="E62" s="73">
        <v>0.0</v>
      </c>
      <c r="F62" s="73">
        <v>2.0</v>
      </c>
      <c r="G62" s="73">
        <v>0.0</v>
      </c>
      <c r="H62" s="73">
        <v>2.0</v>
      </c>
      <c r="I62" s="73">
        <v>0.0</v>
      </c>
      <c r="J62" s="73">
        <v>3.0</v>
      </c>
      <c r="K62" s="73">
        <v>1.0</v>
      </c>
      <c r="L62" s="73">
        <v>1.0</v>
      </c>
      <c r="M62" s="73">
        <v>0.0</v>
      </c>
      <c r="N62" s="73">
        <v>0.0</v>
      </c>
      <c r="O62" s="73">
        <v>3.0</v>
      </c>
      <c r="P62" s="73">
        <v>0.0</v>
      </c>
      <c r="Q62" s="73">
        <v>0.0</v>
      </c>
      <c r="R62" s="73">
        <v>1.0</v>
      </c>
      <c r="S62" s="73">
        <v>0.0</v>
      </c>
      <c r="T62" s="73">
        <v>0.0</v>
      </c>
      <c r="U62" s="73">
        <v>1.0</v>
      </c>
      <c r="V62" s="73">
        <v>0.0</v>
      </c>
      <c r="W62" s="73">
        <v>2.0</v>
      </c>
      <c r="X62" s="73">
        <v>0.0</v>
      </c>
      <c r="Y62" s="73">
        <v>1.0</v>
      </c>
      <c r="Z62" s="13">
        <f t="shared" si="16"/>
        <v>17</v>
      </c>
    </row>
    <row r="63" ht="12.75" customHeight="1">
      <c r="A63" s="18"/>
      <c r="B63" s="49"/>
      <c r="C63" s="50" t="s">
        <v>55</v>
      </c>
      <c r="D63" s="51"/>
      <c r="E63" s="73">
        <v>1.0</v>
      </c>
      <c r="F63" s="73">
        <v>0.0</v>
      </c>
      <c r="G63" s="73">
        <v>1.0</v>
      </c>
      <c r="H63" s="73">
        <v>0.0</v>
      </c>
      <c r="I63" s="73">
        <v>0.0</v>
      </c>
      <c r="J63" s="73">
        <v>1.0</v>
      </c>
      <c r="K63" s="73">
        <v>2.0</v>
      </c>
      <c r="L63" s="73">
        <v>1.0</v>
      </c>
      <c r="M63" s="73">
        <v>2.0</v>
      </c>
      <c r="N63" s="73">
        <v>0.0</v>
      </c>
      <c r="O63" s="73">
        <v>0.0</v>
      </c>
      <c r="P63" s="73">
        <v>1.0</v>
      </c>
      <c r="Q63" s="73">
        <v>2.0</v>
      </c>
      <c r="R63" s="73">
        <v>0.0</v>
      </c>
      <c r="S63" s="73">
        <v>0.0</v>
      </c>
      <c r="T63" s="73">
        <v>0.0</v>
      </c>
      <c r="U63" s="73">
        <v>1.0</v>
      </c>
      <c r="V63" s="73">
        <v>0.0</v>
      </c>
      <c r="W63" s="73">
        <v>0.0</v>
      </c>
      <c r="X63" s="73">
        <v>0.0</v>
      </c>
      <c r="Y63" s="73">
        <v>0.0</v>
      </c>
      <c r="Z63" s="13">
        <f t="shared" si="16"/>
        <v>12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0.0</v>
      </c>
      <c r="G64" s="80">
        <v>0.0</v>
      </c>
      <c r="H64" s="80">
        <v>0.0</v>
      </c>
      <c r="I64" s="80">
        <v>0.0</v>
      </c>
      <c r="J64" s="80">
        <v>0.0</v>
      </c>
      <c r="K64" s="80">
        <v>0.0</v>
      </c>
      <c r="L64" s="80">
        <v>0.0</v>
      </c>
      <c r="M64" s="80">
        <v>1.0</v>
      </c>
      <c r="N64" s="80">
        <v>0.0</v>
      </c>
      <c r="O64" s="80">
        <v>0.0</v>
      </c>
      <c r="P64" s="80">
        <v>1.0</v>
      </c>
      <c r="Q64" s="80">
        <v>1.0</v>
      </c>
      <c r="R64" s="80">
        <v>0.0</v>
      </c>
      <c r="S64" s="80">
        <v>0.0</v>
      </c>
      <c r="T64" s="80">
        <v>0.0</v>
      </c>
      <c r="U64" s="80">
        <v>0.0</v>
      </c>
      <c r="V64" s="80">
        <v>1.0</v>
      </c>
      <c r="W64" s="80">
        <v>1.0</v>
      </c>
      <c r="X64" s="80">
        <v>1.0</v>
      </c>
      <c r="Y64" s="80">
        <v>1.0</v>
      </c>
      <c r="Z64" s="13">
        <f t="shared" si="16"/>
        <v>7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0.0</v>
      </c>
      <c r="H65" s="80">
        <v>0.0</v>
      </c>
      <c r="I65" s="80">
        <v>1.0</v>
      </c>
      <c r="J65" s="80">
        <v>0.0</v>
      </c>
      <c r="K65" s="80">
        <v>0.0</v>
      </c>
      <c r="L65" s="80">
        <v>0.0</v>
      </c>
      <c r="M65" s="80">
        <v>0.0</v>
      </c>
      <c r="N65" s="80">
        <v>1.0</v>
      </c>
      <c r="O65" s="80">
        <v>0.0</v>
      </c>
      <c r="P65" s="80">
        <v>0.0</v>
      </c>
      <c r="Q65" s="80">
        <v>1.0</v>
      </c>
      <c r="R65" s="80">
        <v>1.0</v>
      </c>
      <c r="S65" s="80">
        <v>1.0</v>
      </c>
      <c r="T65" s="80">
        <v>0.0</v>
      </c>
      <c r="U65" s="80">
        <v>0.0</v>
      </c>
      <c r="V65" s="80">
        <v>1.0</v>
      </c>
      <c r="W65" s="80">
        <v>0.0</v>
      </c>
      <c r="X65" s="80">
        <v>0.0</v>
      </c>
      <c r="Y65" s="80">
        <v>0.0</v>
      </c>
      <c r="Z65" s="13">
        <f t="shared" si="16"/>
        <v>6</v>
      </c>
    </row>
    <row r="66" ht="12.75" customHeight="1">
      <c r="A66" s="79"/>
      <c r="B66" s="49"/>
      <c r="C66" s="50" t="s">
        <v>58</v>
      </c>
      <c r="D66" s="51"/>
      <c r="E66" s="80">
        <v>0.0</v>
      </c>
      <c r="F66" s="80">
        <v>0.0</v>
      </c>
      <c r="G66" s="80">
        <v>1.0</v>
      </c>
      <c r="H66" s="80">
        <v>0.0</v>
      </c>
      <c r="I66" s="80">
        <v>2.0</v>
      </c>
      <c r="J66" s="80">
        <v>1.0</v>
      </c>
      <c r="K66" s="80">
        <v>0.0</v>
      </c>
      <c r="L66" s="80">
        <v>0.0</v>
      </c>
      <c r="M66" s="80">
        <v>1.0</v>
      </c>
      <c r="N66" s="80">
        <v>0.0</v>
      </c>
      <c r="O66" s="80">
        <v>0.0</v>
      </c>
      <c r="P66" s="80">
        <v>0.0</v>
      </c>
      <c r="Q66" s="80">
        <v>1.0</v>
      </c>
      <c r="R66" s="80">
        <v>0.0</v>
      </c>
      <c r="S66" s="80">
        <v>0.0</v>
      </c>
      <c r="T66" s="80">
        <v>1.0</v>
      </c>
      <c r="U66" s="80">
        <v>2.0</v>
      </c>
      <c r="V66" s="80">
        <v>0.0</v>
      </c>
      <c r="W66" s="80">
        <v>1.0</v>
      </c>
      <c r="X66" s="80">
        <v>0.0</v>
      </c>
      <c r="Y66" s="80">
        <v>0.0</v>
      </c>
      <c r="Z66" s="13">
        <f t="shared" si="16"/>
        <v>10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Z67" si="17">SUM(E57:E66)</f>
        <v>32</v>
      </c>
      <c r="F67" s="13">
        <f t="shared" si="17"/>
        <v>25</v>
      </c>
      <c r="G67" s="13">
        <f t="shared" si="17"/>
        <v>32</v>
      </c>
      <c r="H67" s="13">
        <f t="shared" si="17"/>
        <v>31</v>
      </c>
      <c r="I67" s="13">
        <f t="shared" si="17"/>
        <v>27</v>
      </c>
      <c r="J67" s="13">
        <f t="shared" si="17"/>
        <v>32</v>
      </c>
      <c r="K67" s="13">
        <f t="shared" si="17"/>
        <v>33</v>
      </c>
      <c r="L67" s="13">
        <f t="shared" si="17"/>
        <v>41</v>
      </c>
      <c r="M67" s="13">
        <f t="shared" si="17"/>
        <v>36</v>
      </c>
      <c r="N67" s="13">
        <f t="shared" si="17"/>
        <v>31</v>
      </c>
      <c r="O67" s="13">
        <f t="shared" si="17"/>
        <v>28</v>
      </c>
      <c r="P67" s="13">
        <f t="shared" si="17"/>
        <v>30</v>
      </c>
      <c r="Q67" s="13">
        <f t="shared" si="17"/>
        <v>23</v>
      </c>
      <c r="R67" s="13">
        <f t="shared" si="17"/>
        <v>29</v>
      </c>
      <c r="S67" s="13">
        <f t="shared" si="17"/>
        <v>22</v>
      </c>
      <c r="T67" s="13">
        <f t="shared" si="17"/>
        <v>23</v>
      </c>
      <c r="U67" s="13">
        <f t="shared" si="17"/>
        <v>25</v>
      </c>
      <c r="V67" s="13">
        <f t="shared" si="17"/>
        <v>16</v>
      </c>
      <c r="W67" s="13">
        <f t="shared" si="17"/>
        <v>33</v>
      </c>
      <c r="X67" s="13">
        <f t="shared" si="17"/>
        <v>19</v>
      </c>
      <c r="Y67" s="13">
        <f t="shared" si="17"/>
        <v>48</v>
      </c>
      <c r="Z67" s="13">
        <f t="shared" si="17"/>
        <v>616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12.0</v>
      </c>
      <c r="F69" s="73">
        <v>6.0</v>
      </c>
      <c r="G69" s="73">
        <v>16.0</v>
      </c>
      <c r="H69" s="73">
        <v>5.0</v>
      </c>
      <c r="I69" s="73">
        <v>14.0</v>
      </c>
      <c r="J69" s="73">
        <v>21.0</v>
      </c>
      <c r="K69" s="73">
        <v>10.0</v>
      </c>
      <c r="L69" s="73">
        <v>7.0</v>
      </c>
      <c r="M69" s="73">
        <v>8.0</v>
      </c>
      <c r="N69" s="73">
        <v>6.0</v>
      </c>
      <c r="O69" s="73">
        <v>6.0</v>
      </c>
      <c r="P69" s="73">
        <v>9.0</v>
      </c>
      <c r="Q69" s="73">
        <v>11.0</v>
      </c>
      <c r="R69" s="73">
        <v>7.0</v>
      </c>
      <c r="S69" s="73">
        <v>13.0</v>
      </c>
      <c r="T69" s="73">
        <v>4.0</v>
      </c>
      <c r="U69" s="73">
        <v>16.0</v>
      </c>
      <c r="V69" s="73">
        <v>6.0</v>
      </c>
      <c r="W69" s="73">
        <v>13.0</v>
      </c>
      <c r="X69" s="73">
        <v>10.0</v>
      </c>
      <c r="Y69" s="73">
        <v>9.0</v>
      </c>
      <c r="Z69" s="13">
        <f t="shared" ref="Z69:Z78" si="18">SUM(E69:Y69)</f>
        <v>209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4.0</v>
      </c>
      <c r="F70" s="73">
        <v>5.0</v>
      </c>
      <c r="G70" s="73">
        <v>7.0</v>
      </c>
      <c r="H70" s="73">
        <v>1.0</v>
      </c>
      <c r="I70" s="73">
        <v>5.0</v>
      </c>
      <c r="J70" s="73">
        <v>12.0</v>
      </c>
      <c r="K70" s="73">
        <v>4.0</v>
      </c>
      <c r="L70" s="73">
        <v>1.0</v>
      </c>
      <c r="M70" s="73">
        <v>2.0</v>
      </c>
      <c r="N70" s="73">
        <v>2.0</v>
      </c>
      <c r="O70" s="73">
        <v>4.0</v>
      </c>
      <c r="P70" s="73">
        <v>8.0</v>
      </c>
      <c r="Q70" s="73">
        <v>11.0</v>
      </c>
      <c r="R70" s="73">
        <v>13.0</v>
      </c>
      <c r="S70" s="73">
        <v>11.0</v>
      </c>
      <c r="T70" s="73">
        <v>5.0</v>
      </c>
      <c r="U70" s="73">
        <v>7.0</v>
      </c>
      <c r="V70" s="73">
        <v>8.0</v>
      </c>
      <c r="W70" s="73">
        <v>10.0</v>
      </c>
      <c r="X70" s="73">
        <v>9.0</v>
      </c>
      <c r="Y70" s="73">
        <v>15.0</v>
      </c>
      <c r="Z70" s="13">
        <f t="shared" si="18"/>
        <v>144</v>
      </c>
    </row>
    <row r="71" ht="12.75" customHeight="1">
      <c r="A71" s="18"/>
      <c r="B71" s="49"/>
      <c r="C71" s="50" t="s">
        <v>61</v>
      </c>
      <c r="D71" s="51"/>
      <c r="E71" s="73">
        <v>15.0</v>
      </c>
      <c r="F71" s="73">
        <v>10.0</v>
      </c>
      <c r="G71" s="73">
        <v>2.0</v>
      </c>
      <c r="H71" s="73">
        <v>11.0</v>
      </c>
      <c r="I71" s="73">
        <v>11.0</v>
      </c>
      <c r="J71" s="73">
        <v>6.0</v>
      </c>
      <c r="K71" s="73">
        <v>12.0</v>
      </c>
      <c r="L71" s="73">
        <v>14.0</v>
      </c>
      <c r="M71" s="73">
        <v>5.0</v>
      </c>
      <c r="N71" s="73">
        <v>10.0</v>
      </c>
      <c r="O71" s="73">
        <v>13.0</v>
      </c>
      <c r="P71" s="73">
        <v>10.0</v>
      </c>
      <c r="Q71" s="73">
        <v>11.0</v>
      </c>
      <c r="R71" s="73">
        <v>11.0</v>
      </c>
      <c r="S71" s="73">
        <v>14.0</v>
      </c>
      <c r="T71" s="73">
        <v>2.0</v>
      </c>
      <c r="U71" s="73">
        <v>12.0</v>
      </c>
      <c r="V71" s="73">
        <v>3.0</v>
      </c>
      <c r="W71" s="73">
        <v>12.0</v>
      </c>
      <c r="X71" s="73">
        <v>6.0</v>
      </c>
      <c r="Y71" s="73">
        <v>16.0</v>
      </c>
      <c r="Z71" s="13">
        <f t="shared" si="18"/>
        <v>206</v>
      </c>
    </row>
    <row r="72" ht="12.75" customHeight="1">
      <c r="A72" s="18"/>
      <c r="B72" s="49"/>
      <c r="C72" s="50" t="s">
        <v>62</v>
      </c>
      <c r="D72" s="51"/>
      <c r="E72" s="73">
        <v>6.0</v>
      </c>
      <c r="F72" s="73">
        <v>1.0</v>
      </c>
      <c r="G72" s="73">
        <v>1.0</v>
      </c>
      <c r="H72" s="73">
        <v>4.0</v>
      </c>
      <c r="I72" s="73">
        <v>0.0</v>
      </c>
      <c r="J72" s="73">
        <v>2.0</v>
      </c>
      <c r="K72" s="73">
        <v>0.0</v>
      </c>
      <c r="L72" s="73">
        <v>0.0</v>
      </c>
      <c r="M72" s="73">
        <v>3.0</v>
      </c>
      <c r="N72" s="73">
        <v>7.0</v>
      </c>
      <c r="O72" s="73">
        <v>6.0</v>
      </c>
      <c r="P72" s="73">
        <v>2.0</v>
      </c>
      <c r="Q72" s="73">
        <v>5.0</v>
      </c>
      <c r="R72" s="73">
        <v>2.0</v>
      </c>
      <c r="S72" s="73">
        <v>3.0</v>
      </c>
      <c r="T72" s="73">
        <v>3.0</v>
      </c>
      <c r="U72" s="73">
        <v>3.0</v>
      </c>
      <c r="V72" s="73">
        <v>3.0</v>
      </c>
      <c r="W72" s="73">
        <v>5.0</v>
      </c>
      <c r="X72" s="73">
        <v>3.0</v>
      </c>
      <c r="Y72" s="73">
        <v>1.0</v>
      </c>
      <c r="Z72" s="13">
        <f t="shared" si="18"/>
        <v>60</v>
      </c>
    </row>
    <row r="73" ht="12.75" customHeight="1">
      <c r="A73" s="18"/>
      <c r="B73" s="49"/>
      <c r="C73" s="50" t="s">
        <v>63</v>
      </c>
      <c r="D73" s="51"/>
      <c r="E73" s="73">
        <v>1.0</v>
      </c>
      <c r="F73" s="73">
        <v>5.0</v>
      </c>
      <c r="G73" s="73">
        <v>0.0</v>
      </c>
      <c r="H73" s="73">
        <v>1.0</v>
      </c>
      <c r="I73" s="73">
        <v>3.0</v>
      </c>
      <c r="J73" s="73">
        <v>1.0</v>
      </c>
      <c r="K73" s="73">
        <v>2.0</v>
      </c>
      <c r="L73" s="73">
        <v>1.0</v>
      </c>
      <c r="M73" s="73">
        <v>0.0</v>
      </c>
      <c r="N73" s="73">
        <v>2.0</v>
      </c>
      <c r="O73" s="73">
        <v>0.0</v>
      </c>
      <c r="P73" s="73">
        <v>0.0</v>
      </c>
      <c r="Q73" s="73">
        <v>0.0</v>
      </c>
      <c r="R73" s="73">
        <v>0.0</v>
      </c>
      <c r="S73" s="73">
        <v>0.0</v>
      </c>
      <c r="T73" s="73">
        <v>2.0</v>
      </c>
      <c r="U73" s="73">
        <v>1.0</v>
      </c>
      <c r="V73" s="73">
        <v>0.0</v>
      </c>
      <c r="W73" s="73">
        <v>0.0</v>
      </c>
      <c r="X73" s="73">
        <v>0.0</v>
      </c>
      <c r="Y73" s="73">
        <v>0.0</v>
      </c>
      <c r="Z73" s="13">
        <f t="shared" si="18"/>
        <v>19</v>
      </c>
    </row>
    <row r="74" ht="12.75" customHeight="1">
      <c r="A74" s="18"/>
      <c r="B74" s="49"/>
      <c r="C74" s="50" t="s">
        <v>64</v>
      </c>
      <c r="D74" s="51"/>
      <c r="E74" s="73">
        <v>3.0</v>
      </c>
      <c r="F74" s="73">
        <v>0.0</v>
      </c>
      <c r="G74" s="73">
        <v>2.0</v>
      </c>
      <c r="H74" s="73">
        <v>2.0</v>
      </c>
      <c r="I74" s="73">
        <v>2.0</v>
      </c>
      <c r="J74" s="73">
        <v>0.0</v>
      </c>
      <c r="K74" s="73">
        <v>1.0</v>
      </c>
      <c r="L74" s="73">
        <v>0.0</v>
      </c>
      <c r="M74" s="73">
        <v>3.0</v>
      </c>
      <c r="N74" s="73">
        <v>0.0</v>
      </c>
      <c r="O74" s="73">
        <v>0.0</v>
      </c>
      <c r="P74" s="73">
        <v>0.0</v>
      </c>
      <c r="Q74" s="73">
        <v>1.0</v>
      </c>
      <c r="R74" s="73">
        <v>0.0</v>
      </c>
      <c r="S74" s="73">
        <v>0.0</v>
      </c>
      <c r="T74" s="73">
        <v>0.0</v>
      </c>
      <c r="U74" s="73">
        <v>2.0</v>
      </c>
      <c r="V74" s="73">
        <v>2.0</v>
      </c>
      <c r="W74" s="73">
        <v>1.0</v>
      </c>
      <c r="X74" s="73">
        <v>1.0</v>
      </c>
      <c r="Y74" s="73">
        <v>0.0</v>
      </c>
      <c r="Z74" s="13">
        <f t="shared" si="18"/>
        <v>20</v>
      </c>
    </row>
    <row r="75" ht="12.75" customHeight="1">
      <c r="A75" s="18"/>
      <c r="B75" s="49"/>
      <c r="C75" s="50" t="s">
        <v>65</v>
      </c>
      <c r="D75" s="51"/>
      <c r="E75" s="73">
        <v>0.0</v>
      </c>
      <c r="F75" s="73">
        <v>1.0</v>
      </c>
      <c r="G75" s="73">
        <v>1.0</v>
      </c>
      <c r="H75" s="73">
        <v>3.0</v>
      </c>
      <c r="I75" s="73">
        <v>0.0</v>
      </c>
      <c r="J75" s="73">
        <v>3.0</v>
      </c>
      <c r="K75" s="73">
        <v>1.0</v>
      </c>
      <c r="L75" s="73">
        <v>3.0</v>
      </c>
      <c r="M75" s="73">
        <v>1.0</v>
      </c>
      <c r="N75" s="73">
        <v>2.0</v>
      </c>
      <c r="O75" s="73">
        <v>2.0</v>
      </c>
      <c r="P75" s="73">
        <v>1.0</v>
      </c>
      <c r="Q75" s="73">
        <v>0.0</v>
      </c>
      <c r="R75" s="73">
        <v>2.0</v>
      </c>
      <c r="S75" s="73">
        <v>0.0</v>
      </c>
      <c r="T75" s="73">
        <v>2.0</v>
      </c>
      <c r="U75" s="73">
        <v>2.0</v>
      </c>
      <c r="V75" s="73">
        <v>0.0</v>
      </c>
      <c r="W75" s="73">
        <v>1.0</v>
      </c>
      <c r="X75" s="73">
        <v>1.0</v>
      </c>
      <c r="Y75" s="73">
        <v>2.0</v>
      </c>
      <c r="Z75" s="13">
        <f t="shared" si="18"/>
        <v>28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0.0</v>
      </c>
      <c r="G76" s="80">
        <v>0.0</v>
      </c>
      <c r="H76" s="80">
        <v>0.0</v>
      </c>
      <c r="I76" s="80">
        <v>0.0</v>
      </c>
      <c r="J76" s="80">
        <v>0.0</v>
      </c>
      <c r="K76" s="80">
        <v>2.0</v>
      </c>
      <c r="L76" s="80">
        <v>0.0</v>
      </c>
      <c r="M76" s="80">
        <v>0.0</v>
      </c>
      <c r="N76" s="80">
        <v>0.0</v>
      </c>
      <c r="O76" s="80">
        <v>1.0</v>
      </c>
      <c r="P76" s="80">
        <v>0.0</v>
      </c>
      <c r="Q76" s="80">
        <v>1.0</v>
      </c>
      <c r="R76" s="80">
        <v>1.0</v>
      </c>
      <c r="S76" s="80">
        <v>0.0</v>
      </c>
      <c r="T76" s="80">
        <v>0.0</v>
      </c>
      <c r="U76" s="80">
        <v>1.0</v>
      </c>
      <c r="V76" s="80">
        <v>0.0</v>
      </c>
      <c r="W76" s="80">
        <v>0.0</v>
      </c>
      <c r="X76" s="80">
        <v>0.0</v>
      </c>
      <c r="Y76" s="80">
        <v>1.0</v>
      </c>
      <c r="Z76" s="13">
        <f t="shared" si="18"/>
        <v>7</v>
      </c>
    </row>
    <row r="77" ht="12.75" customHeight="1">
      <c r="A77" s="79"/>
      <c r="B77" s="49"/>
      <c r="C77" s="50" t="s">
        <v>67</v>
      </c>
      <c r="D77" s="51"/>
      <c r="E77" s="80">
        <v>1.0</v>
      </c>
      <c r="F77" s="80">
        <v>0.0</v>
      </c>
      <c r="G77" s="80">
        <v>1.0</v>
      </c>
      <c r="H77" s="80">
        <v>0.0</v>
      </c>
      <c r="I77" s="80">
        <v>0.0</v>
      </c>
      <c r="J77" s="80">
        <v>0.0</v>
      </c>
      <c r="K77" s="80">
        <v>0.0</v>
      </c>
      <c r="L77" s="80">
        <v>1.0</v>
      </c>
      <c r="M77" s="80">
        <v>0.0</v>
      </c>
      <c r="N77" s="80">
        <v>0.0</v>
      </c>
      <c r="O77" s="80">
        <v>1.0</v>
      </c>
      <c r="P77" s="80">
        <v>0.0</v>
      </c>
      <c r="Q77" s="80">
        <v>1.0</v>
      </c>
      <c r="R77" s="80">
        <v>0.0</v>
      </c>
      <c r="S77" s="80">
        <v>1.0</v>
      </c>
      <c r="T77" s="80">
        <v>0.0</v>
      </c>
      <c r="U77" s="80">
        <v>1.0</v>
      </c>
      <c r="V77" s="80">
        <v>0.0</v>
      </c>
      <c r="W77" s="80">
        <v>1.0</v>
      </c>
      <c r="X77" s="80">
        <v>0.0</v>
      </c>
      <c r="Y77" s="80">
        <v>1.0</v>
      </c>
      <c r="Z77" s="13">
        <f t="shared" si="18"/>
        <v>9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1.0</v>
      </c>
      <c r="G78" s="80">
        <v>1.0</v>
      </c>
      <c r="H78" s="80">
        <v>1.0</v>
      </c>
      <c r="I78" s="80">
        <v>0.0</v>
      </c>
      <c r="J78" s="80">
        <v>1.0</v>
      </c>
      <c r="K78" s="80">
        <v>0.0</v>
      </c>
      <c r="L78" s="80">
        <v>3.0</v>
      </c>
      <c r="M78" s="80">
        <v>0.0</v>
      </c>
      <c r="N78" s="80">
        <v>1.0</v>
      </c>
      <c r="O78" s="80">
        <v>1.0</v>
      </c>
      <c r="P78" s="80">
        <v>0.0</v>
      </c>
      <c r="Q78" s="80">
        <v>1.0</v>
      </c>
      <c r="R78" s="80">
        <v>1.0</v>
      </c>
      <c r="S78" s="80">
        <v>1.0</v>
      </c>
      <c r="T78" s="80">
        <v>0.0</v>
      </c>
      <c r="U78" s="80">
        <v>0.0</v>
      </c>
      <c r="V78" s="80">
        <v>1.0</v>
      </c>
      <c r="W78" s="80">
        <v>0.0</v>
      </c>
      <c r="X78" s="80">
        <v>1.0</v>
      </c>
      <c r="Y78" s="80">
        <v>2.0</v>
      </c>
      <c r="Z78" s="13">
        <f t="shared" si="18"/>
        <v>16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Z79" si="19">SUM(E69:E78)</f>
        <v>42</v>
      </c>
      <c r="F79" s="13">
        <f t="shared" si="19"/>
        <v>29</v>
      </c>
      <c r="G79" s="13">
        <f t="shared" si="19"/>
        <v>31</v>
      </c>
      <c r="H79" s="13">
        <f t="shared" si="19"/>
        <v>28</v>
      </c>
      <c r="I79" s="13">
        <f t="shared" si="19"/>
        <v>35</v>
      </c>
      <c r="J79" s="13">
        <f t="shared" si="19"/>
        <v>46</v>
      </c>
      <c r="K79" s="13">
        <f t="shared" si="19"/>
        <v>32</v>
      </c>
      <c r="L79" s="13">
        <f t="shared" si="19"/>
        <v>30</v>
      </c>
      <c r="M79" s="13">
        <f t="shared" si="19"/>
        <v>22</v>
      </c>
      <c r="N79" s="13">
        <f t="shared" si="19"/>
        <v>30</v>
      </c>
      <c r="O79" s="13">
        <f t="shared" si="19"/>
        <v>34</v>
      </c>
      <c r="P79" s="13">
        <f t="shared" si="19"/>
        <v>30</v>
      </c>
      <c r="Q79" s="13">
        <f t="shared" si="19"/>
        <v>42</v>
      </c>
      <c r="R79" s="13">
        <f t="shared" si="19"/>
        <v>37</v>
      </c>
      <c r="S79" s="13">
        <f t="shared" si="19"/>
        <v>43</v>
      </c>
      <c r="T79" s="13">
        <f t="shared" si="19"/>
        <v>18</v>
      </c>
      <c r="U79" s="13">
        <f t="shared" si="19"/>
        <v>45</v>
      </c>
      <c r="V79" s="13">
        <f t="shared" si="19"/>
        <v>23</v>
      </c>
      <c r="W79" s="13">
        <f t="shared" si="19"/>
        <v>43</v>
      </c>
      <c r="X79" s="13">
        <f t="shared" si="19"/>
        <v>31</v>
      </c>
      <c r="Y79" s="13">
        <f t="shared" si="19"/>
        <v>47</v>
      </c>
      <c r="Z79" s="13">
        <f t="shared" si="19"/>
        <v>718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6.0</v>
      </c>
      <c r="F81" s="73">
        <v>4.0</v>
      </c>
      <c r="G81" s="73">
        <v>10.0</v>
      </c>
      <c r="H81" s="73">
        <v>8.0</v>
      </c>
      <c r="I81" s="73">
        <v>7.0</v>
      </c>
      <c r="J81" s="73">
        <v>8.0</v>
      </c>
      <c r="K81" s="73">
        <v>4.0</v>
      </c>
      <c r="L81" s="73">
        <v>5.0</v>
      </c>
      <c r="M81" s="73">
        <v>5.0</v>
      </c>
      <c r="N81" s="73">
        <v>8.0</v>
      </c>
      <c r="O81" s="73">
        <v>2.0</v>
      </c>
      <c r="P81" s="73">
        <v>6.0</v>
      </c>
      <c r="Q81" s="73">
        <v>10.0</v>
      </c>
      <c r="R81" s="73">
        <v>6.0</v>
      </c>
      <c r="S81" s="73">
        <v>5.0</v>
      </c>
      <c r="T81" s="73">
        <v>4.0</v>
      </c>
      <c r="U81" s="73">
        <v>4.0</v>
      </c>
      <c r="V81" s="73">
        <v>6.0</v>
      </c>
      <c r="W81" s="73">
        <v>2.0</v>
      </c>
      <c r="X81" s="73">
        <v>0.0</v>
      </c>
      <c r="Y81" s="73">
        <v>7.0</v>
      </c>
      <c r="Z81" s="13">
        <f t="shared" ref="Z81:Z90" si="20">SUM(E81:Y81)</f>
        <v>117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1.0</v>
      </c>
      <c r="F82" s="73">
        <v>1.0</v>
      </c>
      <c r="G82" s="73">
        <v>1.0</v>
      </c>
      <c r="H82" s="73">
        <v>4.0</v>
      </c>
      <c r="I82" s="73">
        <v>6.0</v>
      </c>
      <c r="J82" s="73">
        <v>9.0</v>
      </c>
      <c r="K82" s="73">
        <v>4.0</v>
      </c>
      <c r="L82" s="73">
        <v>2.0</v>
      </c>
      <c r="M82" s="73">
        <v>4.0</v>
      </c>
      <c r="N82" s="73">
        <v>5.0</v>
      </c>
      <c r="O82" s="73">
        <v>2.0</v>
      </c>
      <c r="P82" s="73">
        <v>3.0</v>
      </c>
      <c r="Q82" s="73">
        <v>5.0</v>
      </c>
      <c r="R82" s="73">
        <v>4.0</v>
      </c>
      <c r="S82" s="73">
        <v>5.0</v>
      </c>
      <c r="T82" s="73">
        <v>3.0</v>
      </c>
      <c r="U82" s="73">
        <v>10.0</v>
      </c>
      <c r="V82" s="73">
        <v>5.0</v>
      </c>
      <c r="W82" s="73">
        <v>2.0</v>
      </c>
      <c r="X82" s="73">
        <v>0.0</v>
      </c>
      <c r="Y82" s="73">
        <v>1.0</v>
      </c>
      <c r="Z82" s="13">
        <f t="shared" si="20"/>
        <v>77</v>
      </c>
    </row>
    <row r="83" ht="12.75" customHeight="1">
      <c r="A83" s="18"/>
      <c r="B83" s="49"/>
      <c r="C83" s="50" t="s">
        <v>71</v>
      </c>
      <c r="D83" s="51"/>
      <c r="E83" s="73">
        <v>1.0</v>
      </c>
      <c r="F83" s="73">
        <v>2.0</v>
      </c>
      <c r="G83" s="73">
        <v>1.0</v>
      </c>
      <c r="H83" s="73">
        <v>5.0</v>
      </c>
      <c r="I83" s="73">
        <v>0.0</v>
      </c>
      <c r="J83" s="73">
        <v>2.0</v>
      </c>
      <c r="K83" s="73">
        <v>1.0</v>
      </c>
      <c r="L83" s="73">
        <v>1.0</v>
      </c>
      <c r="M83" s="73">
        <v>2.0</v>
      </c>
      <c r="N83" s="73">
        <v>4.0</v>
      </c>
      <c r="O83" s="73">
        <v>1.0</v>
      </c>
      <c r="P83" s="73">
        <v>1.0</v>
      </c>
      <c r="Q83" s="73">
        <v>1.0</v>
      </c>
      <c r="R83" s="73">
        <v>0.0</v>
      </c>
      <c r="S83" s="73">
        <v>0.0</v>
      </c>
      <c r="T83" s="73">
        <v>0.0</v>
      </c>
      <c r="U83" s="73">
        <v>1.0</v>
      </c>
      <c r="V83" s="73">
        <v>1.0</v>
      </c>
      <c r="W83" s="73">
        <v>1.0</v>
      </c>
      <c r="X83" s="73">
        <v>1.0</v>
      </c>
      <c r="Y83" s="73">
        <v>1.0</v>
      </c>
      <c r="Z83" s="13">
        <f t="shared" si="20"/>
        <v>27</v>
      </c>
    </row>
    <row r="84" ht="12.75" customHeight="1">
      <c r="A84" s="18"/>
      <c r="B84" s="49"/>
      <c r="C84" s="50" t="s">
        <v>72</v>
      </c>
      <c r="D84" s="51"/>
      <c r="E84" s="73">
        <v>2.0</v>
      </c>
      <c r="F84" s="73">
        <v>0.0</v>
      </c>
      <c r="G84" s="73">
        <v>0.0</v>
      </c>
      <c r="H84" s="73">
        <v>0.0</v>
      </c>
      <c r="I84" s="73">
        <v>1.0</v>
      </c>
      <c r="J84" s="73">
        <v>0.0</v>
      </c>
      <c r="K84" s="73">
        <v>1.0</v>
      </c>
      <c r="L84" s="73">
        <v>0.0</v>
      </c>
      <c r="M84" s="73">
        <v>1.0</v>
      </c>
      <c r="N84" s="73">
        <v>4.0</v>
      </c>
      <c r="O84" s="73">
        <v>0.0</v>
      </c>
      <c r="P84" s="73">
        <v>4.0</v>
      </c>
      <c r="Q84" s="73">
        <v>0.0</v>
      </c>
      <c r="R84" s="73">
        <v>0.0</v>
      </c>
      <c r="S84" s="73">
        <v>0.0</v>
      </c>
      <c r="T84" s="73">
        <v>0.0</v>
      </c>
      <c r="U84" s="73">
        <v>1.0</v>
      </c>
      <c r="V84" s="73">
        <v>0.0</v>
      </c>
      <c r="W84" s="73">
        <v>1.0</v>
      </c>
      <c r="X84" s="73">
        <v>0.0</v>
      </c>
      <c r="Y84" s="73">
        <v>2.0</v>
      </c>
      <c r="Z84" s="13">
        <f t="shared" si="20"/>
        <v>17</v>
      </c>
    </row>
    <row r="85" ht="12.75" customHeight="1">
      <c r="A85" s="18"/>
      <c r="B85" s="49"/>
      <c r="C85" s="50" t="s">
        <v>73</v>
      </c>
      <c r="D85" s="51"/>
      <c r="E85" s="73">
        <v>7.0</v>
      </c>
      <c r="F85" s="73">
        <v>2.0</v>
      </c>
      <c r="G85" s="73">
        <v>4.0</v>
      </c>
      <c r="H85" s="73">
        <v>1.0</v>
      </c>
      <c r="I85" s="73">
        <v>0.0</v>
      </c>
      <c r="J85" s="73">
        <v>1.0</v>
      </c>
      <c r="K85" s="73">
        <v>3.0</v>
      </c>
      <c r="L85" s="73">
        <v>2.0</v>
      </c>
      <c r="M85" s="73">
        <v>5.0</v>
      </c>
      <c r="N85" s="73">
        <v>5.0</v>
      </c>
      <c r="O85" s="73">
        <v>1.0</v>
      </c>
      <c r="P85" s="73">
        <v>0.0</v>
      </c>
      <c r="Q85" s="73">
        <v>4.0</v>
      </c>
      <c r="R85" s="73">
        <v>3.0</v>
      </c>
      <c r="S85" s="73">
        <v>2.0</v>
      </c>
      <c r="T85" s="73">
        <v>2.0</v>
      </c>
      <c r="U85" s="73">
        <v>2.0</v>
      </c>
      <c r="V85" s="73">
        <v>1.0</v>
      </c>
      <c r="W85" s="73">
        <v>1.0</v>
      </c>
      <c r="X85" s="73">
        <v>1.0</v>
      </c>
      <c r="Y85" s="73">
        <v>0.0</v>
      </c>
      <c r="Z85" s="13">
        <f t="shared" si="20"/>
        <v>47</v>
      </c>
    </row>
    <row r="86" ht="12.75" customHeight="1">
      <c r="A86" s="18"/>
      <c r="B86" s="49"/>
      <c r="C86" s="50" t="s">
        <v>74</v>
      </c>
      <c r="D86" s="51"/>
      <c r="E86" s="73">
        <v>1.0</v>
      </c>
      <c r="F86" s="73">
        <v>0.0</v>
      </c>
      <c r="G86" s="73">
        <v>0.0</v>
      </c>
      <c r="H86" s="73">
        <v>2.0</v>
      </c>
      <c r="I86" s="73">
        <v>5.0</v>
      </c>
      <c r="J86" s="73">
        <v>0.0</v>
      </c>
      <c r="K86" s="73">
        <v>3.0</v>
      </c>
      <c r="L86" s="73">
        <v>2.0</v>
      </c>
      <c r="M86" s="73">
        <v>2.0</v>
      </c>
      <c r="N86" s="73">
        <v>2.0</v>
      </c>
      <c r="O86" s="73">
        <v>1.0</v>
      </c>
      <c r="P86" s="73">
        <v>6.0</v>
      </c>
      <c r="Q86" s="73">
        <v>1.0</v>
      </c>
      <c r="R86" s="73">
        <v>0.0</v>
      </c>
      <c r="S86" s="73">
        <v>2.0</v>
      </c>
      <c r="T86" s="73">
        <v>2.0</v>
      </c>
      <c r="U86" s="73">
        <v>2.0</v>
      </c>
      <c r="V86" s="73">
        <v>0.0</v>
      </c>
      <c r="W86" s="73">
        <v>1.0</v>
      </c>
      <c r="X86" s="73">
        <v>0.0</v>
      </c>
      <c r="Y86" s="73">
        <v>0.0</v>
      </c>
      <c r="Z86" s="13">
        <f t="shared" si="20"/>
        <v>32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0.0</v>
      </c>
      <c r="G87" s="73">
        <v>0.0</v>
      </c>
      <c r="H87" s="73">
        <v>1.0</v>
      </c>
      <c r="I87" s="73">
        <v>0.0</v>
      </c>
      <c r="J87" s="73">
        <v>0.0</v>
      </c>
      <c r="K87" s="73">
        <v>0.0</v>
      </c>
      <c r="L87" s="73">
        <v>0.0</v>
      </c>
      <c r="M87" s="73">
        <v>2.0</v>
      </c>
      <c r="N87" s="73">
        <v>1.0</v>
      </c>
      <c r="O87" s="73">
        <v>1.0</v>
      </c>
      <c r="P87" s="73">
        <v>1.0</v>
      </c>
      <c r="Q87" s="73">
        <v>1.0</v>
      </c>
      <c r="R87" s="73">
        <v>0.0</v>
      </c>
      <c r="S87" s="73">
        <v>0.0</v>
      </c>
      <c r="T87" s="73">
        <v>2.0</v>
      </c>
      <c r="U87" s="73">
        <v>0.0</v>
      </c>
      <c r="V87" s="73">
        <v>0.0</v>
      </c>
      <c r="W87" s="73">
        <v>0.0</v>
      </c>
      <c r="X87" s="73">
        <v>0.0</v>
      </c>
      <c r="Y87" s="73">
        <v>0.0</v>
      </c>
      <c r="Z87" s="13">
        <f t="shared" si="20"/>
        <v>9</v>
      </c>
    </row>
    <row r="88" ht="12.75" customHeight="1">
      <c r="A88" s="79"/>
      <c r="B88" s="49"/>
      <c r="C88" s="50" t="s">
        <v>76</v>
      </c>
      <c r="D88" s="51"/>
      <c r="E88" s="80">
        <v>1.0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0.0</v>
      </c>
      <c r="L88" s="80">
        <v>0.0</v>
      </c>
      <c r="M88" s="80">
        <v>1.0</v>
      </c>
      <c r="N88" s="80">
        <v>0.0</v>
      </c>
      <c r="O88" s="80">
        <v>1.0</v>
      </c>
      <c r="P88" s="80">
        <v>0.0</v>
      </c>
      <c r="Q88" s="80">
        <v>0.0</v>
      </c>
      <c r="R88" s="80">
        <v>0.0</v>
      </c>
      <c r="S88" s="80">
        <v>0.0</v>
      </c>
      <c r="T88" s="80">
        <v>1.0</v>
      </c>
      <c r="U88" s="80">
        <v>0.0</v>
      </c>
      <c r="V88" s="80">
        <v>2.0</v>
      </c>
      <c r="W88" s="80">
        <v>0.0</v>
      </c>
      <c r="X88" s="80">
        <v>0.0</v>
      </c>
      <c r="Y88" s="80">
        <v>0.0</v>
      </c>
      <c r="Z88" s="13">
        <f t="shared" si="20"/>
        <v>6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0.0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0.0</v>
      </c>
      <c r="N89" s="80">
        <v>0.0</v>
      </c>
      <c r="O89" s="80">
        <v>0.0</v>
      </c>
      <c r="P89" s="80">
        <v>1.0</v>
      </c>
      <c r="Q89" s="80">
        <v>0.0</v>
      </c>
      <c r="R89" s="80">
        <v>0.0</v>
      </c>
      <c r="S89" s="80">
        <v>0.0</v>
      </c>
      <c r="T89" s="80">
        <v>1.0</v>
      </c>
      <c r="U89" s="80">
        <v>0.0</v>
      </c>
      <c r="V89" s="80">
        <v>0.0</v>
      </c>
      <c r="W89" s="80">
        <v>1.0</v>
      </c>
      <c r="X89" s="80">
        <v>0.0</v>
      </c>
      <c r="Y89" s="80">
        <v>0.0</v>
      </c>
      <c r="Z89" s="13">
        <f t="shared" si="20"/>
        <v>3</v>
      </c>
    </row>
    <row r="90" ht="12.75" customHeight="1">
      <c r="A90" s="79"/>
      <c r="B90" s="49"/>
      <c r="C90" s="50" t="s">
        <v>78</v>
      </c>
      <c r="D90" s="51"/>
      <c r="E90" s="80">
        <v>1.0</v>
      </c>
      <c r="F90" s="80">
        <v>0.0</v>
      </c>
      <c r="G90" s="80">
        <v>0.0</v>
      </c>
      <c r="H90" s="80">
        <v>0.0</v>
      </c>
      <c r="I90" s="80">
        <v>0.0</v>
      </c>
      <c r="J90" s="80">
        <v>0.0</v>
      </c>
      <c r="K90" s="80">
        <v>0.0</v>
      </c>
      <c r="L90" s="80">
        <v>0.0</v>
      </c>
      <c r="M90" s="80">
        <v>1.0</v>
      </c>
      <c r="N90" s="80">
        <v>1.0</v>
      </c>
      <c r="O90" s="80">
        <v>0.0</v>
      </c>
      <c r="P90" s="80">
        <v>0.0</v>
      </c>
      <c r="Q90" s="80">
        <v>1.0</v>
      </c>
      <c r="R90" s="80">
        <v>0.0</v>
      </c>
      <c r="S90" s="80">
        <v>0.0</v>
      </c>
      <c r="T90" s="80">
        <v>0.0</v>
      </c>
      <c r="U90" s="80">
        <v>0.0</v>
      </c>
      <c r="V90" s="80">
        <v>0.0</v>
      </c>
      <c r="W90" s="80">
        <v>0.0</v>
      </c>
      <c r="X90" s="80">
        <v>0.0</v>
      </c>
      <c r="Y90" s="80">
        <v>0.0</v>
      </c>
      <c r="Z90" s="13">
        <f t="shared" si="20"/>
        <v>4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Z91" si="21">SUM(E81:E90)</f>
        <v>20</v>
      </c>
      <c r="F91" s="13">
        <f t="shared" si="21"/>
        <v>9</v>
      </c>
      <c r="G91" s="13">
        <f t="shared" si="21"/>
        <v>16</v>
      </c>
      <c r="H91" s="13">
        <f t="shared" si="21"/>
        <v>21</v>
      </c>
      <c r="I91" s="13">
        <f t="shared" si="21"/>
        <v>19</v>
      </c>
      <c r="J91" s="13">
        <f t="shared" si="21"/>
        <v>20</v>
      </c>
      <c r="K91" s="13">
        <f t="shared" si="21"/>
        <v>16</v>
      </c>
      <c r="L91" s="13">
        <f t="shared" si="21"/>
        <v>12</v>
      </c>
      <c r="M91" s="13">
        <f t="shared" si="21"/>
        <v>23</v>
      </c>
      <c r="N91" s="13">
        <f t="shared" si="21"/>
        <v>30</v>
      </c>
      <c r="O91" s="13">
        <f t="shared" si="21"/>
        <v>9</v>
      </c>
      <c r="P91" s="13">
        <f t="shared" si="21"/>
        <v>22</v>
      </c>
      <c r="Q91" s="13">
        <f t="shared" si="21"/>
        <v>23</v>
      </c>
      <c r="R91" s="13">
        <f t="shared" si="21"/>
        <v>13</v>
      </c>
      <c r="S91" s="13">
        <f t="shared" si="21"/>
        <v>14</v>
      </c>
      <c r="T91" s="13">
        <f t="shared" si="21"/>
        <v>15</v>
      </c>
      <c r="U91" s="13">
        <f t="shared" si="21"/>
        <v>20</v>
      </c>
      <c r="V91" s="13">
        <f t="shared" si="21"/>
        <v>15</v>
      </c>
      <c r="W91" s="13">
        <f t="shared" si="21"/>
        <v>9</v>
      </c>
      <c r="X91" s="13">
        <f t="shared" si="21"/>
        <v>2</v>
      </c>
      <c r="Y91" s="13">
        <f t="shared" si="21"/>
        <v>11</v>
      </c>
      <c r="Z91" s="13">
        <f t="shared" si="21"/>
        <v>339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1.0</v>
      </c>
      <c r="F93" s="73">
        <v>2.0</v>
      </c>
      <c r="G93" s="73">
        <v>3.0</v>
      </c>
      <c r="H93" s="73">
        <v>0.0</v>
      </c>
      <c r="I93" s="73">
        <v>0.0</v>
      </c>
      <c r="J93" s="73">
        <v>2.0</v>
      </c>
      <c r="K93" s="73">
        <v>0.0</v>
      </c>
      <c r="L93" s="73">
        <v>6.0</v>
      </c>
      <c r="M93" s="73">
        <v>2.0</v>
      </c>
      <c r="N93" s="73">
        <v>2.0</v>
      </c>
      <c r="O93" s="73">
        <v>0.0</v>
      </c>
      <c r="P93" s="73">
        <v>5.0</v>
      </c>
      <c r="Q93" s="73">
        <v>5.0</v>
      </c>
      <c r="R93" s="73">
        <v>3.0</v>
      </c>
      <c r="S93" s="73">
        <v>3.0</v>
      </c>
      <c r="T93" s="73">
        <v>5.0</v>
      </c>
      <c r="U93" s="73">
        <v>0.0</v>
      </c>
      <c r="V93" s="73">
        <v>1.0</v>
      </c>
      <c r="W93" s="73">
        <v>0.0</v>
      </c>
      <c r="X93" s="73">
        <v>3.0</v>
      </c>
      <c r="Y93" s="73">
        <v>4.0</v>
      </c>
      <c r="Z93" s="13">
        <f t="shared" ref="Z93:Z102" si="22">SUM(E93:Y93)</f>
        <v>47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0.0</v>
      </c>
      <c r="F94" s="73">
        <v>0.0</v>
      </c>
      <c r="G94" s="73">
        <v>1.0</v>
      </c>
      <c r="H94" s="73">
        <v>0.0</v>
      </c>
      <c r="I94" s="73">
        <v>0.0</v>
      </c>
      <c r="J94" s="73">
        <v>3.0</v>
      </c>
      <c r="K94" s="73">
        <v>1.0</v>
      </c>
      <c r="L94" s="73">
        <v>2.0</v>
      </c>
      <c r="M94" s="73">
        <v>2.0</v>
      </c>
      <c r="N94" s="73">
        <v>5.0</v>
      </c>
      <c r="O94" s="73">
        <v>5.0</v>
      </c>
      <c r="P94" s="73">
        <v>5.0</v>
      </c>
      <c r="Q94" s="73">
        <v>3.0</v>
      </c>
      <c r="R94" s="73">
        <v>5.0</v>
      </c>
      <c r="S94" s="73">
        <v>5.0</v>
      </c>
      <c r="T94" s="73">
        <v>2.0</v>
      </c>
      <c r="U94" s="73">
        <v>1.0</v>
      </c>
      <c r="V94" s="73">
        <v>1.0</v>
      </c>
      <c r="W94" s="73">
        <v>1.0</v>
      </c>
      <c r="X94" s="73">
        <v>3.0</v>
      </c>
      <c r="Y94" s="73">
        <v>7.0</v>
      </c>
      <c r="Z94" s="13">
        <f t="shared" si="22"/>
        <v>52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0.0</v>
      </c>
      <c r="J95" s="73">
        <v>0.0</v>
      </c>
      <c r="K95" s="73">
        <v>0.0</v>
      </c>
      <c r="L95" s="73">
        <v>0.0</v>
      </c>
      <c r="M95" s="73">
        <v>0.0</v>
      </c>
      <c r="N95" s="73">
        <v>0.0</v>
      </c>
      <c r="O95" s="73">
        <v>1.0</v>
      </c>
      <c r="P95" s="73">
        <v>1.0</v>
      </c>
      <c r="Q95" s="73">
        <v>0.0</v>
      </c>
      <c r="R95" s="73">
        <v>0.0</v>
      </c>
      <c r="S95" s="73">
        <v>1.0</v>
      </c>
      <c r="T95" s="73">
        <v>0.0</v>
      </c>
      <c r="U95" s="73">
        <v>0.0</v>
      </c>
      <c r="V95" s="73">
        <v>0.0</v>
      </c>
      <c r="W95" s="73">
        <v>0.0</v>
      </c>
      <c r="X95" s="73">
        <v>1.0</v>
      </c>
      <c r="Y95" s="73">
        <v>2.0</v>
      </c>
      <c r="Z95" s="13">
        <f t="shared" si="22"/>
        <v>6</v>
      </c>
    </row>
    <row r="96" ht="12.75" customHeight="1">
      <c r="A96" s="18"/>
      <c r="B96" s="49"/>
      <c r="C96" s="50" t="s">
        <v>83</v>
      </c>
      <c r="D96" s="56"/>
      <c r="E96" s="73">
        <v>1.0</v>
      </c>
      <c r="F96" s="73">
        <v>0.0</v>
      </c>
      <c r="G96" s="73">
        <v>0.0</v>
      </c>
      <c r="H96" s="73">
        <v>0.0</v>
      </c>
      <c r="I96" s="73">
        <v>0.0</v>
      </c>
      <c r="J96" s="73">
        <v>0.0</v>
      </c>
      <c r="K96" s="73">
        <v>0.0</v>
      </c>
      <c r="L96" s="73">
        <v>0.0</v>
      </c>
      <c r="M96" s="73">
        <v>0.0</v>
      </c>
      <c r="N96" s="73">
        <v>0.0</v>
      </c>
      <c r="O96" s="73">
        <v>0.0</v>
      </c>
      <c r="P96" s="73">
        <v>0.0</v>
      </c>
      <c r="Q96" s="73">
        <v>2.0</v>
      </c>
      <c r="R96" s="73">
        <v>1.0</v>
      </c>
      <c r="S96" s="73">
        <v>2.0</v>
      </c>
      <c r="T96" s="73">
        <v>1.0</v>
      </c>
      <c r="U96" s="73">
        <v>0.0</v>
      </c>
      <c r="V96" s="73">
        <v>0.0</v>
      </c>
      <c r="W96" s="73">
        <v>0.0</v>
      </c>
      <c r="X96" s="73">
        <v>1.0</v>
      </c>
      <c r="Y96" s="73">
        <v>0.0</v>
      </c>
      <c r="Z96" s="13">
        <f t="shared" si="22"/>
        <v>8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1.0</v>
      </c>
      <c r="H97" s="73">
        <v>0.0</v>
      </c>
      <c r="I97" s="73">
        <v>1.0</v>
      </c>
      <c r="J97" s="73">
        <v>0.0</v>
      </c>
      <c r="K97" s="73">
        <v>0.0</v>
      </c>
      <c r="L97" s="73">
        <v>0.0</v>
      </c>
      <c r="M97" s="73">
        <v>0.0</v>
      </c>
      <c r="N97" s="73">
        <v>0.0</v>
      </c>
      <c r="O97" s="73">
        <v>1.0</v>
      </c>
      <c r="P97" s="73">
        <v>0.0</v>
      </c>
      <c r="Q97" s="73">
        <v>0.0</v>
      </c>
      <c r="R97" s="73">
        <v>0.0</v>
      </c>
      <c r="S97" s="73">
        <v>1.0</v>
      </c>
      <c r="T97" s="73">
        <v>0.0</v>
      </c>
      <c r="U97" s="73">
        <v>1.0</v>
      </c>
      <c r="V97" s="73">
        <v>0.0</v>
      </c>
      <c r="W97" s="73">
        <v>0.0</v>
      </c>
      <c r="X97" s="73">
        <v>0.0</v>
      </c>
      <c r="Y97" s="73">
        <v>0.0</v>
      </c>
      <c r="Z97" s="13">
        <f t="shared" si="22"/>
        <v>5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2.0</v>
      </c>
      <c r="G98" s="73">
        <v>0.0</v>
      </c>
      <c r="H98" s="73">
        <v>0.0</v>
      </c>
      <c r="I98" s="73">
        <v>0.0</v>
      </c>
      <c r="J98" s="73">
        <v>2.0</v>
      </c>
      <c r="K98" s="73">
        <v>0.0</v>
      </c>
      <c r="L98" s="73">
        <v>0.0</v>
      </c>
      <c r="M98" s="73">
        <v>0.0</v>
      </c>
      <c r="N98" s="73">
        <v>1.0</v>
      </c>
      <c r="O98" s="73">
        <v>0.0</v>
      </c>
      <c r="P98" s="73">
        <v>0.0</v>
      </c>
      <c r="Q98" s="73">
        <v>1.0</v>
      </c>
      <c r="R98" s="73">
        <v>0.0</v>
      </c>
      <c r="S98" s="73">
        <v>1.0</v>
      </c>
      <c r="T98" s="73">
        <v>1.0</v>
      </c>
      <c r="U98" s="73">
        <v>0.0</v>
      </c>
      <c r="V98" s="73">
        <v>0.0</v>
      </c>
      <c r="W98" s="73">
        <v>0.0</v>
      </c>
      <c r="X98" s="73">
        <v>0.0</v>
      </c>
      <c r="Y98" s="73">
        <v>2.0</v>
      </c>
      <c r="Z98" s="13">
        <f t="shared" si="22"/>
        <v>10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0.0</v>
      </c>
      <c r="G99" s="73">
        <v>0.0</v>
      </c>
      <c r="H99" s="73">
        <v>0.0</v>
      </c>
      <c r="I99" s="73">
        <v>0.0</v>
      </c>
      <c r="J99" s="73">
        <v>0.0</v>
      </c>
      <c r="K99" s="73">
        <v>1.0</v>
      </c>
      <c r="L99" s="73">
        <v>0.0</v>
      </c>
      <c r="M99" s="73">
        <v>0.0</v>
      </c>
      <c r="N99" s="73">
        <v>0.0</v>
      </c>
      <c r="O99" s="73">
        <v>0.0</v>
      </c>
      <c r="P99" s="73">
        <v>0.0</v>
      </c>
      <c r="Q99" s="73">
        <v>0.0</v>
      </c>
      <c r="R99" s="73">
        <v>0.0</v>
      </c>
      <c r="S99" s="73">
        <v>2.0</v>
      </c>
      <c r="T99" s="73">
        <v>0.0</v>
      </c>
      <c r="U99" s="73">
        <v>0.0</v>
      </c>
      <c r="V99" s="73">
        <v>0.0</v>
      </c>
      <c r="W99" s="73">
        <v>1.0</v>
      </c>
      <c r="X99" s="73">
        <v>0.0</v>
      </c>
      <c r="Y99" s="73">
        <v>0.0</v>
      </c>
      <c r="Z99" s="13">
        <f t="shared" si="22"/>
        <v>4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0.0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1.0</v>
      </c>
      <c r="T100" s="80">
        <v>0.0</v>
      </c>
      <c r="U100" s="80">
        <v>1.0</v>
      </c>
      <c r="V100" s="80">
        <v>0.0</v>
      </c>
      <c r="W100" s="80">
        <v>0.0</v>
      </c>
      <c r="X100" s="80">
        <v>0.0</v>
      </c>
      <c r="Y100" s="80">
        <v>0.0</v>
      </c>
      <c r="Z100" s="13">
        <f t="shared" si="22"/>
        <v>2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80">
        <v>0.0</v>
      </c>
      <c r="M101" s="80">
        <v>0.0</v>
      </c>
      <c r="N101" s="80">
        <v>0.0</v>
      </c>
      <c r="O101" s="80">
        <v>0.0</v>
      </c>
      <c r="P101" s="80">
        <v>0.0</v>
      </c>
      <c r="Q101" s="80">
        <v>0.0</v>
      </c>
      <c r="R101" s="80">
        <v>0.0</v>
      </c>
      <c r="S101" s="80">
        <v>0.0</v>
      </c>
      <c r="T101" s="80">
        <v>0.0</v>
      </c>
      <c r="U101" s="80">
        <v>0.0</v>
      </c>
      <c r="V101" s="80">
        <v>0.0</v>
      </c>
      <c r="W101" s="80">
        <v>0.0</v>
      </c>
      <c r="X101" s="80">
        <v>0.0</v>
      </c>
      <c r="Y101" s="80">
        <v>0.0</v>
      </c>
      <c r="Z101" s="13">
        <f t="shared" si="22"/>
        <v>0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80">
        <v>0.0</v>
      </c>
      <c r="V102" s="80">
        <v>0.0</v>
      </c>
      <c r="W102" s="80">
        <v>0.0</v>
      </c>
      <c r="X102" s="80">
        <v>0.0</v>
      </c>
      <c r="Y102" s="80">
        <v>0.0</v>
      </c>
      <c r="Z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Z103" si="23">SUM(E93:E102)</f>
        <v>2</v>
      </c>
      <c r="F103" s="13">
        <f t="shared" si="23"/>
        <v>4</v>
      </c>
      <c r="G103" s="13">
        <f t="shared" si="23"/>
        <v>5</v>
      </c>
      <c r="H103" s="13">
        <f t="shared" si="23"/>
        <v>0</v>
      </c>
      <c r="I103" s="13">
        <f t="shared" si="23"/>
        <v>1</v>
      </c>
      <c r="J103" s="13">
        <f t="shared" si="23"/>
        <v>7</v>
      </c>
      <c r="K103" s="13">
        <f t="shared" si="23"/>
        <v>2</v>
      </c>
      <c r="L103" s="13">
        <f t="shared" si="23"/>
        <v>8</v>
      </c>
      <c r="M103" s="13">
        <f t="shared" si="23"/>
        <v>4</v>
      </c>
      <c r="N103" s="13">
        <f t="shared" si="23"/>
        <v>8</v>
      </c>
      <c r="O103" s="13">
        <f t="shared" si="23"/>
        <v>7</v>
      </c>
      <c r="P103" s="13">
        <f t="shared" si="23"/>
        <v>11</v>
      </c>
      <c r="Q103" s="13">
        <f t="shared" si="23"/>
        <v>11</v>
      </c>
      <c r="R103" s="13">
        <f t="shared" si="23"/>
        <v>9</v>
      </c>
      <c r="S103" s="13">
        <f t="shared" si="23"/>
        <v>16</v>
      </c>
      <c r="T103" s="13">
        <f t="shared" si="23"/>
        <v>9</v>
      </c>
      <c r="U103" s="13">
        <f t="shared" si="23"/>
        <v>3</v>
      </c>
      <c r="V103" s="13">
        <f t="shared" si="23"/>
        <v>2</v>
      </c>
      <c r="W103" s="13">
        <f t="shared" si="23"/>
        <v>2</v>
      </c>
      <c r="X103" s="13">
        <f t="shared" si="23"/>
        <v>8</v>
      </c>
      <c r="Y103" s="13">
        <f t="shared" si="23"/>
        <v>15</v>
      </c>
      <c r="Z103" s="13">
        <f t="shared" si="23"/>
        <v>134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1.0</v>
      </c>
      <c r="G105" s="73">
        <v>0.0</v>
      </c>
      <c r="H105" s="73">
        <v>0.0</v>
      </c>
      <c r="I105" s="73">
        <v>2.0</v>
      </c>
      <c r="J105" s="73">
        <v>0.0</v>
      </c>
      <c r="K105" s="73">
        <v>0.0</v>
      </c>
      <c r="L105" s="73">
        <v>0.0</v>
      </c>
      <c r="M105" s="73">
        <v>0.0</v>
      </c>
      <c r="N105" s="73">
        <v>0.0</v>
      </c>
      <c r="O105" s="73">
        <v>1.0</v>
      </c>
      <c r="P105" s="73">
        <v>2.0</v>
      </c>
      <c r="Q105" s="73">
        <v>0.0</v>
      </c>
      <c r="R105" s="73">
        <v>1.0</v>
      </c>
      <c r="S105" s="73">
        <v>1.0</v>
      </c>
      <c r="T105" s="73">
        <v>2.0</v>
      </c>
      <c r="U105" s="73">
        <v>1.0</v>
      </c>
      <c r="V105" s="73">
        <v>0.0</v>
      </c>
      <c r="W105" s="73">
        <v>0.0</v>
      </c>
      <c r="X105" s="73">
        <v>0.0</v>
      </c>
      <c r="Y105" s="73">
        <v>0.0</v>
      </c>
      <c r="Z105" s="13">
        <f t="shared" ref="Z105:Z114" si="24">SUM(E105:Y105)</f>
        <v>11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1.0</v>
      </c>
      <c r="J106" s="73">
        <v>0.0</v>
      </c>
      <c r="K106" s="73">
        <v>0.0</v>
      </c>
      <c r="L106" s="73">
        <v>0.0</v>
      </c>
      <c r="M106" s="73">
        <v>0.0</v>
      </c>
      <c r="N106" s="73">
        <v>0.0</v>
      </c>
      <c r="O106" s="73">
        <v>0.0</v>
      </c>
      <c r="P106" s="73">
        <v>0.0</v>
      </c>
      <c r="Q106" s="73">
        <v>1.0</v>
      </c>
      <c r="R106" s="73">
        <v>1.0</v>
      </c>
      <c r="S106" s="73">
        <v>2.0</v>
      </c>
      <c r="T106" s="73">
        <v>0.0</v>
      </c>
      <c r="U106" s="73">
        <v>0.0</v>
      </c>
      <c r="V106" s="73">
        <v>0.0</v>
      </c>
      <c r="W106" s="73">
        <v>0.0</v>
      </c>
      <c r="X106" s="73">
        <v>0.0</v>
      </c>
      <c r="Y106" s="73">
        <v>1.0</v>
      </c>
      <c r="Z106" s="13">
        <f t="shared" si="24"/>
        <v>6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0.0</v>
      </c>
      <c r="I107" s="80">
        <v>0.0</v>
      </c>
      <c r="J107" s="80">
        <v>0.0</v>
      </c>
      <c r="K107" s="80">
        <v>0.0</v>
      </c>
      <c r="L107" s="80">
        <v>0.0</v>
      </c>
      <c r="M107" s="80">
        <v>0.0</v>
      </c>
      <c r="N107" s="80">
        <v>1.0</v>
      </c>
      <c r="O107" s="80">
        <v>0.0</v>
      </c>
      <c r="P107" s="80">
        <v>1.0</v>
      </c>
      <c r="Q107" s="80">
        <v>1.0</v>
      </c>
      <c r="R107" s="80">
        <v>0.0</v>
      </c>
      <c r="S107" s="80">
        <v>0.0</v>
      </c>
      <c r="T107" s="80">
        <v>1.0</v>
      </c>
      <c r="U107" s="80">
        <v>2.0</v>
      </c>
      <c r="V107" s="80">
        <v>2.0</v>
      </c>
      <c r="W107" s="80">
        <v>0.0</v>
      </c>
      <c r="X107" s="80">
        <v>0.0</v>
      </c>
      <c r="Y107" s="80">
        <v>0.0</v>
      </c>
      <c r="Z107" s="13">
        <f t="shared" si="24"/>
        <v>8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Z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3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3</v>
      </c>
      <c r="Q115" s="13">
        <f t="shared" si="25"/>
        <v>2</v>
      </c>
      <c r="R115" s="13">
        <f t="shared" si="25"/>
        <v>2</v>
      </c>
      <c r="S115" s="13">
        <f t="shared" si="25"/>
        <v>3</v>
      </c>
      <c r="T115" s="13">
        <f t="shared" si="25"/>
        <v>3</v>
      </c>
      <c r="U115" s="13">
        <f t="shared" si="25"/>
        <v>3</v>
      </c>
      <c r="V115" s="13">
        <f t="shared" si="25"/>
        <v>2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25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0.0</v>
      </c>
      <c r="F117" s="73">
        <v>1.0</v>
      </c>
      <c r="G117" s="73">
        <v>0.0</v>
      </c>
      <c r="H117" s="73">
        <v>0.0</v>
      </c>
      <c r="I117" s="73">
        <v>0.0</v>
      </c>
      <c r="J117" s="73">
        <v>1.0</v>
      </c>
      <c r="K117" s="73">
        <v>1.0</v>
      </c>
      <c r="L117" s="73">
        <v>0.0</v>
      </c>
      <c r="M117" s="73">
        <v>1.0</v>
      </c>
      <c r="N117" s="73">
        <v>0.0</v>
      </c>
      <c r="O117" s="73">
        <v>1.0</v>
      </c>
      <c r="P117" s="73">
        <v>1.0</v>
      </c>
      <c r="Q117" s="73">
        <v>0.0</v>
      </c>
      <c r="R117" s="73">
        <v>0.0</v>
      </c>
      <c r="S117" s="73">
        <v>0.0</v>
      </c>
      <c r="T117" s="73">
        <v>0.0</v>
      </c>
      <c r="U117" s="73">
        <v>1.0</v>
      </c>
      <c r="V117" s="73">
        <v>0.0</v>
      </c>
      <c r="W117" s="73">
        <v>1.0</v>
      </c>
      <c r="X117" s="73">
        <v>0.0</v>
      </c>
      <c r="Y117" s="73">
        <v>0.0</v>
      </c>
      <c r="Z117" s="13">
        <f t="shared" ref="Z117:Z126" si="26">SUM(E117:Y117)</f>
        <v>8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0.0</v>
      </c>
      <c r="G118" s="73">
        <v>0.0</v>
      </c>
      <c r="H118" s="73">
        <v>0.0</v>
      </c>
      <c r="I118" s="73">
        <v>0.0</v>
      </c>
      <c r="J118" s="73">
        <v>2.0</v>
      </c>
      <c r="K118" s="73">
        <v>0.0</v>
      </c>
      <c r="L118" s="73">
        <v>3.0</v>
      </c>
      <c r="M118" s="73">
        <v>0.0</v>
      </c>
      <c r="N118" s="73">
        <v>0.0</v>
      </c>
      <c r="O118" s="73">
        <v>0.0</v>
      </c>
      <c r="P118" s="73">
        <v>2.0</v>
      </c>
      <c r="Q118" s="73">
        <v>0.0</v>
      </c>
      <c r="R118" s="73">
        <v>0.0</v>
      </c>
      <c r="S118" s="73">
        <v>0.0</v>
      </c>
      <c r="T118" s="73">
        <v>0.0</v>
      </c>
      <c r="U118" s="73">
        <v>0.0</v>
      </c>
      <c r="V118" s="73">
        <v>1.0</v>
      </c>
      <c r="W118" s="73">
        <v>0.0</v>
      </c>
      <c r="X118" s="73">
        <v>0.0</v>
      </c>
      <c r="Y118" s="73">
        <v>1.0</v>
      </c>
      <c r="Z118" s="13">
        <f t="shared" si="26"/>
        <v>9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0.0</v>
      </c>
      <c r="H119" s="73">
        <v>0.0</v>
      </c>
      <c r="I119" s="73">
        <v>0.0</v>
      </c>
      <c r="J119" s="73">
        <v>0.0</v>
      </c>
      <c r="K119" s="73">
        <v>0.0</v>
      </c>
      <c r="L119" s="73">
        <v>0.0</v>
      </c>
      <c r="M119" s="73">
        <v>0.0</v>
      </c>
      <c r="N119" s="73">
        <v>0.0</v>
      </c>
      <c r="O119" s="73">
        <v>0.0</v>
      </c>
      <c r="P119" s="73">
        <v>3.0</v>
      </c>
      <c r="Q119" s="73">
        <v>0.0</v>
      </c>
      <c r="R119" s="73">
        <v>0.0</v>
      </c>
      <c r="S119" s="73">
        <v>0.0</v>
      </c>
      <c r="T119" s="73">
        <v>0.0</v>
      </c>
      <c r="U119" s="73">
        <v>0.0</v>
      </c>
      <c r="V119" s="73">
        <v>0.0</v>
      </c>
      <c r="W119" s="73">
        <v>0.0</v>
      </c>
      <c r="X119" s="73">
        <v>0.0</v>
      </c>
      <c r="Y119" s="73">
        <v>0.0</v>
      </c>
      <c r="Z119" s="13">
        <f t="shared" si="26"/>
        <v>3</v>
      </c>
    </row>
    <row r="120" ht="12.75" customHeight="1">
      <c r="A120" s="18"/>
      <c r="B120" s="49"/>
      <c r="C120" s="50" t="s">
        <v>98</v>
      </c>
      <c r="D120" s="51"/>
      <c r="E120" s="73">
        <v>0.0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1.0</v>
      </c>
      <c r="P120" s="73">
        <v>0.0</v>
      </c>
      <c r="Q120" s="73">
        <v>0.0</v>
      </c>
      <c r="R120" s="73">
        <v>0.0</v>
      </c>
      <c r="S120" s="73">
        <v>1.0</v>
      </c>
      <c r="T120" s="73">
        <v>0.0</v>
      </c>
      <c r="U120" s="73">
        <v>1.0</v>
      </c>
      <c r="V120" s="73">
        <v>0.0</v>
      </c>
      <c r="W120" s="73">
        <v>0.0</v>
      </c>
      <c r="X120" s="73">
        <v>0.0</v>
      </c>
      <c r="Y120" s="73">
        <v>0.0</v>
      </c>
      <c r="Z120" s="13">
        <f t="shared" si="26"/>
        <v>3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0.0</v>
      </c>
      <c r="I121" s="80">
        <v>0.0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80">
        <v>1.0</v>
      </c>
      <c r="U121" s="80">
        <v>0.0</v>
      </c>
      <c r="V121" s="80">
        <v>0.0</v>
      </c>
      <c r="W121" s="80">
        <v>0.0</v>
      </c>
      <c r="X121" s="80">
        <v>0.0</v>
      </c>
      <c r="Y121" s="80">
        <v>0.0</v>
      </c>
      <c r="Z121" s="13">
        <f t="shared" si="26"/>
        <v>1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1.0</v>
      </c>
      <c r="H122" s="80">
        <v>0.0</v>
      </c>
      <c r="I122" s="80">
        <v>0.0</v>
      </c>
      <c r="J122" s="80">
        <v>0.0</v>
      </c>
      <c r="K122" s="80">
        <v>0.0</v>
      </c>
      <c r="L122" s="80">
        <v>0.0</v>
      </c>
      <c r="M122" s="80">
        <v>0.0</v>
      </c>
      <c r="N122" s="80">
        <v>0.0</v>
      </c>
      <c r="O122" s="80">
        <v>0.0</v>
      </c>
      <c r="P122" s="73">
        <v>0.0</v>
      </c>
      <c r="Q122" s="80">
        <v>1.0</v>
      </c>
      <c r="R122" s="80">
        <v>0.0</v>
      </c>
      <c r="S122" s="80">
        <v>0.0</v>
      </c>
      <c r="T122" s="80">
        <v>0.0</v>
      </c>
      <c r="U122" s="80">
        <v>1.0</v>
      </c>
      <c r="V122" s="80">
        <v>0.0</v>
      </c>
      <c r="W122" s="80">
        <v>0.0</v>
      </c>
      <c r="X122" s="80">
        <v>0.0</v>
      </c>
      <c r="Y122" s="80">
        <v>0.0</v>
      </c>
      <c r="Z122" s="13">
        <f t="shared" si="26"/>
        <v>3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62"/>
      <c r="V123" s="62"/>
      <c r="W123" s="62"/>
      <c r="X123" s="62"/>
      <c r="Y123" s="62"/>
      <c r="Z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Z127" si="27">SUM(E117:E126)</f>
        <v>0</v>
      </c>
      <c r="F127" s="13">
        <f t="shared" si="27"/>
        <v>1</v>
      </c>
      <c r="G127" s="13">
        <f t="shared" si="27"/>
        <v>1</v>
      </c>
      <c r="H127" s="13">
        <f t="shared" si="27"/>
        <v>0</v>
      </c>
      <c r="I127" s="13">
        <f t="shared" si="27"/>
        <v>0</v>
      </c>
      <c r="J127" s="13">
        <f t="shared" si="27"/>
        <v>3</v>
      </c>
      <c r="K127" s="13">
        <f t="shared" si="27"/>
        <v>1</v>
      </c>
      <c r="L127" s="13">
        <f t="shared" si="27"/>
        <v>3</v>
      </c>
      <c r="M127" s="13">
        <f t="shared" si="27"/>
        <v>1</v>
      </c>
      <c r="N127" s="13">
        <f t="shared" si="27"/>
        <v>0</v>
      </c>
      <c r="O127" s="13">
        <f t="shared" si="27"/>
        <v>2</v>
      </c>
      <c r="P127" s="13">
        <f t="shared" si="27"/>
        <v>6</v>
      </c>
      <c r="Q127" s="13">
        <f t="shared" si="27"/>
        <v>1</v>
      </c>
      <c r="R127" s="13">
        <f t="shared" si="27"/>
        <v>0</v>
      </c>
      <c r="S127" s="13">
        <f t="shared" si="27"/>
        <v>1</v>
      </c>
      <c r="T127" s="13">
        <f t="shared" si="27"/>
        <v>1</v>
      </c>
      <c r="U127" s="13">
        <f t="shared" si="27"/>
        <v>3</v>
      </c>
      <c r="V127" s="13">
        <f t="shared" si="27"/>
        <v>1</v>
      </c>
      <c r="W127" s="13">
        <f t="shared" si="27"/>
        <v>1</v>
      </c>
      <c r="X127" s="13">
        <f t="shared" si="27"/>
        <v>0</v>
      </c>
      <c r="Y127" s="13">
        <f t="shared" si="27"/>
        <v>1</v>
      </c>
      <c r="Z127" s="13">
        <f t="shared" si="27"/>
        <v>27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1.0</v>
      </c>
      <c r="F129" s="73">
        <v>3.0</v>
      </c>
      <c r="G129" s="73">
        <v>5.0</v>
      </c>
      <c r="H129" s="73">
        <v>9.0</v>
      </c>
      <c r="I129" s="73">
        <v>3.0</v>
      </c>
      <c r="J129" s="73">
        <v>4.0</v>
      </c>
      <c r="K129" s="73">
        <v>10.0</v>
      </c>
      <c r="L129" s="73">
        <v>8.0</v>
      </c>
      <c r="M129" s="73">
        <v>5.0</v>
      </c>
      <c r="N129" s="73">
        <v>4.0</v>
      </c>
      <c r="O129" s="73">
        <v>10.0</v>
      </c>
      <c r="P129" s="73">
        <v>8.0</v>
      </c>
      <c r="Q129" s="73">
        <v>11.0</v>
      </c>
      <c r="R129" s="73">
        <v>11.0</v>
      </c>
      <c r="S129" s="73">
        <v>4.0</v>
      </c>
      <c r="T129" s="73">
        <v>6.0</v>
      </c>
      <c r="U129" s="73">
        <v>9.0</v>
      </c>
      <c r="V129" s="73">
        <v>6.0</v>
      </c>
      <c r="W129" s="73">
        <v>4.0</v>
      </c>
      <c r="X129" s="73">
        <v>7.0</v>
      </c>
      <c r="Y129" s="73">
        <v>5.0</v>
      </c>
      <c r="Z129" s="13">
        <f t="shared" ref="Z129:Z138" si="28">SUM(E129:Y129)</f>
        <v>133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3.0</v>
      </c>
      <c r="F130" s="73">
        <v>8.0</v>
      </c>
      <c r="G130" s="73">
        <v>28.0</v>
      </c>
      <c r="H130" s="73">
        <v>7.0</v>
      </c>
      <c r="I130" s="73">
        <v>1.0</v>
      </c>
      <c r="J130" s="73">
        <v>6.0</v>
      </c>
      <c r="K130" s="73">
        <v>15.0</v>
      </c>
      <c r="L130" s="73">
        <v>0.0</v>
      </c>
      <c r="M130" s="73">
        <v>3.0</v>
      </c>
      <c r="N130" s="73">
        <v>3.0</v>
      </c>
      <c r="O130" s="73">
        <v>4.0</v>
      </c>
      <c r="P130" s="73">
        <v>14.0</v>
      </c>
      <c r="Q130" s="73">
        <v>6.0</v>
      </c>
      <c r="R130" s="73">
        <v>6.0</v>
      </c>
      <c r="S130" s="73">
        <v>12.0</v>
      </c>
      <c r="T130" s="73">
        <v>5.0</v>
      </c>
      <c r="U130" s="73">
        <v>4.0</v>
      </c>
      <c r="V130" s="73">
        <v>4.0</v>
      </c>
      <c r="W130" s="73">
        <v>4.0</v>
      </c>
      <c r="X130" s="73">
        <v>8.0</v>
      </c>
      <c r="Y130" s="73">
        <v>0.0</v>
      </c>
      <c r="Z130" s="13">
        <f t="shared" si="28"/>
        <v>141</v>
      </c>
    </row>
    <row r="131" ht="12.75" customHeight="1">
      <c r="A131" s="18"/>
      <c r="B131" s="49"/>
      <c r="C131" s="50" t="s">
        <v>104</v>
      </c>
      <c r="D131" s="51"/>
      <c r="E131" s="73">
        <v>1.0</v>
      </c>
      <c r="F131" s="73">
        <v>1.0</v>
      </c>
      <c r="G131" s="73">
        <v>3.0</v>
      </c>
      <c r="H131" s="73">
        <v>2.0</v>
      </c>
      <c r="I131" s="73">
        <v>2.0</v>
      </c>
      <c r="J131" s="73">
        <v>1.0</v>
      </c>
      <c r="K131" s="73">
        <v>0.0</v>
      </c>
      <c r="L131" s="73">
        <v>1.0</v>
      </c>
      <c r="M131" s="73">
        <v>0.0</v>
      </c>
      <c r="N131" s="73">
        <v>0.0</v>
      </c>
      <c r="O131" s="73">
        <v>1.0</v>
      </c>
      <c r="P131" s="73">
        <v>3.0</v>
      </c>
      <c r="Q131" s="73">
        <v>2.0</v>
      </c>
      <c r="R131" s="73">
        <v>0.0</v>
      </c>
      <c r="S131" s="73">
        <v>2.0</v>
      </c>
      <c r="T131" s="73">
        <v>0.0</v>
      </c>
      <c r="U131" s="73">
        <v>1.0</v>
      </c>
      <c r="V131" s="73">
        <v>0.0</v>
      </c>
      <c r="W131" s="73">
        <v>0.0</v>
      </c>
      <c r="X131" s="73">
        <v>0.0</v>
      </c>
      <c r="Y131" s="73">
        <v>0.0</v>
      </c>
      <c r="Z131" s="13">
        <f t="shared" si="28"/>
        <v>20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1.0</v>
      </c>
      <c r="G132" s="73">
        <v>1.0</v>
      </c>
      <c r="H132" s="73">
        <v>1.0</v>
      </c>
      <c r="I132" s="73">
        <v>1.0</v>
      </c>
      <c r="J132" s="73">
        <v>1.0</v>
      </c>
      <c r="K132" s="73">
        <v>3.0</v>
      </c>
      <c r="L132" s="73">
        <v>0.0</v>
      </c>
      <c r="M132" s="73">
        <v>0.0</v>
      </c>
      <c r="N132" s="73">
        <v>1.0</v>
      </c>
      <c r="O132" s="73">
        <v>7.0</v>
      </c>
      <c r="P132" s="73">
        <v>5.0</v>
      </c>
      <c r="Q132" s="73">
        <v>6.0</v>
      </c>
      <c r="R132" s="73">
        <v>2.0</v>
      </c>
      <c r="S132" s="73">
        <v>7.0</v>
      </c>
      <c r="T132" s="73">
        <v>8.0</v>
      </c>
      <c r="U132" s="73">
        <v>29.0</v>
      </c>
      <c r="V132" s="73">
        <v>93.0</v>
      </c>
      <c r="W132" s="73">
        <v>25.0</v>
      </c>
      <c r="X132" s="73">
        <v>0.0</v>
      </c>
      <c r="Y132" s="73">
        <v>1.0</v>
      </c>
      <c r="Z132" s="13">
        <f t="shared" si="28"/>
        <v>192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2.0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0.0</v>
      </c>
      <c r="M133" s="73">
        <v>2.0</v>
      </c>
      <c r="N133" s="73">
        <v>0.0</v>
      </c>
      <c r="O133" s="73">
        <v>1.0</v>
      </c>
      <c r="P133" s="73">
        <v>1.0</v>
      </c>
      <c r="Q133" s="73">
        <v>0.0</v>
      </c>
      <c r="R133" s="73">
        <v>1.0</v>
      </c>
      <c r="S133" s="73">
        <v>2.0</v>
      </c>
      <c r="T133" s="73">
        <v>1.0</v>
      </c>
      <c r="U133" s="73">
        <v>0.0</v>
      </c>
      <c r="V133" s="73">
        <v>0.0</v>
      </c>
      <c r="W133" s="73">
        <v>0.0</v>
      </c>
      <c r="X133" s="73">
        <v>1.0</v>
      </c>
      <c r="Y133" s="73">
        <v>0.0</v>
      </c>
      <c r="Z133" s="13">
        <f t="shared" si="28"/>
        <v>11</v>
      </c>
    </row>
    <row r="134" ht="12.75" customHeight="1">
      <c r="A134" s="18"/>
      <c r="B134" s="49"/>
      <c r="C134" s="50" t="s">
        <v>107</v>
      </c>
      <c r="D134" s="51"/>
      <c r="E134" s="73">
        <v>3.0</v>
      </c>
      <c r="F134" s="73">
        <v>4.0</v>
      </c>
      <c r="G134" s="73">
        <v>2.0</v>
      </c>
      <c r="H134" s="73">
        <v>0.0</v>
      </c>
      <c r="I134" s="73">
        <v>3.0</v>
      </c>
      <c r="J134" s="73">
        <v>4.0</v>
      </c>
      <c r="K134" s="73">
        <v>0.0</v>
      </c>
      <c r="L134" s="73">
        <v>4.0</v>
      </c>
      <c r="M134" s="73">
        <v>3.0</v>
      </c>
      <c r="N134" s="73">
        <v>4.0</v>
      </c>
      <c r="O134" s="73">
        <v>7.0</v>
      </c>
      <c r="P134" s="73">
        <v>3.0</v>
      </c>
      <c r="Q134" s="73">
        <v>1.0</v>
      </c>
      <c r="R134" s="73">
        <v>2.0</v>
      </c>
      <c r="S134" s="73">
        <v>2.0</v>
      </c>
      <c r="T134" s="73">
        <v>10.0</v>
      </c>
      <c r="U134" s="73">
        <v>2.0</v>
      </c>
      <c r="V134" s="73">
        <v>0.0</v>
      </c>
      <c r="W134" s="73">
        <v>2.0</v>
      </c>
      <c r="X134" s="73">
        <v>5.0</v>
      </c>
      <c r="Y134" s="73">
        <v>1.0</v>
      </c>
      <c r="Z134" s="13">
        <f t="shared" si="28"/>
        <v>62</v>
      </c>
    </row>
    <row r="135" ht="12.75" customHeight="1">
      <c r="A135" s="18"/>
      <c r="B135" s="49"/>
      <c r="C135" s="50" t="s">
        <v>108</v>
      </c>
      <c r="D135" s="51"/>
      <c r="E135" s="73">
        <v>1.0</v>
      </c>
      <c r="F135" s="73">
        <v>1.0</v>
      </c>
      <c r="G135" s="73">
        <v>1.0</v>
      </c>
      <c r="H135" s="73">
        <v>2.0</v>
      </c>
      <c r="I135" s="73">
        <v>1.0</v>
      </c>
      <c r="J135" s="73">
        <v>0.0</v>
      </c>
      <c r="K135" s="73">
        <v>3.0</v>
      </c>
      <c r="L135" s="73">
        <v>0.0</v>
      </c>
      <c r="M135" s="73">
        <v>1.0</v>
      </c>
      <c r="N135" s="73">
        <v>1.0</v>
      </c>
      <c r="O135" s="73">
        <v>2.0</v>
      </c>
      <c r="P135" s="73">
        <v>3.0</v>
      </c>
      <c r="Q135" s="73">
        <v>10.0</v>
      </c>
      <c r="R135" s="73">
        <v>1.0</v>
      </c>
      <c r="S135" s="73">
        <v>1.0</v>
      </c>
      <c r="T135" s="73">
        <v>2.0</v>
      </c>
      <c r="U135" s="73">
        <v>2.0</v>
      </c>
      <c r="V135" s="73">
        <v>0.0</v>
      </c>
      <c r="W135" s="73">
        <v>1.0</v>
      </c>
      <c r="X135" s="73">
        <v>0.0</v>
      </c>
      <c r="Y135" s="73">
        <v>0.0</v>
      </c>
      <c r="Z135" s="13">
        <f t="shared" si="28"/>
        <v>33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3.0</v>
      </c>
      <c r="I136" s="80">
        <v>0.0</v>
      </c>
      <c r="J136" s="80">
        <v>0.0</v>
      </c>
      <c r="K136" s="80">
        <v>0.0</v>
      </c>
      <c r="L136" s="80">
        <v>0.0</v>
      </c>
      <c r="M136" s="80">
        <v>0.0</v>
      </c>
      <c r="N136" s="80">
        <v>1.0</v>
      </c>
      <c r="O136" s="80">
        <v>2.0</v>
      </c>
      <c r="P136" s="80">
        <v>0.0</v>
      </c>
      <c r="Q136" s="80">
        <v>4.0</v>
      </c>
      <c r="R136" s="80">
        <v>0.0</v>
      </c>
      <c r="S136" s="80">
        <v>0.0</v>
      </c>
      <c r="T136" s="80">
        <v>1.0</v>
      </c>
      <c r="U136" s="80">
        <v>0.0</v>
      </c>
      <c r="V136" s="80">
        <v>0.0</v>
      </c>
      <c r="W136" s="80">
        <v>0.0</v>
      </c>
      <c r="X136" s="80">
        <v>0.0</v>
      </c>
      <c r="Y136" s="80">
        <v>0.0</v>
      </c>
      <c r="Z136" s="13">
        <f t="shared" si="28"/>
        <v>11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0.0</v>
      </c>
      <c r="H137" s="80">
        <v>0.0</v>
      </c>
      <c r="I137" s="80">
        <v>0.0</v>
      </c>
      <c r="J137" s="80">
        <v>1.0</v>
      </c>
      <c r="K137" s="80">
        <v>0.0</v>
      </c>
      <c r="L137" s="80">
        <v>1.0</v>
      </c>
      <c r="M137" s="80">
        <v>0.0</v>
      </c>
      <c r="N137" s="80">
        <v>0.0</v>
      </c>
      <c r="O137" s="80">
        <v>0.0</v>
      </c>
      <c r="P137" s="80">
        <v>0.0</v>
      </c>
      <c r="Q137" s="80">
        <v>0.0</v>
      </c>
      <c r="R137" s="80">
        <v>0.0</v>
      </c>
      <c r="S137" s="80">
        <v>0.0</v>
      </c>
      <c r="T137" s="80">
        <v>0.0</v>
      </c>
      <c r="U137" s="80">
        <v>0.0</v>
      </c>
      <c r="V137" s="80">
        <v>0.0</v>
      </c>
      <c r="W137" s="80">
        <v>0.0</v>
      </c>
      <c r="X137" s="80">
        <v>0.0</v>
      </c>
      <c r="Y137" s="80">
        <v>0.0</v>
      </c>
      <c r="Z137" s="13">
        <f t="shared" si="28"/>
        <v>2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1.0</v>
      </c>
      <c r="G138" s="80">
        <v>0.0</v>
      </c>
      <c r="H138" s="80">
        <v>0.0</v>
      </c>
      <c r="I138" s="80">
        <v>0.0</v>
      </c>
      <c r="J138" s="80">
        <v>0.0</v>
      </c>
      <c r="K138" s="80">
        <v>0.0</v>
      </c>
      <c r="L138" s="80">
        <v>1.0</v>
      </c>
      <c r="M138" s="80">
        <v>0.0</v>
      </c>
      <c r="N138" s="80">
        <v>0.0</v>
      </c>
      <c r="O138" s="80">
        <v>1.0</v>
      </c>
      <c r="P138" s="80">
        <v>1.0</v>
      </c>
      <c r="Q138" s="80">
        <v>0.0</v>
      </c>
      <c r="R138" s="80">
        <v>0.0</v>
      </c>
      <c r="S138" s="80">
        <v>1.0</v>
      </c>
      <c r="T138" s="80">
        <v>2.0</v>
      </c>
      <c r="U138" s="80">
        <v>2.0</v>
      </c>
      <c r="V138" s="80">
        <v>0.0</v>
      </c>
      <c r="W138" s="80">
        <v>0.0</v>
      </c>
      <c r="X138" s="80">
        <v>0.0</v>
      </c>
      <c r="Y138" s="80">
        <v>0.0</v>
      </c>
      <c r="Z138" s="13">
        <f t="shared" si="28"/>
        <v>9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Z139" si="29">SUM(E129:E138)</f>
        <v>9</v>
      </c>
      <c r="F139" s="13">
        <f t="shared" si="29"/>
        <v>21</v>
      </c>
      <c r="G139" s="13">
        <f t="shared" si="29"/>
        <v>40</v>
      </c>
      <c r="H139" s="13">
        <f t="shared" si="29"/>
        <v>24</v>
      </c>
      <c r="I139" s="13">
        <f t="shared" si="29"/>
        <v>11</v>
      </c>
      <c r="J139" s="13">
        <f t="shared" si="29"/>
        <v>17</v>
      </c>
      <c r="K139" s="13">
        <f t="shared" si="29"/>
        <v>31</v>
      </c>
      <c r="L139" s="13">
        <f t="shared" si="29"/>
        <v>15</v>
      </c>
      <c r="M139" s="13">
        <f t="shared" si="29"/>
        <v>14</v>
      </c>
      <c r="N139" s="13">
        <f t="shared" si="29"/>
        <v>14</v>
      </c>
      <c r="O139" s="13">
        <f t="shared" si="29"/>
        <v>35</v>
      </c>
      <c r="P139" s="13">
        <f t="shared" si="29"/>
        <v>38</v>
      </c>
      <c r="Q139" s="13">
        <f t="shared" si="29"/>
        <v>40</v>
      </c>
      <c r="R139" s="13">
        <f t="shared" si="29"/>
        <v>23</v>
      </c>
      <c r="S139" s="13">
        <f t="shared" si="29"/>
        <v>31</v>
      </c>
      <c r="T139" s="13">
        <f t="shared" si="29"/>
        <v>35</v>
      </c>
      <c r="U139" s="13">
        <f t="shared" si="29"/>
        <v>49</v>
      </c>
      <c r="V139" s="13">
        <f t="shared" si="29"/>
        <v>103</v>
      </c>
      <c r="W139" s="13">
        <f t="shared" si="29"/>
        <v>36</v>
      </c>
      <c r="X139" s="13">
        <f t="shared" si="29"/>
        <v>21</v>
      </c>
      <c r="Y139" s="13">
        <f t="shared" si="29"/>
        <v>7</v>
      </c>
      <c r="Z139" s="13">
        <f t="shared" si="29"/>
        <v>614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73">
        <v>0.0</v>
      </c>
      <c r="V141" s="73">
        <v>0.0</v>
      </c>
      <c r="W141" s="73">
        <v>0.0</v>
      </c>
      <c r="X141" s="73">
        <v>0.0</v>
      </c>
      <c r="Y141" s="73">
        <v>0.0</v>
      </c>
      <c r="Z141" s="13">
        <f t="shared" ref="Z141:Z150" si="30">SUM(E141:Y141)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0.0</v>
      </c>
      <c r="N142" s="73">
        <v>0.0</v>
      </c>
      <c r="O142" s="73">
        <v>0.0</v>
      </c>
      <c r="P142" s="73">
        <v>0.0</v>
      </c>
      <c r="Q142" s="73">
        <v>1.0</v>
      </c>
      <c r="R142" s="73">
        <v>0.0</v>
      </c>
      <c r="S142" s="73">
        <v>0.0</v>
      </c>
      <c r="T142" s="73">
        <v>0.0</v>
      </c>
      <c r="U142" s="73">
        <v>0.0</v>
      </c>
      <c r="V142" s="73">
        <v>0.0</v>
      </c>
      <c r="W142" s="73">
        <v>0.0</v>
      </c>
      <c r="X142" s="73">
        <v>0.0</v>
      </c>
      <c r="Y142" s="73">
        <v>0.0</v>
      </c>
      <c r="Z142" s="13">
        <f t="shared" si="30"/>
        <v>1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1.0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80">
        <v>0.0</v>
      </c>
      <c r="U143" s="80">
        <v>0.0</v>
      </c>
      <c r="V143" s="80">
        <v>0.0</v>
      </c>
      <c r="W143" s="80">
        <v>0.0</v>
      </c>
      <c r="X143" s="80">
        <v>0.0</v>
      </c>
      <c r="Y143" s="80">
        <v>0.0</v>
      </c>
      <c r="Z143" s="13">
        <f t="shared" si="30"/>
        <v>1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0.0</v>
      </c>
      <c r="P144" s="80">
        <v>0.0</v>
      </c>
      <c r="Q144" s="80">
        <v>0.0</v>
      </c>
      <c r="R144" s="80">
        <v>0.0</v>
      </c>
      <c r="S144" s="80">
        <v>0.0</v>
      </c>
      <c r="T144" s="80">
        <v>0.0</v>
      </c>
      <c r="U144" s="80">
        <v>0.0</v>
      </c>
      <c r="V144" s="80">
        <v>0.0</v>
      </c>
      <c r="W144" s="80">
        <v>0.0</v>
      </c>
      <c r="X144" s="80">
        <v>0.0</v>
      </c>
      <c r="Y144" s="80">
        <v>0.0</v>
      </c>
      <c r="Z144" s="13">
        <f t="shared" si="30"/>
        <v>0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Z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0.0</v>
      </c>
      <c r="F153" s="73">
        <v>0.0</v>
      </c>
      <c r="G153" s="73">
        <v>0.0</v>
      </c>
      <c r="H153" s="73">
        <v>1.0</v>
      </c>
      <c r="I153" s="73">
        <v>0.0</v>
      </c>
      <c r="J153" s="73">
        <v>0.0</v>
      </c>
      <c r="K153" s="73">
        <v>0.0</v>
      </c>
      <c r="L153" s="73">
        <v>2.0</v>
      </c>
      <c r="M153" s="73">
        <v>0.0</v>
      </c>
      <c r="N153" s="73">
        <v>2.0</v>
      </c>
      <c r="O153" s="73">
        <v>0.0</v>
      </c>
      <c r="P153" s="73">
        <v>0.0</v>
      </c>
      <c r="Q153" s="73">
        <v>0.0</v>
      </c>
      <c r="R153" s="73">
        <v>0.0</v>
      </c>
      <c r="S153" s="73">
        <v>0.0</v>
      </c>
      <c r="T153" s="73">
        <v>0.0</v>
      </c>
      <c r="U153" s="73">
        <v>1.0</v>
      </c>
      <c r="V153" s="73">
        <v>0.0</v>
      </c>
      <c r="W153" s="73">
        <v>0.0</v>
      </c>
      <c r="X153" s="73">
        <v>1.0</v>
      </c>
      <c r="Y153" s="73">
        <v>0.0</v>
      </c>
      <c r="Z153" s="13">
        <f t="shared" ref="Z153:Z162" si="32">SUM(E153:Y153)</f>
        <v>7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0.0</v>
      </c>
      <c r="F154" s="73">
        <v>0.0</v>
      </c>
      <c r="G154" s="73">
        <v>0.0</v>
      </c>
      <c r="H154" s="73">
        <v>0.0</v>
      </c>
      <c r="I154" s="73">
        <v>0.0</v>
      </c>
      <c r="J154" s="73">
        <v>0.0</v>
      </c>
      <c r="K154" s="73">
        <v>0.0</v>
      </c>
      <c r="L154" s="73">
        <v>0.0</v>
      </c>
      <c r="M154" s="73">
        <v>0.0</v>
      </c>
      <c r="N154" s="73">
        <v>0.0</v>
      </c>
      <c r="O154" s="73">
        <v>0.0</v>
      </c>
      <c r="P154" s="73">
        <v>0.0</v>
      </c>
      <c r="Q154" s="73">
        <v>0.0</v>
      </c>
      <c r="R154" s="73">
        <v>0.0</v>
      </c>
      <c r="S154" s="73">
        <v>0.0</v>
      </c>
      <c r="T154" s="73">
        <v>0.0</v>
      </c>
      <c r="U154" s="73">
        <v>1.0</v>
      </c>
      <c r="V154" s="73">
        <v>0.0</v>
      </c>
      <c r="W154" s="73">
        <v>0.0</v>
      </c>
      <c r="X154" s="73">
        <v>1.0</v>
      </c>
      <c r="Y154" s="73">
        <v>0.0</v>
      </c>
      <c r="Z154" s="13">
        <f t="shared" si="32"/>
        <v>2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0.0</v>
      </c>
      <c r="H155" s="73">
        <v>0.0</v>
      </c>
      <c r="I155" s="73">
        <v>0.0</v>
      </c>
      <c r="J155" s="73">
        <v>0.0</v>
      </c>
      <c r="K155" s="73">
        <v>0.0</v>
      </c>
      <c r="L155" s="73">
        <v>1.0</v>
      </c>
      <c r="M155" s="73">
        <v>1.0</v>
      </c>
      <c r="N155" s="73">
        <v>0.0</v>
      </c>
      <c r="O155" s="73">
        <v>0.0</v>
      </c>
      <c r="P155" s="73">
        <v>1.0</v>
      </c>
      <c r="Q155" s="73">
        <v>0.0</v>
      </c>
      <c r="R155" s="73">
        <v>0.0</v>
      </c>
      <c r="S155" s="73">
        <v>0.0</v>
      </c>
      <c r="T155" s="73">
        <v>1.0</v>
      </c>
      <c r="U155" s="73">
        <v>0.0</v>
      </c>
      <c r="V155" s="73">
        <v>0.0</v>
      </c>
      <c r="W155" s="73">
        <v>0.0</v>
      </c>
      <c r="X155" s="73">
        <v>0.0</v>
      </c>
      <c r="Y155" s="73">
        <v>0.0</v>
      </c>
      <c r="Z155" s="13">
        <f t="shared" si="32"/>
        <v>4</v>
      </c>
    </row>
    <row r="156" ht="12.75" customHeight="1">
      <c r="A156" s="18"/>
      <c r="B156" s="49"/>
      <c r="C156" s="50" t="s">
        <v>121</v>
      </c>
      <c r="D156" s="51"/>
      <c r="E156" s="83">
        <v>0.0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2.0</v>
      </c>
      <c r="M156" s="73">
        <v>0.0</v>
      </c>
      <c r="N156" s="73">
        <v>1.0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73">
        <v>0.0</v>
      </c>
      <c r="V156" s="73">
        <v>0.0</v>
      </c>
      <c r="W156" s="73">
        <v>0.0</v>
      </c>
      <c r="X156" s="73">
        <v>0.0</v>
      </c>
      <c r="Y156" s="73">
        <v>0.0</v>
      </c>
      <c r="Z156" s="13">
        <f t="shared" si="32"/>
        <v>3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0.0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73">
        <v>0.0</v>
      </c>
      <c r="V157" s="73">
        <v>0.0</v>
      </c>
      <c r="W157" s="73">
        <v>0.0</v>
      </c>
      <c r="X157" s="73">
        <v>0.0</v>
      </c>
      <c r="Y157" s="73">
        <v>0.0</v>
      </c>
      <c r="Z157" s="13">
        <f t="shared" si="32"/>
        <v>0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0.0</v>
      </c>
      <c r="L158" s="80">
        <v>1.0</v>
      </c>
      <c r="M158" s="80">
        <v>0.0</v>
      </c>
      <c r="N158" s="80">
        <v>0.0</v>
      </c>
      <c r="O158" s="80">
        <v>2.0</v>
      </c>
      <c r="P158" s="73">
        <v>0.0</v>
      </c>
      <c r="Q158" s="80">
        <v>0.0</v>
      </c>
      <c r="R158" s="80">
        <v>0.0</v>
      </c>
      <c r="S158" s="80">
        <v>0.0</v>
      </c>
      <c r="T158" s="80">
        <v>0.0</v>
      </c>
      <c r="U158" s="80">
        <v>1.0</v>
      </c>
      <c r="V158" s="80">
        <v>0.0</v>
      </c>
      <c r="W158" s="80">
        <v>0.0</v>
      </c>
      <c r="X158" s="80">
        <v>0.0</v>
      </c>
      <c r="Y158" s="80">
        <v>0.0</v>
      </c>
      <c r="Z158" s="13">
        <f t="shared" si="32"/>
        <v>4</v>
      </c>
    </row>
    <row r="159" ht="12.75" customHeight="1">
      <c r="A159" s="79"/>
      <c r="B159" s="49"/>
      <c r="C159" s="50" t="s">
        <v>124</v>
      </c>
      <c r="D159" s="51"/>
      <c r="E159" s="84">
        <v>0.0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80">
        <v>0.0</v>
      </c>
      <c r="N159" s="80">
        <v>0.0</v>
      </c>
      <c r="O159" s="80">
        <v>1.0</v>
      </c>
      <c r="P159" s="73">
        <v>0.0</v>
      </c>
      <c r="Q159" s="80">
        <v>0.0</v>
      </c>
      <c r="R159" s="80">
        <v>0.0</v>
      </c>
      <c r="S159" s="80">
        <v>0.0</v>
      </c>
      <c r="T159" s="80">
        <v>0.0</v>
      </c>
      <c r="U159" s="80">
        <v>0.0</v>
      </c>
      <c r="V159" s="80">
        <v>0.0</v>
      </c>
      <c r="W159" s="80">
        <v>0.0</v>
      </c>
      <c r="X159" s="80">
        <v>0.0</v>
      </c>
      <c r="Y159" s="80">
        <v>0.0</v>
      </c>
      <c r="Z159" s="13">
        <f t="shared" si="32"/>
        <v>1</v>
      </c>
    </row>
    <row r="160" ht="12.75" customHeight="1">
      <c r="A160" s="79"/>
      <c r="B160" s="49"/>
      <c r="C160" s="50" t="s">
        <v>125</v>
      </c>
      <c r="D160" s="51"/>
      <c r="E160" s="84">
        <v>0.0</v>
      </c>
      <c r="F160" s="80">
        <v>1.0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1.0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80">
        <v>0.0</v>
      </c>
      <c r="U160" s="80">
        <v>0.0</v>
      </c>
      <c r="V160" s="80">
        <v>0.0</v>
      </c>
      <c r="W160" s="80">
        <v>0.0</v>
      </c>
      <c r="X160" s="80">
        <v>0.0</v>
      </c>
      <c r="Y160" s="80">
        <v>0.0</v>
      </c>
      <c r="Z160" s="13">
        <f t="shared" si="32"/>
        <v>2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Z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7</v>
      </c>
      <c r="M163" s="13">
        <f t="shared" si="33"/>
        <v>1</v>
      </c>
      <c r="N163" s="13">
        <f t="shared" si="33"/>
        <v>3</v>
      </c>
      <c r="O163" s="13">
        <f t="shared" si="33"/>
        <v>3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1</v>
      </c>
      <c r="U163" s="13">
        <f t="shared" si="33"/>
        <v>3</v>
      </c>
      <c r="V163" s="13">
        <f t="shared" si="33"/>
        <v>0</v>
      </c>
      <c r="W163" s="13">
        <f t="shared" si="33"/>
        <v>0</v>
      </c>
      <c r="X163" s="13">
        <f t="shared" si="33"/>
        <v>2</v>
      </c>
      <c r="Y163" s="13">
        <f t="shared" si="33"/>
        <v>0</v>
      </c>
      <c r="Z163" s="13">
        <f t="shared" si="33"/>
        <v>23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2.0</v>
      </c>
      <c r="G165" s="73">
        <v>0.0</v>
      </c>
      <c r="H165" s="73">
        <v>0.0</v>
      </c>
      <c r="I165" s="73">
        <v>0.0</v>
      </c>
      <c r="J165" s="73">
        <v>0.0</v>
      </c>
      <c r="K165" s="73">
        <v>1.0</v>
      </c>
      <c r="L165" s="73">
        <v>0.0</v>
      </c>
      <c r="M165" s="73">
        <v>0.0</v>
      </c>
      <c r="N165" s="73">
        <v>0.0</v>
      </c>
      <c r="O165" s="73">
        <v>1.0</v>
      </c>
      <c r="P165" s="73">
        <v>0.0</v>
      </c>
      <c r="Q165" s="73">
        <v>1.0</v>
      </c>
      <c r="R165" s="73">
        <v>0.0</v>
      </c>
      <c r="S165" s="73">
        <v>1.0</v>
      </c>
      <c r="T165" s="73">
        <v>1.0</v>
      </c>
      <c r="U165" s="73">
        <v>0.0</v>
      </c>
      <c r="V165" s="73">
        <v>0.0</v>
      </c>
      <c r="W165" s="73">
        <v>0.0</v>
      </c>
      <c r="X165" s="73">
        <v>0.0</v>
      </c>
      <c r="Y165" s="73">
        <v>1.0</v>
      </c>
      <c r="Z165" s="13">
        <f t="shared" ref="Z165:Z174" si="34">SUM(E165:Y165)</f>
        <v>8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1.0</v>
      </c>
      <c r="F166" s="80">
        <v>0.0</v>
      </c>
      <c r="G166" s="80">
        <v>0.0</v>
      </c>
      <c r="H166" s="80">
        <v>0.0</v>
      </c>
      <c r="I166" s="80">
        <v>0.0</v>
      </c>
      <c r="J166" s="80">
        <v>0.0</v>
      </c>
      <c r="K166" s="80">
        <v>1.0</v>
      </c>
      <c r="L166" s="80">
        <v>1.0</v>
      </c>
      <c r="M166" s="80">
        <v>0.0</v>
      </c>
      <c r="N166" s="80">
        <v>0.0</v>
      </c>
      <c r="O166" s="80">
        <v>0.0</v>
      </c>
      <c r="P166" s="80">
        <v>0.0</v>
      </c>
      <c r="Q166" s="80">
        <v>0.0</v>
      </c>
      <c r="R166" s="80">
        <v>1.0</v>
      </c>
      <c r="S166" s="80">
        <v>0.0</v>
      </c>
      <c r="T166" s="80">
        <v>0.0</v>
      </c>
      <c r="U166" s="80">
        <v>0.0</v>
      </c>
      <c r="V166" s="80">
        <v>0.0</v>
      </c>
      <c r="W166" s="80">
        <v>0.0</v>
      </c>
      <c r="X166" s="80">
        <v>0.0</v>
      </c>
      <c r="Y166" s="80">
        <v>0.0</v>
      </c>
      <c r="Z166" s="13">
        <f t="shared" si="34"/>
        <v>4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Z175" si="35">SUM(E165:E174)</f>
        <v>1</v>
      </c>
      <c r="F175" s="13">
        <f t="shared" si="35"/>
        <v>2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2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12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1.0</v>
      </c>
      <c r="F177" s="73">
        <v>5.0</v>
      </c>
      <c r="G177" s="73">
        <v>0.0</v>
      </c>
      <c r="H177" s="73">
        <v>1.0</v>
      </c>
      <c r="I177" s="73">
        <v>0.0</v>
      </c>
      <c r="J177" s="73">
        <v>1.0</v>
      </c>
      <c r="K177" s="73">
        <v>1.0</v>
      </c>
      <c r="L177" s="73">
        <v>1.0</v>
      </c>
      <c r="M177" s="73">
        <v>2.0</v>
      </c>
      <c r="N177" s="73">
        <v>3.0</v>
      </c>
      <c r="O177" s="73">
        <v>2.0</v>
      </c>
      <c r="P177" s="73">
        <v>2.0</v>
      </c>
      <c r="Q177" s="73">
        <v>0.0</v>
      </c>
      <c r="R177" s="73">
        <v>0.0</v>
      </c>
      <c r="S177" s="73">
        <v>3.0</v>
      </c>
      <c r="T177" s="73">
        <v>4.0</v>
      </c>
      <c r="U177" s="73">
        <v>2.0</v>
      </c>
      <c r="V177" s="73">
        <v>1.0</v>
      </c>
      <c r="W177" s="73">
        <v>0.0</v>
      </c>
      <c r="X177" s="73">
        <v>1.0</v>
      </c>
      <c r="Y177" s="73">
        <v>2.0</v>
      </c>
      <c r="Z177" s="13">
        <f t="shared" ref="Z177:Z186" si="36">SUM(E177:Y177)</f>
        <v>32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1.0</v>
      </c>
      <c r="F178" s="73">
        <v>4.0</v>
      </c>
      <c r="G178" s="73">
        <v>0.0</v>
      </c>
      <c r="H178" s="73">
        <v>0.0</v>
      </c>
      <c r="I178" s="73">
        <v>1.0</v>
      </c>
      <c r="J178" s="73">
        <v>2.0</v>
      </c>
      <c r="K178" s="73">
        <v>1.0</v>
      </c>
      <c r="L178" s="73">
        <v>2.0</v>
      </c>
      <c r="M178" s="73">
        <v>1.0</v>
      </c>
      <c r="N178" s="73">
        <v>4.0</v>
      </c>
      <c r="O178" s="73">
        <v>4.0</v>
      </c>
      <c r="P178" s="73">
        <v>2.0</v>
      </c>
      <c r="Q178" s="73">
        <v>0.0</v>
      </c>
      <c r="R178" s="73">
        <v>0.0</v>
      </c>
      <c r="S178" s="73">
        <v>3.0</v>
      </c>
      <c r="T178" s="73">
        <v>2.0</v>
      </c>
      <c r="U178" s="73">
        <v>3.0</v>
      </c>
      <c r="V178" s="73">
        <v>4.0</v>
      </c>
      <c r="W178" s="73">
        <v>6.0</v>
      </c>
      <c r="X178" s="73">
        <v>3.0</v>
      </c>
      <c r="Y178" s="73">
        <v>3.0</v>
      </c>
      <c r="Z178" s="13">
        <f t="shared" si="36"/>
        <v>46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1.0</v>
      </c>
      <c r="L179" s="73">
        <v>0.0</v>
      </c>
      <c r="M179" s="73">
        <v>0.0</v>
      </c>
      <c r="N179" s="73">
        <v>1.0</v>
      </c>
      <c r="O179" s="73">
        <v>0.0</v>
      </c>
      <c r="P179" s="73">
        <v>0.0</v>
      </c>
      <c r="Q179" s="73">
        <v>2.0</v>
      </c>
      <c r="R179" s="73">
        <v>0.0</v>
      </c>
      <c r="S179" s="73">
        <v>0.0</v>
      </c>
      <c r="T179" s="73">
        <v>0.0</v>
      </c>
      <c r="U179" s="73">
        <v>0.0</v>
      </c>
      <c r="V179" s="73">
        <v>0.0</v>
      </c>
      <c r="W179" s="73">
        <v>0.0</v>
      </c>
      <c r="X179" s="73">
        <v>1.0</v>
      </c>
      <c r="Y179" s="73">
        <v>0.0</v>
      </c>
      <c r="Z179" s="13">
        <f t="shared" si="36"/>
        <v>5</v>
      </c>
    </row>
    <row r="180" ht="12.75" customHeight="1">
      <c r="A180" s="18"/>
      <c r="B180" s="49"/>
      <c r="C180" s="50" t="s">
        <v>133</v>
      </c>
      <c r="D180" s="51"/>
      <c r="E180" s="73">
        <v>2.0</v>
      </c>
      <c r="F180" s="73">
        <v>1.0</v>
      </c>
      <c r="G180" s="73">
        <v>1.0</v>
      </c>
      <c r="H180" s="73">
        <v>1.0</v>
      </c>
      <c r="I180" s="73">
        <v>2.0</v>
      </c>
      <c r="J180" s="73">
        <v>0.0</v>
      </c>
      <c r="K180" s="73">
        <v>0.0</v>
      </c>
      <c r="L180" s="73">
        <v>0.0</v>
      </c>
      <c r="M180" s="73">
        <v>0.0</v>
      </c>
      <c r="N180" s="73">
        <v>3.0</v>
      </c>
      <c r="O180" s="73">
        <v>0.0</v>
      </c>
      <c r="P180" s="73">
        <v>3.0</v>
      </c>
      <c r="Q180" s="73">
        <v>1.0</v>
      </c>
      <c r="R180" s="73">
        <v>3.0</v>
      </c>
      <c r="S180" s="73">
        <v>0.0</v>
      </c>
      <c r="T180" s="73">
        <v>1.0</v>
      </c>
      <c r="U180" s="73">
        <v>1.0</v>
      </c>
      <c r="V180" s="73">
        <v>0.0</v>
      </c>
      <c r="W180" s="73">
        <v>0.0</v>
      </c>
      <c r="X180" s="73">
        <v>1.0</v>
      </c>
      <c r="Y180" s="73">
        <v>0.0</v>
      </c>
      <c r="Z180" s="13">
        <f t="shared" si="36"/>
        <v>20</v>
      </c>
    </row>
    <row r="181" ht="12.75" customHeight="1">
      <c r="A181" s="18"/>
      <c r="B181" s="49"/>
      <c r="C181" s="50" t="s">
        <v>134</v>
      </c>
      <c r="D181" s="51"/>
      <c r="E181" s="73">
        <v>0.0</v>
      </c>
      <c r="F181" s="73">
        <v>0.0</v>
      </c>
      <c r="G181" s="73">
        <v>2.0</v>
      </c>
      <c r="H181" s="73">
        <v>1.0</v>
      </c>
      <c r="I181" s="73">
        <v>0.0</v>
      </c>
      <c r="J181" s="73">
        <v>0.0</v>
      </c>
      <c r="K181" s="73">
        <v>1.0</v>
      </c>
      <c r="L181" s="73">
        <v>0.0</v>
      </c>
      <c r="M181" s="73">
        <v>1.0</v>
      </c>
      <c r="N181" s="73">
        <v>0.0</v>
      </c>
      <c r="O181" s="73">
        <v>0.0</v>
      </c>
      <c r="P181" s="73">
        <v>2.0</v>
      </c>
      <c r="Q181" s="73">
        <v>1.0</v>
      </c>
      <c r="R181" s="73">
        <v>0.0</v>
      </c>
      <c r="S181" s="73">
        <v>0.0</v>
      </c>
      <c r="T181" s="73">
        <v>1.0</v>
      </c>
      <c r="U181" s="73">
        <v>0.0</v>
      </c>
      <c r="V181" s="73">
        <v>0.0</v>
      </c>
      <c r="W181" s="73">
        <v>2.0</v>
      </c>
      <c r="X181" s="73">
        <v>1.0</v>
      </c>
      <c r="Y181" s="73">
        <v>4.0</v>
      </c>
      <c r="Z181" s="13">
        <f t="shared" si="36"/>
        <v>16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1.0</v>
      </c>
      <c r="J182" s="73">
        <v>0.0</v>
      </c>
      <c r="K182" s="73">
        <v>0.0</v>
      </c>
      <c r="L182" s="73">
        <v>0.0</v>
      </c>
      <c r="M182" s="73">
        <v>0.0</v>
      </c>
      <c r="N182" s="73">
        <v>1.0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0.0</v>
      </c>
      <c r="U182" s="73">
        <v>1.0</v>
      </c>
      <c r="V182" s="73">
        <v>0.0</v>
      </c>
      <c r="W182" s="73">
        <v>0.0</v>
      </c>
      <c r="X182" s="73">
        <v>0.0</v>
      </c>
      <c r="Y182" s="73">
        <v>0.0</v>
      </c>
      <c r="Z182" s="13">
        <f t="shared" si="36"/>
        <v>3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2.0</v>
      </c>
      <c r="L183" s="73">
        <v>0.0</v>
      </c>
      <c r="M183" s="73">
        <v>0.0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1.0</v>
      </c>
      <c r="U183" s="73">
        <v>1.0</v>
      </c>
      <c r="V183" s="73">
        <v>0.0</v>
      </c>
      <c r="W183" s="73">
        <v>1.0</v>
      </c>
      <c r="X183" s="73">
        <v>0.0</v>
      </c>
      <c r="Y183" s="73">
        <v>0.0</v>
      </c>
      <c r="Z183" s="13">
        <f t="shared" si="36"/>
        <v>5</v>
      </c>
    </row>
    <row r="184" ht="12.75" customHeight="1">
      <c r="A184" s="79"/>
      <c r="B184" s="49"/>
      <c r="C184" s="50" t="s">
        <v>137</v>
      </c>
      <c r="D184" s="51"/>
      <c r="E184" s="80">
        <v>0.0</v>
      </c>
      <c r="F184" s="80">
        <v>0.0</v>
      </c>
      <c r="G184" s="80">
        <v>0.0</v>
      </c>
      <c r="H184" s="80">
        <v>0.0</v>
      </c>
      <c r="I184" s="80">
        <v>0.0</v>
      </c>
      <c r="J184" s="80">
        <v>0.0</v>
      </c>
      <c r="K184" s="80">
        <v>1.0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80">
        <v>0.0</v>
      </c>
      <c r="T184" s="80">
        <v>0.0</v>
      </c>
      <c r="U184" s="80">
        <v>0.0</v>
      </c>
      <c r="V184" s="80">
        <v>1.0</v>
      </c>
      <c r="W184" s="80">
        <v>0.0</v>
      </c>
      <c r="X184" s="80">
        <v>0.0</v>
      </c>
      <c r="Y184" s="80">
        <v>0.0</v>
      </c>
      <c r="Z184" s="13">
        <f t="shared" si="36"/>
        <v>2</v>
      </c>
    </row>
    <row r="185" ht="12.75" customHeight="1">
      <c r="A185" s="79"/>
      <c r="B185" s="49"/>
      <c r="C185" s="50" t="s">
        <v>138</v>
      </c>
      <c r="D185" s="51"/>
      <c r="E185" s="80">
        <v>1.0</v>
      </c>
      <c r="F185" s="80">
        <v>0.0</v>
      </c>
      <c r="G185" s="80">
        <v>1.0</v>
      </c>
      <c r="H185" s="80">
        <v>0.0</v>
      </c>
      <c r="I185" s="80">
        <v>0.0</v>
      </c>
      <c r="J185" s="80">
        <v>0.0</v>
      </c>
      <c r="K185" s="80">
        <v>1.0</v>
      </c>
      <c r="L185" s="80">
        <v>0.0</v>
      </c>
      <c r="M185" s="80">
        <v>0.0</v>
      </c>
      <c r="N185" s="80">
        <v>0.0</v>
      </c>
      <c r="O185" s="80">
        <v>0.0</v>
      </c>
      <c r="P185" s="80">
        <v>0.0</v>
      </c>
      <c r="Q185" s="80">
        <v>1.0</v>
      </c>
      <c r="R185" s="80">
        <v>0.0</v>
      </c>
      <c r="S185" s="80">
        <v>0.0</v>
      </c>
      <c r="T185" s="80">
        <v>1.0</v>
      </c>
      <c r="U185" s="80">
        <v>0.0</v>
      </c>
      <c r="V185" s="80">
        <v>0.0</v>
      </c>
      <c r="W185" s="80">
        <v>0.0</v>
      </c>
      <c r="X185" s="80">
        <v>0.0</v>
      </c>
      <c r="Y185" s="80">
        <v>0.0</v>
      </c>
      <c r="Z185" s="13">
        <f t="shared" si="36"/>
        <v>5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1.0</v>
      </c>
      <c r="M186" s="80">
        <v>0.0</v>
      </c>
      <c r="N186" s="80">
        <v>0.0</v>
      </c>
      <c r="O186" s="80">
        <v>1.0</v>
      </c>
      <c r="P186" s="80">
        <v>0.0</v>
      </c>
      <c r="Q186" s="80">
        <v>0.0</v>
      </c>
      <c r="R186" s="80">
        <v>0.0</v>
      </c>
      <c r="S186" s="80">
        <v>0.0</v>
      </c>
      <c r="T186" s="80">
        <v>0.0</v>
      </c>
      <c r="U186" s="80">
        <v>0.0</v>
      </c>
      <c r="V186" s="80">
        <v>0.0</v>
      </c>
      <c r="W186" s="80">
        <v>0.0</v>
      </c>
      <c r="X186" s="80">
        <v>0.0</v>
      </c>
      <c r="Y186" s="80">
        <v>0.0</v>
      </c>
      <c r="Z186" s="13">
        <f t="shared" si="36"/>
        <v>2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Z187" si="37">SUM(E177:E186)</f>
        <v>5</v>
      </c>
      <c r="F187" s="13">
        <f t="shared" si="37"/>
        <v>10</v>
      </c>
      <c r="G187" s="13">
        <f t="shared" si="37"/>
        <v>4</v>
      </c>
      <c r="H187" s="13">
        <f t="shared" si="37"/>
        <v>3</v>
      </c>
      <c r="I187" s="13">
        <f t="shared" si="37"/>
        <v>4</v>
      </c>
      <c r="J187" s="13">
        <f t="shared" si="37"/>
        <v>3</v>
      </c>
      <c r="K187" s="13">
        <f t="shared" si="37"/>
        <v>8</v>
      </c>
      <c r="L187" s="13">
        <f t="shared" si="37"/>
        <v>4</v>
      </c>
      <c r="M187" s="13">
        <f t="shared" si="37"/>
        <v>4</v>
      </c>
      <c r="N187" s="13">
        <f t="shared" si="37"/>
        <v>12</v>
      </c>
      <c r="O187" s="13">
        <f t="shared" si="37"/>
        <v>7</v>
      </c>
      <c r="P187" s="13">
        <f t="shared" si="37"/>
        <v>9</v>
      </c>
      <c r="Q187" s="13">
        <f t="shared" si="37"/>
        <v>5</v>
      </c>
      <c r="R187" s="13">
        <f t="shared" si="37"/>
        <v>3</v>
      </c>
      <c r="S187" s="13">
        <f t="shared" si="37"/>
        <v>6</v>
      </c>
      <c r="T187" s="13">
        <f t="shared" si="37"/>
        <v>10</v>
      </c>
      <c r="U187" s="13">
        <f t="shared" si="37"/>
        <v>8</v>
      </c>
      <c r="V187" s="13">
        <f t="shared" si="37"/>
        <v>6</v>
      </c>
      <c r="W187" s="13">
        <f t="shared" si="37"/>
        <v>9</v>
      </c>
      <c r="X187" s="13">
        <f t="shared" si="37"/>
        <v>7</v>
      </c>
      <c r="Y187" s="13">
        <f t="shared" si="37"/>
        <v>9</v>
      </c>
      <c r="Z187" s="13">
        <f t="shared" si="37"/>
        <v>136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T188" s="81"/>
      <c r="U188" s="81"/>
      <c r="V188" s="81"/>
      <c r="W188" s="81"/>
      <c r="X188" s="81"/>
      <c r="Z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0.0</v>
      </c>
      <c r="F189" s="73">
        <v>0.0</v>
      </c>
      <c r="G189" s="73">
        <v>0.0</v>
      </c>
      <c r="H189" s="73">
        <v>0.0</v>
      </c>
      <c r="I189" s="73">
        <v>0.0</v>
      </c>
      <c r="J189" s="73">
        <v>1.0</v>
      </c>
      <c r="K189" s="73">
        <v>1.0</v>
      </c>
      <c r="L189" s="73">
        <v>0.0</v>
      </c>
      <c r="M189" s="73">
        <v>0.0</v>
      </c>
      <c r="N189" s="73">
        <v>0.0</v>
      </c>
      <c r="O189" s="73">
        <v>0.0</v>
      </c>
      <c r="P189" s="73">
        <v>0.0</v>
      </c>
      <c r="Q189" s="73">
        <v>1.0</v>
      </c>
      <c r="R189" s="73">
        <v>0.0</v>
      </c>
      <c r="S189" s="73">
        <v>0.0</v>
      </c>
      <c r="T189" s="73">
        <v>0.0</v>
      </c>
      <c r="U189" s="73">
        <v>0.0</v>
      </c>
      <c r="V189" s="73">
        <v>0.0</v>
      </c>
      <c r="W189" s="73">
        <v>0.0</v>
      </c>
      <c r="X189" s="73">
        <v>0.0</v>
      </c>
      <c r="Y189" s="73">
        <v>1.0</v>
      </c>
      <c r="Z189" s="13">
        <f t="shared" ref="Z189:Z198" si="38">SUM(E189:Y189)</f>
        <v>4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0.0</v>
      </c>
      <c r="F190" s="73">
        <v>0.0</v>
      </c>
      <c r="G190" s="73">
        <v>0.0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0.0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73">
        <v>0.0</v>
      </c>
      <c r="V190" s="73">
        <v>1.0</v>
      </c>
      <c r="W190" s="73">
        <v>0.0</v>
      </c>
      <c r="X190" s="73">
        <v>1.0</v>
      </c>
      <c r="Y190" s="73">
        <v>0.0</v>
      </c>
      <c r="Z190" s="13">
        <f t="shared" si="38"/>
        <v>2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0.0</v>
      </c>
      <c r="Q191" s="73">
        <v>0.0</v>
      </c>
      <c r="R191" s="73">
        <v>0.0</v>
      </c>
      <c r="S191" s="73">
        <v>0.0</v>
      </c>
      <c r="T191" s="73">
        <v>0.0</v>
      </c>
      <c r="U191" s="73">
        <v>1.0</v>
      </c>
      <c r="V191" s="73">
        <v>0.0</v>
      </c>
      <c r="W191" s="73">
        <v>0.0</v>
      </c>
      <c r="X191" s="73">
        <v>0.0</v>
      </c>
      <c r="Y191" s="73">
        <v>0.0</v>
      </c>
      <c r="Z191" s="13">
        <f t="shared" si="38"/>
        <v>1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0.0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1.0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73">
        <v>0.0</v>
      </c>
      <c r="V192" s="73">
        <v>0.0</v>
      </c>
      <c r="W192" s="73">
        <v>0.0</v>
      </c>
      <c r="X192" s="73">
        <v>0.0</v>
      </c>
      <c r="Y192" s="73">
        <v>0.0</v>
      </c>
      <c r="Z192" s="13">
        <f t="shared" si="38"/>
        <v>1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73">
        <v>0.0</v>
      </c>
      <c r="V193" s="73">
        <v>0.0</v>
      </c>
      <c r="W193" s="73">
        <v>0.0</v>
      </c>
      <c r="X193" s="73">
        <v>0.0</v>
      </c>
      <c r="Y193" s="73">
        <v>0.0</v>
      </c>
      <c r="Z193" s="13">
        <f t="shared" si="38"/>
        <v>0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1.0</v>
      </c>
      <c r="J194" s="73">
        <v>0.0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1.0</v>
      </c>
      <c r="Q194" s="73">
        <v>1.0</v>
      </c>
      <c r="R194" s="73">
        <v>0.0</v>
      </c>
      <c r="S194" s="73">
        <v>0.0</v>
      </c>
      <c r="T194" s="73">
        <v>1.0</v>
      </c>
      <c r="U194" s="73">
        <v>0.0</v>
      </c>
      <c r="V194" s="73">
        <v>0.0</v>
      </c>
      <c r="W194" s="73">
        <v>0.0</v>
      </c>
      <c r="X194" s="73">
        <v>0.0</v>
      </c>
      <c r="Y194" s="73">
        <v>0.0</v>
      </c>
      <c r="Z194" s="13">
        <f t="shared" si="38"/>
        <v>4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0.0</v>
      </c>
      <c r="G195" s="73">
        <v>0.0</v>
      </c>
      <c r="H195" s="73">
        <v>0.0</v>
      </c>
      <c r="I195" s="73">
        <v>0.0</v>
      </c>
      <c r="J195" s="73">
        <v>0.0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0.0</v>
      </c>
      <c r="U195" s="73">
        <v>0.0</v>
      </c>
      <c r="V195" s="73">
        <v>0.0</v>
      </c>
      <c r="W195" s="73">
        <v>0.0</v>
      </c>
      <c r="X195" s="73">
        <v>0.0</v>
      </c>
      <c r="Y195" s="73">
        <v>0.0</v>
      </c>
      <c r="Z195" s="13">
        <f t="shared" si="38"/>
        <v>0</v>
      </c>
    </row>
    <row r="196" ht="12.75" customHeight="1">
      <c r="A196" s="79"/>
      <c r="B196" s="49"/>
      <c r="C196" s="50" t="s">
        <v>148</v>
      </c>
      <c r="D196" s="51"/>
      <c r="E196" s="80">
        <v>0.0</v>
      </c>
      <c r="F196" s="80">
        <v>0.0</v>
      </c>
      <c r="G196" s="80">
        <v>0.0</v>
      </c>
      <c r="H196" s="80">
        <v>0.0</v>
      </c>
      <c r="I196" s="80">
        <v>0.0</v>
      </c>
      <c r="J196" s="80">
        <v>0.0</v>
      </c>
      <c r="K196" s="80">
        <v>0.0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0.0</v>
      </c>
      <c r="S196" s="80">
        <v>0.0</v>
      </c>
      <c r="T196" s="80">
        <v>0.0</v>
      </c>
      <c r="U196" s="80">
        <v>0.0</v>
      </c>
      <c r="V196" s="80">
        <v>0.0</v>
      </c>
      <c r="W196" s="80">
        <v>0.0</v>
      </c>
      <c r="X196" s="80">
        <v>0.0</v>
      </c>
      <c r="Y196" s="80">
        <v>0.0</v>
      </c>
      <c r="Z196" s="13">
        <f t="shared" si="38"/>
        <v>0</v>
      </c>
    </row>
    <row r="197" ht="12.75" customHeight="1">
      <c r="A197" s="79"/>
      <c r="B197" s="49"/>
      <c r="C197" s="50" t="s">
        <v>149</v>
      </c>
      <c r="D197" s="51"/>
      <c r="E197" s="80">
        <v>0.0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0">
        <v>0.0</v>
      </c>
      <c r="U197" s="80">
        <v>0.0</v>
      </c>
      <c r="V197" s="80">
        <v>0.0</v>
      </c>
      <c r="W197" s="80">
        <v>0.0</v>
      </c>
      <c r="X197" s="80">
        <v>0.0</v>
      </c>
      <c r="Y197" s="80">
        <v>0.0</v>
      </c>
      <c r="Z197" s="13">
        <f t="shared" si="38"/>
        <v>0</v>
      </c>
    </row>
    <row r="198" ht="12.75" customHeight="1">
      <c r="A198" s="79"/>
      <c r="B198" s="49"/>
      <c r="C198" s="50" t="s">
        <v>150</v>
      </c>
      <c r="D198" s="51"/>
      <c r="E198" s="80">
        <v>0.0</v>
      </c>
      <c r="F198" s="80">
        <v>0.0</v>
      </c>
      <c r="G198" s="80">
        <v>1.0</v>
      </c>
      <c r="H198" s="80">
        <v>0.0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80">
        <v>0.0</v>
      </c>
      <c r="V198" s="80">
        <v>0.0</v>
      </c>
      <c r="W198" s="80">
        <v>0.0</v>
      </c>
      <c r="X198" s="80">
        <v>0.0</v>
      </c>
      <c r="Y198" s="80">
        <v>0.0</v>
      </c>
      <c r="Z198" s="13">
        <f t="shared" si="38"/>
        <v>1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Z199" si="39">SUM(E189:E198)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1</v>
      </c>
      <c r="J199" s="13">
        <f t="shared" si="39"/>
        <v>1</v>
      </c>
      <c r="K199" s="13">
        <f t="shared" si="39"/>
        <v>1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2</v>
      </c>
      <c r="R199" s="13">
        <f t="shared" si="39"/>
        <v>0</v>
      </c>
      <c r="S199" s="13">
        <f t="shared" si="39"/>
        <v>0</v>
      </c>
      <c r="T199" s="13">
        <f t="shared" si="39"/>
        <v>1</v>
      </c>
      <c r="U199" s="13">
        <f t="shared" si="39"/>
        <v>1</v>
      </c>
      <c r="V199" s="13">
        <f t="shared" si="39"/>
        <v>1</v>
      </c>
      <c r="W199" s="13">
        <f t="shared" si="39"/>
        <v>0</v>
      </c>
      <c r="X199" s="13">
        <f t="shared" si="39"/>
        <v>1</v>
      </c>
      <c r="Y199" s="13">
        <f t="shared" si="39"/>
        <v>1</v>
      </c>
      <c r="Z199" s="13">
        <f t="shared" si="39"/>
        <v>13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4.0</v>
      </c>
      <c r="F201" s="73">
        <v>5.0</v>
      </c>
      <c r="G201" s="73">
        <v>2.0</v>
      </c>
      <c r="H201" s="73">
        <v>6.0</v>
      </c>
      <c r="I201" s="73">
        <v>9.0</v>
      </c>
      <c r="J201" s="73">
        <v>6.0</v>
      </c>
      <c r="K201" s="73">
        <v>7.0</v>
      </c>
      <c r="L201" s="73">
        <v>10.0</v>
      </c>
      <c r="M201" s="73">
        <v>6.0</v>
      </c>
      <c r="N201" s="73">
        <v>4.0</v>
      </c>
      <c r="O201" s="73">
        <v>8.0</v>
      </c>
      <c r="P201" s="73">
        <v>3.0</v>
      </c>
      <c r="Q201" s="73">
        <v>3.0</v>
      </c>
      <c r="R201" s="73">
        <v>5.0</v>
      </c>
      <c r="S201" s="73">
        <v>5.0</v>
      </c>
      <c r="T201" s="73">
        <v>9.0</v>
      </c>
      <c r="U201" s="73">
        <v>8.0</v>
      </c>
      <c r="V201" s="73">
        <v>7.0</v>
      </c>
      <c r="W201" s="73">
        <v>4.0</v>
      </c>
      <c r="X201" s="73">
        <v>8.0</v>
      </c>
      <c r="Y201" s="73">
        <v>8.0</v>
      </c>
      <c r="Z201" s="13">
        <f t="shared" ref="Z201:Z210" si="40">SUM(E201:Y201)</f>
        <v>127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5.0</v>
      </c>
      <c r="F202" s="73">
        <v>8.0</v>
      </c>
      <c r="G202" s="73">
        <v>6.0</v>
      </c>
      <c r="H202" s="73">
        <v>4.0</v>
      </c>
      <c r="I202" s="73">
        <v>1.0</v>
      </c>
      <c r="J202" s="73">
        <v>4.0</v>
      </c>
      <c r="K202" s="73">
        <v>5.0</v>
      </c>
      <c r="L202" s="73">
        <v>9.0</v>
      </c>
      <c r="M202" s="73">
        <v>4.0</v>
      </c>
      <c r="N202" s="73">
        <v>3.0</v>
      </c>
      <c r="O202" s="73">
        <v>5.0</v>
      </c>
      <c r="P202" s="73">
        <v>6.0</v>
      </c>
      <c r="Q202" s="73">
        <v>6.0</v>
      </c>
      <c r="R202" s="73">
        <v>4.0</v>
      </c>
      <c r="S202" s="73">
        <v>3.0</v>
      </c>
      <c r="T202" s="73">
        <v>4.0</v>
      </c>
      <c r="U202" s="73">
        <v>4.0</v>
      </c>
      <c r="V202" s="73">
        <v>2.0</v>
      </c>
      <c r="W202" s="73">
        <v>9.0</v>
      </c>
      <c r="X202" s="73">
        <v>5.0</v>
      </c>
      <c r="Y202" s="73">
        <v>8.0</v>
      </c>
      <c r="Z202" s="13">
        <f t="shared" si="40"/>
        <v>105</v>
      </c>
    </row>
    <row r="203" ht="12.75" customHeight="1">
      <c r="A203" s="18"/>
      <c r="B203" s="49"/>
      <c r="C203" s="50" t="s">
        <v>154</v>
      </c>
      <c r="D203" s="51"/>
      <c r="E203" s="73">
        <v>4.0</v>
      </c>
      <c r="F203" s="73">
        <v>1.0</v>
      </c>
      <c r="G203" s="73">
        <v>2.0</v>
      </c>
      <c r="H203" s="73">
        <v>1.0</v>
      </c>
      <c r="I203" s="73">
        <v>0.0</v>
      </c>
      <c r="J203" s="73">
        <v>3.0</v>
      </c>
      <c r="K203" s="73">
        <v>3.0</v>
      </c>
      <c r="L203" s="73">
        <v>3.0</v>
      </c>
      <c r="M203" s="73">
        <v>1.0</v>
      </c>
      <c r="N203" s="73">
        <v>1.0</v>
      </c>
      <c r="O203" s="73">
        <v>4.0</v>
      </c>
      <c r="P203" s="73">
        <v>0.0</v>
      </c>
      <c r="Q203" s="73">
        <v>4.0</v>
      </c>
      <c r="R203" s="73">
        <v>0.0</v>
      </c>
      <c r="S203" s="73">
        <v>2.0</v>
      </c>
      <c r="T203" s="73">
        <v>8.0</v>
      </c>
      <c r="U203" s="73">
        <v>3.0</v>
      </c>
      <c r="V203" s="73">
        <v>3.0</v>
      </c>
      <c r="W203" s="73">
        <v>0.0</v>
      </c>
      <c r="X203" s="73">
        <v>3.0</v>
      </c>
      <c r="Y203" s="73">
        <v>2.0</v>
      </c>
      <c r="Z203" s="13">
        <f t="shared" si="40"/>
        <v>48</v>
      </c>
    </row>
    <row r="204" ht="12.75" customHeight="1">
      <c r="A204" s="18"/>
      <c r="B204" s="49"/>
      <c r="C204" s="50" t="s">
        <v>155</v>
      </c>
      <c r="D204" s="51"/>
      <c r="E204" s="73">
        <v>0.0</v>
      </c>
      <c r="F204" s="73">
        <v>0.0</v>
      </c>
      <c r="G204" s="73">
        <v>0.0</v>
      </c>
      <c r="H204" s="73">
        <v>1.0</v>
      </c>
      <c r="I204" s="73">
        <v>0.0</v>
      </c>
      <c r="J204" s="73">
        <v>0.0</v>
      </c>
      <c r="K204" s="73">
        <v>0.0</v>
      </c>
      <c r="L204" s="73">
        <v>0.0</v>
      </c>
      <c r="M204" s="73">
        <v>1.0</v>
      </c>
      <c r="N204" s="73">
        <v>0.0</v>
      </c>
      <c r="O204" s="73">
        <v>1.0</v>
      </c>
      <c r="P204" s="73">
        <v>0.0</v>
      </c>
      <c r="Q204" s="73">
        <v>0.0</v>
      </c>
      <c r="R204" s="73">
        <v>0.0</v>
      </c>
      <c r="S204" s="73">
        <v>0.0</v>
      </c>
      <c r="T204" s="73">
        <v>0.0</v>
      </c>
      <c r="U204" s="73">
        <v>1.0</v>
      </c>
      <c r="V204" s="73">
        <v>2.0</v>
      </c>
      <c r="W204" s="73">
        <v>1.0</v>
      </c>
      <c r="X204" s="73">
        <v>0.0</v>
      </c>
      <c r="Y204" s="73">
        <v>0.0</v>
      </c>
      <c r="Z204" s="13">
        <f t="shared" si="40"/>
        <v>7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1.0</v>
      </c>
      <c r="G205" s="73">
        <v>0.0</v>
      </c>
      <c r="H205" s="73">
        <v>0.0</v>
      </c>
      <c r="I205" s="73">
        <v>0.0</v>
      </c>
      <c r="J205" s="73">
        <v>0.0</v>
      </c>
      <c r="K205" s="73">
        <v>0.0</v>
      </c>
      <c r="L205" s="73">
        <v>0.0</v>
      </c>
      <c r="M205" s="73">
        <v>0.0</v>
      </c>
      <c r="N205" s="73">
        <v>0.0</v>
      </c>
      <c r="O205" s="73">
        <v>1.0</v>
      </c>
      <c r="P205" s="73">
        <v>0.0</v>
      </c>
      <c r="Q205" s="73">
        <v>0.0</v>
      </c>
      <c r="R205" s="73">
        <v>0.0</v>
      </c>
      <c r="S205" s="73">
        <v>0.0</v>
      </c>
      <c r="T205" s="73">
        <v>0.0</v>
      </c>
      <c r="U205" s="73">
        <v>0.0</v>
      </c>
      <c r="V205" s="73">
        <v>0.0</v>
      </c>
      <c r="W205" s="73">
        <v>0.0</v>
      </c>
      <c r="X205" s="73">
        <v>0.0</v>
      </c>
      <c r="Y205" s="73">
        <v>0.0</v>
      </c>
      <c r="Z205" s="13">
        <f t="shared" si="40"/>
        <v>2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1.0</v>
      </c>
      <c r="H206" s="73">
        <v>0.0</v>
      </c>
      <c r="I206" s="73">
        <v>0.0</v>
      </c>
      <c r="J206" s="73">
        <v>0.0</v>
      </c>
      <c r="K206" s="73">
        <v>0.0</v>
      </c>
      <c r="L206" s="73">
        <v>0.0</v>
      </c>
      <c r="M206" s="73">
        <v>0.0</v>
      </c>
      <c r="N206" s="73">
        <v>1.0</v>
      </c>
      <c r="O206" s="73">
        <v>0.0</v>
      </c>
      <c r="P206" s="73">
        <v>0.0</v>
      </c>
      <c r="Q206" s="73">
        <v>0.0</v>
      </c>
      <c r="R206" s="73">
        <v>0.0</v>
      </c>
      <c r="S206" s="73">
        <v>0.0</v>
      </c>
      <c r="T206" s="73">
        <v>0.0</v>
      </c>
      <c r="U206" s="73">
        <v>0.0</v>
      </c>
      <c r="V206" s="73">
        <v>0.0</v>
      </c>
      <c r="W206" s="73">
        <v>0.0</v>
      </c>
      <c r="X206" s="73">
        <v>0.0</v>
      </c>
      <c r="Y206" s="73">
        <v>0.0</v>
      </c>
      <c r="Z206" s="13">
        <f t="shared" si="40"/>
        <v>2</v>
      </c>
    </row>
    <row r="207" ht="12.75" customHeight="1">
      <c r="A207" s="18"/>
      <c r="B207" s="49"/>
      <c r="C207" s="50" t="s">
        <v>158</v>
      </c>
      <c r="D207" s="51"/>
      <c r="E207" s="73">
        <v>1.0</v>
      </c>
      <c r="F207" s="73">
        <v>2.0</v>
      </c>
      <c r="G207" s="73">
        <v>2.0</v>
      </c>
      <c r="H207" s="73">
        <v>1.0</v>
      </c>
      <c r="I207" s="73">
        <v>0.0</v>
      </c>
      <c r="J207" s="73">
        <v>0.0</v>
      </c>
      <c r="K207" s="73">
        <v>0.0</v>
      </c>
      <c r="L207" s="73">
        <v>0.0</v>
      </c>
      <c r="M207" s="73">
        <v>0.0</v>
      </c>
      <c r="N207" s="73">
        <v>1.0</v>
      </c>
      <c r="O207" s="73">
        <v>0.0</v>
      </c>
      <c r="P207" s="73">
        <v>0.0</v>
      </c>
      <c r="Q207" s="73">
        <v>0.0</v>
      </c>
      <c r="R207" s="73">
        <v>0.0</v>
      </c>
      <c r="S207" s="73">
        <v>1.0</v>
      </c>
      <c r="T207" s="73">
        <v>0.0</v>
      </c>
      <c r="U207" s="73">
        <v>0.0</v>
      </c>
      <c r="V207" s="73">
        <v>0.0</v>
      </c>
      <c r="W207" s="73">
        <v>0.0</v>
      </c>
      <c r="X207" s="73">
        <v>0.0</v>
      </c>
      <c r="Y207" s="73">
        <v>1.0</v>
      </c>
      <c r="Z207" s="13">
        <f t="shared" si="40"/>
        <v>9</v>
      </c>
    </row>
    <row r="208" ht="12.75" customHeight="1">
      <c r="A208" s="79"/>
      <c r="B208" s="49"/>
      <c r="C208" s="50" t="s">
        <v>159</v>
      </c>
      <c r="D208" s="51"/>
      <c r="E208" s="80">
        <v>0.0</v>
      </c>
      <c r="F208" s="80">
        <v>1.0</v>
      </c>
      <c r="G208" s="80">
        <v>0.0</v>
      </c>
      <c r="H208" s="80">
        <v>0.0</v>
      </c>
      <c r="I208" s="80">
        <v>0.0</v>
      </c>
      <c r="J208" s="80">
        <v>0.0</v>
      </c>
      <c r="K208" s="80">
        <v>0.0</v>
      </c>
      <c r="L208" s="80">
        <v>1.0</v>
      </c>
      <c r="M208" s="80">
        <v>0.0</v>
      </c>
      <c r="N208" s="80">
        <v>1.0</v>
      </c>
      <c r="O208" s="80">
        <v>1.0</v>
      </c>
      <c r="P208" s="80">
        <v>0.0</v>
      </c>
      <c r="Q208" s="80">
        <v>0.0</v>
      </c>
      <c r="R208" s="80">
        <v>0.0</v>
      </c>
      <c r="S208" s="80">
        <v>1.0</v>
      </c>
      <c r="T208" s="80">
        <v>0.0</v>
      </c>
      <c r="U208" s="80">
        <v>3.0</v>
      </c>
      <c r="V208" s="80">
        <v>0.0</v>
      </c>
      <c r="W208" s="80">
        <v>2.0</v>
      </c>
      <c r="X208" s="80">
        <v>0.0</v>
      </c>
      <c r="Y208" s="80">
        <v>1.0</v>
      </c>
      <c r="Z208" s="13">
        <f t="shared" si="40"/>
        <v>11</v>
      </c>
    </row>
    <row r="209" ht="12.75" customHeight="1">
      <c r="A209" s="79"/>
      <c r="B209" s="49"/>
      <c r="C209" s="50" t="s">
        <v>160</v>
      </c>
      <c r="D209" s="51"/>
      <c r="E209" s="80">
        <v>0.0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0.0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0.0</v>
      </c>
      <c r="T209" s="80">
        <v>0.0</v>
      </c>
      <c r="U209" s="80">
        <v>0.0</v>
      </c>
      <c r="V209" s="80">
        <v>0.0</v>
      </c>
      <c r="W209" s="80">
        <v>0.0</v>
      </c>
      <c r="X209" s="80">
        <v>0.0</v>
      </c>
      <c r="Y209" s="80">
        <v>0.0</v>
      </c>
      <c r="Z209" s="13">
        <f t="shared" si="40"/>
        <v>0</v>
      </c>
    </row>
    <row r="210" ht="12.75" customHeight="1">
      <c r="A210" s="79"/>
      <c r="B210" s="49"/>
      <c r="C210" s="50" t="s">
        <v>161</v>
      </c>
      <c r="D210" s="51"/>
      <c r="E210" s="82"/>
      <c r="F210" s="82"/>
      <c r="G210" s="82"/>
      <c r="H210" s="82"/>
      <c r="I210" s="82"/>
      <c r="J210" s="80">
        <v>1.0</v>
      </c>
      <c r="K210" s="80">
        <v>1.0</v>
      </c>
      <c r="L210" s="80">
        <v>2.0</v>
      </c>
      <c r="M210" s="82"/>
      <c r="N210" s="80">
        <v>1.0</v>
      </c>
      <c r="O210" s="82"/>
      <c r="P210" s="82"/>
      <c r="Q210" s="82"/>
      <c r="R210" s="82"/>
      <c r="S210" s="82"/>
      <c r="T210" s="80">
        <v>1.0</v>
      </c>
      <c r="U210" s="80">
        <v>0.0</v>
      </c>
      <c r="V210" s="80">
        <v>0.0</v>
      </c>
      <c r="W210" s="80">
        <v>0.0</v>
      </c>
      <c r="X210" s="80">
        <v>0.0</v>
      </c>
      <c r="Y210" s="80">
        <v>0.0</v>
      </c>
      <c r="Z210" s="13">
        <f t="shared" si="40"/>
        <v>6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Z211" si="41">SUM(E201:E210)</f>
        <v>14</v>
      </c>
      <c r="F211" s="13">
        <f t="shared" si="41"/>
        <v>18</v>
      </c>
      <c r="G211" s="13">
        <f t="shared" si="41"/>
        <v>13</v>
      </c>
      <c r="H211" s="13">
        <f t="shared" si="41"/>
        <v>13</v>
      </c>
      <c r="I211" s="13">
        <f t="shared" si="41"/>
        <v>10</v>
      </c>
      <c r="J211" s="13">
        <f t="shared" si="41"/>
        <v>14</v>
      </c>
      <c r="K211" s="13">
        <f t="shared" si="41"/>
        <v>16</v>
      </c>
      <c r="L211" s="13">
        <f t="shared" si="41"/>
        <v>25</v>
      </c>
      <c r="M211" s="13">
        <f t="shared" si="41"/>
        <v>12</v>
      </c>
      <c r="N211" s="13">
        <f t="shared" si="41"/>
        <v>12</v>
      </c>
      <c r="O211" s="13">
        <f t="shared" si="41"/>
        <v>20</v>
      </c>
      <c r="P211" s="13">
        <f t="shared" si="41"/>
        <v>9</v>
      </c>
      <c r="Q211" s="13">
        <f t="shared" si="41"/>
        <v>13</v>
      </c>
      <c r="R211" s="13">
        <f t="shared" si="41"/>
        <v>9</v>
      </c>
      <c r="S211" s="13">
        <f t="shared" si="41"/>
        <v>12</v>
      </c>
      <c r="T211" s="13">
        <f t="shared" si="41"/>
        <v>22</v>
      </c>
      <c r="U211" s="13">
        <f t="shared" si="41"/>
        <v>19</v>
      </c>
      <c r="V211" s="13">
        <f t="shared" si="41"/>
        <v>14</v>
      </c>
      <c r="W211" s="13">
        <f t="shared" si="41"/>
        <v>16</v>
      </c>
      <c r="X211" s="13">
        <f t="shared" si="41"/>
        <v>16</v>
      </c>
      <c r="Y211" s="13">
        <f t="shared" si="41"/>
        <v>20</v>
      </c>
      <c r="Z211" s="13">
        <f t="shared" si="41"/>
        <v>317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4.0</v>
      </c>
      <c r="F213" s="73">
        <v>8.0</v>
      </c>
      <c r="G213" s="73">
        <v>2.0</v>
      </c>
      <c r="H213" s="73">
        <v>2.0</v>
      </c>
      <c r="I213" s="73">
        <v>4.0</v>
      </c>
      <c r="J213" s="73">
        <v>5.0</v>
      </c>
      <c r="K213" s="73">
        <v>6.0</v>
      </c>
      <c r="L213" s="73">
        <v>3.0</v>
      </c>
      <c r="M213" s="73">
        <v>1.0</v>
      </c>
      <c r="N213" s="73">
        <v>2.0</v>
      </c>
      <c r="O213" s="73">
        <v>8.0</v>
      </c>
      <c r="P213" s="73">
        <v>10.0</v>
      </c>
      <c r="Q213" s="73">
        <v>0.0</v>
      </c>
      <c r="R213" s="73">
        <v>8.0</v>
      </c>
      <c r="S213" s="73">
        <v>11.0</v>
      </c>
      <c r="T213" s="73">
        <v>9.0</v>
      </c>
      <c r="U213" s="73">
        <v>3.0</v>
      </c>
      <c r="V213" s="73">
        <v>1.0</v>
      </c>
      <c r="W213" s="73">
        <v>6.0</v>
      </c>
      <c r="X213" s="73">
        <v>11.0</v>
      </c>
      <c r="Y213" s="73">
        <v>6.0</v>
      </c>
      <c r="Z213" s="13">
        <f t="shared" ref="Z213:Z222" si="42">SUM(E213:Y213)</f>
        <v>110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0.0</v>
      </c>
      <c r="F214" s="73">
        <v>0.0</v>
      </c>
      <c r="G214" s="73">
        <v>0.0</v>
      </c>
      <c r="H214" s="73">
        <v>0.0</v>
      </c>
      <c r="I214" s="73">
        <v>1.0</v>
      </c>
      <c r="J214" s="73">
        <v>3.0</v>
      </c>
      <c r="K214" s="73">
        <v>0.0</v>
      </c>
      <c r="L214" s="73">
        <v>0.0</v>
      </c>
      <c r="M214" s="73">
        <v>0.0</v>
      </c>
      <c r="N214" s="73">
        <v>2.0</v>
      </c>
      <c r="O214" s="73">
        <v>3.0</v>
      </c>
      <c r="P214" s="73">
        <v>0.0</v>
      </c>
      <c r="Q214" s="73">
        <v>3.0</v>
      </c>
      <c r="R214" s="73">
        <v>0.0</v>
      </c>
      <c r="S214" s="73">
        <v>1.0</v>
      </c>
      <c r="T214" s="73">
        <v>2.0</v>
      </c>
      <c r="U214" s="73">
        <v>0.0</v>
      </c>
      <c r="V214" s="73">
        <v>1.0</v>
      </c>
      <c r="W214" s="73">
        <v>1.0</v>
      </c>
      <c r="X214" s="73">
        <v>4.0</v>
      </c>
      <c r="Y214" s="73">
        <v>0.0</v>
      </c>
      <c r="Z214" s="13">
        <f t="shared" si="42"/>
        <v>21</v>
      </c>
    </row>
    <row r="215" ht="12.75" customHeight="1">
      <c r="A215" s="18"/>
      <c r="B215" s="49"/>
      <c r="C215" s="50" t="s">
        <v>165</v>
      </c>
      <c r="D215" s="51"/>
      <c r="E215" s="73">
        <v>2.0</v>
      </c>
      <c r="F215" s="73">
        <v>3.0</v>
      </c>
      <c r="G215" s="73">
        <v>0.0</v>
      </c>
      <c r="H215" s="73">
        <v>1.0</v>
      </c>
      <c r="I215" s="73">
        <v>4.0</v>
      </c>
      <c r="J215" s="73">
        <v>3.0</v>
      </c>
      <c r="K215" s="73">
        <v>4.0</v>
      </c>
      <c r="L215" s="73">
        <v>1.0</v>
      </c>
      <c r="M215" s="73">
        <v>2.0</v>
      </c>
      <c r="N215" s="73">
        <v>1.0</v>
      </c>
      <c r="O215" s="73">
        <v>5.0</v>
      </c>
      <c r="P215" s="73">
        <v>4.0</v>
      </c>
      <c r="Q215" s="73">
        <v>0.0</v>
      </c>
      <c r="R215" s="73">
        <v>1.0</v>
      </c>
      <c r="S215" s="73">
        <v>3.0</v>
      </c>
      <c r="T215" s="73">
        <v>5.0</v>
      </c>
      <c r="U215" s="73">
        <v>1.0</v>
      </c>
      <c r="V215" s="73">
        <v>1.0</v>
      </c>
      <c r="W215" s="73">
        <v>7.0</v>
      </c>
      <c r="X215" s="73">
        <v>5.0</v>
      </c>
      <c r="Y215" s="73">
        <v>0.0</v>
      </c>
      <c r="Z215" s="13">
        <f t="shared" si="42"/>
        <v>53</v>
      </c>
    </row>
    <row r="216" ht="12.75" customHeight="1">
      <c r="A216" s="18"/>
      <c r="B216" s="49"/>
      <c r="C216" s="50" t="s">
        <v>166</v>
      </c>
      <c r="D216" s="51"/>
      <c r="E216" s="73">
        <v>2.0</v>
      </c>
      <c r="F216" s="73">
        <v>0.0</v>
      </c>
      <c r="G216" s="73">
        <v>0.0</v>
      </c>
      <c r="H216" s="73">
        <v>1.0</v>
      </c>
      <c r="I216" s="73">
        <v>0.0</v>
      </c>
      <c r="J216" s="73">
        <v>3.0</v>
      </c>
      <c r="K216" s="73">
        <v>0.0</v>
      </c>
      <c r="L216" s="73">
        <v>1.0</v>
      </c>
      <c r="M216" s="73">
        <v>1.0</v>
      </c>
      <c r="N216" s="73">
        <v>0.0</v>
      </c>
      <c r="O216" s="73">
        <v>1.0</v>
      </c>
      <c r="P216" s="73">
        <v>1.0</v>
      </c>
      <c r="Q216" s="73">
        <v>1.0</v>
      </c>
      <c r="R216" s="73">
        <v>2.0</v>
      </c>
      <c r="S216" s="73">
        <v>1.0</v>
      </c>
      <c r="T216" s="73">
        <v>0.0</v>
      </c>
      <c r="U216" s="73">
        <v>2.0</v>
      </c>
      <c r="V216" s="73">
        <v>0.0</v>
      </c>
      <c r="W216" s="73">
        <v>0.0</v>
      </c>
      <c r="X216" s="73">
        <v>0.0</v>
      </c>
      <c r="Y216" s="73">
        <v>2.0</v>
      </c>
      <c r="Z216" s="13">
        <f t="shared" si="42"/>
        <v>18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Z223" si="43">SUM(E213:E222)</f>
        <v>8</v>
      </c>
      <c r="F223" s="13">
        <f t="shared" si="43"/>
        <v>11</v>
      </c>
      <c r="G223" s="13">
        <f t="shared" si="43"/>
        <v>2</v>
      </c>
      <c r="H223" s="13">
        <f t="shared" si="43"/>
        <v>4</v>
      </c>
      <c r="I223" s="13">
        <f t="shared" si="43"/>
        <v>9</v>
      </c>
      <c r="J223" s="13">
        <f t="shared" si="43"/>
        <v>14</v>
      </c>
      <c r="K223" s="13">
        <f t="shared" si="43"/>
        <v>10</v>
      </c>
      <c r="L223" s="13">
        <f t="shared" si="43"/>
        <v>5</v>
      </c>
      <c r="M223" s="13">
        <f t="shared" si="43"/>
        <v>4</v>
      </c>
      <c r="N223" s="13">
        <f t="shared" si="43"/>
        <v>5</v>
      </c>
      <c r="O223" s="13">
        <f t="shared" si="43"/>
        <v>17</v>
      </c>
      <c r="P223" s="13">
        <f t="shared" si="43"/>
        <v>15</v>
      </c>
      <c r="Q223" s="13">
        <f t="shared" si="43"/>
        <v>4</v>
      </c>
      <c r="R223" s="13">
        <f t="shared" si="43"/>
        <v>11</v>
      </c>
      <c r="S223" s="13">
        <f t="shared" si="43"/>
        <v>16</v>
      </c>
      <c r="T223" s="13">
        <f t="shared" si="43"/>
        <v>16</v>
      </c>
      <c r="U223" s="13">
        <f t="shared" si="43"/>
        <v>6</v>
      </c>
      <c r="V223" s="13">
        <f t="shared" si="43"/>
        <v>3</v>
      </c>
      <c r="W223" s="13">
        <f t="shared" si="43"/>
        <v>14</v>
      </c>
      <c r="X223" s="13">
        <f t="shared" si="43"/>
        <v>20</v>
      </c>
      <c r="Y223" s="13">
        <f t="shared" si="43"/>
        <v>8</v>
      </c>
      <c r="Z223" s="13">
        <f t="shared" si="43"/>
        <v>202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1.0</v>
      </c>
      <c r="F225" s="73">
        <v>0.0</v>
      </c>
      <c r="G225" s="73">
        <v>3.0</v>
      </c>
      <c r="H225" s="73">
        <v>1.0</v>
      </c>
      <c r="I225" s="73">
        <v>0.0</v>
      </c>
      <c r="J225" s="73">
        <v>0.0</v>
      </c>
      <c r="K225" s="73">
        <v>3.0</v>
      </c>
      <c r="L225" s="73">
        <v>2.0</v>
      </c>
      <c r="M225" s="73">
        <v>1.0</v>
      </c>
      <c r="N225" s="73">
        <v>1.0</v>
      </c>
      <c r="O225" s="73">
        <v>0.0</v>
      </c>
      <c r="P225" s="73">
        <v>0.0</v>
      </c>
      <c r="Q225" s="73">
        <v>1.0</v>
      </c>
      <c r="R225" s="73">
        <v>1.0</v>
      </c>
      <c r="S225" s="73">
        <v>1.0</v>
      </c>
      <c r="T225" s="73">
        <v>1.0</v>
      </c>
      <c r="U225" s="73">
        <v>0.0</v>
      </c>
      <c r="V225" s="73">
        <v>0.0</v>
      </c>
      <c r="W225" s="73">
        <v>0.0</v>
      </c>
      <c r="X225" s="73">
        <v>2.0</v>
      </c>
      <c r="Y225" s="73">
        <v>1.0</v>
      </c>
      <c r="Z225" s="13">
        <f t="shared" ref="Z225:Z234" si="44">SUM(E225:Y225)</f>
        <v>19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3.0</v>
      </c>
      <c r="F226" s="73">
        <v>2.0</v>
      </c>
      <c r="G226" s="73">
        <v>6.0</v>
      </c>
      <c r="H226" s="73">
        <v>0.0</v>
      </c>
      <c r="I226" s="73">
        <v>2.0</v>
      </c>
      <c r="J226" s="73">
        <v>0.0</v>
      </c>
      <c r="K226" s="73">
        <v>0.0</v>
      </c>
      <c r="L226" s="73">
        <v>0.0</v>
      </c>
      <c r="M226" s="73">
        <v>1.0</v>
      </c>
      <c r="N226" s="73">
        <v>0.0</v>
      </c>
      <c r="O226" s="73">
        <v>0.0</v>
      </c>
      <c r="P226" s="73">
        <v>0.0</v>
      </c>
      <c r="Q226" s="73">
        <v>0.0</v>
      </c>
      <c r="R226" s="73">
        <v>1.0</v>
      </c>
      <c r="S226" s="73">
        <v>0.0</v>
      </c>
      <c r="T226" s="73">
        <v>1.0</v>
      </c>
      <c r="U226" s="73">
        <v>0.0</v>
      </c>
      <c r="V226" s="73">
        <v>0.0</v>
      </c>
      <c r="W226" s="73">
        <v>0.0</v>
      </c>
      <c r="X226" s="73">
        <v>0.0</v>
      </c>
      <c r="Y226" s="73">
        <v>0.0</v>
      </c>
      <c r="Z226" s="13">
        <f t="shared" si="44"/>
        <v>16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1.0</v>
      </c>
      <c r="H227" s="73">
        <v>2.0</v>
      </c>
      <c r="I227" s="73">
        <v>1.0</v>
      </c>
      <c r="J227" s="73">
        <v>0.0</v>
      </c>
      <c r="K227" s="73">
        <v>0.0</v>
      </c>
      <c r="L227" s="73">
        <v>0.0</v>
      </c>
      <c r="M227" s="73">
        <v>0.0</v>
      </c>
      <c r="N227" s="73">
        <v>1.0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73">
        <v>0.0</v>
      </c>
      <c r="V227" s="73">
        <v>1.0</v>
      </c>
      <c r="W227" s="73">
        <v>0.0</v>
      </c>
      <c r="X227" s="73">
        <v>0.0</v>
      </c>
      <c r="Y227" s="73">
        <v>0.0</v>
      </c>
      <c r="Z227" s="13">
        <f t="shared" si="44"/>
        <v>6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0.0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73">
        <v>2.0</v>
      </c>
      <c r="V228" s="73">
        <v>0.0</v>
      </c>
      <c r="W228" s="73">
        <v>0.0</v>
      </c>
      <c r="X228" s="73">
        <v>0.0</v>
      </c>
      <c r="Y228" s="73">
        <v>0.0</v>
      </c>
      <c r="Z228" s="13">
        <f t="shared" si="44"/>
        <v>2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1.0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73">
        <v>0.0</v>
      </c>
      <c r="V229" s="73">
        <v>0.0</v>
      </c>
      <c r="W229" s="73">
        <v>0.0</v>
      </c>
      <c r="X229" s="73">
        <v>0.0</v>
      </c>
      <c r="Y229" s="73">
        <v>0.0</v>
      </c>
      <c r="Z229" s="13">
        <f t="shared" si="44"/>
        <v>1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Z235" si="45">SUM(E225:E234)</f>
        <v>4</v>
      </c>
      <c r="F235" s="13">
        <f t="shared" si="45"/>
        <v>2</v>
      </c>
      <c r="G235" s="13">
        <f t="shared" si="45"/>
        <v>10</v>
      </c>
      <c r="H235" s="13">
        <f t="shared" si="45"/>
        <v>3</v>
      </c>
      <c r="I235" s="13">
        <f t="shared" si="45"/>
        <v>3</v>
      </c>
      <c r="J235" s="13">
        <f t="shared" si="45"/>
        <v>1</v>
      </c>
      <c r="K235" s="13">
        <f t="shared" si="45"/>
        <v>3</v>
      </c>
      <c r="L235" s="13">
        <f t="shared" si="45"/>
        <v>2</v>
      </c>
      <c r="M235" s="13">
        <f t="shared" si="45"/>
        <v>2</v>
      </c>
      <c r="N235" s="13">
        <f t="shared" si="45"/>
        <v>2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2</v>
      </c>
      <c r="S235" s="13">
        <f t="shared" si="45"/>
        <v>1</v>
      </c>
      <c r="T235" s="13">
        <f t="shared" si="45"/>
        <v>2</v>
      </c>
      <c r="U235" s="13">
        <f t="shared" si="45"/>
        <v>2</v>
      </c>
      <c r="V235" s="13">
        <f t="shared" si="45"/>
        <v>1</v>
      </c>
      <c r="W235" s="13">
        <f t="shared" si="45"/>
        <v>0</v>
      </c>
      <c r="X235" s="13">
        <f t="shared" si="45"/>
        <v>2</v>
      </c>
      <c r="Y235" s="13">
        <f t="shared" si="45"/>
        <v>1</v>
      </c>
      <c r="Z235" s="13">
        <f t="shared" si="45"/>
        <v>44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2.0</v>
      </c>
      <c r="F237" s="73">
        <v>2.0</v>
      </c>
      <c r="G237" s="73">
        <v>1.0</v>
      </c>
      <c r="H237" s="73">
        <v>1.0</v>
      </c>
      <c r="I237" s="73">
        <v>1.0</v>
      </c>
      <c r="J237" s="73">
        <v>2.0</v>
      </c>
      <c r="K237" s="73">
        <v>0.0</v>
      </c>
      <c r="L237" s="73">
        <v>0.0</v>
      </c>
      <c r="M237" s="73">
        <v>0.0</v>
      </c>
      <c r="N237" s="73">
        <v>0.0</v>
      </c>
      <c r="O237" s="73">
        <v>0.0</v>
      </c>
      <c r="P237" s="73">
        <v>1.0</v>
      </c>
      <c r="Q237" s="73">
        <v>0.0</v>
      </c>
      <c r="R237" s="73">
        <v>0.0</v>
      </c>
      <c r="S237" s="73">
        <v>0.0</v>
      </c>
      <c r="T237" s="73">
        <v>0.0</v>
      </c>
      <c r="U237" s="73">
        <v>0.0</v>
      </c>
      <c r="V237" s="73">
        <v>1.0</v>
      </c>
      <c r="W237" s="73">
        <v>0.0</v>
      </c>
      <c r="X237" s="73">
        <v>3.0</v>
      </c>
      <c r="Y237" s="73">
        <v>0.0</v>
      </c>
      <c r="Z237" s="13">
        <f t="shared" ref="Z237:Z246" si="46">SUM(E237:Y237)</f>
        <v>14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1.0</v>
      </c>
      <c r="F238" s="73">
        <v>0.0</v>
      </c>
      <c r="G238" s="73">
        <v>0.0</v>
      </c>
      <c r="H238" s="73">
        <v>0.0</v>
      </c>
      <c r="I238" s="73">
        <v>0.0</v>
      </c>
      <c r="J238" s="73">
        <v>1.0</v>
      </c>
      <c r="K238" s="73">
        <v>0.0</v>
      </c>
      <c r="L238" s="73">
        <v>1.0</v>
      </c>
      <c r="M238" s="73">
        <v>1.0</v>
      </c>
      <c r="N238" s="73">
        <v>1.0</v>
      </c>
      <c r="O238" s="73">
        <v>0.0</v>
      </c>
      <c r="P238" s="73">
        <v>0.0</v>
      </c>
      <c r="Q238" s="73">
        <v>0.0</v>
      </c>
      <c r="R238" s="73">
        <v>0.0</v>
      </c>
      <c r="S238" s="73">
        <v>0.0</v>
      </c>
      <c r="T238" s="73">
        <v>0.0</v>
      </c>
      <c r="U238" s="73">
        <v>0.0</v>
      </c>
      <c r="V238" s="73">
        <v>0.0</v>
      </c>
      <c r="W238" s="73">
        <v>0.0</v>
      </c>
      <c r="X238" s="73">
        <v>0.0</v>
      </c>
      <c r="Y238" s="73">
        <v>0.0</v>
      </c>
      <c r="Z238" s="13">
        <f t="shared" si="46"/>
        <v>5</v>
      </c>
    </row>
    <row r="239" ht="12.75" customHeight="1">
      <c r="A239" s="18"/>
      <c r="B239" s="49"/>
      <c r="C239" s="50" t="s">
        <v>176</v>
      </c>
      <c r="D239" s="51"/>
      <c r="E239" s="73">
        <v>6.0</v>
      </c>
      <c r="F239" s="73">
        <v>1.0</v>
      </c>
      <c r="G239" s="73">
        <v>0.0</v>
      </c>
      <c r="H239" s="73">
        <v>0.0</v>
      </c>
      <c r="I239" s="73">
        <v>14.0</v>
      </c>
      <c r="J239" s="73">
        <v>1.0</v>
      </c>
      <c r="K239" s="73">
        <v>4.0</v>
      </c>
      <c r="L239" s="73">
        <v>2.0</v>
      </c>
      <c r="M239" s="73">
        <v>0.0</v>
      </c>
      <c r="N239" s="73">
        <v>2.0</v>
      </c>
      <c r="O239" s="73">
        <v>4.0</v>
      </c>
      <c r="P239" s="73">
        <v>2.0</v>
      </c>
      <c r="Q239" s="73">
        <v>3.0</v>
      </c>
      <c r="R239" s="73">
        <v>4.0</v>
      </c>
      <c r="S239" s="73">
        <v>2.0</v>
      </c>
      <c r="T239" s="73">
        <v>3.0</v>
      </c>
      <c r="U239" s="73">
        <v>2.0</v>
      </c>
      <c r="V239" s="73">
        <v>1.0</v>
      </c>
      <c r="W239" s="73">
        <v>2.0</v>
      </c>
      <c r="X239" s="73">
        <v>4.0</v>
      </c>
      <c r="Y239" s="73">
        <v>3.0</v>
      </c>
      <c r="Z239" s="13">
        <f t="shared" si="46"/>
        <v>60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0.0</v>
      </c>
      <c r="G240" s="73">
        <v>0.0</v>
      </c>
      <c r="H240" s="73">
        <v>0.0</v>
      </c>
      <c r="I240" s="73">
        <v>1.0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2.0</v>
      </c>
      <c r="P240" s="73">
        <v>2.0</v>
      </c>
      <c r="Q240" s="73">
        <v>0.0</v>
      </c>
      <c r="R240" s="73">
        <v>1.0</v>
      </c>
      <c r="S240" s="73">
        <v>0.0</v>
      </c>
      <c r="T240" s="73">
        <v>0.0</v>
      </c>
      <c r="U240" s="73">
        <v>0.0</v>
      </c>
      <c r="V240" s="73">
        <v>0.0</v>
      </c>
      <c r="W240" s="73">
        <v>0.0</v>
      </c>
      <c r="X240" s="73">
        <v>0.0</v>
      </c>
      <c r="Y240" s="73">
        <v>0.0</v>
      </c>
      <c r="Z240" s="13">
        <f t="shared" si="46"/>
        <v>6</v>
      </c>
    </row>
    <row r="241" ht="12.75" customHeight="1">
      <c r="A241" s="18"/>
      <c r="B241" s="49"/>
      <c r="C241" s="50" t="s">
        <v>178</v>
      </c>
      <c r="D241" s="51"/>
      <c r="E241" s="73">
        <v>1.0</v>
      </c>
      <c r="F241" s="73">
        <v>1.0</v>
      </c>
      <c r="G241" s="73">
        <v>0.0</v>
      </c>
      <c r="H241" s="73">
        <v>0.0</v>
      </c>
      <c r="I241" s="73">
        <v>0.0</v>
      </c>
      <c r="J241" s="73">
        <v>0.0</v>
      </c>
      <c r="K241" s="73">
        <v>1.0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0.0</v>
      </c>
      <c r="R241" s="73">
        <v>0.0</v>
      </c>
      <c r="S241" s="73">
        <v>0.0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v>0.0</v>
      </c>
      <c r="Z241" s="13">
        <f t="shared" si="46"/>
        <v>3</v>
      </c>
    </row>
    <row r="242" ht="12.75" customHeight="1">
      <c r="A242" s="18"/>
      <c r="B242" s="49"/>
      <c r="C242" s="50" t="s">
        <v>179</v>
      </c>
      <c r="D242" s="51"/>
      <c r="E242" s="73">
        <v>1.0</v>
      </c>
      <c r="F242" s="73">
        <v>0.0</v>
      </c>
      <c r="G242" s="73">
        <v>1.0</v>
      </c>
      <c r="H242" s="73">
        <v>0.0</v>
      </c>
      <c r="I242" s="73">
        <v>0.0</v>
      </c>
      <c r="J242" s="73">
        <v>0.0</v>
      </c>
      <c r="K242" s="73">
        <v>0.0</v>
      </c>
      <c r="L242" s="73">
        <v>0.0</v>
      </c>
      <c r="M242" s="73">
        <v>0.0</v>
      </c>
      <c r="N242" s="73">
        <v>0.0</v>
      </c>
      <c r="O242" s="73">
        <v>2.0</v>
      </c>
      <c r="P242" s="73">
        <v>0.0</v>
      </c>
      <c r="Q242" s="73">
        <v>0.0</v>
      </c>
      <c r="R242" s="73">
        <v>0.0</v>
      </c>
      <c r="S242" s="73">
        <v>0.0</v>
      </c>
      <c r="T242" s="73">
        <v>1.0</v>
      </c>
      <c r="U242" s="73">
        <v>0.0</v>
      </c>
      <c r="V242" s="73">
        <v>0.0</v>
      </c>
      <c r="W242" s="73">
        <v>0.0</v>
      </c>
      <c r="X242" s="73">
        <v>0.0</v>
      </c>
      <c r="Y242" s="73">
        <v>0.0</v>
      </c>
      <c r="Z242" s="13">
        <f t="shared" si="46"/>
        <v>5</v>
      </c>
    </row>
    <row r="243" ht="12.75" customHeight="1">
      <c r="A243" s="18"/>
      <c r="B243" s="49"/>
      <c r="C243" s="50" t="s">
        <v>180</v>
      </c>
      <c r="D243" s="51"/>
      <c r="E243" s="73">
        <v>1.0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0.0</v>
      </c>
      <c r="L243" s="73">
        <v>1.0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0.0</v>
      </c>
      <c r="T243" s="73">
        <v>0.0</v>
      </c>
      <c r="U243" s="73">
        <v>0.0</v>
      </c>
      <c r="V243" s="73">
        <v>0.0</v>
      </c>
      <c r="W243" s="73">
        <v>0.0</v>
      </c>
      <c r="X243" s="73">
        <v>0.0</v>
      </c>
      <c r="Y243" s="73">
        <v>0.0</v>
      </c>
      <c r="Z243" s="13">
        <f t="shared" si="46"/>
        <v>2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1.0</v>
      </c>
      <c r="I244" s="80">
        <v>0.0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80">
        <v>0.0</v>
      </c>
      <c r="T244" s="80">
        <v>1.0</v>
      </c>
      <c r="U244" s="80">
        <v>0.0</v>
      </c>
      <c r="V244" s="80">
        <v>0.0</v>
      </c>
      <c r="W244" s="80">
        <v>0.0</v>
      </c>
      <c r="X244" s="80">
        <v>0.0</v>
      </c>
      <c r="Y244" s="80">
        <v>0.0</v>
      </c>
      <c r="Z244" s="13">
        <f t="shared" si="46"/>
        <v>2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1.0</v>
      </c>
      <c r="R245" s="80">
        <v>0.0</v>
      </c>
      <c r="S245" s="80">
        <v>0.0</v>
      </c>
      <c r="T245" s="80">
        <v>0.0</v>
      </c>
      <c r="U245" s="80">
        <v>0.0</v>
      </c>
      <c r="V245" s="80">
        <v>0.0</v>
      </c>
      <c r="W245" s="80">
        <v>0.0</v>
      </c>
      <c r="X245" s="80">
        <v>0.0</v>
      </c>
      <c r="Y245" s="80">
        <v>0.0</v>
      </c>
      <c r="Z245" s="13">
        <f t="shared" si="46"/>
        <v>1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1.0</v>
      </c>
      <c r="I246" s="80">
        <v>0.0</v>
      </c>
      <c r="J246" s="80">
        <v>0.0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0.0</v>
      </c>
      <c r="T246" s="80">
        <v>0.0</v>
      </c>
      <c r="U246" s="80">
        <v>0.0</v>
      </c>
      <c r="V246" s="80">
        <v>1.0</v>
      </c>
      <c r="W246" s="80">
        <v>0.0</v>
      </c>
      <c r="X246" s="80">
        <v>0.0</v>
      </c>
      <c r="Y246" s="80">
        <v>0.0</v>
      </c>
      <c r="Z246" s="13">
        <f t="shared" si="46"/>
        <v>2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Z247" si="47">SUM(E237:E246)</f>
        <v>12</v>
      </c>
      <c r="F247" s="13">
        <f t="shared" si="47"/>
        <v>4</v>
      </c>
      <c r="G247" s="13">
        <f t="shared" si="47"/>
        <v>2</v>
      </c>
      <c r="H247" s="13">
        <f t="shared" si="47"/>
        <v>3</v>
      </c>
      <c r="I247" s="13">
        <f t="shared" si="47"/>
        <v>16</v>
      </c>
      <c r="J247" s="13">
        <f t="shared" si="47"/>
        <v>4</v>
      </c>
      <c r="K247" s="13">
        <f t="shared" si="47"/>
        <v>5</v>
      </c>
      <c r="L247" s="13">
        <f t="shared" si="47"/>
        <v>4</v>
      </c>
      <c r="M247" s="13">
        <f t="shared" si="47"/>
        <v>1</v>
      </c>
      <c r="N247" s="13">
        <f t="shared" si="47"/>
        <v>3</v>
      </c>
      <c r="O247" s="13">
        <f t="shared" si="47"/>
        <v>8</v>
      </c>
      <c r="P247" s="13">
        <f t="shared" si="47"/>
        <v>5</v>
      </c>
      <c r="Q247" s="13">
        <f t="shared" si="47"/>
        <v>4</v>
      </c>
      <c r="R247" s="13">
        <f t="shared" si="47"/>
        <v>5</v>
      </c>
      <c r="S247" s="13">
        <f t="shared" si="47"/>
        <v>2</v>
      </c>
      <c r="T247" s="13">
        <f t="shared" si="47"/>
        <v>5</v>
      </c>
      <c r="U247" s="13">
        <f t="shared" si="47"/>
        <v>2</v>
      </c>
      <c r="V247" s="13">
        <f t="shared" si="47"/>
        <v>3</v>
      </c>
      <c r="W247" s="13">
        <f t="shared" si="47"/>
        <v>2</v>
      </c>
      <c r="X247" s="13">
        <f t="shared" si="47"/>
        <v>7</v>
      </c>
      <c r="Y247" s="13">
        <f t="shared" si="47"/>
        <v>3</v>
      </c>
      <c r="Z247" s="13">
        <f t="shared" si="47"/>
        <v>100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0.0</v>
      </c>
      <c r="F249" s="73">
        <v>1.0</v>
      </c>
      <c r="G249" s="73">
        <v>3.0</v>
      </c>
      <c r="H249" s="73">
        <v>0.0</v>
      </c>
      <c r="I249" s="73">
        <v>0.0</v>
      </c>
      <c r="J249" s="73">
        <v>0.0</v>
      </c>
      <c r="K249" s="73">
        <v>0.0</v>
      </c>
      <c r="L249" s="73">
        <v>5.0</v>
      </c>
      <c r="M249" s="73">
        <v>2.0</v>
      </c>
      <c r="N249" s="73">
        <v>0.0</v>
      </c>
      <c r="O249" s="73">
        <v>0.0</v>
      </c>
      <c r="P249" s="73">
        <v>0.0</v>
      </c>
      <c r="Q249" s="73">
        <v>0.0</v>
      </c>
      <c r="R249" s="73">
        <v>0.0</v>
      </c>
      <c r="S249" s="73">
        <v>0.0</v>
      </c>
      <c r="T249" s="73">
        <v>2.0</v>
      </c>
      <c r="U249" s="73">
        <v>0.0</v>
      </c>
      <c r="V249" s="73">
        <v>1.0</v>
      </c>
      <c r="W249" s="73">
        <v>1.0</v>
      </c>
      <c r="X249" s="73">
        <v>3.0</v>
      </c>
      <c r="Y249" s="73">
        <v>0.0</v>
      </c>
      <c r="Z249" s="13">
        <f t="shared" ref="Z249:Z258" si="48">SUM(E249:Y249)</f>
        <v>18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1.0</v>
      </c>
      <c r="F250" s="73">
        <v>2.0</v>
      </c>
      <c r="G250" s="73">
        <v>0.0</v>
      </c>
      <c r="H250" s="73">
        <v>0.0</v>
      </c>
      <c r="I250" s="73">
        <v>0.0</v>
      </c>
      <c r="J250" s="73">
        <v>2.0</v>
      </c>
      <c r="K250" s="73">
        <v>2.0</v>
      </c>
      <c r="L250" s="73">
        <v>5.0</v>
      </c>
      <c r="M250" s="73">
        <v>1.0</v>
      </c>
      <c r="N250" s="73">
        <v>1.0</v>
      </c>
      <c r="O250" s="73">
        <v>13.0</v>
      </c>
      <c r="P250" s="73">
        <v>6.0</v>
      </c>
      <c r="Q250" s="73">
        <v>0.0</v>
      </c>
      <c r="R250" s="73">
        <v>0.0</v>
      </c>
      <c r="S250" s="73">
        <v>2.0</v>
      </c>
      <c r="T250" s="73">
        <v>3.0</v>
      </c>
      <c r="U250" s="73">
        <v>1.0</v>
      </c>
      <c r="V250" s="73">
        <v>5.0</v>
      </c>
      <c r="W250" s="73">
        <v>0.0</v>
      </c>
      <c r="X250" s="73">
        <v>2.0</v>
      </c>
      <c r="Y250" s="73">
        <v>0.0</v>
      </c>
      <c r="Z250" s="13">
        <f t="shared" si="48"/>
        <v>46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73">
        <v>0.0</v>
      </c>
      <c r="V251" s="73">
        <v>0.0</v>
      </c>
      <c r="W251" s="73">
        <v>0.0</v>
      </c>
      <c r="X251" s="73">
        <v>0.0</v>
      </c>
      <c r="Y251" s="73">
        <v>0.0</v>
      </c>
      <c r="Z251" s="13">
        <f t="shared" si="48"/>
        <v>0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0.0</v>
      </c>
      <c r="H252" s="73">
        <v>0.0</v>
      </c>
      <c r="I252" s="73">
        <v>0.0</v>
      </c>
      <c r="J252" s="73">
        <v>0.0</v>
      </c>
      <c r="K252" s="73">
        <v>1.0</v>
      </c>
      <c r="L252" s="73">
        <v>0.0</v>
      </c>
      <c r="M252" s="73">
        <v>0.0</v>
      </c>
      <c r="N252" s="73">
        <v>0.0</v>
      </c>
      <c r="O252" s="73">
        <v>0.0</v>
      </c>
      <c r="P252" s="73">
        <v>1.0</v>
      </c>
      <c r="Q252" s="73">
        <v>0.0</v>
      </c>
      <c r="R252" s="73">
        <v>0.0</v>
      </c>
      <c r="S252" s="73">
        <v>0.0</v>
      </c>
      <c r="T252" s="73">
        <v>0.0</v>
      </c>
      <c r="U252" s="73">
        <v>0.0</v>
      </c>
      <c r="V252" s="73">
        <v>0.0</v>
      </c>
      <c r="W252" s="73">
        <v>0.0</v>
      </c>
      <c r="X252" s="73">
        <v>0.0</v>
      </c>
      <c r="Y252" s="73">
        <v>0.0</v>
      </c>
      <c r="Z252" s="13">
        <f t="shared" si="48"/>
        <v>2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Z259" si="49">SUM(E249:E258)</f>
        <v>1</v>
      </c>
      <c r="F259" s="13">
        <f t="shared" si="49"/>
        <v>3</v>
      </c>
      <c r="G259" s="13">
        <f t="shared" si="49"/>
        <v>3</v>
      </c>
      <c r="H259" s="13">
        <f t="shared" si="49"/>
        <v>0</v>
      </c>
      <c r="I259" s="13">
        <f t="shared" si="49"/>
        <v>0</v>
      </c>
      <c r="J259" s="13">
        <f t="shared" si="49"/>
        <v>2</v>
      </c>
      <c r="K259" s="13">
        <f t="shared" si="49"/>
        <v>3</v>
      </c>
      <c r="L259" s="13">
        <f t="shared" si="49"/>
        <v>10</v>
      </c>
      <c r="M259" s="13">
        <f t="shared" si="49"/>
        <v>3</v>
      </c>
      <c r="N259" s="13">
        <f t="shared" si="49"/>
        <v>1</v>
      </c>
      <c r="O259" s="13">
        <f t="shared" si="49"/>
        <v>13</v>
      </c>
      <c r="P259" s="13">
        <f t="shared" si="49"/>
        <v>7</v>
      </c>
      <c r="Q259" s="13">
        <f t="shared" si="49"/>
        <v>0</v>
      </c>
      <c r="R259" s="13">
        <f t="shared" si="49"/>
        <v>0</v>
      </c>
      <c r="S259" s="13">
        <f t="shared" si="49"/>
        <v>2</v>
      </c>
      <c r="T259" s="13">
        <f t="shared" si="49"/>
        <v>5</v>
      </c>
      <c r="U259" s="13">
        <f t="shared" si="49"/>
        <v>1</v>
      </c>
      <c r="V259" s="13">
        <f t="shared" si="49"/>
        <v>6</v>
      </c>
      <c r="W259" s="13">
        <f t="shared" si="49"/>
        <v>1</v>
      </c>
      <c r="X259" s="13">
        <f t="shared" si="49"/>
        <v>5</v>
      </c>
      <c r="Y259" s="13">
        <f t="shared" si="49"/>
        <v>0</v>
      </c>
      <c r="Z259" s="13">
        <f t="shared" si="49"/>
        <v>66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13"/>
      <c r="U261" s="13"/>
      <c r="V261" s="13"/>
      <c r="W261" s="13"/>
      <c r="X261" s="76"/>
      <c r="Y261" s="76"/>
      <c r="Z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Y262" si="50">E55+E67+E79+E91+E103+E115+E127+E139+E151+E163+E175+E187+E199+E211+E223+E235+E247+E259</f>
        <v>179</v>
      </c>
      <c r="F262" s="19">
        <f t="shared" si="50"/>
        <v>161</v>
      </c>
      <c r="G262" s="19">
        <f t="shared" si="50"/>
        <v>190</v>
      </c>
      <c r="H262" s="19">
        <f t="shared" si="50"/>
        <v>167</v>
      </c>
      <c r="I262" s="19">
        <f t="shared" si="50"/>
        <v>160</v>
      </c>
      <c r="J262" s="19">
        <f t="shared" si="50"/>
        <v>202</v>
      </c>
      <c r="K262" s="19">
        <f t="shared" si="50"/>
        <v>194</v>
      </c>
      <c r="L262" s="19">
        <f t="shared" si="50"/>
        <v>183</v>
      </c>
      <c r="M262" s="19">
        <f t="shared" si="50"/>
        <v>161</v>
      </c>
      <c r="N262" s="19">
        <f t="shared" si="50"/>
        <v>180</v>
      </c>
      <c r="O262" s="19">
        <f t="shared" si="50"/>
        <v>202</v>
      </c>
      <c r="P262" s="19">
        <f t="shared" si="50"/>
        <v>209</v>
      </c>
      <c r="Q262" s="19">
        <f t="shared" si="50"/>
        <v>198</v>
      </c>
      <c r="R262" s="19">
        <f t="shared" si="50"/>
        <v>169</v>
      </c>
      <c r="S262" s="19">
        <f t="shared" si="50"/>
        <v>182</v>
      </c>
      <c r="T262" s="19">
        <f t="shared" si="50"/>
        <v>194</v>
      </c>
      <c r="U262" s="19">
        <f t="shared" si="50"/>
        <v>198</v>
      </c>
      <c r="V262" s="19">
        <f t="shared" si="50"/>
        <v>207</v>
      </c>
      <c r="W262" s="19">
        <f t="shared" si="50"/>
        <v>173</v>
      </c>
      <c r="X262" s="19">
        <f t="shared" si="50"/>
        <v>155</v>
      </c>
      <c r="Y262" s="19">
        <f t="shared" si="50"/>
        <v>185</v>
      </c>
      <c r="Z262" s="13">
        <f t="shared" ref="Z262:Z264" si="51">SUM(E262:Y262)</f>
        <v>3849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24.0</v>
      </c>
      <c r="F263" s="73">
        <v>25.0</v>
      </c>
      <c r="G263" s="73">
        <v>27.0</v>
      </c>
      <c r="H263" s="73">
        <v>25.0</v>
      </c>
      <c r="I263" s="73">
        <v>29.0</v>
      </c>
      <c r="J263" s="73">
        <v>25.0</v>
      </c>
      <c r="K263" s="73">
        <v>28.0</v>
      </c>
      <c r="L263" s="73">
        <v>25.0</v>
      </c>
      <c r="M263" s="73">
        <v>25.0</v>
      </c>
      <c r="N263" s="73">
        <v>24.0</v>
      </c>
      <c r="O263" s="73">
        <v>26.0</v>
      </c>
      <c r="P263" s="73">
        <v>26.0</v>
      </c>
      <c r="Q263" s="73">
        <v>20.0</v>
      </c>
      <c r="R263" s="73">
        <v>20.0</v>
      </c>
      <c r="S263" s="73">
        <v>21.0</v>
      </c>
      <c r="T263" s="73">
        <v>26.0</v>
      </c>
      <c r="U263" s="73">
        <v>40.0</v>
      </c>
      <c r="V263" s="73">
        <v>26.0</v>
      </c>
      <c r="W263" s="73">
        <v>29.0</v>
      </c>
      <c r="X263" s="73">
        <v>21.0</v>
      </c>
      <c r="Y263" s="73">
        <v>21.0</v>
      </c>
      <c r="Z263" s="13">
        <f t="shared" si="51"/>
        <v>533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Y264" si="52">SUM(E262:E263)</f>
        <v>203</v>
      </c>
      <c r="F264" s="13">
        <f t="shared" si="52"/>
        <v>186</v>
      </c>
      <c r="G264" s="13">
        <f t="shared" si="52"/>
        <v>217</v>
      </c>
      <c r="H264" s="13">
        <f t="shared" si="52"/>
        <v>192</v>
      </c>
      <c r="I264" s="13">
        <f t="shared" si="52"/>
        <v>189</v>
      </c>
      <c r="J264" s="13">
        <f t="shared" si="52"/>
        <v>227</v>
      </c>
      <c r="K264" s="13">
        <f t="shared" si="52"/>
        <v>222</v>
      </c>
      <c r="L264" s="13">
        <f t="shared" si="52"/>
        <v>208</v>
      </c>
      <c r="M264" s="13">
        <f t="shared" si="52"/>
        <v>186</v>
      </c>
      <c r="N264" s="13">
        <f t="shared" si="52"/>
        <v>204</v>
      </c>
      <c r="O264" s="13">
        <f t="shared" si="52"/>
        <v>228</v>
      </c>
      <c r="P264" s="13">
        <f t="shared" si="52"/>
        <v>235</v>
      </c>
      <c r="Q264" s="13">
        <f t="shared" si="52"/>
        <v>218</v>
      </c>
      <c r="R264" s="13">
        <f t="shared" si="52"/>
        <v>189</v>
      </c>
      <c r="S264" s="13">
        <f t="shared" si="52"/>
        <v>203</v>
      </c>
      <c r="T264" s="13">
        <f t="shared" si="52"/>
        <v>220</v>
      </c>
      <c r="U264" s="13">
        <f t="shared" si="52"/>
        <v>238</v>
      </c>
      <c r="V264" s="13">
        <f t="shared" si="52"/>
        <v>233</v>
      </c>
      <c r="W264" s="13">
        <f t="shared" si="52"/>
        <v>202</v>
      </c>
      <c r="X264" s="13">
        <f t="shared" si="52"/>
        <v>176</v>
      </c>
      <c r="Y264" s="13">
        <f t="shared" si="52"/>
        <v>206</v>
      </c>
      <c r="Z264" s="13">
        <f t="shared" si="51"/>
        <v>4382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Y15">
    <cfRule type="containsBlanks" dxfId="1" priority="1">
      <formula>LEN(TRIM(E14))=0</formula>
    </cfRule>
  </conditionalFormatting>
  <conditionalFormatting sqref="E19:Y20">
    <cfRule type="containsBlanks" dxfId="1" priority="2">
      <formula>LEN(TRIM(E19))=0</formula>
    </cfRule>
  </conditionalFormatting>
  <conditionalFormatting sqref="E22:Y23 E25:Y26 E33:Y33 E35:Y35 E39:Y40">
    <cfRule type="containsBlanks" dxfId="1" priority="3">
      <formula>LEN(TRIM(E22))=0</formula>
    </cfRule>
  </conditionalFormatting>
  <conditionalFormatting sqref="E30:Y30">
    <cfRule type="expression" dxfId="0" priority="4">
      <formula>E30&lt;&gt;E47</formula>
    </cfRule>
  </conditionalFormatting>
  <conditionalFormatting sqref="E30:Y30">
    <cfRule type="expression" dxfId="0" priority="5">
      <formula>E30&lt;&gt;E34</formula>
    </cfRule>
  </conditionalFormatting>
  <conditionalFormatting sqref="E34:Y34">
    <cfRule type="expression" dxfId="2" priority="6">
      <formula>E30&lt;&gt;E34</formula>
    </cfRule>
  </conditionalFormatting>
  <conditionalFormatting sqref="E34:Y34">
    <cfRule type="expression" dxfId="3" priority="7">
      <formula>E30=E34</formula>
    </cfRule>
  </conditionalFormatting>
  <conditionalFormatting sqref="E34:Y34">
    <cfRule type="expression" dxfId="0" priority="8">
      <formula>E34&lt;&gt;E30</formula>
    </cfRule>
  </conditionalFormatting>
  <conditionalFormatting sqref="E34:Y34">
    <cfRule type="expression" dxfId="0" priority="9">
      <formula>E34&lt;&gt;E64</formula>
    </cfRule>
  </conditionalFormatting>
  <conditionalFormatting sqref="E45:Y54">
    <cfRule type="containsBlanks" dxfId="1" priority="10">
      <formula>LEN(TRIM(E45))=0</formula>
    </cfRule>
  </conditionalFormatting>
  <conditionalFormatting sqref="E57:Y66">
    <cfRule type="containsBlanks" dxfId="1" priority="11">
      <formula>LEN(TRIM(E57))=0</formula>
    </cfRule>
  </conditionalFormatting>
  <conditionalFormatting sqref="E69:Y78">
    <cfRule type="containsBlanks" dxfId="1" priority="12">
      <formula>LEN(TRIM(E69))=0</formula>
    </cfRule>
  </conditionalFormatting>
  <conditionalFormatting sqref="E81:Y90">
    <cfRule type="containsBlanks" dxfId="1" priority="13">
      <formula>LEN(TRIM(E81))=0</formula>
    </cfRule>
  </conditionalFormatting>
  <conditionalFormatting sqref="E93:Y102">
    <cfRule type="containsBlanks" dxfId="1" priority="14">
      <formula>LEN(TRIM(E93))=0</formula>
    </cfRule>
  </conditionalFormatting>
  <conditionalFormatting sqref="E105:Y114">
    <cfRule type="containsBlanks" dxfId="1" priority="15">
      <formula>LEN(TRIM(E105))=0</formula>
    </cfRule>
  </conditionalFormatting>
  <conditionalFormatting sqref="E117:Y126">
    <cfRule type="containsBlanks" dxfId="1" priority="16">
      <formula>LEN(TRIM(E117))=0</formula>
    </cfRule>
  </conditionalFormatting>
  <conditionalFormatting sqref="E129:Y138">
    <cfRule type="containsBlanks" dxfId="1" priority="17">
      <formula>LEN(TRIM(E129))=0</formula>
    </cfRule>
  </conditionalFormatting>
  <conditionalFormatting sqref="E141:Y150">
    <cfRule type="containsBlanks" dxfId="1" priority="18">
      <formula>LEN(TRIM(E141))=0</formula>
    </cfRule>
  </conditionalFormatting>
  <conditionalFormatting sqref="E153:Y162">
    <cfRule type="containsBlanks" dxfId="1" priority="19">
      <formula>LEN(TRIM(E153))=0</formula>
    </cfRule>
  </conditionalFormatting>
  <conditionalFormatting sqref="E165:Y174">
    <cfRule type="containsBlanks" dxfId="1" priority="20">
      <formula>LEN(TRIM(E165))=0</formula>
    </cfRule>
  </conditionalFormatting>
  <conditionalFormatting sqref="E177:Y186">
    <cfRule type="containsBlanks" dxfId="1" priority="21">
      <formula>LEN(TRIM(E177))=0</formula>
    </cfRule>
  </conditionalFormatting>
  <conditionalFormatting sqref="E189:Y198">
    <cfRule type="containsBlanks" dxfId="1" priority="22">
      <formula>LEN(TRIM(E189))=0</formula>
    </cfRule>
  </conditionalFormatting>
  <conditionalFormatting sqref="E201:Y210">
    <cfRule type="containsBlanks" dxfId="1" priority="23">
      <formula>LEN(TRIM(E201))=0</formula>
    </cfRule>
  </conditionalFormatting>
  <conditionalFormatting sqref="E213:Y222">
    <cfRule type="containsBlanks" dxfId="1" priority="24">
      <formula>LEN(TRIM(E213))=0</formula>
    </cfRule>
  </conditionalFormatting>
  <conditionalFormatting sqref="E225:Y234">
    <cfRule type="containsBlanks" dxfId="1" priority="25">
      <formula>LEN(TRIM(E225))=0</formula>
    </cfRule>
  </conditionalFormatting>
  <conditionalFormatting sqref="E237:Y246">
    <cfRule type="containsBlanks" dxfId="1" priority="26">
      <formula>LEN(TRIM(E237))=0</formula>
    </cfRule>
  </conditionalFormatting>
  <conditionalFormatting sqref="E249:Y258">
    <cfRule type="containsBlanks" dxfId="1" priority="27">
      <formula>LEN(TRIM(E249))=0</formula>
    </cfRule>
  </conditionalFormatting>
  <conditionalFormatting sqref="E262:Y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 t="s">
        <v>245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2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215</v>
      </c>
      <c r="U13" s="36"/>
    </row>
    <row r="14" ht="12.75" customHeight="1">
      <c r="A14" s="18"/>
      <c r="B14" s="22" t="s">
        <v>10</v>
      </c>
      <c r="C14" s="23"/>
      <c r="D14" s="19" t="s">
        <v>11</v>
      </c>
      <c r="E14" s="73">
        <v>146.0</v>
      </c>
      <c r="F14" s="73">
        <v>111.0</v>
      </c>
      <c r="G14" s="73">
        <v>121.0</v>
      </c>
      <c r="H14" s="73">
        <v>146.0</v>
      </c>
      <c r="I14" s="73">
        <v>125.0</v>
      </c>
      <c r="J14" s="73">
        <v>129.0</v>
      </c>
      <c r="K14" s="73">
        <v>136.0</v>
      </c>
      <c r="L14" s="73">
        <v>138.0</v>
      </c>
      <c r="M14" s="73">
        <v>138.0</v>
      </c>
      <c r="N14" s="73">
        <v>154.0</v>
      </c>
      <c r="O14" s="73">
        <v>130.0</v>
      </c>
      <c r="P14" s="73">
        <v>131.0</v>
      </c>
      <c r="Q14" s="73">
        <v>103.0</v>
      </c>
      <c r="R14" s="73">
        <v>140.0</v>
      </c>
      <c r="S14" s="73">
        <v>99.0</v>
      </c>
      <c r="T14" s="73">
        <v>118.0</v>
      </c>
      <c r="U14" s="13">
        <f t="shared" ref="U14:U16" si="1">SUM(E14:T14)</f>
        <v>2065</v>
      </c>
    </row>
    <row r="15" ht="12.75" customHeight="1">
      <c r="A15" s="18"/>
      <c r="B15" s="26"/>
      <c r="C15" s="27"/>
      <c r="D15" s="19" t="s">
        <v>12</v>
      </c>
      <c r="E15" s="73">
        <v>130.0</v>
      </c>
      <c r="F15" s="73">
        <v>104.0</v>
      </c>
      <c r="G15" s="73">
        <v>115.0</v>
      </c>
      <c r="H15" s="73">
        <v>139.0</v>
      </c>
      <c r="I15" s="73">
        <v>138.0</v>
      </c>
      <c r="J15" s="73">
        <v>136.0</v>
      </c>
      <c r="K15" s="73">
        <v>151.0</v>
      </c>
      <c r="L15" s="73">
        <v>146.0</v>
      </c>
      <c r="M15" s="73">
        <v>146.0</v>
      </c>
      <c r="N15" s="73">
        <v>137.0</v>
      </c>
      <c r="O15" s="73">
        <v>148.0</v>
      </c>
      <c r="P15" s="73">
        <v>146.0</v>
      </c>
      <c r="Q15" s="73">
        <v>114.0</v>
      </c>
      <c r="R15" s="73">
        <v>139.0</v>
      </c>
      <c r="S15" s="73">
        <v>106.0</v>
      </c>
      <c r="T15" s="73">
        <v>125.0</v>
      </c>
      <c r="U15" s="13">
        <f t="shared" si="1"/>
        <v>2120</v>
      </c>
    </row>
    <row r="16" ht="12.75" customHeight="1">
      <c r="A16" s="25"/>
      <c r="B16" s="21"/>
      <c r="C16" s="28"/>
      <c r="D16" s="13" t="s">
        <v>13</v>
      </c>
      <c r="E16" s="13">
        <f t="shared" ref="E16:T16" si="2">SUM(E14:E15)</f>
        <v>276</v>
      </c>
      <c r="F16" s="13">
        <f t="shared" si="2"/>
        <v>215</v>
      </c>
      <c r="G16" s="13">
        <f t="shared" si="2"/>
        <v>236</v>
      </c>
      <c r="H16" s="13">
        <f t="shared" si="2"/>
        <v>285</v>
      </c>
      <c r="I16" s="13">
        <f t="shared" si="2"/>
        <v>263</v>
      </c>
      <c r="J16" s="13">
        <f t="shared" si="2"/>
        <v>265</v>
      </c>
      <c r="K16" s="13">
        <f t="shared" si="2"/>
        <v>287</v>
      </c>
      <c r="L16" s="13">
        <f t="shared" si="2"/>
        <v>284</v>
      </c>
      <c r="M16" s="13">
        <f t="shared" si="2"/>
        <v>284</v>
      </c>
      <c r="N16" s="13">
        <f t="shared" si="2"/>
        <v>291</v>
      </c>
      <c r="O16" s="13">
        <f t="shared" si="2"/>
        <v>278</v>
      </c>
      <c r="P16" s="13">
        <f t="shared" si="2"/>
        <v>277</v>
      </c>
      <c r="Q16" s="13">
        <f t="shared" si="2"/>
        <v>217</v>
      </c>
      <c r="R16" s="13">
        <f t="shared" si="2"/>
        <v>279</v>
      </c>
      <c r="S16" s="13">
        <f t="shared" si="2"/>
        <v>205</v>
      </c>
      <c r="T16" s="13">
        <f t="shared" si="2"/>
        <v>243</v>
      </c>
      <c r="U16" s="13">
        <f t="shared" si="1"/>
        <v>4185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74"/>
      <c r="P17" s="74"/>
      <c r="Q17" s="74"/>
      <c r="R17" s="74"/>
      <c r="S17" s="74"/>
      <c r="T17" s="19"/>
      <c r="U17" s="75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74"/>
      <c r="P18" s="74"/>
      <c r="Q18" s="74"/>
      <c r="R18" s="74"/>
      <c r="S18" s="74"/>
      <c r="T18" s="19"/>
      <c r="U18" s="75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3">
        <v>99.0</v>
      </c>
      <c r="F19" s="73">
        <v>80.0</v>
      </c>
      <c r="G19" s="73">
        <v>85.0</v>
      </c>
      <c r="H19" s="73">
        <v>96.0</v>
      </c>
      <c r="I19" s="73">
        <v>89.0</v>
      </c>
      <c r="J19" s="73">
        <v>100.0</v>
      </c>
      <c r="K19" s="73">
        <v>95.0</v>
      </c>
      <c r="L19" s="73">
        <v>89.0</v>
      </c>
      <c r="M19" s="73">
        <v>91.0</v>
      </c>
      <c r="N19" s="73">
        <v>120.0</v>
      </c>
      <c r="O19" s="73">
        <v>89.0</v>
      </c>
      <c r="P19" s="73">
        <v>93.0</v>
      </c>
      <c r="Q19" s="73">
        <v>82.0</v>
      </c>
      <c r="R19" s="73">
        <v>106.0</v>
      </c>
      <c r="S19" s="73">
        <v>71.0</v>
      </c>
      <c r="T19" s="73">
        <v>98.0</v>
      </c>
      <c r="U19" s="13">
        <f t="shared" ref="U19:U30" si="3">SUM(E19:T19)</f>
        <v>1483</v>
      </c>
    </row>
    <row r="20" ht="12.75" customHeight="1">
      <c r="A20" s="33"/>
      <c r="B20" s="27"/>
      <c r="C20" s="34"/>
      <c r="D20" s="19" t="s">
        <v>12</v>
      </c>
      <c r="E20" s="73">
        <v>110.0</v>
      </c>
      <c r="F20" s="73">
        <v>87.0</v>
      </c>
      <c r="G20" s="73">
        <v>90.0</v>
      </c>
      <c r="H20" s="73">
        <v>109.0</v>
      </c>
      <c r="I20" s="73">
        <v>107.0</v>
      </c>
      <c r="J20" s="73">
        <v>106.0</v>
      </c>
      <c r="K20" s="73">
        <v>119.0</v>
      </c>
      <c r="L20" s="73">
        <v>114.0</v>
      </c>
      <c r="M20" s="73">
        <v>109.0</v>
      </c>
      <c r="N20" s="73">
        <v>129.0</v>
      </c>
      <c r="O20" s="73">
        <v>105.0</v>
      </c>
      <c r="P20" s="73">
        <v>129.0</v>
      </c>
      <c r="Q20" s="73">
        <v>100.0</v>
      </c>
      <c r="R20" s="73">
        <v>118.0</v>
      </c>
      <c r="S20" s="73">
        <v>90.0</v>
      </c>
      <c r="T20" s="73">
        <v>103.0</v>
      </c>
      <c r="U20" s="13">
        <f t="shared" si="3"/>
        <v>1725</v>
      </c>
    </row>
    <row r="21" ht="12.75" customHeight="1">
      <c r="A21" s="35"/>
      <c r="B21" s="28"/>
      <c r="C21" s="36"/>
      <c r="D21" s="13" t="s">
        <v>13</v>
      </c>
      <c r="E21" s="13">
        <f t="shared" ref="E21:T21" si="4">SUM(E19:E20)</f>
        <v>209</v>
      </c>
      <c r="F21" s="13">
        <f t="shared" si="4"/>
        <v>167</v>
      </c>
      <c r="G21" s="13">
        <f t="shared" si="4"/>
        <v>175</v>
      </c>
      <c r="H21" s="13">
        <f t="shared" si="4"/>
        <v>205</v>
      </c>
      <c r="I21" s="13">
        <f t="shared" si="4"/>
        <v>196</v>
      </c>
      <c r="J21" s="13">
        <f t="shared" si="4"/>
        <v>206</v>
      </c>
      <c r="K21" s="13">
        <f t="shared" si="4"/>
        <v>214</v>
      </c>
      <c r="L21" s="13">
        <f t="shared" si="4"/>
        <v>203</v>
      </c>
      <c r="M21" s="13">
        <f t="shared" si="4"/>
        <v>200</v>
      </c>
      <c r="N21" s="13">
        <f t="shared" si="4"/>
        <v>249</v>
      </c>
      <c r="O21" s="13">
        <f t="shared" si="4"/>
        <v>194</v>
      </c>
      <c r="P21" s="13">
        <f t="shared" si="4"/>
        <v>222</v>
      </c>
      <c r="Q21" s="13">
        <f t="shared" si="4"/>
        <v>182</v>
      </c>
      <c r="R21" s="13">
        <f t="shared" si="4"/>
        <v>224</v>
      </c>
      <c r="S21" s="13">
        <f t="shared" si="4"/>
        <v>161</v>
      </c>
      <c r="T21" s="13">
        <f t="shared" si="4"/>
        <v>201</v>
      </c>
      <c r="U21" s="13">
        <f t="shared" si="3"/>
        <v>3208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3">
        <v>0.0</v>
      </c>
      <c r="F22" s="73">
        <v>2.0</v>
      </c>
      <c r="G22" s="73">
        <v>0.0</v>
      </c>
      <c r="H22" s="73">
        <v>0.0</v>
      </c>
      <c r="I22" s="73">
        <v>0.0</v>
      </c>
      <c r="J22" s="73">
        <v>0.0</v>
      </c>
      <c r="K22" s="73">
        <v>0.0</v>
      </c>
      <c r="L22" s="73">
        <v>0.0</v>
      </c>
      <c r="M22" s="73">
        <v>0.0</v>
      </c>
      <c r="N22" s="73">
        <v>0.0</v>
      </c>
      <c r="O22" s="73">
        <v>0.0</v>
      </c>
      <c r="P22" s="73">
        <v>0.0</v>
      </c>
      <c r="Q22" s="73">
        <v>0.0</v>
      </c>
      <c r="R22" s="73">
        <v>0.0</v>
      </c>
      <c r="S22" s="73">
        <v>0.0</v>
      </c>
      <c r="T22" s="73">
        <v>0.0</v>
      </c>
      <c r="U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73">
        <v>0.0</v>
      </c>
      <c r="F23" s="73">
        <v>0.0</v>
      </c>
      <c r="G23" s="73">
        <v>0.0</v>
      </c>
      <c r="H23" s="73">
        <v>0.0</v>
      </c>
      <c r="I23" s="73">
        <v>0.0</v>
      </c>
      <c r="J23" s="73">
        <v>0.0</v>
      </c>
      <c r="K23" s="73">
        <v>0.0</v>
      </c>
      <c r="L23" s="73">
        <v>0.0</v>
      </c>
      <c r="M23" s="73">
        <v>0.0</v>
      </c>
      <c r="N23" s="73">
        <v>3.0</v>
      </c>
      <c r="O23" s="73">
        <v>0.0</v>
      </c>
      <c r="P23" s="73">
        <v>0.0</v>
      </c>
      <c r="Q23" s="73">
        <v>1.0</v>
      </c>
      <c r="R23" s="73">
        <v>0.0</v>
      </c>
      <c r="S23" s="73">
        <v>0.0</v>
      </c>
      <c r="T23" s="73">
        <v>0.0</v>
      </c>
      <c r="U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T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6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3">
        <v>1.0</v>
      </c>
      <c r="F25" s="73">
        <v>0.0</v>
      </c>
      <c r="G25" s="73">
        <v>0.0</v>
      </c>
      <c r="H25" s="73">
        <v>0.0</v>
      </c>
      <c r="I25" s="73">
        <v>0.0</v>
      </c>
      <c r="J25" s="73">
        <v>2.0</v>
      </c>
      <c r="K25" s="73">
        <v>2.0</v>
      </c>
      <c r="L25" s="73">
        <v>0.0</v>
      </c>
      <c r="M25" s="73">
        <v>1.0</v>
      </c>
      <c r="N25" s="73">
        <v>3.0</v>
      </c>
      <c r="O25" s="73">
        <v>1.0</v>
      </c>
      <c r="P25" s="73">
        <v>0.0</v>
      </c>
      <c r="Q25" s="73">
        <v>0.0</v>
      </c>
      <c r="R25" s="73">
        <v>4.0</v>
      </c>
      <c r="S25" s="73">
        <v>2.0</v>
      </c>
      <c r="T25" s="73">
        <v>3.0</v>
      </c>
      <c r="U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73">
        <v>1.0</v>
      </c>
      <c r="F26" s="73">
        <v>0.0</v>
      </c>
      <c r="G26" s="73">
        <v>0.0</v>
      </c>
      <c r="H26" s="73">
        <v>1.0</v>
      </c>
      <c r="I26" s="73">
        <v>4.0</v>
      </c>
      <c r="J26" s="73">
        <v>2.0</v>
      </c>
      <c r="K26" s="73">
        <v>1.0</v>
      </c>
      <c r="L26" s="73">
        <v>2.0</v>
      </c>
      <c r="M26" s="73">
        <v>5.0</v>
      </c>
      <c r="N26" s="73">
        <v>2.0</v>
      </c>
      <c r="O26" s="73">
        <v>0.0</v>
      </c>
      <c r="P26" s="73">
        <v>1.0</v>
      </c>
      <c r="Q26" s="73">
        <v>4.0</v>
      </c>
      <c r="R26" s="73">
        <v>6.0</v>
      </c>
      <c r="S26" s="73">
        <v>3.0</v>
      </c>
      <c r="T26" s="73">
        <v>2.0</v>
      </c>
      <c r="U26" s="13">
        <f t="shared" si="3"/>
        <v>34</v>
      </c>
    </row>
    <row r="27" ht="12.75" customHeight="1">
      <c r="A27" s="35"/>
      <c r="B27" s="28"/>
      <c r="C27" s="36"/>
      <c r="D27" s="13" t="s">
        <v>13</v>
      </c>
      <c r="E27" s="13">
        <f t="shared" ref="E27:T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4</v>
      </c>
      <c r="J27" s="13">
        <f t="shared" si="6"/>
        <v>4</v>
      </c>
      <c r="K27" s="13">
        <f t="shared" si="6"/>
        <v>3</v>
      </c>
      <c r="L27" s="13">
        <f t="shared" si="6"/>
        <v>2</v>
      </c>
      <c r="M27" s="13">
        <f t="shared" si="6"/>
        <v>6</v>
      </c>
      <c r="N27" s="13">
        <f t="shared" si="6"/>
        <v>5</v>
      </c>
      <c r="O27" s="13">
        <f t="shared" si="6"/>
        <v>1</v>
      </c>
      <c r="P27" s="13">
        <f t="shared" si="6"/>
        <v>1</v>
      </c>
      <c r="Q27" s="13">
        <f t="shared" si="6"/>
        <v>4</v>
      </c>
      <c r="R27" s="13">
        <f t="shared" si="6"/>
        <v>10</v>
      </c>
      <c r="S27" s="13">
        <f t="shared" si="6"/>
        <v>5</v>
      </c>
      <c r="T27" s="13">
        <f t="shared" si="6"/>
        <v>5</v>
      </c>
      <c r="U27" s="13">
        <f t="shared" si="3"/>
        <v>53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T28" si="7">SUM(E19,E22,E25)</f>
        <v>100</v>
      </c>
      <c r="F28" s="13">
        <f t="shared" si="7"/>
        <v>82</v>
      </c>
      <c r="G28" s="13">
        <f t="shared" si="7"/>
        <v>85</v>
      </c>
      <c r="H28" s="13">
        <f t="shared" si="7"/>
        <v>96</v>
      </c>
      <c r="I28" s="13">
        <f t="shared" si="7"/>
        <v>89</v>
      </c>
      <c r="J28" s="13">
        <f t="shared" si="7"/>
        <v>102</v>
      </c>
      <c r="K28" s="13">
        <f t="shared" si="7"/>
        <v>97</v>
      </c>
      <c r="L28" s="13">
        <f t="shared" si="7"/>
        <v>89</v>
      </c>
      <c r="M28" s="13">
        <f t="shared" si="7"/>
        <v>92</v>
      </c>
      <c r="N28" s="13">
        <f t="shared" si="7"/>
        <v>123</v>
      </c>
      <c r="O28" s="13">
        <f t="shared" si="7"/>
        <v>90</v>
      </c>
      <c r="P28" s="13">
        <f t="shared" si="7"/>
        <v>93</v>
      </c>
      <c r="Q28" s="13">
        <f t="shared" si="7"/>
        <v>82</v>
      </c>
      <c r="R28" s="13">
        <f t="shared" si="7"/>
        <v>110</v>
      </c>
      <c r="S28" s="13">
        <f t="shared" si="7"/>
        <v>73</v>
      </c>
      <c r="T28" s="13">
        <f t="shared" si="7"/>
        <v>101</v>
      </c>
      <c r="U28" s="13">
        <f t="shared" si="3"/>
        <v>1504</v>
      </c>
    </row>
    <row r="29" ht="12.75" customHeight="1">
      <c r="A29" s="35"/>
      <c r="B29" s="27"/>
      <c r="C29" s="34"/>
      <c r="D29" s="13" t="s">
        <v>12</v>
      </c>
      <c r="E29" s="13">
        <f t="shared" ref="E29:T29" si="8">SUM(E20,E23,E26)</f>
        <v>111</v>
      </c>
      <c r="F29" s="13">
        <f t="shared" si="8"/>
        <v>87</v>
      </c>
      <c r="G29" s="13">
        <f t="shared" si="8"/>
        <v>90</v>
      </c>
      <c r="H29" s="13">
        <f t="shared" si="8"/>
        <v>110</v>
      </c>
      <c r="I29" s="13">
        <f t="shared" si="8"/>
        <v>111</v>
      </c>
      <c r="J29" s="13">
        <f t="shared" si="8"/>
        <v>108</v>
      </c>
      <c r="K29" s="13">
        <f t="shared" si="8"/>
        <v>120</v>
      </c>
      <c r="L29" s="13">
        <f t="shared" si="8"/>
        <v>116</v>
      </c>
      <c r="M29" s="13">
        <f t="shared" si="8"/>
        <v>114</v>
      </c>
      <c r="N29" s="13">
        <f t="shared" si="8"/>
        <v>134</v>
      </c>
      <c r="O29" s="13">
        <f t="shared" si="8"/>
        <v>105</v>
      </c>
      <c r="P29" s="13">
        <f t="shared" si="8"/>
        <v>130</v>
      </c>
      <c r="Q29" s="13">
        <f t="shared" si="8"/>
        <v>105</v>
      </c>
      <c r="R29" s="13">
        <f t="shared" si="8"/>
        <v>124</v>
      </c>
      <c r="S29" s="13">
        <f t="shared" si="8"/>
        <v>93</v>
      </c>
      <c r="T29" s="13">
        <f t="shared" si="8"/>
        <v>105</v>
      </c>
      <c r="U29" s="13">
        <f t="shared" si="3"/>
        <v>1763</v>
      </c>
    </row>
    <row r="30" ht="12.75" customHeight="1">
      <c r="A30" s="35"/>
      <c r="B30" s="28"/>
      <c r="C30" s="36"/>
      <c r="D30" s="13" t="s">
        <v>13</v>
      </c>
      <c r="E30" s="13">
        <f t="shared" ref="E30:T30" si="9">SUM(E28:E29)</f>
        <v>211</v>
      </c>
      <c r="F30" s="13">
        <f t="shared" si="9"/>
        <v>169</v>
      </c>
      <c r="G30" s="13">
        <f t="shared" si="9"/>
        <v>175</v>
      </c>
      <c r="H30" s="13">
        <f t="shared" si="9"/>
        <v>206</v>
      </c>
      <c r="I30" s="13">
        <f t="shared" si="9"/>
        <v>200</v>
      </c>
      <c r="J30" s="13">
        <f t="shared" si="9"/>
        <v>210</v>
      </c>
      <c r="K30" s="13">
        <f t="shared" si="9"/>
        <v>217</v>
      </c>
      <c r="L30" s="13">
        <f t="shared" si="9"/>
        <v>205</v>
      </c>
      <c r="M30" s="13">
        <f t="shared" si="9"/>
        <v>206</v>
      </c>
      <c r="N30" s="13">
        <f t="shared" si="9"/>
        <v>257</v>
      </c>
      <c r="O30" s="13">
        <f t="shared" si="9"/>
        <v>195</v>
      </c>
      <c r="P30" s="13">
        <f t="shared" si="9"/>
        <v>223</v>
      </c>
      <c r="Q30" s="13">
        <f t="shared" si="9"/>
        <v>187</v>
      </c>
      <c r="R30" s="13">
        <f t="shared" si="9"/>
        <v>234</v>
      </c>
      <c r="S30" s="13">
        <f t="shared" si="9"/>
        <v>166</v>
      </c>
      <c r="T30" s="13">
        <f t="shared" si="9"/>
        <v>206</v>
      </c>
      <c r="U30" s="13">
        <f t="shared" si="3"/>
        <v>3267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74"/>
      <c r="P31" s="74"/>
      <c r="Q31" s="74"/>
      <c r="R31" s="74"/>
      <c r="S31" s="74"/>
      <c r="T31" s="19"/>
      <c r="U31" s="75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76"/>
      <c r="P32" s="76"/>
      <c r="Q32" s="76"/>
      <c r="R32" s="76"/>
      <c r="S32" s="76"/>
      <c r="T32" s="13"/>
      <c r="U32" s="75"/>
    </row>
    <row r="33" ht="12.75" customHeight="1">
      <c r="A33" s="19">
        <v>1.0</v>
      </c>
      <c r="B33" s="20" t="s">
        <v>26</v>
      </c>
      <c r="C33" s="15"/>
      <c r="D33" s="16"/>
      <c r="E33" s="73">
        <v>288.0</v>
      </c>
      <c r="F33" s="73">
        <v>221.0</v>
      </c>
      <c r="G33" s="73">
        <v>240.0</v>
      </c>
      <c r="H33" s="73">
        <v>291.0</v>
      </c>
      <c r="I33" s="73">
        <v>269.0</v>
      </c>
      <c r="J33" s="73">
        <v>271.0</v>
      </c>
      <c r="K33" s="73">
        <v>283.0</v>
      </c>
      <c r="L33" s="73">
        <v>290.0</v>
      </c>
      <c r="M33" s="73">
        <v>290.0</v>
      </c>
      <c r="N33" s="73">
        <v>297.0</v>
      </c>
      <c r="O33" s="73">
        <v>294.0</v>
      </c>
      <c r="P33" s="73">
        <v>283.0</v>
      </c>
      <c r="Q33" s="73">
        <v>221.0</v>
      </c>
      <c r="R33" s="73">
        <v>285.0</v>
      </c>
      <c r="S33" s="73">
        <v>210.0</v>
      </c>
      <c r="T33" s="73">
        <v>248.0</v>
      </c>
      <c r="U33" s="13">
        <f t="shared" ref="U33:U36" si="10">SUM(E33:T33)</f>
        <v>4281</v>
      </c>
    </row>
    <row r="34" ht="12.75" customHeight="1">
      <c r="A34" s="19">
        <v>2.0</v>
      </c>
      <c r="B34" s="20" t="s">
        <v>27</v>
      </c>
      <c r="C34" s="15"/>
      <c r="D34" s="16"/>
      <c r="E34" s="77">
        <v>211.0</v>
      </c>
      <c r="F34" s="77">
        <v>169.0</v>
      </c>
      <c r="G34" s="77">
        <v>175.0</v>
      </c>
      <c r="H34" s="77">
        <v>206.0</v>
      </c>
      <c r="I34" s="77">
        <v>200.0</v>
      </c>
      <c r="J34" s="77">
        <v>210.0</v>
      </c>
      <c r="K34" s="77">
        <v>217.0</v>
      </c>
      <c r="L34" s="77">
        <v>205.0</v>
      </c>
      <c r="M34" s="77">
        <v>206.0</v>
      </c>
      <c r="N34" s="77">
        <v>257.0</v>
      </c>
      <c r="O34" s="77">
        <v>195.0</v>
      </c>
      <c r="P34" s="77">
        <v>223.0</v>
      </c>
      <c r="Q34" s="77">
        <v>187.0</v>
      </c>
      <c r="R34" s="77">
        <v>234.0</v>
      </c>
      <c r="S34" s="77">
        <v>166.0</v>
      </c>
      <c r="T34" s="77">
        <v>206.0</v>
      </c>
      <c r="U34" s="13">
        <f t="shared" si="10"/>
        <v>3267</v>
      </c>
    </row>
    <row r="35" ht="12.75" customHeight="1">
      <c r="A35" s="19">
        <v>3.0</v>
      </c>
      <c r="B35" s="20" t="s">
        <v>28</v>
      </c>
      <c r="C35" s="15"/>
      <c r="D35" s="16"/>
      <c r="E35" s="73">
        <v>0.0</v>
      </c>
      <c r="F35" s="73">
        <v>0.0</v>
      </c>
      <c r="G35" s="73">
        <v>0.0</v>
      </c>
      <c r="H35" s="73">
        <v>0.0</v>
      </c>
      <c r="I35" s="73">
        <v>0.0</v>
      </c>
      <c r="J35" s="73">
        <v>0.0</v>
      </c>
      <c r="K35" s="73">
        <v>0.0</v>
      </c>
      <c r="L35" s="73">
        <v>0.0</v>
      </c>
      <c r="M35" s="73">
        <v>0.0</v>
      </c>
      <c r="N35" s="73">
        <v>0.0</v>
      </c>
      <c r="O35" s="73">
        <v>0.0</v>
      </c>
      <c r="P35" s="73">
        <v>3.0</v>
      </c>
      <c r="Q35" s="73">
        <v>0.0</v>
      </c>
      <c r="R35" s="73">
        <v>0.0</v>
      </c>
      <c r="S35" s="73">
        <v>0.0</v>
      </c>
      <c r="T35" s="73">
        <v>1.0</v>
      </c>
      <c r="U35" s="13">
        <f t="shared" si="10"/>
        <v>4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T36" si="11">E33-(E34+E35)</f>
        <v>77</v>
      </c>
      <c r="F36" s="13">
        <f t="shared" si="11"/>
        <v>52</v>
      </c>
      <c r="G36" s="13">
        <f t="shared" si="11"/>
        <v>65</v>
      </c>
      <c r="H36" s="13">
        <f t="shared" si="11"/>
        <v>85</v>
      </c>
      <c r="I36" s="13">
        <f t="shared" si="11"/>
        <v>69</v>
      </c>
      <c r="J36" s="13">
        <f t="shared" si="11"/>
        <v>61</v>
      </c>
      <c r="K36" s="13">
        <f t="shared" si="11"/>
        <v>66</v>
      </c>
      <c r="L36" s="13">
        <f t="shared" si="11"/>
        <v>85</v>
      </c>
      <c r="M36" s="13">
        <f t="shared" si="11"/>
        <v>84</v>
      </c>
      <c r="N36" s="13">
        <f t="shared" si="11"/>
        <v>40</v>
      </c>
      <c r="O36" s="13">
        <f t="shared" si="11"/>
        <v>99</v>
      </c>
      <c r="P36" s="13">
        <f t="shared" si="11"/>
        <v>57</v>
      </c>
      <c r="Q36" s="13">
        <f t="shared" si="11"/>
        <v>34</v>
      </c>
      <c r="R36" s="13">
        <f t="shared" si="11"/>
        <v>51</v>
      </c>
      <c r="S36" s="13">
        <f t="shared" si="11"/>
        <v>44</v>
      </c>
      <c r="T36" s="13">
        <f t="shared" si="11"/>
        <v>41</v>
      </c>
      <c r="U36" s="13">
        <f t="shared" si="10"/>
        <v>1010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78"/>
      <c r="P37" s="78"/>
      <c r="Q37" s="78"/>
      <c r="R37" s="78"/>
      <c r="S37" s="78"/>
      <c r="T37" s="19"/>
      <c r="U37" s="75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76"/>
      <c r="P38" s="76"/>
      <c r="Q38" s="76"/>
      <c r="R38" s="76"/>
      <c r="S38" s="76"/>
      <c r="T38" s="13"/>
      <c r="U38" s="75"/>
    </row>
    <row r="39" ht="12.75" customHeight="1">
      <c r="A39" s="30"/>
      <c r="B39" s="43" t="s">
        <v>32</v>
      </c>
      <c r="C39" s="23"/>
      <c r="D39" s="19" t="s">
        <v>11</v>
      </c>
      <c r="E39" s="73">
        <v>1.0</v>
      </c>
      <c r="F39" s="73">
        <v>0.0</v>
      </c>
      <c r="G39" s="73">
        <v>0.0</v>
      </c>
      <c r="H39" s="73">
        <v>0.0</v>
      </c>
      <c r="I39" s="73">
        <v>0.0</v>
      </c>
      <c r="J39" s="73">
        <v>0.0</v>
      </c>
      <c r="K39" s="73">
        <v>1.0</v>
      </c>
      <c r="L39" s="73">
        <v>0.0</v>
      </c>
      <c r="M39" s="73">
        <v>0.0</v>
      </c>
      <c r="N39" s="73">
        <v>0.0</v>
      </c>
      <c r="O39" s="73">
        <v>0.0</v>
      </c>
      <c r="P39" s="73">
        <v>1.0</v>
      </c>
      <c r="Q39" s="73">
        <v>2.0</v>
      </c>
      <c r="R39" s="73">
        <v>0.0</v>
      </c>
      <c r="S39" s="73">
        <v>1.0</v>
      </c>
      <c r="T39" s="73">
        <v>0.0</v>
      </c>
      <c r="U39" s="13">
        <f t="shared" ref="U39:U41" si="12">SUM(E39:T39)</f>
        <v>6</v>
      </c>
    </row>
    <row r="40" ht="12.75" customHeight="1">
      <c r="A40" s="33"/>
      <c r="C40" s="27"/>
      <c r="D40" s="19" t="s">
        <v>12</v>
      </c>
      <c r="E40" s="73">
        <v>1.0</v>
      </c>
      <c r="F40" s="73">
        <v>0.0</v>
      </c>
      <c r="G40" s="73">
        <v>0.0</v>
      </c>
      <c r="H40" s="73">
        <v>0.0</v>
      </c>
      <c r="I40" s="73">
        <v>0.0</v>
      </c>
      <c r="J40" s="73">
        <v>0.0</v>
      </c>
      <c r="K40" s="73">
        <v>1.0</v>
      </c>
      <c r="L40" s="73">
        <v>0.0</v>
      </c>
      <c r="M40" s="73">
        <v>0.0</v>
      </c>
      <c r="N40" s="73">
        <v>0.0</v>
      </c>
      <c r="O40" s="73">
        <v>1.0</v>
      </c>
      <c r="P40" s="73">
        <v>0.0</v>
      </c>
      <c r="Q40" s="73">
        <v>2.0</v>
      </c>
      <c r="R40" s="73">
        <v>0.0</v>
      </c>
      <c r="S40" s="73">
        <v>6.0</v>
      </c>
      <c r="T40" s="73">
        <v>0.0</v>
      </c>
      <c r="U40" s="13">
        <f t="shared" si="12"/>
        <v>11</v>
      </c>
    </row>
    <row r="41" ht="12.75" customHeight="1">
      <c r="A41" s="41"/>
      <c r="B41" s="44"/>
      <c r="C41" s="28"/>
      <c r="D41" s="13" t="s">
        <v>13</v>
      </c>
      <c r="E41" s="13">
        <f t="shared" ref="E41:T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4</v>
      </c>
      <c r="R41" s="13">
        <f t="shared" si="13"/>
        <v>0</v>
      </c>
      <c r="S41" s="13">
        <f t="shared" si="13"/>
        <v>7</v>
      </c>
      <c r="T41" s="13">
        <f t="shared" si="13"/>
        <v>0</v>
      </c>
      <c r="U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74"/>
      <c r="Q42" s="19"/>
      <c r="R42" s="74"/>
      <c r="S42" s="19"/>
      <c r="T42" s="19"/>
      <c r="U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76"/>
      <c r="Q43" s="13"/>
      <c r="R43" s="76"/>
      <c r="S43" s="13"/>
      <c r="T43" s="13"/>
      <c r="U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74"/>
      <c r="Q44" s="19"/>
      <c r="R44" s="74"/>
      <c r="S44" s="19"/>
      <c r="T44" s="19"/>
      <c r="U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3">
        <v>7.0</v>
      </c>
      <c r="F45" s="73">
        <v>5.0</v>
      </c>
      <c r="G45" s="73">
        <v>7.0</v>
      </c>
      <c r="H45" s="73">
        <v>8.0</v>
      </c>
      <c r="I45" s="73">
        <v>6.0</v>
      </c>
      <c r="J45" s="73">
        <v>5.0</v>
      </c>
      <c r="K45" s="73">
        <v>13.0</v>
      </c>
      <c r="L45" s="73">
        <v>8.0</v>
      </c>
      <c r="M45" s="73">
        <v>5.0</v>
      </c>
      <c r="N45" s="73">
        <v>11.0</v>
      </c>
      <c r="O45" s="73">
        <v>3.0</v>
      </c>
      <c r="P45" s="73">
        <v>7.0</v>
      </c>
      <c r="Q45" s="73">
        <v>7.0</v>
      </c>
      <c r="R45" s="73">
        <v>7.0</v>
      </c>
      <c r="S45" s="73">
        <v>5.0</v>
      </c>
      <c r="T45" s="73">
        <v>5.0</v>
      </c>
      <c r="U45" s="13">
        <f t="shared" ref="U45:U54" si="14">SUM(E45:T45)</f>
        <v>109</v>
      </c>
    </row>
    <row r="46" ht="12.75" customHeight="1">
      <c r="A46" s="30" t="s">
        <v>38</v>
      </c>
      <c r="B46" s="49"/>
      <c r="C46" s="50" t="s">
        <v>39</v>
      </c>
      <c r="D46" s="51"/>
      <c r="E46" s="73">
        <v>4.0</v>
      </c>
      <c r="F46" s="73">
        <v>16.0</v>
      </c>
      <c r="G46" s="73">
        <v>10.0</v>
      </c>
      <c r="H46" s="73">
        <v>15.0</v>
      </c>
      <c r="I46" s="73">
        <v>30.0</v>
      </c>
      <c r="J46" s="73">
        <v>24.0</v>
      </c>
      <c r="K46" s="73">
        <v>30.0</v>
      </c>
      <c r="L46" s="73">
        <v>20.0</v>
      </c>
      <c r="M46" s="73">
        <v>11.0</v>
      </c>
      <c r="N46" s="73">
        <v>8.0</v>
      </c>
      <c r="O46" s="73">
        <v>6.0</v>
      </c>
      <c r="P46" s="73">
        <v>38.0</v>
      </c>
      <c r="Q46" s="73">
        <v>12.0</v>
      </c>
      <c r="R46" s="73">
        <v>18.0</v>
      </c>
      <c r="S46" s="73">
        <v>9.0</v>
      </c>
      <c r="T46" s="73">
        <v>6.0</v>
      </c>
      <c r="U46" s="13">
        <f t="shared" si="14"/>
        <v>257</v>
      </c>
    </row>
    <row r="47" ht="12.75" customHeight="1">
      <c r="A47" s="18"/>
      <c r="B47" s="49"/>
      <c r="C47" s="50" t="s">
        <v>40</v>
      </c>
      <c r="D47" s="51"/>
      <c r="E47" s="73">
        <v>2.0</v>
      </c>
      <c r="F47" s="73">
        <v>1.0</v>
      </c>
      <c r="G47" s="73">
        <v>1.0</v>
      </c>
      <c r="H47" s="73">
        <v>2.0</v>
      </c>
      <c r="I47" s="73">
        <v>2.0</v>
      </c>
      <c r="J47" s="73">
        <v>0.0</v>
      </c>
      <c r="K47" s="73">
        <v>0.0</v>
      </c>
      <c r="L47" s="73">
        <v>0.0</v>
      </c>
      <c r="M47" s="73">
        <v>1.0</v>
      </c>
      <c r="N47" s="73">
        <v>1.0</v>
      </c>
      <c r="O47" s="73">
        <v>0.0</v>
      </c>
      <c r="P47" s="73">
        <v>0.0</v>
      </c>
      <c r="Q47" s="73">
        <v>4.0</v>
      </c>
      <c r="R47" s="73">
        <v>1.0</v>
      </c>
      <c r="S47" s="73">
        <v>1.0</v>
      </c>
      <c r="T47" s="73">
        <v>3.0</v>
      </c>
      <c r="U47" s="13">
        <f t="shared" si="14"/>
        <v>19</v>
      </c>
    </row>
    <row r="48" ht="12.75" customHeight="1">
      <c r="A48" s="18"/>
      <c r="B48" s="49"/>
      <c r="C48" s="50" t="s">
        <v>41</v>
      </c>
      <c r="D48" s="51"/>
      <c r="E48" s="73">
        <v>0.0</v>
      </c>
      <c r="F48" s="73">
        <v>0.0</v>
      </c>
      <c r="G48" s="73">
        <v>0.0</v>
      </c>
      <c r="H48" s="73">
        <v>0.0</v>
      </c>
      <c r="I48" s="73">
        <v>1.0</v>
      </c>
      <c r="J48" s="73">
        <v>0.0</v>
      </c>
      <c r="K48" s="73">
        <v>0.0</v>
      </c>
      <c r="L48" s="73">
        <v>1.0</v>
      </c>
      <c r="M48" s="73">
        <v>0.0</v>
      </c>
      <c r="N48" s="73">
        <v>0.0</v>
      </c>
      <c r="O48" s="73">
        <v>0.0</v>
      </c>
      <c r="P48" s="73">
        <v>0.0</v>
      </c>
      <c r="Q48" s="73">
        <v>1.0</v>
      </c>
      <c r="R48" s="73">
        <v>2.0</v>
      </c>
      <c r="S48" s="73">
        <v>0.0</v>
      </c>
      <c r="T48" s="73">
        <v>0.0</v>
      </c>
      <c r="U48" s="13">
        <f t="shared" si="14"/>
        <v>5</v>
      </c>
    </row>
    <row r="49" ht="12.75" customHeight="1">
      <c r="A49" s="18"/>
      <c r="B49" s="49"/>
      <c r="C49" s="50" t="s">
        <v>42</v>
      </c>
      <c r="D49" s="51"/>
      <c r="E49" s="73">
        <v>2.0</v>
      </c>
      <c r="F49" s="73">
        <v>0.0</v>
      </c>
      <c r="G49" s="73">
        <v>2.0</v>
      </c>
      <c r="H49" s="73">
        <v>1.0</v>
      </c>
      <c r="I49" s="73">
        <v>0.0</v>
      </c>
      <c r="J49" s="73">
        <v>0.0</v>
      </c>
      <c r="K49" s="73">
        <v>1.0</v>
      </c>
      <c r="L49" s="73">
        <v>0.0</v>
      </c>
      <c r="M49" s="73">
        <v>0.0</v>
      </c>
      <c r="N49" s="73">
        <v>0.0</v>
      </c>
      <c r="O49" s="73">
        <v>0.0</v>
      </c>
      <c r="P49" s="73">
        <v>0.0</v>
      </c>
      <c r="Q49" s="73">
        <v>0.0</v>
      </c>
      <c r="R49" s="73">
        <v>1.0</v>
      </c>
      <c r="S49" s="73">
        <v>1.0</v>
      </c>
      <c r="T49" s="73">
        <v>0.0</v>
      </c>
      <c r="U49" s="13">
        <f t="shared" si="14"/>
        <v>8</v>
      </c>
    </row>
    <row r="50" ht="12.75" customHeight="1">
      <c r="A50" s="18"/>
      <c r="B50" s="49"/>
      <c r="C50" s="50" t="s">
        <v>43</v>
      </c>
      <c r="D50" s="51"/>
      <c r="E50" s="73">
        <v>0.0</v>
      </c>
      <c r="F50" s="73">
        <v>0.0</v>
      </c>
      <c r="G50" s="73">
        <v>1.0</v>
      </c>
      <c r="H50" s="73">
        <v>1.0</v>
      </c>
      <c r="I50" s="73">
        <v>1.0</v>
      </c>
      <c r="J50" s="73">
        <v>2.0</v>
      </c>
      <c r="K50" s="73">
        <v>0.0</v>
      </c>
      <c r="L50" s="73">
        <v>1.0</v>
      </c>
      <c r="M50" s="73">
        <v>4.0</v>
      </c>
      <c r="N50" s="73">
        <v>2.0</v>
      </c>
      <c r="O50" s="73">
        <v>0.0</v>
      </c>
      <c r="P50" s="73">
        <v>0.0</v>
      </c>
      <c r="Q50" s="73">
        <v>0.0</v>
      </c>
      <c r="R50" s="73">
        <v>0.0</v>
      </c>
      <c r="S50" s="73">
        <v>1.0</v>
      </c>
      <c r="T50" s="73">
        <v>0.0</v>
      </c>
      <c r="U50" s="13">
        <f t="shared" si="14"/>
        <v>13</v>
      </c>
    </row>
    <row r="51" ht="12.75" customHeight="1">
      <c r="A51" s="18"/>
      <c r="B51" s="49"/>
      <c r="C51" s="50" t="s">
        <v>44</v>
      </c>
      <c r="D51" s="51"/>
      <c r="E51" s="73">
        <v>0.0</v>
      </c>
      <c r="F51" s="73">
        <v>0.0</v>
      </c>
      <c r="G51" s="73">
        <v>0.0</v>
      </c>
      <c r="H51" s="73">
        <v>0.0</v>
      </c>
      <c r="I51" s="73">
        <v>0.0</v>
      </c>
      <c r="J51" s="73">
        <v>1.0</v>
      </c>
      <c r="K51" s="73">
        <v>3.0</v>
      </c>
      <c r="L51" s="73">
        <v>0.0</v>
      </c>
      <c r="M51" s="73">
        <v>2.0</v>
      </c>
      <c r="N51" s="73">
        <v>0.0</v>
      </c>
      <c r="O51" s="73">
        <v>1.0</v>
      </c>
      <c r="P51" s="73">
        <v>0.0</v>
      </c>
      <c r="Q51" s="73">
        <v>1.0</v>
      </c>
      <c r="R51" s="73">
        <v>0.0</v>
      </c>
      <c r="S51" s="73">
        <v>1.0</v>
      </c>
      <c r="T51" s="73">
        <v>1.0</v>
      </c>
      <c r="U51" s="13">
        <f t="shared" si="14"/>
        <v>10</v>
      </c>
    </row>
    <row r="52" ht="12.75" customHeight="1">
      <c r="A52" s="79"/>
      <c r="B52" s="49"/>
      <c r="C52" s="50" t="s">
        <v>45</v>
      </c>
      <c r="D52" s="51"/>
      <c r="E52" s="80">
        <v>0.0</v>
      </c>
      <c r="F52" s="80">
        <v>0.0</v>
      </c>
      <c r="G52" s="80">
        <v>0.0</v>
      </c>
      <c r="H52" s="80">
        <v>0.0</v>
      </c>
      <c r="I52" s="80">
        <v>0.0</v>
      </c>
      <c r="J52" s="80">
        <v>0.0</v>
      </c>
      <c r="K52" s="80">
        <v>1.0</v>
      </c>
      <c r="L52" s="80">
        <v>0.0</v>
      </c>
      <c r="M52" s="80">
        <v>0.0</v>
      </c>
      <c r="N52" s="80">
        <v>0.0</v>
      </c>
      <c r="O52" s="80">
        <v>0.0</v>
      </c>
      <c r="P52" s="80">
        <v>0.0</v>
      </c>
      <c r="Q52" s="80">
        <v>0.0</v>
      </c>
      <c r="R52" s="80">
        <v>0.0</v>
      </c>
      <c r="S52" s="80">
        <v>0.0</v>
      </c>
      <c r="T52" s="80">
        <v>2.0</v>
      </c>
      <c r="U52" s="13">
        <f t="shared" si="14"/>
        <v>3</v>
      </c>
    </row>
    <row r="53" ht="12.75" customHeight="1">
      <c r="A53" s="79"/>
      <c r="B53" s="49"/>
      <c r="C53" s="50" t="s">
        <v>46</v>
      </c>
      <c r="D53" s="56"/>
      <c r="E53" s="80">
        <v>0.0</v>
      </c>
      <c r="F53" s="80">
        <v>0.0</v>
      </c>
      <c r="G53" s="80">
        <v>0.0</v>
      </c>
      <c r="H53" s="80">
        <v>1.0</v>
      </c>
      <c r="I53" s="80">
        <v>0.0</v>
      </c>
      <c r="J53" s="80">
        <v>2.0</v>
      </c>
      <c r="K53" s="80">
        <v>0.0</v>
      </c>
      <c r="L53" s="80">
        <v>0.0</v>
      </c>
      <c r="M53" s="80">
        <v>1.0</v>
      </c>
      <c r="N53" s="80">
        <v>0.0</v>
      </c>
      <c r="O53" s="80">
        <v>0.0</v>
      </c>
      <c r="P53" s="80">
        <v>1.0</v>
      </c>
      <c r="Q53" s="80">
        <v>0.0</v>
      </c>
      <c r="R53" s="80">
        <v>0.0</v>
      </c>
      <c r="S53" s="80">
        <v>0.0</v>
      </c>
      <c r="T53" s="80">
        <v>0.0</v>
      </c>
      <c r="U53" s="13">
        <f t="shared" si="14"/>
        <v>5</v>
      </c>
    </row>
    <row r="54" ht="12.75" customHeight="1">
      <c r="A54" s="79"/>
      <c r="B54" s="49"/>
      <c r="C54" s="50" t="s">
        <v>47</v>
      </c>
      <c r="D54" s="51"/>
      <c r="E54" s="80">
        <v>0.0</v>
      </c>
      <c r="F54" s="80">
        <v>0.0</v>
      </c>
      <c r="G54" s="80">
        <v>0.0</v>
      </c>
      <c r="H54" s="80">
        <v>1.0</v>
      </c>
      <c r="I54" s="80">
        <v>0.0</v>
      </c>
      <c r="J54" s="80">
        <v>0.0</v>
      </c>
      <c r="K54" s="80">
        <v>0.0</v>
      </c>
      <c r="L54" s="80">
        <v>1.0</v>
      </c>
      <c r="M54" s="80">
        <v>0.0</v>
      </c>
      <c r="N54" s="80">
        <v>1.0</v>
      </c>
      <c r="O54" s="80">
        <v>0.0</v>
      </c>
      <c r="P54" s="80">
        <v>0.0</v>
      </c>
      <c r="Q54" s="80">
        <v>0.0</v>
      </c>
      <c r="R54" s="80">
        <v>0.0</v>
      </c>
      <c r="S54" s="80">
        <v>0.0</v>
      </c>
      <c r="T54" s="80">
        <v>0.0</v>
      </c>
      <c r="U54" s="13">
        <f t="shared" si="14"/>
        <v>3</v>
      </c>
    </row>
    <row r="55" ht="12.75" customHeight="1">
      <c r="A55" s="19" t="s">
        <v>14</v>
      </c>
      <c r="B55" s="47" t="s">
        <v>48</v>
      </c>
      <c r="C55" s="15"/>
      <c r="D55" s="16"/>
      <c r="E55" s="13">
        <f t="shared" ref="E55:U55" si="15">SUM(E45:E54)</f>
        <v>15</v>
      </c>
      <c r="F55" s="13">
        <f t="shared" si="15"/>
        <v>22</v>
      </c>
      <c r="G55" s="13">
        <f t="shared" si="15"/>
        <v>21</v>
      </c>
      <c r="H55" s="13">
        <f t="shared" si="15"/>
        <v>29</v>
      </c>
      <c r="I55" s="13">
        <f t="shared" si="15"/>
        <v>40</v>
      </c>
      <c r="J55" s="13">
        <f t="shared" si="15"/>
        <v>34</v>
      </c>
      <c r="K55" s="13">
        <f t="shared" si="15"/>
        <v>48</v>
      </c>
      <c r="L55" s="13">
        <f t="shared" si="15"/>
        <v>31</v>
      </c>
      <c r="M55" s="13">
        <f t="shared" si="15"/>
        <v>24</v>
      </c>
      <c r="N55" s="13">
        <f t="shared" si="15"/>
        <v>23</v>
      </c>
      <c r="O55" s="13">
        <f t="shared" si="15"/>
        <v>10</v>
      </c>
      <c r="P55" s="13">
        <f t="shared" si="15"/>
        <v>46</v>
      </c>
      <c r="Q55" s="13">
        <f t="shared" si="15"/>
        <v>25</v>
      </c>
      <c r="R55" s="13">
        <f t="shared" si="15"/>
        <v>29</v>
      </c>
      <c r="S55" s="13">
        <f t="shared" si="15"/>
        <v>18</v>
      </c>
      <c r="T55" s="13">
        <f t="shared" si="15"/>
        <v>17</v>
      </c>
      <c r="U55" s="13">
        <f t="shared" si="15"/>
        <v>432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36</v>
      </c>
      <c r="B57" s="47" t="s">
        <v>18</v>
      </c>
      <c r="C57" s="48" t="s">
        <v>49</v>
      </c>
      <c r="D57" s="16"/>
      <c r="E57" s="73">
        <v>12.0</v>
      </c>
      <c r="F57" s="73">
        <v>9.0</v>
      </c>
      <c r="G57" s="73">
        <v>5.0</v>
      </c>
      <c r="H57" s="73">
        <v>10.0</v>
      </c>
      <c r="I57" s="73">
        <v>6.0</v>
      </c>
      <c r="J57" s="73">
        <v>6.0</v>
      </c>
      <c r="K57" s="73">
        <v>2.0</v>
      </c>
      <c r="L57" s="73">
        <v>8.0</v>
      </c>
      <c r="M57" s="73">
        <v>14.0</v>
      </c>
      <c r="N57" s="73">
        <v>12.0</v>
      </c>
      <c r="O57" s="73">
        <v>10.0</v>
      </c>
      <c r="P57" s="73">
        <v>12.0</v>
      </c>
      <c r="Q57" s="73">
        <v>11.0</v>
      </c>
      <c r="R57" s="73">
        <v>14.0</v>
      </c>
      <c r="S57" s="73">
        <v>7.0</v>
      </c>
      <c r="T57" s="73">
        <v>11.0</v>
      </c>
      <c r="U57" s="13">
        <f t="shared" ref="U57:U66" si="16">SUM(E57:T57)</f>
        <v>149</v>
      </c>
    </row>
    <row r="58" ht="12.75" customHeight="1">
      <c r="A58" s="30" t="s">
        <v>38</v>
      </c>
      <c r="B58" s="49"/>
      <c r="C58" s="50" t="s">
        <v>50</v>
      </c>
      <c r="D58" s="51"/>
      <c r="E58" s="73">
        <v>3.0</v>
      </c>
      <c r="F58" s="73">
        <v>7.0</v>
      </c>
      <c r="G58" s="73">
        <v>3.0</v>
      </c>
      <c r="H58" s="73">
        <v>3.0</v>
      </c>
      <c r="I58" s="73">
        <v>3.0</v>
      </c>
      <c r="J58" s="73">
        <v>5.0</v>
      </c>
      <c r="K58" s="73">
        <v>2.0</v>
      </c>
      <c r="L58" s="73">
        <v>8.0</v>
      </c>
      <c r="M58" s="73">
        <v>5.0</v>
      </c>
      <c r="N58" s="73">
        <v>5.0</v>
      </c>
      <c r="O58" s="73">
        <v>1.0</v>
      </c>
      <c r="P58" s="73">
        <v>5.0</v>
      </c>
      <c r="Q58" s="73">
        <v>3.0</v>
      </c>
      <c r="R58" s="73">
        <v>6.0</v>
      </c>
      <c r="S58" s="73">
        <v>1.0</v>
      </c>
      <c r="T58" s="73">
        <v>7.0</v>
      </c>
      <c r="U58" s="13">
        <f t="shared" si="16"/>
        <v>67</v>
      </c>
    </row>
    <row r="59" ht="12.75" customHeight="1">
      <c r="A59" s="18"/>
      <c r="B59" s="49"/>
      <c r="C59" s="50" t="s">
        <v>51</v>
      </c>
      <c r="D59" s="51"/>
      <c r="E59" s="73">
        <v>5.0</v>
      </c>
      <c r="F59" s="73">
        <v>34.0</v>
      </c>
      <c r="G59" s="73">
        <v>20.0</v>
      </c>
      <c r="H59" s="73">
        <v>10.0</v>
      </c>
      <c r="I59" s="73">
        <v>2.0</v>
      </c>
      <c r="J59" s="73">
        <v>2.0</v>
      </c>
      <c r="K59" s="73">
        <v>4.0</v>
      </c>
      <c r="L59" s="73">
        <v>4.0</v>
      </c>
      <c r="M59" s="73">
        <v>11.0</v>
      </c>
      <c r="N59" s="73">
        <v>7.0</v>
      </c>
      <c r="O59" s="73">
        <v>2.0</v>
      </c>
      <c r="P59" s="73">
        <v>2.0</v>
      </c>
      <c r="Q59" s="73">
        <v>11.0</v>
      </c>
      <c r="R59" s="73">
        <v>11.0</v>
      </c>
      <c r="S59" s="73">
        <v>46.0</v>
      </c>
      <c r="T59" s="73">
        <v>47.0</v>
      </c>
      <c r="U59" s="13">
        <f t="shared" si="16"/>
        <v>218</v>
      </c>
    </row>
    <row r="60" ht="12.75" customHeight="1">
      <c r="A60" s="18"/>
      <c r="B60" s="49"/>
      <c r="C60" s="50" t="s">
        <v>52</v>
      </c>
      <c r="D60" s="51"/>
      <c r="E60" s="73">
        <v>1.0</v>
      </c>
      <c r="F60" s="73">
        <v>1.0</v>
      </c>
      <c r="G60" s="73">
        <v>0.0</v>
      </c>
      <c r="H60" s="73">
        <v>4.0</v>
      </c>
      <c r="I60" s="73">
        <v>3.0</v>
      </c>
      <c r="J60" s="73">
        <v>1.0</v>
      </c>
      <c r="K60" s="73">
        <v>2.0</v>
      </c>
      <c r="L60" s="73">
        <v>3.0</v>
      </c>
      <c r="M60" s="73">
        <v>2.0</v>
      </c>
      <c r="N60" s="73">
        <v>0.0</v>
      </c>
      <c r="O60" s="73">
        <v>1.0</v>
      </c>
      <c r="P60" s="73">
        <v>0.0</v>
      </c>
      <c r="Q60" s="73">
        <v>2.0</v>
      </c>
      <c r="R60" s="73">
        <v>2.0</v>
      </c>
      <c r="S60" s="73">
        <v>3.0</v>
      </c>
      <c r="T60" s="73">
        <v>2.0</v>
      </c>
      <c r="U60" s="13">
        <f t="shared" si="16"/>
        <v>27</v>
      </c>
    </row>
    <row r="61" ht="12.75" customHeight="1">
      <c r="A61" s="18"/>
      <c r="B61" s="49"/>
      <c r="C61" s="50" t="s">
        <v>53</v>
      </c>
      <c r="D61" s="51"/>
      <c r="E61" s="73">
        <v>2.0</v>
      </c>
      <c r="F61" s="73">
        <v>5.0</v>
      </c>
      <c r="G61" s="73">
        <v>1.0</v>
      </c>
      <c r="H61" s="73">
        <v>16.0</v>
      </c>
      <c r="I61" s="73">
        <v>1.0</v>
      </c>
      <c r="J61" s="73">
        <v>8.0</v>
      </c>
      <c r="K61" s="73">
        <v>16.0</v>
      </c>
      <c r="L61" s="73">
        <v>6.0</v>
      </c>
      <c r="M61" s="73">
        <v>2.0</v>
      </c>
      <c r="N61" s="73">
        <v>1.0</v>
      </c>
      <c r="O61" s="73">
        <v>2.0</v>
      </c>
      <c r="P61" s="73">
        <v>1.0</v>
      </c>
      <c r="Q61" s="73">
        <v>6.0</v>
      </c>
      <c r="R61" s="73">
        <v>2.0</v>
      </c>
      <c r="S61" s="73">
        <v>4.0</v>
      </c>
      <c r="T61" s="73">
        <v>1.0</v>
      </c>
      <c r="U61" s="13">
        <f t="shared" si="16"/>
        <v>74</v>
      </c>
    </row>
    <row r="62" ht="12.75" customHeight="1">
      <c r="A62" s="18"/>
      <c r="B62" s="49"/>
      <c r="C62" s="50" t="s">
        <v>54</v>
      </c>
      <c r="D62" s="51"/>
      <c r="E62" s="73">
        <v>2.0</v>
      </c>
      <c r="F62" s="73">
        <v>1.0</v>
      </c>
      <c r="G62" s="73">
        <v>0.0</v>
      </c>
      <c r="H62" s="73">
        <v>2.0</v>
      </c>
      <c r="I62" s="73">
        <v>2.0</v>
      </c>
      <c r="J62" s="73">
        <v>0.0</v>
      </c>
      <c r="K62" s="73">
        <v>1.0</v>
      </c>
      <c r="L62" s="73">
        <v>0.0</v>
      </c>
      <c r="M62" s="73">
        <v>1.0</v>
      </c>
      <c r="N62" s="73">
        <v>0.0</v>
      </c>
      <c r="O62" s="73">
        <v>0.0</v>
      </c>
      <c r="P62" s="73">
        <v>0.0</v>
      </c>
      <c r="Q62" s="73">
        <v>0.0</v>
      </c>
      <c r="R62" s="73">
        <v>2.0</v>
      </c>
      <c r="S62" s="73">
        <v>2.0</v>
      </c>
      <c r="T62" s="73">
        <v>1.0</v>
      </c>
      <c r="U62" s="13">
        <f t="shared" si="16"/>
        <v>14</v>
      </c>
    </row>
    <row r="63" ht="12.75" customHeight="1">
      <c r="A63" s="18"/>
      <c r="B63" s="49"/>
      <c r="C63" s="50" t="s">
        <v>55</v>
      </c>
      <c r="D63" s="51"/>
      <c r="E63" s="73">
        <v>0.0</v>
      </c>
      <c r="F63" s="73">
        <v>0.0</v>
      </c>
      <c r="G63" s="73">
        <v>0.0</v>
      </c>
      <c r="H63" s="73">
        <v>0.0</v>
      </c>
      <c r="I63" s="73">
        <v>0.0</v>
      </c>
      <c r="J63" s="73">
        <v>0.0</v>
      </c>
      <c r="K63" s="73">
        <v>0.0</v>
      </c>
      <c r="L63" s="73">
        <v>0.0</v>
      </c>
      <c r="M63" s="73">
        <v>1.0</v>
      </c>
      <c r="N63" s="73">
        <v>0.0</v>
      </c>
      <c r="O63" s="73">
        <v>0.0</v>
      </c>
      <c r="P63" s="73">
        <v>0.0</v>
      </c>
      <c r="Q63" s="73">
        <v>0.0</v>
      </c>
      <c r="R63" s="73">
        <v>0.0</v>
      </c>
      <c r="S63" s="73">
        <v>0.0</v>
      </c>
      <c r="T63" s="73">
        <v>0.0</v>
      </c>
      <c r="U63" s="13">
        <f t="shared" si="16"/>
        <v>1</v>
      </c>
    </row>
    <row r="64" ht="12.75" customHeight="1">
      <c r="A64" s="79"/>
      <c r="B64" s="49"/>
      <c r="C64" s="50" t="s">
        <v>56</v>
      </c>
      <c r="D64" s="51"/>
      <c r="E64" s="80">
        <v>0.0</v>
      </c>
      <c r="F64" s="80">
        <v>0.0</v>
      </c>
      <c r="G64" s="80">
        <v>0.0</v>
      </c>
      <c r="H64" s="80">
        <v>0.0</v>
      </c>
      <c r="I64" s="80">
        <v>0.0</v>
      </c>
      <c r="J64" s="80">
        <v>0.0</v>
      </c>
      <c r="K64" s="80">
        <v>1.0</v>
      </c>
      <c r="L64" s="80">
        <v>0.0</v>
      </c>
      <c r="M64" s="80">
        <v>1.0</v>
      </c>
      <c r="N64" s="80">
        <v>1.0</v>
      </c>
      <c r="O64" s="80">
        <v>0.0</v>
      </c>
      <c r="P64" s="80">
        <v>0.0</v>
      </c>
      <c r="Q64" s="80">
        <v>0.0</v>
      </c>
      <c r="R64" s="80">
        <v>0.0</v>
      </c>
      <c r="S64" s="80">
        <v>0.0</v>
      </c>
      <c r="T64" s="80">
        <v>0.0</v>
      </c>
      <c r="U64" s="13">
        <f t="shared" si="16"/>
        <v>3</v>
      </c>
    </row>
    <row r="65" ht="12.75" customHeight="1">
      <c r="A65" s="79"/>
      <c r="B65" s="49"/>
      <c r="C65" s="50" t="s">
        <v>57</v>
      </c>
      <c r="D65" s="51"/>
      <c r="E65" s="80">
        <v>0.0</v>
      </c>
      <c r="F65" s="80">
        <v>0.0</v>
      </c>
      <c r="G65" s="80">
        <v>0.0</v>
      </c>
      <c r="H65" s="80">
        <v>0.0</v>
      </c>
      <c r="I65" s="80">
        <v>0.0</v>
      </c>
      <c r="J65" s="80">
        <v>0.0</v>
      </c>
      <c r="K65" s="80">
        <v>0.0</v>
      </c>
      <c r="L65" s="80">
        <v>0.0</v>
      </c>
      <c r="M65" s="80">
        <v>0.0</v>
      </c>
      <c r="N65" s="80">
        <v>0.0</v>
      </c>
      <c r="O65" s="80">
        <v>1.0</v>
      </c>
      <c r="P65" s="80">
        <v>0.0</v>
      </c>
      <c r="Q65" s="80">
        <v>0.0</v>
      </c>
      <c r="R65" s="80">
        <v>0.0</v>
      </c>
      <c r="S65" s="80">
        <v>0.0</v>
      </c>
      <c r="T65" s="80">
        <v>0.0</v>
      </c>
      <c r="U65" s="13">
        <f t="shared" si="16"/>
        <v>1</v>
      </c>
    </row>
    <row r="66" ht="12.75" customHeight="1">
      <c r="A66" s="79"/>
      <c r="B66" s="49"/>
      <c r="C66" s="50" t="s">
        <v>58</v>
      </c>
      <c r="D66" s="51"/>
      <c r="E66" s="80">
        <v>0.0</v>
      </c>
      <c r="F66" s="80">
        <v>1.0</v>
      </c>
      <c r="G66" s="80">
        <v>0.0</v>
      </c>
      <c r="H66" s="80">
        <v>1.0</v>
      </c>
      <c r="I66" s="80">
        <v>0.0</v>
      </c>
      <c r="J66" s="80">
        <v>0.0</v>
      </c>
      <c r="K66" s="80">
        <v>1.0</v>
      </c>
      <c r="L66" s="80">
        <v>1.0</v>
      </c>
      <c r="M66" s="80">
        <v>2.0</v>
      </c>
      <c r="N66" s="80">
        <v>0.0</v>
      </c>
      <c r="O66" s="80">
        <v>1.0</v>
      </c>
      <c r="P66" s="80">
        <v>0.0</v>
      </c>
      <c r="Q66" s="80">
        <v>0.0</v>
      </c>
      <c r="R66" s="80">
        <v>0.0</v>
      </c>
      <c r="S66" s="80">
        <v>0.0</v>
      </c>
      <c r="T66" s="80">
        <v>0.0</v>
      </c>
      <c r="U66" s="13">
        <f t="shared" si="16"/>
        <v>7</v>
      </c>
    </row>
    <row r="67" ht="12.75" customHeight="1">
      <c r="A67" s="19" t="s">
        <v>14</v>
      </c>
      <c r="B67" s="47" t="s">
        <v>48</v>
      </c>
      <c r="C67" s="15"/>
      <c r="D67" s="16"/>
      <c r="E67" s="13">
        <f t="shared" ref="E67:U67" si="17">SUM(E57:E66)</f>
        <v>25</v>
      </c>
      <c r="F67" s="13">
        <f t="shared" si="17"/>
        <v>58</v>
      </c>
      <c r="G67" s="13">
        <f t="shared" si="17"/>
        <v>29</v>
      </c>
      <c r="H67" s="13">
        <f t="shared" si="17"/>
        <v>46</v>
      </c>
      <c r="I67" s="13">
        <f t="shared" si="17"/>
        <v>17</v>
      </c>
      <c r="J67" s="13">
        <f t="shared" si="17"/>
        <v>22</v>
      </c>
      <c r="K67" s="13">
        <f t="shared" si="17"/>
        <v>29</v>
      </c>
      <c r="L67" s="13">
        <f t="shared" si="17"/>
        <v>30</v>
      </c>
      <c r="M67" s="13">
        <f t="shared" si="17"/>
        <v>39</v>
      </c>
      <c r="N67" s="13">
        <f t="shared" si="17"/>
        <v>26</v>
      </c>
      <c r="O67" s="13">
        <f t="shared" si="17"/>
        <v>18</v>
      </c>
      <c r="P67" s="13">
        <f t="shared" si="17"/>
        <v>20</v>
      </c>
      <c r="Q67" s="13">
        <f t="shared" si="17"/>
        <v>33</v>
      </c>
      <c r="R67" s="13">
        <f t="shared" si="17"/>
        <v>37</v>
      </c>
      <c r="S67" s="13">
        <f t="shared" si="17"/>
        <v>63</v>
      </c>
      <c r="T67" s="13">
        <f t="shared" si="17"/>
        <v>69</v>
      </c>
      <c r="U67" s="13">
        <f t="shared" si="17"/>
        <v>561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59</v>
      </c>
      <c r="D69" s="16"/>
      <c r="E69" s="73">
        <v>8.0</v>
      </c>
      <c r="F69" s="73">
        <v>1.0</v>
      </c>
      <c r="G69" s="73">
        <v>5.0</v>
      </c>
      <c r="H69" s="73">
        <v>7.0</v>
      </c>
      <c r="I69" s="73">
        <v>18.0</v>
      </c>
      <c r="J69" s="73">
        <v>13.0</v>
      </c>
      <c r="K69" s="73">
        <v>11.0</v>
      </c>
      <c r="L69" s="73">
        <v>8.0</v>
      </c>
      <c r="M69" s="73">
        <v>6.0</v>
      </c>
      <c r="N69" s="73">
        <v>18.0</v>
      </c>
      <c r="O69" s="73">
        <v>4.0</v>
      </c>
      <c r="P69" s="73">
        <v>3.0</v>
      </c>
      <c r="Q69" s="73">
        <v>1.0</v>
      </c>
      <c r="R69" s="73">
        <v>11.0</v>
      </c>
      <c r="S69" s="73">
        <v>2.0</v>
      </c>
      <c r="T69" s="73">
        <v>3.0</v>
      </c>
      <c r="U69" s="13">
        <f t="shared" ref="U69:U78" si="18">SUM(E69:T69)</f>
        <v>119</v>
      </c>
    </row>
    <row r="70" ht="12.75" customHeight="1">
      <c r="A70" s="30" t="s">
        <v>38</v>
      </c>
      <c r="B70" s="49"/>
      <c r="C70" s="50" t="s">
        <v>60</v>
      </c>
      <c r="D70" s="51"/>
      <c r="E70" s="73">
        <v>4.0</v>
      </c>
      <c r="F70" s="73">
        <v>1.0</v>
      </c>
      <c r="G70" s="73">
        <v>1.0</v>
      </c>
      <c r="H70" s="73">
        <v>8.0</v>
      </c>
      <c r="I70" s="73">
        <v>2.0</v>
      </c>
      <c r="J70" s="73">
        <v>2.0</v>
      </c>
      <c r="K70" s="73">
        <v>0.0</v>
      </c>
      <c r="L70" s="73">
        <v>4.0</v>
      </c>
      <c r="M70" s="73">
        <v>5.0</v>
      </c>
      <c r="N70" s="73">
        <v>6.0</v>
      </c>
      <c r="O70" s="73">
        <v>1.0</v>
      </c>
      <c r="P70" s="73">
        <v>6.0</v>
      </c>
      <c r="Q70" s="73">
        <v>3.0</v>
      </c>
      <c r="R70" s="73">
        <v>9.0</v>
      </c>
      <c r="S70" s="73">
        <v>0.0</v>
      </c>
      <c r="T70" s="73">
        <v>3.0</v>
      </c>
      <c r="U70" s="13">
        <f t="shared" si="18"/>
        <v>55</v>
      </c>
    </row>
    <row r="71" ht="12.75" customHeight="1">
      <c r="A71" s="18"/>
      <c r="B71" s="49"/>
      <c r="C71" s="50" t="s">
        <v>61</v>
      </c>
      <c r="D71" s="51"/>
      <c r="E71" s="73">
        <v>11.0</v>
      </c>
      <c r="F71" s="73">
        <v>2.0</v>
      </c>
      <c r="G71" s="73">
        <v>7.0</v>
      </c>
      <c r="H71" s="73">
        <v>8.0</v>
      </c>
      <c r="I71" s="73">
        <v>23.0</v>
      </c>
      <c r="J71" s="73">
        <v>17.0</v>
      </c>
      <c r="K71" s="73">
        <v>12.0</v>
      </c>
      <c r="L71" s="73">
        <v>4.0</v>
      </c>
      <c r="M71" s="73">
        <v>8.0</v>
      </c>
      <c r="N71" s="73">
        <v>18.0</v>
      </c>
      <c r="O71" s="73">
        <v>15.0</v>
      </c>
      <c r="P71" s="73">
        <v>9.0</v>
      </c>
      <c r="Q71" s="73">
        <v>9.0</v>
      </c>
      <c r="R71" s="73">
        <v>6.0</v>
      </c>
      <c r="S71" s="73">
        <v>13.0</v>
      </c>
      <c r="T71" s="73">
        <v>11.0</v>
      </c>
      <c r="U71" s="13">
        <f t="shared" si="18"/>
        <v>173</v>
      </c>
    </row>
    <row r="72" ht="12.75" customHeight="1">
      <c r="A72" s="18"/>
      <c r="B72" s="49"/>
      <c r="C72" s="50" t="s">
        <v>62</v>
      </c>
      <c r="D72" s="51"/>
      <c r="E72" s="73">
        <v>9.0</v>
      </c>
      <c r="F72" s="73">
        <v>0.0</v>
      </c>
      <c r="G72" s="73">
        <v>2.0</v>
      </c>
      <c r="H72" s="73">
        <v>2.0</v>
      </c>
      <c r="I72" s="73">
        <v>3.0</v>
      </c>
      <c r="J72" s="73">
        <v>1.0</v>
      </c>
      <c r="K72" s="73">
        <v>6.0</v>
      </c>
      <c r="L72" s="73">
        <v>7.0</v>
      </c>
      <c r="M72" s="73">
        <v>3.0</v>
      </c>
      <c r="N72" s="73">
        <v>9.0</v>
      </c>
      <c r="O72" s="73">
        <v>1.0</v>
      </c>
      <c r="P72" s="73">
        <v>2.0</v>
      </c>
      <c r="Q72" s="73">
        <v>2.0</v>
      </c>
      <c r="R72" s="73">
        <v>4.0</v>
      </c>
      <c r="S72" s="73">
        <v>1.0</v>
      </c>
      <c r="T72" s="73">
        <v>2.0</v>
      </c>
      <c r="U72" s="13">
        <f t="shared" si="18"/>
        <v>54</v>
      </c>
    </row>
    <row r="73" ht="12.75" customHeight="1">
      <c r="A73" s="18"/>
      <c r="B73" s="49"/>
      <c r="C73" s="50" t="s">
        <v>63</v>
      </c>
      <c r="D73" s="51"/>
      <c r="E73" s="73">
        <v>1.0</v>
      </c>
      <c r="F73" s="73">
        <v>0.0</v>
      </c>
      <c r="G73" s="73">
        <v>2.0</v>
      </c>
      <c r="H73" s="73">
        <v>0.0</v>
      </c>
      <c r="I73" s="73">
        <v>0.0</v>
      </c>
      <c r="J73" s="73">
        <v>6.0</v>
      </c>
      <c r="K73" s="73">
        <v>1.0</v>
      </c>
      <c r="L73" s="73">
        <v>2.0</v>
      </c>
      <c r="M73" s="73">
        <v>0.0</v>
      </c>
      <c r="N73" s="73">
        <v>1.0</v>
      </c>
      <c r="O73" s="73">
        <v>0.0</v>
      </c>
      <c r="P73" s="73">
        <v>0.0</v>
      </c>
      <c r="Q73" s="73">
        <v>1.0</v>
      </c>
      <c r="R73" s="73">
        <v>21.0</v>
      </c>
      <c r="S73" s="73">
        <v>0.0</v>
      </c>
      <c r="T73" s="73">
        <v>1.0</v>
      </c>
      <c r="U73" s="13">
        <f t="shared" si="18"/>
        <v>36</v>
      </c>
    </row>
    <row r="74" ht="12.75" customHeight="1">
      <c r="A74" s="18"/>
      <c r="B74" s="49"/>
      <c r="C74" s="50" t="s">
        <v>64</v>
      </c>
      <c r="D74" s="51"/>
      <c r="E74" s="73">
        <v>1.0</v>
      </c>
      <c r="F74" s="73">
        <v>1.0</v>
      </c>
      <c r="G74" s="73">
        <v>4.0</v>
      </c>
      <c r="H74" s="73">
        <v>2.0</v>
      </c>
      <c r="I74" s="73">
        <v>2.0</v>
      </c>
      <c r="J74" s="73">
        <v>3.0</v>
      </c>
      <c r="K74" s="73">
        <v>4.0</v>
      </c>
      <c r="L74" s="73">
        <v>2.0</v>
      </c>
      <c r="M74" s="73">
        <v>1.0</v>
      </c>
      <c r="N74" s="73">
        <v>0.0</v>
      </c>
      <c r="O74" s="73">
        <v>0.0</v>
      </c>
      <c r="P74" s="73">
        <v>1.0</v>
      </c>
      <c r="Q74" s="73">
        <v>1.0</v>
      </c>
      <c r="R74" s="73">
        <v>3.0</v>
      </c>
      <c r="S74" s="73">
        <v>0.0</v>
      </c>
      <c r="T74" s="73">
        <v>1.0</v>
      </c>
      <c r="U74" s="13">
        <f t="shared" si="18"/>
        <v>26</v>
      </c>
    </row>
    <row r="75" ht="12.75" customHeight="1">
      <c r="A75" s="18"/>
      <c r="B75" s="49"/>
      <c r="C75" s="50" t="s">
        <v>65</v>
      </c>
      <c r="D75" s="51"/>
      <c r="E75" s="73">
        <v>1.0</v>
      </c>
      <c r="F75" s="73">
        <v>0.0</v>
      </c>
      <c r="G75" s="73">
        <v>2.0</v>
      </c>
      <c r="H75" s="73">
        <v>0.0</v>
      </c>
      <c r="I75" s="73">
        <v>0.0</v>
      </c>
      <c r="J75" s="73">
        <v>1.0</v>
      </c>
      <c r="K75" s="73">
        <v>2.0</v>
      </c>
      <c r="L75" s="73">
        <v>3.0</v>
      </c>
      <c r="M75" s="73">
        <v>1.0</v>
      </c>
      <c r="N75" s="73">
        <v>0.0</v>
      </c>
      <c r="O75" s="73">
        <v>2.0</v>
      </c>
      <c r="P75" s="73">
        <v>2.0</v>
      </c>
      <c r="Q75" s="73">
        <v>0.0</v>
      </c>
      <c r="R75" s="73">
        <v>0.0</v>
      </c>
      <c r="S75" s="73">
        <v>0.0</v>
      </c>
      <c r="T75" s="73">
        <v>0.0</v>
      </c>
      <c r="U75" s="13">
        <f t="shared" si="18"/>
        <v>14</v>
      </c>
    </row>
    <row r="76" ht="12.75" customHeight="1">
      <c r="A76" s="79"/>
      <c r="B76" s="49"/>
      <c r="C76" s="50" t="s">
        <v>66</v>
      </c>
      <c r="D76" s="51"/>
      <c r="E76" s="80">
        <v>0.0</v>
      </c>
      <c r="F76" s="80">
        <v>1.0</v>
      </c>
      <c r="G76" s="80">
        <v>0.0</v>
      </c>
      <c r="H76" s="80">
        <v>2.0</v>
      </c>
      <c r="I76" s="80">
        <v>0.0</v>
      </c>
      <c r="J76" s="80">
        <v>0.0</v>
      </c>
      <c r="K76" s="80">
        <v>0.0</v>
      </c>
      <c r="L76" s="80">
        <v>0.0</v>
      </c>
      <c r="M76" s="80">
        <v>0.0</v>
      </c>
      <c r="N76" s="80">
        <v>0.0</v>
      </c>
      <c r="O76" s="80">
        <v>0.0</v>
      </c>
      <c r="P76" s="80">
        <v>0.0</v>
      </c>
      <c r="Q76" s="80">
        <v>1.0</v>
      </c>
      <c r="R76" s="80">
        <v>1.0</v>
      </c>
      <c r="S76" s="80">
        <v>0.0</v>
      </c>
      <c r="T76" s="80">
        <v>1.0</v>
      </c>
      <c r="U76" s="13">
        <f t="shared" si="18"/>
        <v>6</v>
      </c>
    </row>
    <row r="77" ht="12.75" customHeight="1">
      <c r="A77" s="79"/>
      <c r="B77" s="49"/>
      <c r="C77" s="50" t="s">
        <v>67</v>
      </c>
      <c r="D77" s="51"/>
      <c r="E77" s="80">
        <v>1.0</v>
      </c>
      <c r="F77" s="80">
        <v>0.0</v>
      </c>
      <c r="G77" s="80">
        <v>0.0</v>
      </c>
      <c r="H77" s="80">
        <v>0.0</v>
      </c>
      <c r="I77" s="80">
        <v>0.0</v>
      </c>
      <c r="J77" s="80">
        <v>0.0</v>
      </c>
      <c r="K77" s="80">
        <v>0.0</v>
      </c>
      <c r="L77" s="80">
        <v>0.0</v>
      </c>
      <c r="M77" s="80">
        <v>0.0</v>
      </c>
      <c r="N77" s="80">
        <v>1.0</v>
      </c>
      <c r="O77" s="80">
        <v>0.0</v>
      </c>
      <c r="P77" s="80">
        <v>0.0</v>
      </c>
      <c r="Q77" s="80">
        <v>0.0</v>
      </c>
      <c r="R77" s="80">
        <v>2.0</v>
      </c>
      <c r="S77" s="80">
        <v>0.0</v>
      </c>
      <c r="T77" s="80">
        <v>0.0</v>
      </c>
      <c r="U77" s="13">
        <f t="shared" si="18"/>
        <v>4</v>
      </c>
    </row>
    <row r="78" ht="12.75" customHeight="1">
      <c r="A78" s="79"/>
      <c r="B78" s="49"/>
      <c r="C78" s="50" t="s">
        <v>68</v>
      </c>
      <c r="D78" s="51"/>
      <c r="E78" s="80">
        <v>0.0</v>
      </c>
      <c r="F78" s="80">
        <v>0.0</v>
      </c>
      <c r="G78" s="80">
        <v>0.0</v>
      </c>
      <c r="H78" s="80">
        <v>1.0</v>
      </c>
      <c r="I78" s="80">
        <v>0.0</v>
      </c>
      <c r="J78" s="80">
        <v>0.0</v>
      </c>
      <c r="K78" s="80">
        <v>0.0</v>
      </c>
      <c r="L78" s="80">
        <v>0.0</v>
      </c>
      <c r="M78" s="80">
        <v>0.0</v>
      </c>
      <c r="N78" s="80">
        <v>0.0</v>
      </c>
      <c r="O78" s="80">
        <v>0.0</v>
      </c>
      <c r="P78" s="80">
        <v>1.0</v>
      </c>
      <c r="Q78" s="80">
        <v>0.0</v>
      </c>
      <c r="R78" s="80">
        <v>0.0</v>
      </c>
      <c r="S78" s="80">
        <v>0.0</v>
      </c>
      <c r="T78" s="80">
        <v>0.0</v>
      </c>
      <c r="U78" s="13">
        <f t="shared" si="18"/>
        <v>2</v>
      </c>
    </row>
    <row r="79" ht="12.75" customHeight="1">
      <c r="A79" s="19" t="s">
        <v>14</v>
      </c>
      <c r="B79" s="47" t="s">
        <v>48</v>
      </c>
      <c r="C79" s="15"/>
      <c r="D79" s="16"/>
      <c r="E79" s="13">
        <f t="shared" ref="E79:U79" si="19">SUM(E69:E78)</f>
        <v>36</v>
      </c>
      <c r="F79" s="13">
        <f t="shared" si="19"/>
        <v>6</v>
      </c>
      <c r="G79" s="13">
        <f t="shared" si="19"/>
        <v>23</v>
      </c>
      <c r="H79" s="13">
        <f t="shared" si="19"/>
        <v>30</v>
      </c>
      <c r="I79" s="13">
        <f t="shared" si="19"/>
        <v>48</v>
      </c>
      <c r="J79" s="13">
        <f t="shared" si="19"/>
        <v>43</v>
      </c>
      <c r="K79" s="13">
        <f t="shared" si="19"/>
        <v>36</v>
      </c>
      <c r="L79" s="13">
        <f t="shared" si="19"/>
        <v>30</v>
      </c>
      <c r="M79" s="13">
        <f t="shared" si="19"/>
        <v>24</v>
      </c>
      <c r="N79" s="13">
        <f t="shared" si="19"/>
        <v>53</v>
      </c>
      <c r="O79" s="13">
        <f t="shared" si="19"/>
        <v>23</v>
      </c>
      <c r="P79" s="13">
        <f t="shared" si="19"/>
        <v>24</v>
      </c>
      <c r="Q79" s="13">
        <f t="shared" si="19"/>
        <v>18</v>
      </c>
      <c r="R79" s="13">
        <f t="shared" si="19"/>
        <v>57</v>
      </c>
      <c r="S79" s="13">
        <f t="shared" si="19"/>
        <v>16</v>
      </c>
      <c r="T79" s="13">
        <f t="shared" si="19"/>
        <v>22</v>
      </c>
      <c r="U79" s="13">
        <f t="shared" si="19"/>
        <v>489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69</v>
      </c>
      <c r="D81" s="16"/>
      <c r="E81" s="73">
        <v>2.0</v>
      </c>
      <c r="F81" s="73">
        <v>2.0</v>
      </c>
      <c r="G81" s="73">
        <v>4.0</v>
      </c>
      <c r="H81" s="73">
        <v>7.0</v>
      </c>
      <c r="I81" s="73">
        <v>3.0</v>
      </c>
      <c r="J81" s="73">
        <v>2.0</v>
      </c>
      <c r="K81" s="73">
        <v>3.0</v>
      </c>
      <c r="L81" s="73">
        <v>4.0</v>
      </c>
      <c r="M81" s="73">
        <v>1.0</v>
      </c>
      <c r="N81" s="73">
        <v>3.0</v>
      </c>
      <c r="O81" s="73">
        <v>5.0</v>
      </c>
      <c r="P81" s="73">
        <v>2.0</v>
      </c>
      <c r="Q81" s="73">
        <v>3.0</v>
      </c>
      <c r="R81" s="73">
        <v>2.0</v>
      </c>
      <c r="S81" s="73">
        <v>0.0</v>
      </c>
      <c r="T81" s="73">
        <v>2.0</v>
      </c>
      <c r="U81" s="13">
        <f t="shared" ref="U81:U90" si="20">SUM(E81:T81)</f>
        <v>45</v>
      </c>
    </row>
    <row r="82" ht="12.75" customHeight="1">
      <c r="A82" s="30" t="s">
        <v>38</v>
      </c>
      <c r="B82" s="49"/>
      <c r="C82" s="50" t="s">
        <v>70</v>
      </c>
      <c r="D82" s="51"/>
      <c r="E82" s="73">
        <v>5.0</v>
      </c>
      <c r="F82" s="73">
        <v>2.0</v>
      </c>
      <c r="G82" s="73">
        <v>8.0</v>
      </c>
      <c r="H82" s="73">
        <v>5.0</v>
      </c>
      <c r="I82" s="73">
        <v>2.0</v>
      </c>
      <c r="J82" s="73">
        <v>2.0</v>
      </c>
      <c r="K82" s="73">
        <v>0.0</v>
      </c>
      <c r="L82" s="73">
        <v>0.0</v>
      </c>
      <c r="M82" s="73">
        <v>4.0</v>
      </c>
      <c r="N82" s="73">
        <v>4.0</v>
      </c>
      <c r="O82" s="73">
        <v>14.0</v>
      </c>
      <c r="P82" s="73">
        <v>2.0</v>
      </c>
      <c r="Q82" s="73">
        <v>2.0</v>
      </c>
      <c r="R82" s="73">
        <v>1.0</v>
      </c>
      <c r="S82" s="73">
        <v>0.0</v>
      </c>
      <c r="T82" s="73">
        <v>1.0</v>
      </c>
      <c r="U82" s="13">
        <f t="shared" si="20"/>
        <v>52</v>
      </c>
    </row>
    <row r="83" ht="12.75" customHeight="1">
      <c r="A83" s="18"/>
      <c r="B83" s="49"/>
      <c r="C83" s="50" t="s">
        <v>71</v>
      </c>
      <c r="D83" s="51"/>
      <c r="E83" s="73">
        <v>0.0</v>
      </c>
      <c r="F83" s="73">
        <v>0.0</v>
      </c>
      <c r="G83" s="73">
        <v>0.0</v>
      </c>
      <c r="H83" s="73">
        <v>0.0</v>
      </c>
      <c r="I83" s="73">
        <v>3.0</v>
      </c>
      <c r="J83" s="73">
        <v>1.0</v>
      </c>
      <c r="K83" s="73">
        <v>0.0</v>
      </c>
      <c r="L83" s="73">
        <v>0.0</v>
      </c>
      <c r="M83" s="73">
        <v>1.0</v>
      </c>
      <c r="N83" s="73">
        <v>0.0</v>
      </c>
      <c r="O83" s="73">
        <v>3.0</v>
      </c>
      <c r="P83" s="73">
        <v>0.0</v>
      </c>
      <c r="Q83" s="73">
        <v>0.0</v>
      </c>
      <c r="R83" s="73">
        <v>2.0</v>
      </c>
      <c r="S83" s="73">
        <v>0.0</v>
      </c>
      <c r="T83" s="73">
        <v>0.0</v>
      </c>
      <c r="U83" s="13">
        <f t="shared" si="20"/>
        <v>10</v>
      </c>
    </row>
    <row r="84" ht="12.75" customHeight="1">
      <c r="A84" s="18"/>
      <c r="B84" s="49"/>
      <c r="C84" s="50" t="s">
        <v>72</v>
      </c>
      <c r="D84" s="51"/>
      <c r="E84" s="73">
        <v>1.0</v>
      </c>
      <c r="F84" s="73">
        <v>0.0</v>
      </c>
      <c r="G84" s="73">
        <v>1.0</v>
      </c>
      <c r="H84" s="73">
        <v>1.0</v>
      </c>
      <c r="I84" s="73">
        <v>1.0</v>
      </c>
      <c r="J84" s="73">
        <v>0.0</v>
      </c>
      <c r="K84" s="73">
        <v>0.0</v>
      </c>
      <c r="L84" s="73">
        <v>0.0</v>
      </c>
      <c r="M84" s="73">
        <v>1.0</v>
      </c>
      <c r="N84" s="73">
        <v>1.0</v>
      </c>
      <c r="O84" s="73">
        <v>1.0</v>
      </c>
      <c r="P84" s="73">
        <v>0.0</v>
      </c>
      <c r="Q84" s="73">
        <v>0.0</v>
      </c>
      <c r="R84" s="73">
        <v>0.0</v>
      </c>
      <c r="S84" s="73">
        <v>0.0</v>
      </c>
      <c r="T84" s="73">
        <v>0.0</v>
      </c>
      <c r="U84" s="13">
        <f t="shared" si="20"/>
        <v>7</v>
      </c>
    </row>
    <row r="85" ht="12.75" customHeight="1">
      <c r="A85" s="18"/>
      <c r="B85" s="49"/>
      <c r="C85" s="50" t="s">
        <v>73</v>
      </c>
      <c r="D85" s="51"/>
      <c r="E85" s="73">
        <v>5.0</v>
      </c>
      <c r="F85" s="73">
        <v>1.0</v>
      </c>
      <c r="G85" s="73">
        <v>1.0</v>
      </c>
      <c r="H85" s="73">
        <v>1.0</v>
      </c>
      <c r="I85" s="73">
        <v>1.0</v>
      </c>
      <c r="J85" s="73">
        <v>0.0</v>
      </c>
      <c r="K85" s="73">
        <v>1.0</v>
      </c>
      <c r="L85" s="73">
        <v>0.0</v>
      </c>
      <c r="M85" s="73">
        <v>2.0</v>
      </c>
      <c r="N85" s="73">
        <v>0.0</v>
      </c>
      <c r="O85" s="73">
        <v>2.0</v>
      </c>
      <c r="P85" s="73">
        <v>0.0</v>
      </c>
      <c r="Q85" s="73">
        <v>1.0</v>
      </c>
      <c r="R85" s="73">
        <v>1.0</v>
      </c>
      <c r="S85" s="73">
        <v>0.0</v>
      </c>
      <c r="T85" s="73">
        <v>1.0</v>
      </c>
      <c r="U85" s="13">
        <f t="shared" si="20"/>
        <v>17</v>
      </c>
    </row>
    <row r="86" ht="12.75" customHeight="1">
      <c r="A86" s="18"/>
      <c r="B86" s="49"/>
      <c r="C86" s="50" t="s">
        <v>74</v>
      </c>
      <c r="D86" s="51"/>
      <c r="E86" s="73">
        <v>0.0</v>
      </c>
      <c r="F86" s="73">
        <v>0.0</v>
      </c>
      <c r="G86" s="73">
        <v>0.0</v>
      </c>
      <c r="H86" s="73">
        <v>1.0</v>
      </c>
      <c r="I86" s="73">
        <v>1.0</v>
      </c>
      <c r="J86" s="73">
        <v>2.0</v>
      </c>
      <c r="K86" s="73">
        <v>0.0</v>
      </c>
      <c r="L86" s="73">
        <v>1.0</v>
      </c>
      <c r="M86" s="73">
        <v>1.0</v>
      </c>
      <c r="N86" s="73">
        <v>0.0</v>
      </c>
      <c r="O86" s="73">
        <v>1.0</v>
      </c>
      <c r="P86" s="73">
        <v>0.0</v>
      </c>
      <c r="Q86" s="73">
        <v>1.0</v>
      </c>
      <c r="R86" s="73">
        <v>0.0</v>
      </c>
      <c r="S86" s="73">
        <v>0.0</v>
      </c>
      <c r="T86" s="73">
        <v>1.0</v>
      </c>
      <c r="U86" s="13">
        <f t="shared" si="20"/>
        <v>9</v>
      </c>
    </row>
    <row r="87" ht="12.75" customHeight="1">
      <c r="A87" s="18"/>
      <c r="B87" s="49"/>
      <c r="C87" s="50" t="s">
        <v>75</v>
      </c>
      <c r="D87" s="51"/>
      <c r="E87" s="73">
        <v>0.0</v>
      </c>
      <c r="F87" s="73">
        <v>0.0</v>
      </c>
      <c r="G87" s="73">
        <v>0.0</v>
      </c>
      <c r="H87" s="73">
        <v>0.0</v>
      </c>
      <c r="I87" s="73">
        <v>0.0</v>
      </c>
      <c r="J87" s="73">
        <v>0.0</v>
      </c>
      <c r="K87" s="73">
        <v>2.0</v>
      </c>
      <c r="L87" s="73">
        <v>0.0</v>
      </c>
      <c r="M87" s="73">
        <v>0.0</v>
      </c>
      <c r="N87" s="73">
        <v>0.0</v>
      </c>
      <c r="O87" s="73">
        <v>1.0</v>
      </c>
      <c r="P87" s="73">
        <v>0.0</v>
      </c>
      <c r="Q87" s="73">
        <v>0.0</v>
      </c>
      <c r="R87" s="73">
        <v>0.0</v>
      </c>
      <c r="S87" s="73">
        <v>0.0</v>
      </c>
      <c r="T87" s="73">
        <v>0.0</v>
      </c>
      <c r="U87" s="13">
        <f t="shared" si="20"/>
        <v>3</v>
      </c>
    </row>
    <row r="88" ht="12.75" customHeight="1">
      <c r="A88" s="79"/>
      <c r="B88" s="49"/>
      <c r="C88" s="50" t="s">
        <v>76</v>
      </c>
      <c r="D88" s="51"/>
      <c r="E88" s="80">
        <v>1.0</v>
      </c>
      <c r="F88" s="80">
        <v>0.0</v>
      </c>
      <c r="G88" s="80">
        <v>0.0</v>
      </c>
      <c r="H88" s="80">
        <v>0.0</v>
      </c>
      <c r="I88" s="80">
        <v>0.0</v>
      </c>
      <c r="J88" s="80">
        <v>0.0</v>
      </c>
      <c r="K88" s="80">
        <v>0.0</v>
      </c>
      <c r="L88" s="80">
        <v>0.0</v>
      </c>
      <c r="M88" s="80">
        <v>0.0</v>
      </c>
      <c r="N88" s="80">
        <v>0.0</v>
      </c>
      <c r="O88" s="80">
        <v>0.0</v>
      </c>
      <c r="P88" s="80">
        <v>0.0</v>
      </c>
      <c r="Q88" s="80">
        <v>0.0</v>
      </c>
      <c r="R88" s="80">
        <v>0.0</v>
      </c>
      <c r="S88" s="80">
        <v>0.0</v>
      </c>
      <c r="T88" s="80">
        <v>0.0</v>
      </c>
      <c r="U88" s="13">
        <f t="shared" si="20"/>
        <v>1</v>
      </c>
    </row>
    <row r="89" ht="12.75" customHeight="1">
      <c r="A89" s="79"/>
      <c r="B89" s="49"/>
      <c r="C89" s="50" t="s">
        <v>77</v>
      </c>
      <c r="D89" s="51"/>
      <c r="E89" s="80">
        <v>0.0</v>
      </c>
      <c r="F89" s="80">
        <v>1.0</v>
      </c>
      <c r="G89" s="80">
        <v>0.0</v>
      </c>
      <c r="H89" s="80">
        <v>0.0</v>
      </c>
      <c r="I89" s="80">
        <v>0.0</v>
      </c>
      <c r="J89" s="80">
        <v>0.0</v>
      </c>
      <c r="K89" s="80">
        <v>0.0</v>
      </c>
      <c r="L89" s="80">
        <v>0.0</v>
      </c>
      <c r="M89" s="80">
        <v>0.0</v>
      </c>
      <c r="N89" s="80">
        <v>1.0</v>
      </c>
      <c r="O89" s="80">
        <v>0.0</v>
      </c>
      <c r="P89" s="80">
        <v>0.0</v>
      </c>
      <c r="Q89" s="80">
        <v>0.0</v>
      </c>
      <c r="R89" s="80">
        <v>0.0</v>
      </c>
      <c r="S89" s="80">
        <v>0.0</v>
      </c>
      <c r="T89" s="80">
        <v>0.0</v>
      </c>
      <c r="U89" s="13">
        <f t="shared" si="20"/>
        <v>2</v>
      </c>
    </row>
    <row r="90" ht="12.75" customHeight="1">
      <c r="A90" s="79"/>
      <c r="B90" s="49"/>
      <c r="C90" s="50" t="s">
        <v>78</v>
      </c>
      <c r="D90" s="51"/>
      <c r="E90" s="80">
        <v>0.0</v>
      </c>
      <c r="F90" s="80">
        <v>0.0</v>
      </c>
      <c r="G90" s="80">
        <v>0.0</v>
      </c>
      <c r="H90" s="80">
        <v>0.0</v>
      </c>
      <c r="I90" s="80">
        <v>0.0</v>
      </c>
      <c r="J90" s="80">
        <v>1.0</v>
      </c>
      <c r="K90" s="80">
        <v>0.0</v>
      </c>
      <c r="L90" s="80">
        <v>0.0</v>
      </c>
      <c r="M90" s="80">
        <v>1.0</v>
      </c>
      <c r="N90" s="80">
        <v>1.0</v>
      </c>
      <c r="O90" s="80">
        <v>0.0</v>
      </c>
      <c r="P90" s="80">
        <v>0.0</v>
      </c>
      <c r="Q90" s="80">
        <v>0.0</v>
      </c>
      <c r="R90" s="80">
        <v>0.0</v>
      </c>
      <c r="S90" s="80">
        <v>0.0</v>
      </c>
      <c r="T90" s="80">
        <v>0.0</v>
      </c>
      <c r="U90" s="13">
        <f t="shared" si="20"/>
        <v>3</v>
      </c>
    </row>
    <row r="91" ht="12.75" customHeight="1">
      <c r="A91" s="19" t="s">
        <v>14</v>
      </c>
      <c r="B91" s="47" t="s">
        <v>48</v>
      </c>
      <c r="C91" s="15"/>
      <c r="D91" s="16"/>
      <c r="E91" s="13">
        <f t="shared" ref="E91:U91" si="21">SUM(E81:E90)</f>
        <v>14</v>
      </c>
      <c r="F91" s="13">
        <f t="shared" si="21"/>
        <v>6</v>
      </c>
      <c r="G91" s="13">
        <f t="shared" si="21"/>
        <v>14</v>
      </c>
      <c r="H91" s="13">
        <f t="shared" si="21"/>
        <v>15</v>
      </c>
      <c r="I91" s="13">
        <f t="shared" si="21"/>
        <v>11</v>
      </c>
      <c r="J91" s="13">
        <f t="shared" si="21"/>
        <v>8</v>
      </c>
      <c r="K91" s="13">
        <f t="shared" si="21"/>
        <v>6</v>
      </c>
      <c r="L91" s="13">
        <f t="shared" si="21"/>
        <v>5</v>
      </c>
      <c r="M91" s="13">
        <f t="shared" si="21"/>
        <v>11</v>
      </c>
      <c r="N91" s="13">
        <f t="shared" si="21"/>
        <v>10</v>
      </c>
      <c r="O91" s="13">
        <f t="shared" si="21"/>
        <v>27</v>
      </c>
      <c r="P91" s="13">
        <f t="shared" si="21"/>
        <v>4</v>
      </c>
      <c r="Q91" s="13">
        <f t="shared" si="21"/>
        <v>7</v>
      </c>
      <c r="R91" s="13">
        <f t="shared" si="21"/>
        <v>6</v>
      </c>
      <c r="S91" s="13">
        <f t="shared" si="21"/>
        <v>0</v>
      </c>
      <c r="T91" s="13">
        <f t="shared" si="21"/>
        <v>5</v>
      </c>
      <c r="U91" s="13">
        <f t="shared" si="21"/>
        <v>149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79</v>
      </c>
      <c r="C93" s="48" t="s">
        <v>80</v>
      </c>
      <c r="D93" s="16"/>
      <c r="E93" s="73">
        <v>1.0</v>
      </c>
      <c r="F93" s="73">
        <v>1.0</v>
      </c>
      <c r="G93" s="73">
        <v>4.0</v>
      </c>
      <c r="H93" s="73">
        <v>2.0</v>
      </c>
      <c r="I93" s="73">
        <v>0.0</v>
      </c>
      <c r="J93" s="73">
        <v>4.0</v>
      </c>
      <c r="K93" s="73">
        <v>8.0</v>
      </c>
      <c r="L93" s="73">
        <v>8.0</v>
      </c>
      <c r="M93" s="73">
        <v>6.0</v>
      </c>
      <c r="N93" s="73">
        <v>4.0</v>
      </c>
      <c r="O93" s="73">
        <v>3.0</v>
      </c>
      <c r="P93" s="73">
        <v>0.0</v>
      </c>
      <c r="Q93" s="73">
        <v>3.0</v>
      </c>
      <c r="R93" s="73">
        <v>1.0</v>
      </c>
      <c r="S93" s="73">
        <v>1.0</v>
      </c>
      <c r="T93" s="73">
        <v>1.0</v>
      </c>
      <c r="U93" s="13">
        <f t="shared" ref="U93:U102" si="22">SUM(E93:T93)</f>
        <v>47</v>
      </c>
    </row>
    <row r="94" ht="12.75" customHeight="1">
      <c r="A94" s="30" t="s">
        <v>38</v>
      </c>
      <c r="B94" s="49"/>
      <c r="C94" s="50" t="s">
        <v>81</v>
      </c>
      <c r="D94" s="56"/>
      <c r="E94" s="73">
        <v>0.0</v>
      </c>
      <c r="F94" s="73">
        <v>0.0</v>
      </c>
      <c r="G94" s="73">
        <v>2.0</v>
      </c>
      <c r="H94" s="73">
        <v>0.0</v>
      </c>
      <c r="I94" s="73">
        <v>0.0</v>
      </c>
      <c r="J94" s="73">
        <v>3.0</v>
      </c>
      <c r="K94" s="73">
        <v>2.0</v>
      </c>
      <c r="L94" s="73">
        <v>5.0</v>
      </c>
      <c r="M94" s="73">
        <v>4.0</v>
      </c>
      <c r="N94" s="73">
        <v>4.0</v>
      </c>
      <c r="O94" s="73">
        <v>1.0</v>
      </c>
      <c r="P94" s="73">
        <v>0.0</v>
      </c>
      <c r="Q94" s="73">
        <v>1.0</v>
      </c>
      <c r="R94" s="73">
        <v>0.0</v>
      </c>
      <c r="S94" s="73">
        <v>1.0</v>
      </c>
      <c r="T94" s="73">
        <v>1.0</v>
      </c>
      <c r="U94" s="13">
        <f t="shared" si="22"/>
        <v>24</v>
      </c>
    </row>
    <row r="95" ht="12.75" customHeight="1">
      <c r="A95" s="18"/>
      <c r="B95" s="49"/>
      <c r="C95" s="50" t="s">
        <v>82</v>
      </c>
      <c r="D95" s="56"/>
      <c r="E95" s="73">
        <v>0.0</v>
      </c>
      <c r="F95" s="73">
        <v>0.0</v>
      </c>
      <c r="G95" s="73">
        <v>0.0</v>
      </c>
      <c r="H95" s="73">
        <v>0.0</v>
      </c>
      <c r="I95" s="73">
        <v>1.0</v>
      </c>
      <c r="J95" s="73">
        <v>0.0</v>
      </c>
      <c r="K95" s="73">
        <v>1.0</v>
      </c>
      <c r="L95" s="73">
        <v>1.0</v>
      </c>
      <c r="M95" s="73">
        <v>0.0</v>
      </c>
      <c r="N95" s="73">
        <v>0.0</v>
      </c>
      <c r="O95" s="73">
        <v>1.0</v>
      </c>
      <c r="P95" s="73">
        <v>0.0</v>
      </c>
      <c r="Q95" s="73">
        <v>0.0</v>
      </c>
      <c r="R95" s="73">
        <v>0.0</v>
      </c>
      <c r="S95" s="73">
        <v>0.0</v>
      </c>
      <c r="T95" s="73">
        <v>0.0</v>
      </c>
      <c r="U95" s="13">
        <f t="shared" si="22"/>
        <v>4</v>
      </c>
    </row>
    <row r="96" ht="12.75" customHeight="1">
      <c r="A96" s="18"/>
      <c r="B96" s="49"/>
      <c r="C96" s="50" t="s">
        <v>83</v>
      </c>
      <c r="D96" s="56"/>
      <c r="E96" s="73">
        <v>0.0</v>
      </c>
      <c r="F96" s="73">
        <v>0.0</v>
      </c>
      <c r="G96" s="73">
        <v>0.0</v>
      </c>
      <c r="H96" s="73">
        <v>1.0</v>
      </c>
      <c r="I96" s="73">
        <v>2.0</v>
      </c>
      <c r="J96" s="73">
        <v>0.0</v>
      </c>
      <c r="K96" s="73">
        <v>1.0</v>
      </c>
      <c r="L96" s="73">
        <v>2.0</v>
      </c>
      <c r="M96" s="73">
        <v>0.0</v>
      </c>
      <c r="N96" s="73">
        <v>2.0</v>
      </c>
      <c r="O96" s="73">
        <v>0.0</v>
      </c>
      <c r="P96" s="73">
        <v>0.0</v>
      </c>
      <c r="Q96" s="73">
        <v>0.0</v>
      </c>
      <c r="R96" s="73">
        <v>0.0</v>
      </c>
      <c r="S96" s="73">
        <v>0.0</v>
      </c>
      <c r="T96" s="73">
        <v>0.0</v>
      </c>
      <c r="U96" s="13">
        <f t="shared" si="22"/>
        <v>8</v>
      </c>
    </row>
    <row r="97" ht="12.75" customHeight="1">
      <c r="A97" s="18"/>
      <c r="B97" s="49"/>
      <c r="C97" s="50" t="s">
        <v>84</v>
      </c>
      <c r="D97" s="56"/>
      <c r="E97" s="73">
        <v>0.0</v>
      </c>
      <c r="F97" s="73">
        <v>0.0</v>
      </c>
      <c r="G97" s="73">
        <v>0.0</v>
      </c>
      <c r="H97" s="73">
        <v>0.0</v>
      </c>
      <c r="I97" s="73">
        <v>0.0</v>
      </c>
      <c r="J97" s="73">
        <v>0.0</v>
      </c>
      <c r="K97" s="73">
        <v>0.0</v>
      </c>
      <c r="L97" s="73">
        <v>0.0</v>
      </c>
      <c r="M97" s="73">
        <v>1.0</v>
      </c>
      <c r="N97" s="73">
        <v>0.0</v>
      </c>
      <c r="O97" s="73">
        <v>1.0</v>
      </c>
      <c r="P97" s="73">
        <v>0.0</v>
      </c>
      <c r="Q97" s="73">
        <v>0.0</v>
      </c>
      <c r="R97" s="73">
        <v>0.0</v>
      </c>
      <c r="S97" s="73">
        <v>0.0</v>
      </c>
      <c r="T97" s="73">
        <v>0.0</v>
      </c>
      <c r="U97" s="13">
        <f t="shared" si="22"/>
        <v>2</v>
      </c>
    </row>
    <row r="98" ht="12.75" customHeight="1">
      <c r="A98" s="18"/>
      <c r="B98" s="49"/>
      <c r="C98" s="50" t="s">
        <v>85</v>
      </c>
      <c r="D98" s="51"/>
      <c r="E98" s="73">
        <v>0.0</v>
      </c>
      <c r="F98" s="73">
        <v>0.0</v>
      </c>
      <c r="G98" s="73">
        <v>0.0</v>
      </c>
      <c r="H98" s="73">
        <v>0.0</v>
      </c>
      <c r="I98" s="73">
        <v>0.0</v>
      </c>
      <c r="J98" s="73">
        <v>0.0</v>
      </c>
      <c r="K98" s="73">
        <v>2.0</v>
      </c>
      <c r="L98" s="73">
        <v>3.0</v>
      </c>
      <c r="M98" s="73">
        <v>0.0</v>
      </c>
      <c r="N98" s="73">
        <v>2.0</v>
      </c>
      <c r="O98" s="73">
        <v>0.0</v>
      </c>
      <c r="P98" s="73">
        <v>0.0</v>
      </c>
      <c r="Q98" s="73">
        <v>0.0</v>
      </c>
      <c r="R98" s="73">
        <v>0.0</v>
      </c>
      <c r="S98" s="73">
        <v>1.0</v>
      </c>
      <c r="T98" s="73">
        <v>0.0</v>
      </c>
      <c r="U98" s="13">
        <f t="shared" si="22"/>
        <v>8</v>
      </c>
    </row>
    <row r="99" ht="12.75" customHeight="1">
      <c r="A99" s="18"/>
      <c r="B99" s="49"/>
      <c r="C99" s="50" t="s">
        <v>86</v>
      </c>
      <c r="D99" s="51"/>
      <c r="E99" s="73">
        <v>0.0</v>
      </c>
      <c r="F99" s="73">
        <v>1.0</v>
      </c>
      <c r="G99" s="73">
        <v>0.0</v>
      </c>
      <c r="H99" s="73">
        <v>1.0</v>
      </c>
      <c r="I99" s="73">
        <v>0.0</v>
      </c>
      <c r="J99" s="73">
        <v>0.0</v>
      </c>
      <c r="K99" s="73">
        <v>0.0</v>
      </c>
      <c r="L99" s="73">
        <v>0.0</v>
      </c>
      <c r="M99" s="73">
        <v>0.0</v>
      </c>
      <c r="N99" s="73">
        <v>1.0</v>
      </c>
      <c r="O99" s="73">
        <v>1.0</v>
      </c>
      <c r="P99" s="73">
        <v>0.0</v>
      </c>
      <c r="Q99" s="73">
        <v>0.0</v>
      </c>
      <c r="R99" s="73">
        <v>0.0</v>
      </c>
      <c r="S99" s="73">
        <v>0.0</v>
      </c>
      <c r="T99" s="73">
        <v>0.0</v>
      </c>
      <c r="U99" s="13">
        <f t="shared" si="22"/>
        <v>4</v>
      </c>
    </row>
    <row r="100" ht="12.75" customHeight="1">
      <c r="A100" s="79"/>
      <c r="B100" s="49"/>
      <c r="C100" s="50" t="s">
        <v>87</v>
      </c>
      <c r="D100" s="56"/>
      <c r="E100" s="80">
        <v>0.0</v>
      </c>
      <c r="F100" s="80">
        <v>0.0</v>
      </c>
      <c r="G100" s="80">
        <v>0.0</v>
      </c>
      <c r="H100" s="80">
        <v>0.0</v>
      </c>
      <c r="I100" s="80">
        <v>0.0</v>
      </c>
      <c r="J100" s="80">
        <v>0.0</v>
      </c>
      <c r="K100" s="80">
        <v>1.0</v>
      </c>
      <c r="L100" s="80">
        <v>0.0</v>
      </c>
      <c r="M100" s="80">
        <v>0.0</v>
      </c>
      <c r="N100" s="80">
        <v>0.0</v>
      </c>
      <c r="O100" s="80">
        <v>0.0</v>
      </c>
      <c r="P100" s="80">
        <v>0.0</v>
      </c>
      <c r="Q100" s="80">
        <v>0.0</v>
      </c>
      <c r="R100" s="80">
        <v>0.0</v>
      </c>
      <c r="S100" s="80">
        <v>0.0</v>
      </c>
      <c r="T100" s="80">
        <v>0.0</v>
      </c>
      <c r="U100" s="13">
        <f t="shared" si="22"/>
        <v>1</v>
      </c>
    </row>
    <row r="101" ht="12.75" customHeight="1">
      <c r="A101" s="79"/>
      <c r="B101" s="49"/>
      <c r="C101" s="50" t="s">
        <v>88</v>
      </c>
      <c r="D101" s="56"/>
      <c r="E101" s="80">
        <v>0.0</v>
      </c>
      <c r="F101" s="80">
        <v>0.0</v>
      </c>
      <c r="G101" s="80">
        <v>0.0</v>
      </c>
      <c r="H101" s="80">
        <v>0.0</v>
      </c>
      <c r="I101" s="80">
        <v>0.0</v>
      </c>
      <c r="J101" s="80">
        <v>0.0</v>
      </c>
      <c r="K101" s="80">
        <v>0.0</v>
      </c>
      <c r="L101" s="80">
        <v>1.0</v>
      </c>
      <c r="M101" s="80">
        <v>0.0</v>
      </c>
      <c r="N101" s="80">
        <v>0.0</v>
      </c>
      <c r="O101" s="80">
        <v>0.0</v>
      </c>
      <c r="P101" s="80">
        <v>0.0</v>
      </c>
      <c r="Q101" s="80">
        <v>0.0</v>
      </c>
      <c r="R101" s="80">
        <v>0.0</v>
      </c>
      <c r="S101" s="80">
        <v>0.0</v>
      </c>
      <c r="T101" s="80">
        <v>0.0</v>
      </c>
      <c r="U101" s="13">
        <f t="shared" si="22"/>
        <v>1</v>
      </c>
    </row>
    <row r="102" ht="12.75" customHeight="1">
      <c r="A102" s="79"/>
      <c r="B102" s="49"/>
      <c r="C102" s="50" t="s">
        <v>89</v>
      </c>
      <c r="D102" s="56"/>
      <c r="E102" s="80">
        <v>0.0</v>
      </c>
      <c r="F102" s="80">
        <v>0.0</v>
      </c>
      <c r="G102" s="80">
        <v>0.0</v>
      </c>
      <c r="H102" s="80">
        <v>0.0</v>
      </c>
      <c r="I102" s="80">
        <v>0.0</v>
      </c>
      <c r="J102" s="80">
        <v>0.0</v>
      </c>
      <c r="K102" s="80">
        <v>0.0</v>
      </c>
      <c r="L102" s="80">
        <v>0.0</v>
      </c>
      <c r="M102" s="80">
        <v>0.0</v>
      </c>
      <c r="N102" s="80">
        <v>0.0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0.0</v>
      </c>
      <c r="U102" s="13">
        <f t="shared" si="22"/>
        <v>0</v>
      </c>
    </row>
    <row r="103" ht="12.75" customHeight="1">
      <c r="A103" s="19" t="s">
        <v>14</v>
      </c>
      <c r="B103" s="47" t="s">
        <v>48</v>
      </c>
      <c r="C103" s="15"/>
      <c r="D103" s="16"/>
      <c r="E103" s="13">
        <f t="shared" ref="E103:U103" si="23">SUM(E93:E102)</f>
        <v>1</v>
      </c>
      <c r="F103" s="13">
        <f t="shared" si="23"/>
        <v>2</v>
      </c>
      <c r="G103" s="13">
        <f t="shared" si="23"/>
        <v>6</v>
      </c>
      <c r="H103" s="13">
        <f t="shared" si="23"/>
        <v>4</v>
      </c>
      <c r="I103" s="13">
        <f t="shared" si="23"/>
        <v>3</v>
      </c>
      <c r="J103" s="13">
        <f t="shared" si="23"/>
        <v>7</v>
      </c>
      <c r="K103" s="13">
        <f t="shared" si="23"/>
        <v>15</v>
      </c>
      <c r="L103" s="13">
        <f t="shared" si="23"/>
        <v>20</v>
      </c>
      <c r="M103" s="13">
        <f t="shared" si="23"/>
        <v>11</v>
      </c>
      <c r="N103" s="13">
        <f t="shared" si="23"/>
        <v>13</v>
      </c>
      <c r="O103" s="13">
        <f t="shared" si="23"/>
        <v>7</v>
      </c>
      <c r="P103" s="13">
        <f t="shared" si="23"/>
        <v>0</v>
      </c>
      <c r="Q103" s="13">
        <f t="shared" si="23"/>
        <v>4</v>
      </c>
      <c r="R103" s="13">
        <f t="shared" si="23"/>
        <v>1</v>
      </c>
      <c r="S103" s="13">
        <f t="shared" si="23"/>
        <v>3</v>
      </c>
      <c r="T103" s="13">
        <f t="shared" si="23"/>
        <v>2</v>
      </c>
      <c r="U103" s="13">
        <f t="shared" si="23"/>
        <v>99</v>
      </c>
    </row>
    <row r="104" ht="12.75" customHeight="1">
      <c r="A104" s="45"/>
      <c r="B104" s="44"/>
      <c r="C104" s="44"/>
      <c r="D104" s="44"/>
      <c r="E104" s="44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</row>
    <row r="105" ht="12.75" customHeight="1">
      <c r="A105" s="30" t="s">
        <v>36</v>
      </c>
      <c r="B105" s="47" t="s">
        <v>90</v>
      </c>
      <c r="C105" s="48" t="s">
        <v>91</v>
      </c>
      <c r="D105" s="16"/>
      <c r="E105" s="73">
        <v>0.0</v>
      </c>
      <c r="F105" s="73">
        <v>0.0</v>
      </c>
      <c r="G105" s="73">
        <v>1.0</v>
      </c>
      <c r="H105" s="73">
        <v>0.0</v>
      </c>
      <c r="I105" s="73">
        <v>0.0</v>
      </c>
      <c r="J105" s="73">
        <v>2.0</v>
      </c>
      <c r="K105" s="73">
        <v>0.0</v>
      </c>
      <c r="L105" s="73">
        <v>1.0</v>
      </c>
      <c r="M105" s="73">
        <v>0.0</v>
      </c>
      <c r="N105" s="73">
        <v>1.0</v>
      </c>
      <c r="O105" s="73">
        <v>1.0</v>
      </c>
      <c r="P105" s="73">
        <v>1.0</v>
      </c>
      <c r="Q105" s="73">
        <v>0.0</v>
      </c>
      <c r="R105" s="73">
        <v>0.0</v>
      </c>
      <c r="S105" s="73">
        <v>2.0</v>
      </c>
      <c r="T105" s="73">
        <v>1.0</v>
      </c>
      <c r="U105" s="13">
        <f t="shared" ref="U105:U114" si="24">SUM(E105:T105)</f>
        <v>10</v>
      </c>
    </row>
    <row r="106" ht="12.75" customHeight="1">
      <c r="A106" s="30" t="s">
        <v>38</v>
      </c>
      <c r="B106" s="49"/>
      <c r="C106" s="50" t="s">
        <v>92</v>
      </c>
      <c r="D106" s="51"/>
      <c r="E106" s="73">
        <v>0.0</v>
      </c>
      <c r="F106" s="73">
        <v>0.0</v>
      </c>
      <c r="G106" s="73">
        <v>0.0</v>
      </c>
      <c r="H106" s="73">
        <v>0.0</v>
      </c>
      <c r="I106" s="73">
        <v>0.0</v>
      </c>
      <c r="J106" s="73">
        <v>0.0</v>
      </c>
      <c r="K106" s="73">
        <v>0.0</v>
      </c>
      <c r="L106" s="73">
        <v>0.0</v>
      </c>
      <c r="M106" s="73">
        <v>1.0</v>
      </c>
      <c r="N106" s="73">
        <v>0.0</v>
      </c>
      <c r="O106" s="73">
        <v>2.0</v>
      </c>
      <c r="P106" s="73">
        <v>0.0</v>
      </c>
      <c r="Q106" s="73">
        <v>0.0</v>
      </c>
      <c r="R106" s="73">
        <v>0.0</v>
      </c>
      <c r="S106" s="73">
        <v>0.0</v>
      </c>
      <c r="T106" s="73">
        <v>0.0</v>
      </c>
      <c r="U106" s="13">
        <f t="shared" si="24"/>
        <v>3</v>
      </c>
    </row>
    <row r="107" ht="12.75" customHeight="1">
      <c r="A107" s="79"/>
      <c r="B107" s="49"/>
      <c r="C107" s="50" t="s">
        <v>93</v>
      </c>
      <c r="D107" s="51"/>
      <c r="E107" s="80">
        <v>0.0</v>
      </c>
      <c r="F107" s="80">
        <v>0.0</v>
      </c>
      <c r="G107" s="80">
        <v>0.0</v>
      </c>
      <c r="H107" s="80">
        <v>0.0</v>
      </c>
      <c r="I107" s="80">
        <v>0.0</v>
      </c>
      <c r="J107" s="80">
        <v>0.0</v>
      </c>
      <c r="K107" s="80">
        <v>0.0</v>
      </c>
      <c r="L107" s="80">
        <v>0.0</v>
      </c>
      <c r="M107" s="80">
        <v>0.0</v>
      </c>
      <c r="N107" s="80">
        <v>1.0</v>
      </c>
      <c r="O107" s="80">
        <v>0.0</v>
      </c>
      <c r="P107" s="80">
        <v>0.0</v>
      </c>
      <c r="Q107" s="80">
        <v>0.0</v>
      </c>
      <c r="R107" s="80">
        <v>0.0</v>
      </c>
      <c r="S107" s="80">
        <v>0.0</v>
      </c>
      <c r="T107" s="80">
        <v>0.0</v>
      </c>
      <c r="U107" s="13">
        <f t="shared" si="24"/>
        <v>1</v>
      </c>
    </row>
    <row r="108" ht="12.75" customHeight="1">
      <c r="A108" s="79"/>
      <c r="B108" s="57"/>
      <c r="C108" s="58"/>
      <c r="D108" s="59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13">
        <f t="shared" si="24"/>
        <v>0</v>
      </c>
    </row>
    <row r="109" ht="12.75" customHeight="1">
      <c r="A109" s="79"/>
      <c r="B109" s="57"/>
      <c r="C109" s="58"/>
      <c r="D109" s="59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13">
        <f t="shared" si="24"/>
        <v>0</v>
      </c>
    </row>
    <row r="110" ht="12.75" customHeight="1">
      <c r="A110" s="79"/>
      <c r="B110" s="57"/>
      <c r="C110" s="58"/>
      <c r="D110" s="59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13">
        <f t="shared" si="24"/>
        <v>0</v>
      </c>
    </row>
    <row r="111" ht="12.75" customHeight="1">
      <c r="A111" s="79"/>
      <c r="B111" s="57"/>
      <c r="C111" s="58"/>
      <c r="D111" s="59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13">
        <f t="shared" si="24"/>
        <v>0</v>
      </c>
    </row>
    <row r="112" ht="12.75" customHeight="1">
      <c r="A112" s="79"/>
      <c r="B112" s="57"/>
      <c r="C112" s="58"/>
      <c r="D112" s="59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13">
        <f t="shared" si="24"/>
        <v>0</v>
      </c>
    </row>
    <row r="113" ht="12.75" customHeight="1">
      <c r="A113" s="79"/>
      <c r="B113" s="57"/>
      <c r="C113" s="58"/>
      <c r="D113" s="59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13">
        <f t="shared" si="24"/>
        <v>0</v>
      </c>
    </row>
    <row r="114" ht="12.75" customHeight="1">
      <c r="A114" s="79"/>
      <c r="B114" s="57"/>
      <c r="C114" s="58"/>
      <c r="D114" s="59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13">
        <f t="shared" si="24"/>
        <v>0</v>
      </c>
    </row>
    <row r="115" ht="12.75" customHeight="1">
      <c r="A115" s="19" t="s">
        <v>14</v>
      </c>
      <c r="B115" s="47" t="s">
        <v>48</v>
      </c>
      <c r="C115" s="15"/>
      <c r="D115" s="16"/>
      <c r="E115" s="13">
        <f t="shared" ref="E115:U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2</v>
      </c>
      <c r="O115" s="13">
        <f t="shared" si="25"/>
        <v>3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1</v>
      </c>
      <c r="U115" s="13">
        <f t="shared" si="25"/>
        <v>14</v>
      </c>
    </row>
    <row r="116" ht="12.75" customHeight="1">
      <c r="A116" s="24"/>
      <c r="B116" s="15"/>
      <c r="C116" s="15"/>
      <c r="D116" s="15"/>
      <c r="E116" s="16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13"/>
    </row>
    <row r="117" ht="12.75" customHeight="1">
      <c r="A117" s="30" t="s">
        <v>36</v>
      </c>
      <c r="B117" s="47" t="s">
        <v>94</v>
      </c>
      <c r="C117" s="48" t="s">
        <v>95</v>
      </c>
      <c r="D117" s="16"/>
      <c r="E117" s="73">
        <v>1.0</v>
      </c>
      <c r="F117" s="73">
        <v>0.0</v>
      </c>
      <c r="G117" s="73">
        <v>2.0</v>
      </c>
      <c r="H117" s="73">
        <v>9.0</v>
      </c>
      <c r="I117" s="73">
        <v>0.0</v>
      </c>
      <c r="J117" s="73">
        <v>1.0</v>
      </c>
      <c r="K117" s="73">
        <v>2.0</v>
      </c>
      <c r="L117" s="73">
        <v>1.0</v>
      </c>
      <c r="M117" s="73">
        <v>0.0</v>
      </c>
      <c r="N117" s="73">
        <v>8.0</v>
      </c>
      <c r="O117" s="73">
        <v>0.0</v>
      </c>
      <c r="P117" s="73">
        <v>5.0</v>
      </c>
      <c r="Q117" s="73">
        <v>5.0</v>
      </c>
      <c r="R117" s="73">
        <v>6.0</v>
      </c>
      <c r="S117" s="73">
        <v>3.0</v>
      </c>
      <c r="T117" s="73">
        <v>0.0</v>
      </c>
      <c r="U117" s="13">
        <f t="shared" ref="U117:U126" si="26">SUM(E117:T117)</f>
        <v>43</v>
      </c>
    </row>
    <row r="118" ht="12.75" customHeight="1">
      <c r="A118" s="30" t="s">
        <v>38</v>
      </c>
      <c r="B118" s="49"/>
      <c r="C118" s="50" t="s">
        <v>96</v>
      </c>
      <c r="D118" s="51"/>
      <c r="E118" s="73">
        <v>0.0</v>
      </c>
      <c r="F118" s="73">
        <v>2.0</v>
      </c>
      <c r="G118" s="73">
        <v>1.0</v>
      </c>
      <c r="H118" s="73">
        <v>2.0</v>
      </c>
      <c r="I118" s="73">
        <v>3.0</v>
      </c>
      <c r="J118" s="73">
        <v>5.0</v>
      </c>
      <c r="K118" s="73">
        <v>1.0</v>
      </c>
      <c r="L118" s="73">
        <v>2.0</v>
      </c>
      <c r="M118" s="73">
        <v>3.0</v>
      </c>
      <c r="N118" s="73">
        <v>5.0</v>
      </c>
      <c r="O118" s="73">
        <v>0.0</v>
      </c>
      <c r="P118" s="73">
        <v>13.0</v>
      </c>
      <c r="Q118" s="73">
        <v>4.0</v>
      </c>
      <c r="R118" s="73">
        <v>14.0</v>
      </c>
      <c r="S118" s="73">
        <v>0.0</v>
      </c>
      <c r="T118" s="73">
        <v>0.0</v>
      </c>
      <c r="U118" s="13">
        <f t="shared" si="26"/>
        <v>55</v>
      </c>
    </row>
    <row r="119" ht="12.75" customHeight="1">
      <c r="A119" s="18"/>
      <c r="B119" s="49"/>
      <c r="C119" s="50" t="s">
        <v>97</v>
      </c>
      <c r="D119" s="51"/>
      <c r="E119" s="73">
        <v>0.0</v>
      </c>
      <c r="F119" s="73">
        <v>0.0</v>
      </c>
      <c r="G119" s="73">
        <v>1.0</v>
      </c>
      <c r="H119" s="73">
        <v>4.0</v>
      </c>
      <c r="I119" s="73">
        <v>1.0</v>
      </c>
      <c r="J119" s="73">
        <v>1.0</v>
      </c>
      <c r="K119" s="73">
        <v>0.0</v>
      </c>
      <c r="L119" s="73">
        <v>0.0</v>
      </c>
      <c r="M119" s="73">
        <v>0.0</v>
      </c>
      <c r="N119" s="73">
        <v>1.0</v>
      </c>
      <c r="O119" s="73">
        <v>0.0</v>
      </c>
      <c r="P119" s="73">
        <v>3.0</v>
      </c>
      <c r="Q119" s="73">
        <v>2.0</v>
      </c>
      <c r="R119" s="73">
        <v>4.0</v>
      </c>
      <c r="S119" s="73">
        <v>1.0</v>
      </c>
      <c r="T119" s="73">
        <v>2.0</v>
      </c>
      <c r="U119" s="13">
        <f t="shared" si="26"/>
        <v>20</v>
      </c>
    </row>
    <row r="120" ht="12.75" customHeight="1">
      <c r="A120" s="18"/>
      <c r="B120" s="49"/>
      <c r="C120" s="50" t="s">
        <v>98</v>
      </c>
      <c r="D120" s="51"/>
      <c r="E120" s="73">
        <v>1.0</v>
      </c>
      <c r="F120" s="73">
        <v>0.0</v>
      </c>
      <c r="G120" s="73">
        <v>0.0</v>
      </c>
      <c r="H120" s="73">
        <v>0.0</v>
      </c>
      <c r="I120" s="73">
        <v>0.0</v>
      </c>
      <c r="J120" s="73">
        <v>0.0</v>
      </c>
      <c r="K120" s="73">
        <v>0.0</v>
      </c>
      <c r="L120" s="73">
        <v>0.0</v>
      </c>
      <c r="M120" s="73">
        <v>0.0</v>
      </c>
      <c r="N120" s="73">
        <v>0.0</v>
      </c>
      <c r="O120" s="73">
        <v>0.0</v>
      </c>
      <c r="P120" s="73">
        <v>1.0</v>
      </c>
      <c r="Q120" s="73">
        <v>1.0</v>
      </c>
      <c r="R120" s="73">
        <v>0.0</v>
      </c>
      <c r="S120" s="73">
        <v>0.0</v>
      </c>
      <c r="T120" s="73">
        <v>0.0</v>
      </c>
      <c r="U120" s="13">
        <f t="shared" si="26"/>
        <v>3</v>
      </c>
    </row>
    <row r="121" ht="12.75" customHeight="1">
      <c r="A121" s="79"/>
      <c r="B121" s="49"/>
      <c r="C121" s="50" t="s">
        <v>99</v>
      </c>
      <c r="D121" s="51"/>
      <c r="E121" s="80">
        <v>0.0</v>
      </c>
      <c r="F121" s="80">
        <v>0.0</v>
      </c>
      <c r="G121" s="80">
        <v>0.0</v>
      </c>
      <c r="H121" s="80">
        <v>1.0</v>
      </c>
      <c r="I121" s="80">
        <v>0.0</v>
      </c>
      <c r="J121" s="80">
        <v>0.0</v>
      </c>
      <c r="K121" s="80">
        <v>0.0</v>
      </c>
      <c r="L121" s="80">
        <v>0.0</v>
      </c>
      <c r="M121" s="80">
        <v>0.0</v>
      </c>
      <c r="N121" s="80">
        <v>0.0</v>
      </c>
      <c r="O121" s="80">
        <v>0.0</v>
      </c>
      <c r="P121" s="73">
        <v>0.0</v>
      </c>
      <c r="Q121" s="80">
        <v>0.0</v>
      </c>
      <c r="R121" s="80">
        <v>0.0</v>
      </c>
      <c r="S121" s="80">
        <v>0.0</v>
      </c>
      <c r="T121" s="80">
        <v>0.0</v>
      </c>
      <c r="U121" s="13">
        <f t="shared" si="26"/>
        <v>1</v>
      </c>
    </row>
    <row r="122" ht="12.75" customHeight="1">
      <c r="A122" s="79"/>
      <c r="B122" s="49"/>
      <c r="C122" s="50" t="s">
        <v>100</v>
      </c>
      <c r="D122" s="51"/>
      <c r="E122" s="80">
        <v>0.0</v>
      </c>
      <c r="F122" s="80">
        <v>0.0</v>
      </c>
      <c r="G122" s="80">
        <v>1.0</v>
      </c>
      <c r="H122" s="80">
        <v>0.0</v>
      </c>
      <c r="I122" s="80">
        <v>0.0</v>
      </c>
      <c r="J122" s="80">
        <v>0.0</v>
      </c>
      <c r="K122" s="80">
        <v>1.0</v>
      </c>
      <c r="L122" s="80">
        <v>1.0</v>
      </c>
      <c r="M122" s="80">
        <v>0.0</v>
      </c>
      <c r="N122" s="80">
        <v>0.0</v>
      </c>
      <c r="O122" s="80">
        <v>1.0</v>
      </c>
      <c r="P122" s="73">
        <v>1.0</v>
      </c>
      <c r="Q122" s="80">
        <v>1.0</v>
      </c>
      <c r="R122" s="80">
        <v>1.0</v>
      </c>
      <c r="S122" s="80">
        <v>2.0</v>
      </c>
      <c r="T122" s="80">
        <v>0.0</v>
      </c>
      <c r="U122" s="13">
        <f t="shared" si="26"/>
        <v>9</v>
      </c>
    </row>
    <row r="123" ht="12.75" customHeight="1">
      <c r="A123" s="79"/>
      <c r="B123" s="57"/>
      <c r="C123" s="58"/>
      <c r="D123" s="61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19"/>
      <c r="Q123" s="62"/>
      <c r="R123" s="62"/>
      <c r="S123" s="62"/>
      <c r="T123" s="62"/>
      <c r="U123" s="13">
        <f t="shared" si="26"/>
        <v>0</v>
      </c>
    </row>
    <row r="124" ht="12.75" customHeight="1">
      <c r="A124" s="79"/>
      <c r="B124" s="57"/>
      <c r="C124" s="58"/>
      <c r="D124" s="59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13">
        <f t="shared" si="26"/>
        <v>0</v>
      </c>
    </row>
    <row r="125" ht="12.75" customHeight="1">
      <c r="A125" s="79"/>
      <c r="B125" s="57"/>
      <c r="C125" s="58"/>
      <c r="D125" s="59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13">
        <f t="shared" si="26"/>
        <v>0</v>
      </c>
    </row>
    <row r="126" ht="12.75" customHeight="1">
      <c r="A126" s="79"/>
      <c r="B126" s="57"/>
      <c r="C126" s="58"/>
      <c r="D126" s="59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13">
        <f t="shared" si="26"/>
        <v>0</v>
      </c>
    </row>
    <row r="127" ht="12.75" customHeight="1">
      <c r="A127" s="19" t="s">
        <v>14</v>
      </c>
      <c r="B127" s="47" t="s">
        <v>48</v>
      </c>
      <c r="C127" s="15"/>
      <c r="D127" s="16"/>
      <c r="E127" s="13">
        <f t="shared" ref="E127:U127" si="27">SUM(E117:E126)</f>
        <v>2</v>
      </c>
      <c r="F127" s="13">
        <f t="shared" si="27"/>
        <v>2</v>
      </c>
      <c r="G127" s="13">
        <f t="shared" si="27"/>
        <v>5</v>
      </c>
      <c r="H127" s="13">
        <f t="shared" si="27"/>
        <v>16</v>
      </c>
      <c r="I127" s="13">
        <f t="shared" si="27"/>
        <v>4</v>
      </c>
      <c r="J127" s="13">
        <f t="shared" si="27"/>
        <v>7</v>
      </c>
      <c r="K127" s="13">
        <f t="shared" si="27"/>
        <v>4</v>
      </c>
      <c r="L127" s="13">
        <f t="shared" si="27"/>
        <v>4</v>
      </c>
      <c r="M127" s="13">
        <f t="shared" si="27"/>
        <v>3</v>
      </c>
      <c r="N127" s="13">
        <f t="shared" si="27"/>
        <v>14</v>
      </c>
      <c r="O127" s="13">
        <f t="shared" si="27"/>
        <v>1</v>
      </c>
      <c r="P127" s="13">
        <f t="shared" si="27"/>
        <v>23</v>
      </c>
      <c r="Q127" s="13">
        <f t="shared" si="27"/>
        <v>13</v>
      </c>
      <c r="R127" s="13">
        <f t="shared" si="27"/>
        <v>25</v>
      </c>
      <c r="S127" s="13">
        <f t="shared" si="27"/>
        <v>6</v>
      </c>
      <c r="T127" s="13">
        <f t="shared" si="27"/>
        <v>2</v>
      </c>
      <c r="U127" s="13">
        <f t="shared" si="27"/>
        <v>131</v>
      </c>
    </row>
    <row r="128" ht="12.75" customHeight="1">
      <c r="A128" s="24"/>
      <c r="B128" s="15"/>
      <c r="C128" s="15"/>
      <c r="D128" s="15"/>
      <c r="E128" s="16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</row>
    <row r="129" ht="12.75" customHeight="1">
      <c r="A129" s="30" t="s">
        <v>36</v>
      </c>
      <c r="B129" s="47" t="s">
        <v>101</v>
      </c>
      <c r="C129" s="48" t="s">
        <v>102</v>
      </c>
      <c r="D129" s="16"/>
      <c r="E129" s="73">
        <v>9.0</v>
      </c>
      <c r="F129" s="73">
        <v>4.0</v>
      </c>
      <c r="G129" s="73">
        <v>4.0</v>
      </c>
      <c r="H129" s="73">
        <v>7.0</v>
      </c>
      <c r="I129" s="73">
        <v>3.0</v>
      </c>
      <c r="J129" s="73">
        <v>1.0</v>
      </c>
      <c r="K129" s="73">
        <v>1.0</v>
      </c>
      <c r="L129" s="73">
        <v>10.0</v>
      </c>
      <c r="M129" s="73">
        <v>7.0</v>
      </c>
      <c r="N129" s="73">
        <v>4.0</v>
      </c>
      <c r="O129" s="73">
        <v>6.0</v>
      </c>
      <c r="P129" s="73">
        <v>5.0</v>
      </c>
      <c r="Q129" s="73">
        <v>3.0</v>
      </c>
      <c r="R129" s="73">
        <v>3.0</v>
      </c>
      <c r="S129" s="73">
        <v>1.0</v>
      </c>
      <c r="T129" s="73">
        <v>2.0</v>
      </c>
      <c r="U129" s="13">
        <f t="shared" ref="U129:U138" si="28">SUM(E129:T129)</f>
        <v>70</v>
      </c>
    </row>
    <row r="130" ht="12.75" customHeight="1">
      <c r="A130" s="30" t="s">
        <v>38</v>
      </c>
      <c r="B130" s="49"/>
      <c r="C130" s="50" t="s">
        <v>103</v>
      </c>
      <c r="D130" s="51"/>
      <c r="E130" s="73">
        <v>24.0</v>
      </c>
      <c r="F130" s="73">
        <v>2.0</v>
      </c>
      <c r="G130" s="73">
        <v>9.0</v>
      </c>
      <c r="H130" s="73">
        <v>1.0</v>
      </c>
      <c r="I130" s="73">
        <v>9.0</v>
      </c>
      <c r="J130" s="73">
        <v>6.0</v>
      </c>
      <c r="K130" s="73">
        <v>2.0</v>
      </c>
      <c r="L130" s="73">
        <v>5.0</v>
      </c>
      <c r="M130" s="73">
        <v>7.0</v>
      </c>
      <c r="N130" s="73">
        <v>4.0</v>
      </c>
      <c r="O130" s="73">
        <v>0.0</v>
      </c>
      <c r="P130" s="73">
        <v>20.0</v>
      </c>
      <c r="Q130" s="73">
        <v>29.0</v>
      </c>
      <c r="R130" s="73">
        <v>14.0</v>
      </c>
      <c r="S130" s="73">
        <v>15.0</v>
      </c>
      <c r="T130" s="73">
        <v>27.0</v>
      </c>
      <c r="U130" s="13">
        <f t="shared" si="28"/>
        <v>174</v>
      </c>
    </row>
    <row r="131" ht="12.75" customHeight="1">
      <c r="A131" s="18"/>
      <c r="B131" s="49"/>
      <c r="C131" s="50" t="s">
        <v>104</v>
      </c>
      <c r="D131" s="51"/>
      <c r="E131" s="73">
        <v>1.0</v>
      </c>
      <c r="F131" s="73">
        <v>0.0</v>
      </c>
      <c r="G131" s="73">
        <v>2.0</v>
      </c>
      <c r="H131" s="73">
        <v>0.0</v>
      </c>
      <c r="I131" s="73">
        <v>0.0</v>
      </c>
      <c r="J131" s="73">
        <v>0.0</v>
      </c>
      <c r="K131" s="73">
        <v>1.0</v>
      </c>
      <c r="L131" s="73">
        <v>0.0</v>
      </c>
      <c r="M131" s="73">
        <v>2.0</v>
      </c>
      <c r="N131" s="73">
        <v>0.0</v>
      </c>
      <c r="O131" s="73">
        <v>1.0</v>
      </c>
      <c r="P131" s="73">
        <v>0.0</v>
      </c>
      <c r="Q131" s="73">
        <v>0.0</v>
      </c>
      <c r="R131" s="73">
        <v>0.0</v>
      </c>
      <c r="S131" s="73">
        <v>0.0</v>
      </c>
      <c r="T131" s="73">
        <v>0.0</v>
      </c>
      <c r="U131" s="13">
        <f t="shared" si="28"/>
        <v>7</v>
      </c>
    </row>
    <row r="132" ht="12.75" customHeight="1">
      <c r="A132" s="18"/>
      <c r="B132" s="49"/>
      <c r="C132" s="50" t="s">
        <v>105</v>
      </c>
      <c r="D132" s="51"/>
      <c r="E132" s="73">
        <v>0.0</v>
      </c>
      <c r="F132" s="73">
        <v>0.0</v>
      </c>
      <c r="G132" s="73">
        <v>0.0</v>
      </c>
      <c r="H132" s="73">
        <v>0.0</v>
      </c>
      <c r="I132" s="73">
        <v>0.0</v>
      </c>
      <c r="J132" s="73">
        <v>0.0</v>
      </c>
      <c r="K132" s="73">
        <v>0.0</v>
      </c>
      <c r="L132" s="73">
        <v>4.0</v>
      </c>
      <c r="M132" s="73">
        <v>2.0</v>
      </c>
      <c r="N132" s="73">
        <v>7.0</v>
      </c>
      <c r="O132" s="73">
        <v>0.0</v>
      </c>
      <c r="P132" s="73">
        <v>1.0</v>
      </c>
      <c r="Q132" s="73">
        <v>0.0</v>
      </c>
      <c r="R132" s="73">
        <v>1.0</v>
      </c>
      <c r="S132" s="73">
        <v>4.0</v>
      </c>
      <c r="T132" s="73">
        <v>2.0</v>
      </c>
      <c r="U132" s="13">
        <f t="shared" si="28"/>
        <v>21</v>
      </c>
    </row>
    <row r="133" ht="12.75" customHeight="1">
      <c r="A133" s="18"/>
      <c r="B133" s="49"/>
      <c r="C133" s="50" t="s">
        <v>106</v>
      </c>
      <c r="D133" s="51"/>
      <c r="E133" s="73">
        <v>0.0</v>
      </c>
      <c r="F133" s="73">
        <v>0.0</v>
      </c>
      <c r="G133" s="73">
        <v>0.0</v>
      </c>
      <c r="H133" s="73">
        <v>0.0</v>
      </c>
      <c r="I133" s="73">
        <v>0.0</v>
      </c>
      <c r="J133" s="73">
        <v>0.0</v>
      </c>
      <c r="K133" s="73">
        <v>0.0</v>
      </c>
      <c r="L133" s="73">
        <v>1.0</v>
      </c>
      <c r="M133" s="73">
        <v>0.0</v>
      </c>
      <c r="N133" s="73">
        <v>0.0</v>
      </c>
      <c r="O133" s="73">
        <v>0.0</v>
      </c>
      <c r="P133" s="73">
        <v>0.0</v>
      </c>
      <c r="Q133" s="73">
        <v>0.0</v>
      </c>
      <c r="R133" s="73">
        <v>0.0</v>
      </c>
      <c r="S133" s="73">
        <v>0.0</v>
      </c>
      <c r="T133" s="73">
        <v>1.0</v>
      </c>
      <c r="U133" s="13">
        <f t="shared" si="28"/>
        <v>2</v>
      </c>
    </row>
    <row r="134" ht="12.75" customHeight="1">
      <c r="A134" s="18"/>
      <c r="B134" s="49"/>
      <c r="C134" s="50" t="s">
        <v>107</v>
      </c>
      <c r="D134" s="51"/>
      <c r="E134" s="73">
        <v>0.0</v>
      </c>
      <c r="F134" s="73">
        <v>1.0</v>
      </c>
      <c r="G134" s="73">
        <v>1.0</v>
      </c>
      <c r="H134" s="73">
        <v>0.0</v>
      </c>
      <c r="I134" s="73">
        <v>1.0</v>
      </c>
      <c r="J134" s="73">
        <v>0.0</v>
      </c>
      <c r="K134" s="73">
        <v>0.0</v>
      </c>
      <c r="L134" s="73">
        <v>0.0</v>
      </c>
      <c r="M134" s="73">
        <v>1.0</v>
      </c>
      <c r="N134" s="73">
        <v>1.0</v>
      </c>
      <c r="O134" s="73">
        <v>3.0</v>
      </c>
      <c r="P134" s="73">
        <v>0.0</v>
      </c>
      <c r="Q134" s="73">
        <v>1.0</v>
      </c>
      <c r="R134" s="73">
        <v>1.0</v>
      </c>
      <c r="S134" s="73">
        <v>3.0</v>
      </c>
      <c r="T134" s="73">
        <v>3.0</v>
      </c>
      <c r="U134" s="13">
        <f t="shared" si="28"/>
        <v>16</v>
      </c>
    </row>
    <row r="135" ht="12.75" customHeight="1">
      <c r="A135" s="18"/>
      <c r="B135" s="49"/>
      <c r="C135" s="50" t="s">
        <v>108</v>
      </c>
      <c r="D135" s="51"/>
      <c r="E135" s="73">
        <v>1.0</v>
      </c>
      <c r="F135" s="73">
        <v>1.0</v>
      </c>
      <c r="G135" s="73">
        <v>0.0</v>
      </c>
      <c r="H135" s="73">
        <v>1.0</v>
      </c>
      <c r="I135" s="73">
        <v>0.0</v>
      </c>
      <c r="J135" s="73">
        <v>0.0</v>
      </c>
      <c r="K135" s="73">
        <v>0.0</v>
      </c>
      <c r="L135" s="73">
        <v>0.0</v>
      </c>
      <c r="M135" s="73">
        <v>1.0</v>
      </c>
      <c r="N135" s="73">
        <v>1.0</v>
      </c>
      <c r="O135" s="73">
        <v>1.0</v>
      </c>
      <c r="P135" s="73">
        <v>4.0</v>
      </c>
      <c r="Q135" s="73">
        <v>1.0</v>
      </c>
      <c r="R135" s="73">
        <v>0.0</v>
      </c>
      <c r="S135" s="73">
        <v>0.0</v>
      </c>
      <c r="T135" s="73">
        <v>0.0</v>
      </c>
      <c r="U135" s="13">
        <f t="shared" si="28"/>
        <v>11</v>
      </c>
    </row>
    <row r="136" ht="12.75" customHeight="1">
      <c r="A136" s="79"/>
      <c r="B136" s="49"/>
      <c r="C136" s="50" t="s">
        <v>109</v>
      </c>
      <c r="D136" s="51"/>
      <c r="E136" s="80">
        <v>0.0</v>
      </c>
      <c r="F136" s="80">
        <v>0.0</v>
      </c>
      <c r="G136" s="80">
        <v>0.0</v>
      </c>
      <c r="H136" s="80">
        <v>0.0</v>
      </c>
      <c r="I136" s="80">
        <v>0.0</v>
      </c>
      <c r="J136" s="80">
        <v>0.0</v>
      </c>
      <c r="K136" s="80">
        <v>0.0</v>
      </c>
      <c r="L136" s="80">
        <v>3.0</v>
      </c>
      <c r="M136" s="80">
        <v>0.0</v>
      </c>
      <c r="N136" s="80">
        <v>1.0</v>
      </c>
      <c r="O136" s="80">
        <v>0.0</v>
      </c>
      <c r="P136" s="80">
        <v>2.0</v>
      </c>
      <c r="Q136" s="80">
        <v>0.0</v>
      </c>
      <c r="R136" s="80">
        <v>0.0</v>
      </c>
      <c r="S136" s="80">
        <v>0.0</v>
      </c>
      <c r="T136" s="80">
        <v>1.0</v>
      </c>
      <c r="U136" s="13">
        <f t="shared" si="28"/>
        <v>7</v>
      </c>
    </row>
    <row r="137" ht="12.75" customHeight="1">
      <c r="A137" s="79"/>
      <c r="B137" s="49"/>
      <c r="C137" s="50" t="s">
        <v>110</v>
      </c>
      <c r="D137" s="51"/>
      <c r="E137" s="80">
        <v>0.0</v>
      </c>
      <c r="F137" s="80">
        <v>0.0</v>
      </c>
      <c r="G137" s="80">
        <v>1.0</v>
      </c>
      <c r="H137" s="80">
        <v>0.0</v>
      </c>
      <c r="I137" s="80">
        <v>0.0</v>
      </c>
      <c r="J137" s="80">
        <v>0.0</v>
      </c>
      <c r="K137" s="80">
        <v>0.0</v>
      </c>
      <c r="L137" s="80">
        <v>0.0</v>
      </c>
      <c r="M137" s="80">
        <v>0.0</v>
      </c>
      <c r="N137" s="80">
        <v>0.0</v>
      </c>
      <c r="O137" s="80">
        <v>0.0</v>
      </c>
      <c r="P137" s="80">
        <v>0.0</v>
      </c>
      <c r="Q137" s="80">
        <v>0.0</v>
      </c>
      <c r="R137" s="80">
        <v>0.0</v>
      </c>
      <c r="S137" s="80">
        <v>0.0</v>
      </c>
      <c r="T137" s="80">
        <v>0.0</v>
      </c>
      <c r="U137" s="13">
        <f t="shared" si="28"/>
        <v>1</v>
      </c>
    </row>
    <row r="138" ht="12.75" customHeight="1">
      <c r="A138" s="79"/>
      <c r="B138" s="49"/>
      <c r="C138" s="50" t="s">
        <v>111</v>
      </c>
      <c r="D138" s="51"/>
      <c r="E138" s="80">
        <v>0.0</v>
      </c>
      <c r="F138" s="80">
        <v>0.0</v>
      </c>
      <c r="G138" s="80">
        <v>0.0</v>
      </c>
      <c r="H138" s="80">
        <v>0.0</v>
      </c>
      <c r="I138" s="80">
        <v>0.0</v>
      </c>
      <c r="J138" s="80">
        <v>0.0</v>
      </c>
      <c r="K138" s="80">
        <v>0.0</v>
      </c>
      <c r="L138" s="80">
        <v>0.0</v>
      </c>
      <c r="M138" s="80">
        <v>0.0</v>
      </c>
      <c r="N138" s="80">
        <v>0.0</v>
      </c>
      <c r="O138" s="80">
        <v>0.0</v>
      </c>
      <c r="P138" s="80">
        <v>0.0</v>
      </c>
      <c r="Q138" s="80">
        <v>0.0</v>
      </c>
      <c r="R138" s="80">
        <v>1.0</v>
      </c>
      <c r="S138" s="80">
        <v>0.0</v>
      </c>
      <c r="T138" s="80">
        <v>0.0</v>
      </c>
      <c r="U138" s="13">
        <f t="shared" si="28"/>
        <v>1</v>
      </c>
    </row>
    <row r="139" ht="12.75" customHeight="1">
      <c r="A139" s="19" t="s">
        <v>14</v>
      </c>
      <c r="B139" s="47" t="s">
        <v>48</v>
      </c>
      <c r="C139" s="15"/>
      <c r="D139" s="16"/>
      <c r="E139" s="13">
        <f t="shared" ref="E139:U139" si="29">SUM(E129:E138)</f>
        <v>35</v>
      </c>
      <c r="F139" s="13">
        <f t="shared" si="29"/>
        <v>8</v>
      </c>
      <c r="G139" s="13">
        <f t="shared" si="29"/>
        <v>17</v>
      </c>
      <c r="H139" s="13">
        <f t="shared" si="29"/>
        <v>9</v>
      </c>
      <c r="I139" s="13">
        <f t="shared" si="29"/>
        <v>13</v>
      </c>
      <c r="J139" s="13">
        <f t="shared" si="29"/>
        <v>7</v>
      </c>
      <c r="K139" s="13">
        <f t="shared" si="29"/>
        <v>4</v>
      </c>
      <c r="L139" s="13">
        <f t="shared" si="29"/>
        <v>23</v>
      </c>
      <c r="M139" s="13">
        <f t="shared" si="29"/>
        <v>20</v>
      </c>
      <c r="N139" s="13">
        <f t="shared" si="29"/>
        <v>18</v>
      </c>
      <c r="O139" s="13">
        <f t="shared" si="29"/>
        <v>11</v>
      </c>
      <c r="P139" s="13">
        <f t="shared" si="29"/>
        <v>32</v>
      </c>
      <c r="Q139" s="13">
        <f t="shared" si="29"/>
        <v>34</v>
      </c>
      <c r="R139" s="13">
        <f t="shared" si="29"/>
        <v>20</v>
      </c>
      <c r="S139" s="13">
        <f t="shared" si="29"/>
        <v>23</v>
      </c>
      <c r="T139" s="13">
        <f t="shared" si="29"/>
        <v>36</v>
      </c>
      <c r="U139" s="13">
        <f t="shared" si="29"/>
        <v>310</v>
      </c>
    </row>
    <row r="140" ht="12.75" customHeight="1">
      <c r="A140" s="24"/>
      <c r="B140" s="15"/>
      <c r="C140" s="15"/>
      <c r="D140" s="15"/>
      <c r="E140" s="16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</row>
    <row r="141" ht="12.75" customHeight="1">
      <c r="A141" s="30" t="s">
        <v>36</v>
      </c>
      <c r="B141" s="47" t="s">
        <v>112</v>
      </c>
      <c r="C141" s="48" t="s">
        <v>113</v>
      </c>
      <c r="D141" s="16"/>
      <c r="E141" s="73">
        <v>0.0</v>
      </c>
      <c r="F141" s="73">
        <v>0.0</v>
      </c>
      <c r="G141" s="73">
        <v>0.0</v>
      </c>
      <c r="H141" s="73">
        <v>0.0</v>
      </c>
      <c r="I141" s="73">
        <v>0.0</v>
      </c>
      <c r="J141" s="73">
        <v>0.0</v>
      </c>
      <c r="K141" s="73">
        <v>0.0</v>
      </c>
      <c r="L141" s="73">
        <v>0.0</v>
      </c>
      <c r="M141" s="73">
        <v>0.0</v>
      </c>
      <c r="N141" s="73">
        <v>0.0</v>
      </c>
      <c r="O141" s="73">
        <v>0.0</v>
      </c>
      <c r="P141" s="73">
        <v>0.0</v>
      </c>
      <c r="Q141" s="73">
        <v>0.0</v>
      </c>
      <c r="R141" s="73">
        <v>0.0</v>
      </c>
      <c r="S141" s="73">
        <v>0.0</v>
      </c>
      <c r="T141" s="73">
        <v>0.0</v>
      </c>
      <c r="U141" s="13">
        <f t="shared" ref="U141:U150" si="30">SUM(E141:T141)</f>
        <v>0</v>
      </c>
    </row>
    <row r="142" ht="12.75" customHeight="1">
      <c r="A142" s="30" t="s">
        <v>38</v>
      </c>
      <c r="B142" s="49"/>
      <c r="C142" s="50" t="s">
        <v>114</v>
      </c>
      <c r="D142" s="51"/>
      <c r="E142" s="73">
        <v>0.0</v>
      </c>
      <c r="F142" s="73">
        <v>0.0</v>
      </c>
      <c r="G142" s="73">
        <v>0.0</v>
      </c>
      <c r="H142" s="73">
        <v>0.0</v>
      </c>
      <c r="I142" s="73">
        <v>0.0</v>
      </c>
      <c r="J142" s="73">
        <v>0.0</v>
      </c>
      <c r="K142" s="73">
        <v>0.0</v>
      </c>
      <c r="L142" s="73">
        <v>0.0</v>
      </c>
      <c r="M142" s="73">
        <v>1.0</v>
      </c>
      <c r="N142" s="73">
        <v>0.0</v>
      </c>
      <c r="O142" s="73">
        <v>0.0</v>
      </c>
      <c r="P142" s="73">
        <v>0.0</v>
      </c>
      <c r="Q142" s="73">
        <v>0.0</v>
      </c>
      <c r="R142" s="73">
        <v>0.0</v>
      </c>
      <c r="S142" s="73">
        <v>0.0</v>
      </c>
      <c r="T142" s="73">
        <v>0.0</v>
      </c>
      <c r="U142" s="13">
        <f t="shared" si="30"/>
        <v>1</v>
      </c>
    </row>
    <row r="143" ht="12.75" customHeight="1">
      <c r="A143" s="79"/>
      <c r="B143" s="49"/>
      <c r="C143" s="50" t="s">
        <v>115</v>
      </c>
      <c r="D143" s="51"/>
      <c r="E143" s="80">
        <v>0.0</v>
      </c>
      <c r="F143" s="80">
        <v>0.0</v>
      </c>
      <c r="G143" s="80">
        <v>0.0</v>
      </c>
      <c r="H143" s="80">
        <v>0.0</v>
      </c>
      <c r="I143" s="80">
        <v>0.0</v>
      </c>
      <c r="J143" s="80">
        <v>0.0</v>
      </c>
      <c r="K143" s="80">
        <v>0.0</v>
      </c>
      <c r="L143" s="80">
        <v>0.0</v>
      </c>
      <c r="M143" s="80">
        <v>0.0</v>
      </c>
      <c r="N143" s="80">
        <v>0.0</v>
      </c>
      <c r="O143" s="80">
        <v>0.0</v>
      </c>
      <c r="P143" s="80">
        <v>0.0</v>
      </c>
      <c r="Q143" s="80">
        <v>0.0</v>
      </c>
      <c r="R143" s="80">
        <v>0.0</v>
      </c>
      <c r="S143" s="80">
        <v>0.0</v>
      </c>
      <c r="T143" s="80">
        <v>0.0</v>
      </c>
      <c r="U143" s="13">
        <f t="shared" si="30"/>
        <v>0</v>
      </c>
    </row>
    <row r="144" ht="12.75" customHeight="1">
      <c r="A144" s="79"/>
      <c r="B144" s="49"/>
      <c r="C144" s="50" t="s">
        <v>116</v>
      </c>
      <c r="D144" s="51"/>
      <c r="E144" s="80">
        <v>0.0</v>
      </c>
      <c r="F144" s="80">
        <v>0.0</v>
      </c>
      <c r="G144" s="80">
        <v>0.0</v>
      </c>
      <c r="H144" s="80">
        <v>0.0</v>
      </c>
      <c r="I144" s="80">
        <v>0.0</v>
      </c>
      <c r="J144" s="80">
        <v>0.0</v>
      </c>
      <c r="K144" s="80">
        <v>0.0</v>
      </c>
      <c r="L144" s="80">
        <v>0.0</v>
      </c>
      <c r="M144" s="80">
        <v>0.0</v>
      </c>
      <c r="N144" s="80">
        <v>0.0</v>
      </c>
      <c r="O144" s="80">
        <v>1.0</v>
      </c>
      <c r="P144" s="80">
        <v>0.0</v>
      </c>
      <c r="Q144" s="80">
        <v>0.0</v>
      </c>
      <c r="R144" s="80">
        <v>0.0</v>
      </c>
      <c r="S144" s="80">
        <v>0.0</v>
      </c>
      <c r="T144" s="80">
        <v>0.0</v>
      </c>
      <c r="U144" s="13">
        <f t="shared" si="30"/>
        <v>1</v>
      </c>
    </row>
    <row r="145" ht="12.75" customHeight="1">
      <c r="A145" s="79"/>
      <c r="B145" s="57"/>
      <c r="C145" s="58"/>
      <c r="D145" s="59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13">
        <f t="shared" si="30"/>
        <v>0</v>
      </c>
    </row>
    <row r="146" ht="12.75" customHeight="1">
      <c r="A146" s="79"/>
      <c r="B146" s="57"/>
      <c r="C146" s="58"/>
      <c r="D146" s="59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13">
        <f t="shared" si="30"/>
        <v>0</v>
      </c>
    </row>
    <row r="147" ht="12.75" customHeight="1">
      <c r="A147" s="79"/>
      <c r="B147" s="57"/>
      <c r="C147" s="58"/>
      <c r="D147" s="59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13">
        <f t="shared" si="30"/>
        <v>0</v>
      </c>
    </row>
    <row r="148" ht="12.75" customHeight="1">
      <c r="A148" s="79"/>
      <c r="B148" s="57"/>
      <c r="C148" s="58"/>
      <c r="D148" s="59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13">
        <f t="shared" si="30"/>
        <v>0</v>
      </c>
    </row>
    <row r="149" ht="12.75" customHeight="1">
      <c r="A149" s="79"/>
      <c r="B149" s="57"/>
      <c r="C149" s="58"/>
      <c r="D149" s="59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13">
        <f t="shared" si="30"/>
        <v>0</v>
      </c>
    </row>
    <row r="150" ht="12.75" customHeight="1">
      <c r="A150" s="79"/>
      <c r="B150" s="57"/>
      <c r="C150" s="58"/>
      <c r="D150" s="59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13">
        <f t="shared" si="30"/>
        <v>0</v>
      </c>
    </row>
    <row r="151" ht="12.75" customHeight="1">
      <c r="A151" s="19" t="s">
        <v>14</v>
      </c>
      <c r="B151" s="47" t="s">
        <v>48</v>
      </c>
      <c r="C151" s="15"/>
      <c r="D151" s="16"/>
      <c r="E151" s="13">
        <f t="shared" ref="E151: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13"/>
    </row>
    <row r="153" ht="12.75" customHeight="1">
      <c r="A153" s="30" t="s">
        <v>36</v>
      </c>
      <c r="B153" s="17" t="s">
        <v>117</v>
      </c>
      <c r="C153" s="63" t="s">
        <v>118</v>
      </c>
      <c r="D153" s="23"/>
      <c r="E153" s="73">
        <v>5.0</v>
      </c>
      <c r="F153" s="73">
        <v>3.0</v>
      </c>
      <c r="G153" s="73">
        <v>1.0</v>
      </c>
      <c r="H153" s="73">
        <v>0.0</v>
      </c>
      <c r="I153" s="73">
        <v>1.0</v>
      </c>
      <c r="J153" s="73">
        <v>0.0</v>
      </c>
      <c r="K153" s="73">
        <v>0.0</v>
      </c>
      <c r="L153" s="73">
        <v>1.0</v>
      </c>
      <c r="M153" s="73">
        <v>0.0</v>
      </c>
      <c r="N153" s="73">
        <v>0.0</v>
      </c>
      <c r="O153" s="73">
        <v>0.0</v>
      </c>
      <c r="P153" s="73">
        <v>1.0</v>
      </c>
      <c r="Q153" s="73">
        <v>1.0</v>
      </c>
      <c r="R153" s="73">
        <v>0.0</v>
      </c>
      <c r="S153" s="73">
        <v>0.0</v>
      </c>
      <c r="T153" s="73">
        <v>0.0</v>
      </c>
      <c r="U153" s="13">
        <f t="shared" ref="U153:U162" si="32">SUM(E153:T153)</f>
        <v>13</v>
      </c>
    </row>
    <row r="154" ht="12.75" customHeight="1">
      <c r="A154" s="64" t="s">
        <v>38</v>
      </c>
      <c r="B154" s="49"/>
      <c r="C154" s="50" t="s">
        <v>119</v>
      </c>
      <c r="D154" s="51"/>
      <c r="E154" s="83">
        <v>2.0</v>
      </c>
      <c r="F154" s="73">
        <v>2.0</v>
      </c>
      <c r="G154" s="73">
        <v>0.0</v>
      </c>
      <c r="H154" s="73">
        <v>0.0</v>
      </c>
      <c r="I154" s="73">
        <v>1.0</v>
      </c>
      <c r="J154" s="73">
        <v>2.0</v>
      </c>
      <c r="K154" s="73">
        <v>0.0</v>
      </c>
      <c r="L154" s="73">
        <v>0.0</v>
      </c>
      <c r="M154" s="73">
        <v>0.0</v>
      </c>
      <c r="N154" s="73">
        <v>1.0</v>
      </c>
      <c r="O154" s="73">
        <v>1.0</v>
      </c>
      <c r="P154" s="73">
        <v>1.0</v>
      </c>
      <c r="Q154" s="73">
        <v>0.0</v>
      </c>
      <c r="R154" s="73">
        <v>0.0</v>
      </c>
      <c r="S154" s="73">
        <v>0.0</v>
      </c>
      <c r="T154" s="73">
        <v>0.0</v>
      </c>
      <c r="U154" s="13">
        <f t="shared" si="32"/>
        <v>10</v>
      </c>
    </row>
    <row r="155" ht="12.75" customHeight="1">
      <c r="A155" s="18"/>
      <c r="B155" s="49"/>
      <c r="C155" s="50" t="s">
        <v>120</v>
      </c>
      <c r="D155" s="51"/>
      <c r="E155" s="83">
        <v>0.0</v>
      </c>
      <c r="F155" s="73">
        <v>0.0</v>
      </c>
      <c r="G155" s="73">
        <v>1.0</v>
      </c>
      <c r="H155" s="73">
        <v>1.0</v>
      </c>
      <c r="I155" s="73">
        <v>0.0</v>
      </c>
      <c r="J155" s="73">
        <v>0.0</v>
      </c>
      <c r="K155" s="73">
        <v>0.0</v>
      </c>
      <c r="L155" s="73">
        <v>0.0</v>
      </c>
      <c r="M155" s="73">
        <v>0.0</v>
      </c>
      <c r="N155" s="73">
        <v>0.0</v>
      </c>
      <c r="O155" s="73">
        <v>1.0</v>
      </c>
      <c r="P155" s="73">
        <v>1.0</v>
      </c>
      <c r="Q155" s="73">
        <v>0.0</v>
      </c>
      <c r="R155" s="73">
        <v>1.0</v>
      </c>
      <c r="S155" s="73">
        <v>0.0</v>
      </c>
      <c r="T155" s="73">
        <v>1.0</v>
      </c>
      <c r="U155" s="13">
        <f t="shared" si="32"/>
        <v>6</v>
      </c>
    </row>
    <row r="156" ht="12.75" customHeight="1">
      <c r="A156" s="18"/>
      <c r="B156" s="49"/>
      <c r="C156" s="50" t="s">
        <v>121</v>
      </c>
      <c r="D156" s="51"/>
      <c r="E156" s="83">
        <v>1.0</v>
      </c>
      <c r="F156" s="73">
        <v>0.0</v>
      </c>
      <c r="G156" s="73">
        <v>0.0</v>
      </c>
      <c r="H156" s="73">
        <v>0.0</v>
      </c>
      <c r="I156" s="73">
        <v>0.0</v>
      </c>
      <c r="J156" s="73">
        <v>0.0</v>
      </c>
      <c r="K156" s="73">
        <v>0.0</v>
      </c>
      <c r="L156" s="73">
        <v>0.0</v>
      </c>
      <c r="M156" s="73">
        <v>1.0</v>
      </c>
      <c r="N156" s="73">
        <v>0.0</v>
      </c>
      <c r="O156" s="73">
        <v>0.0</v>
      </c>
      <c r="P156" s="73">
        <v>0.0</v>
      </c>
      <c r="Q156" s="73">
        <v>0.0</v>
      </c>
      <c r="R156" s="73">
        <v>0.0</v>
      </c>
      <c r="S156" s="73">
        <v>0.0</v>
      </c>
      <c r="T156" s="73">
        <v>0.0</v>
      </c>
      <c r="U156" s="13">
        <f t="shared" si="32"/>
        <v>2</v>
      </c>
    </row>
    <row r="157" ht="12.75" customHeight="1">
      <c r="A157" s="18"/>
      <c r="B157" s="49"/>
      <c r="C157" s="50" t="s">
        <v>122</v>
      </c>
      <c r="D157" s="51"/>
      <c r="E157" s="83">
        <v>0.0</v>
      </c>
      <c r="F157" s="73">
        <v>0.0</v>
      </c>
      <c r="G157" s="73">
        <v>0.0</v>
      </c>
      <c r="H157" s="73">
        <v>0.0</v>
      </c>
      <c r="I157" s="73">
        <v>0.0</v>
      </c>
      <c r="J157" s="73">
        <v>0.0</v>
      </c>
      <c r="K157" s="73">
        <v>0.0</v>
      </c>
      <c r="L157" s="73">
        <v>1.0</v>
      </c>
      <c r="M157" s="73">
        <v>0.0</v>
      </c>
      <c r="N157" s="73">
        <v>0.0</v>
      </c>
      <c r="O157" s="73">
        <v>0.0</v>
      </c>
      <c r="P157" s="73">
        <v>0.0</v>
      </c>
      <c r="Q157" s="73">
        <v>0.0</v>
      </c>
      <c r="R157" s="73">
        <v>0.0</v>
      </c>
      <c r="S157" s="73">
        <v>0.0</v>
      </c>
      <c r="T157" s="73">
        <v>0.0</v>
      </c>
      <c r="U157" s="13">
        <f t="shared" si="32"/>
        <v>1</v>
      </c>
    </row>
    <row r="158" ht="12.75" customHeight="1">
      <c r="A158" s="79"/>
      <c r="B158" s="49"/>
      <c r="C158" s="50" t="s">
        <v>123</v>
      </c>
      <c r="D158" s="51"/>
      <c r="E158" s="84">
        <v>0.0</v>
      </c>
      <c r="F158" s="80">
        <v>0.0</v>
      </c>
      <c r="G158" s="80">
        <v>0.0</v>
      </c>
      <c r="H158" s="80">
        <v>0.0</v>
      </c>
      <c r="I158" s="80">
        <v>0.0</v>
      </c>
      <c r="J158" s="80">
        <v>0.0</v>
      </c>
      <c r="K158" s="80">
        <v>1.0</v>
      </c>
      <c r="L158" s="80">
        <v>0.0</v>
      </c>
      <c r="M158" s="80">
        <v>0.0</v>
      </c>
      <c r="N158" s="80">
        <v>0.0</v>
      </c>
      <c r="O158" s="80">
        <v>0.0</v>
      </c>
      <c r="P158" s="73">
        <v>0.0</v>
      </c>
      <c r="Q158" s="80">
        <v>0.0</v>
      </c>
      <c r="R158" s="80">
        <v>0.0</v>
      </c>
      <c r="S158" s="80">
        <v>0.0</v>
      </c>
      <c r="T158" s="80">
        <v>0.0</v>
      </c>
      <c r="U158" s="13">
        <f t="shared" si="32"/>
        <v>1</v>
      </c>
    </row>
    <row r="159" ht="12.75" customHeight="1">
      <c r="A159" s="79"/>
      <c r="B159" s="49"/>
      <c r="C159" s="50" t="s">
        <v>124</v>
      </c>
      <c r="D159" s="51"/>
      <c r="E159" s="84">
        <v>1.0</v>
      </c>
      <c r="F159" s="80">
        <v>0.0</v>
      </c>
      <c r="G159" s="80">
        <v>0.0</v>
      </c>
      <c r="H159" s="80">
        <v>0.0</v>
      </c>
      <c r="I159" s="80">
        <v>0.0</v>
      </c>
      <c r="J159" s="80">
        <v>0.0</v>
      </c>
      <c r="K159" s="80">
        <v>0.0</v>
      </c>
      <c r="L159" s="80">
        <v>0.0</v>
      </c>
      <c r="M159" s="80">
        <v>0.0</v>
      </c>
      <c r="N159" s="80">
        <v>0.0</v>
      </c>
      <c r="O159" s="80">
        <v>0.0</v>
      </c>
      <c r="P159" s="73">
        <v>0.0</v>
      </c>
      <c r="Q159" s="80">
        <v>0.0</v>
      </c>
      <c r="R159" s="80">
        <v>0.0</v>
      </c>
      <c r="S159" s="80">
        <v>0.0</v>
      </c>
      <c r="T159" s="80">
        <v>0.0</v>
      </c>
      <c r="U159" s="13">
        <f t="shared" si="32"/>
        <v>1</v>
      </c>
    </row>
    <row r="160" ht="12.75" customHeight="1">
      <c r="A160" s="79"/>
      <c r="B160" s="49"/>
      <c r="C160" s="50" t="s">
        <v>125</v>
      </c>
      <c r="D160" s="51"/>
      <c r="E160" s="84">
        <v>1.0</v>
      </c>
      <c r="F160" s="80">
        <v>0.0</v>
      </c>
      <c r="G160" s="80">
        <v>0.0</v>
      </c>
      <c r="H160" s="80">
        <v>0.0</v>
      </c>
      <c r="I160" s="80">
        <v>0.0</v>
      </c>
      <c r="J160" s="80">
        <v>0.0</v>
      </c>
      <c r="K160" s="80">
        <v>0.0</v>
      </c>
      <c r="L160" s="80">
        <v>0.0</v>
      </c>
      <c r="M160" s="80">
        <v>0.0</v>
      </c>
      <c r="N160" s="80">
        <v>0.0</v>
      </c>
      <c r="O160" s="80">
        <v>0.0</v>
      </c>
      <c r="P160" s="80">
        <v>0.0</v>
      </c>
      <c r="Q160" s="80">
        <v>0.0</v>
      </c>
      <c r="R160" s="80">
        <v>0.0</v>
      </c>
      <c r="S160" s="80">
        <v>0.0</v>
      </c>
      <c r="T160" s="80">
        <v>0.0</v>
      </c>
      <c r="U160" s="13">
        <f t="shared" si="32"/>
        <v>1</v>
      </c>
    </row>
    <row r="161" ht="12.75" customHeight="1">
      <c r="A161" s="79"/>
      <c r="B161" s="57"/>
      <c r="C161" s="65"/>
      <c r="D161" s="59"/>
      <c r="E161" s="85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13">
        <f t="shared" si="32"/>
        <v>0</v>
      </c>
    </row>
    <row r="162" ht="12.75" customHeight="1">
      <c r="A162" s="79"/>
      <c r="B162" s="57"/>
      <c r="C162" s="65"/>
      <c r="D162" s="59"/>
      <c r="E162" s="85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13">
        <f t="shared" si="32"/>
        <v>0</v>
      </c>
    </row>
    <row r="163" ht="12.75" customHeight="1">
      <c r="A163" s="19" t="s">
        <v>14</v>
      </c>
      <c r="B163" s="66" t="s">
        <v>48</v>
      </c>
      <c r="C163" s="44"/>
      <c r="D163" s="28"/>
      <c r="E163" s="13">
        <f t="shared" ref="E163:U163" si="33">SUM(E153:E162)</f>
        <v>10</v>
      </c>
      <c r="F163" s="13">
        <f t="shared" si="33"/>
        <v>5</v>
      </c>
      <c r="G163" s="13">
        <f t="shared" si="33"/>
        <v>2</v>
      </c>
      <c r="H163" s="13">
        <f t="shared" si="33"/>
        <v>1</v>
      </c>
      <c r="I163" s="13">
        <f t="shared" si="33"/>
        <v>2</v>
      </c>
      <c r="J163" s="13">
        <f t="shared" si="33"/>
        <v>2</v>
      </c>
      <c r="K163" s="13">
        <f t="shared" si="33"/>
        <v>1</v>
      </c>
      <c r="L163" s="13">
        <f t="shared" si="33"/>
        <v>2</v>
      </c>
      <c r="M163" s="13">
        <f t="shared" si="33"/>
        <v>1</v>
      </c>
      <c r="N163" s="13">
        <f t="shared" si="33"/>
        <v>1</v>
      </c>
      <c r="O163" s="13">
        <f t="shared" si="33"/>
        <v>2</v>
      </c>
      <c r="P163" s="13">
        <f t="shared" si="33"/>
        <v>3</v>
      </c>
      <c r="Q163" s="13">
        <f t="shared" si="33"/>
        <v>1</v>
      </c>
      <c r="R163" s="13">
        <f t="shared" si="33"/>
        <v>1</v>
      </c>
      <c r="S163" s="13">
        <f t="shared" si="33"/>
        <v>0</v>
      </c>
      <c r="T163" s="13">
        <f t="shared" si="33"/>
        <v>1</v>
      </c>
      <c r="U163" s="13">
        <f t="shared" si="33"/>
        <v>35</v>
      </c>
    </row>
    <row r="164" ht="12.75" customHeight="1">
      <c r="A164" s="24"/>
      <c r="B164" s="15"/>
      <c r="C164" s="15"/>
      <c r="D164" s="15"/>
      <c r="E164" s="16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</row>
    <row r="165" ht="12.75" customHeight="1">
      <c r="A165" s="30" t="s">
        <v>36</v>
      </c>
      <c r="B165" s="47" t="s">
        <v>126</v>
      </c>
      <c r="C165" s="48" t="s">
        <v>127</v>
      </c>
      <c r="D165" s="16"/>
      <c r="E165" s="73">
        <v>0.0</v>
      </c>
      <c r="F165" s="73">
        <v>0.0</v>
      </c>
      <c r="G165" s="73">
        <v>0.0</v>
      </c>
      <c r="H165" s="73">
        <v>0.0</v>
      </c>
      <c r="I165" s="73">
        <v>0.0</v>
      </c>
      <c r="J165" s="73">
        <v>0.0</v>
      </c>
      <c r="K165" s="73">
        <v>0.0</v>
      </c>
      <c r="L165" s="73">
        <v>0.0</v>
      </c>
      <c r="M165" s="73">
        <v>1.0</v>
      </c>
      <c r="N165" s="73">
        <v>1.0</v>
      </c>
      <c r="O165" s="73">
        <v>0.0</v>
      </c>
      <c r="P165" s="73">
        <v>1.0</v>
      </c>
      <c r="Q165" s="73">
        <v>0.0</v>
      </c>
      <c r="R165" s="73">
        <v>0.0</v>
      </c>
      <c r="S165" s="73">
        <v>0.0</v>
      </c>
      <c r="T165" s="73">
        <v>0.0</v>
      </c>
      <c r="U165" s="13">
        <f t="shared" ref="U165:U174" si="34">SUM(E165:T165)</f>
        <v>3</v>
      </c>
    </row>
    <row r="166" ht="12.75" customHeight="1">
      <c r="A166" s="86" t="s">
        <v>38</v>
      </c>
      <c r="B166" s="49"/>
      <c r="C166" s="50" t="s">
        <v>128</v>
      </c>
      <c r="D166" s="51"/>
      <c r="E166" s="80">
        <v>1.0</v>
      </c>
      <c r="F166" s="80">
        <v>1.0</v>
      </c>
      <c r="G166" s="80">
        <v>0.0</v>
      </c>
      <c r="H166" s="80">
        <v>0.0</v>
      </c>
      <c r="I166" s="80">
        <v>0.0</v>
      </c>
      <c r="J166" s="80">
        <v>0.0</v>
      </c>
      <c r="K166" s="80">
        <v>0.0</v>
      </c>
      <c r="L166" s="80">
        <v>1.0</v>
      </c>
      <c r="M166" s="80">
        <v>2.0</v>
      </c>
      <c r="N166" s="80">
        <v>0.0</v>
      </c>
      <c r="O166" s="80">
        <v>0.0</v>
      </c>
      <c r="P166" s="80">
        <v>2.0</v>
      </c>
      <c r="Q166" s="80">
        <v>1.0</v>
      </c>
      <c r="R166" s="80">
        <v>1.0</v>
      </c>
      <c r="S166" s="80">
        <v>0.0</v>
      </c>
      <c r="T166" s="80">
        <v>0.0</v>
      </c>
      <c r="U166" s="13">
        <f t="shared" si="34"/>
        <v>9</v>
      </c>
    </row>
    <row r="167" ht="12.75" customHeight="1">
      <c r="A167" s="79"/>
      <c r="B167" s="57"/>
      <c r="C167" s="58"/>
      <c r="D167" s="59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13">
        <f t="shared" si="34"/>
        <v>0</v>
      </c>
    </row>
    <row r="168" ht="12.75" customHeight="1">
      <c r="A168" s="79"/>
      <c r="B168" s="57"/>
      <c r="C168" s="58"/>
      <c r="D168" s="59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13">
        <f t="shared" si="34"/>
        <v>0</v>
      </c>
    </row>
    <row r="169" ht="12.75" customHeight="1">
      <c r="A169" s="79"/>
      <c r="B169" s="57"/>
      <c r="C169" s="58"/>
      <c r="D169" s="59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13">
        <f t="shared" si="34"/>
        <v>0</v>
      </c>
    </row>
    <row r="170" ht="12.75" customHeight="1">
      <c r="A170" s="79"/>
      <c r="B170" s="57"/>
      <c r="C170" s="58"/>
      <c r="D170" s="59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13">
        <f t="shared" si="34"/>
        <v>0</v>
      </c>
    </row>
    <row r="171" ht="12.75" customHeight="1">
      <c r="A171" s="79"/>
      <c r="B171" s="57"/>
      <c r="C171" s="58"/>
      <c r="D171" s="59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13">
        <f t="shared" si="34"/>
        <v>0</v>
      </c>
    </row>
    <row r="172" ht="12.75" customHeight="1">
      <c r="A172" s="79"/>
      <c r="B172" s="57"/>
      <c r="C172" s="58"/>
      <c r="D172" s="59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13">
        <f t="shared" si="34"/>
        <v>0</v>
      </c>
    </row>
    <row r="173" ht="12.75" customHeight="1">
      <c r="A173" s="79"/>
      <c r="B173" s="57"/>
      <c r="C173" s="58"/>
      <c r="D173" s="59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13">
        <f t="shared" si="34"/>
        <v>0</v>
      </c>
    </row>
    <row r="174" ht="12.75" customHeight="1">
      <c r="A174" s="79"/>
      <c r="B174" s="57"/>
      <c r="C174" s="58"/>
      <c r="D174" s="59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13">
        <f t="shared" si="34"/>
        <v>0</v>
      </c>
    </row>
    <row r="175" ht="12.75" customHeight="1">
      <c r="A175" s="19" t="s">
        <v>14</v>
      </c>
      <c r="B175" s="47" t="s">
        <v>48</v>
      </c>
      <c r="C175" s="15"/>
      <c r="D175" s="16"/>
      <c r="E175" s="13">
        <f t="shared" ref="E175:U175" si="35">SUM(E165:E174)</f>
        <v>1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3</v>
      </c>
      <c r="N175" s="13">
        <f t="shared" si="35"/>
        <v>1</v>
      </c>
      <c r="O175" s="13">
        <f t="shared" si="35"/>
        <v>0</v>
      </c>
      <c r="P175" s="13">
        <f t="shared" si="35"/>
        <v>3</v>
      </c>
      <c r="Q175" s="13">
        <f t="shared" si="35"/>
        <v>1</v>
      </c>
      <c r="R175" s="13">
        <f t="shared" si="35"/>
        <v>1</v>
      </c>
      <c r="S175" s="13">
        <f t="shared" si="35"/>
        <v>0</v>
      </c>
      <c r="T175" s="13">
        <f t="shared" si="35"/>
        <v>0</v>
      </c>
      <c r="U175" s="13">
        <f t="shared" si="35"/>
        <v>12</v>
      </c>
    </row>
    <row r="176" ht="12.75" customHeight="1">
      <c r="A176" s="24"/>
      <c r="B176" s="15"/>
      <c r="C176" s="15"/>
      <c r="D176" s="15"/>
      <c r="E176" s="16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</row>
    <row r="177" ht="12.75" customHeight="1">
      <c r="A177" s="30" t="s">
        <v>36</v>
      </c>
      <c r="B177" s="47" t="s">
        <v>129</v>
      </c>
      <c r="C177" s="48" t="s">
        <v>130</v>
      </c>
      <c r="D177" s="16"/>
      <c r="E177" s="73">
        <v>0.0</v>
      </c>
      <c r="F177" s="73">
        <v>2.0</v>
      </c>
      <c r="G177" s="73">
        <v>0.0</v>
      </c>
      <c r="H177" s="73">
        <v>0.0</v>
      </c>
      <c r="I177" s="73">
        <v>0.0</v>
      </c>
      <c r="J177" s="73">
        <v>1.0</v>
      </c>
      <c r="K177" s="73">
        <v>0.0</v>
      </c>
      <c r="L177" s="73">
        <v>0.0</v>
      </c>
      <c r="M177" s="73">
        <v>1.0</v>
      </c>
      <c r="N177" s="73">
        <v>3.0</v>
      </c>
      <c r="O177" s="73">
        <v>1.0</v>
      </c>
      <c r="P177" s="73">
        <v>0.0</v>
      </c>
      <c r="Q177" s="73">
        <v>0.0</v>
      </c>
      <c r="R177" s="73">
        <v>0.0</v>
      </c>
      <c r="S177" s="73">
        <v>1.0</v>
      </c>
      <c r="T177" s="73">
        <v>1.0</v>
      </c>
      <c r="U177" s="13">
        <f t="shared" ref="U177:U186" si="36">SUM(E177:T177)</f>
        <v>10</v>
      </c>
    </row>
    <row r="178" ht="12.75" customHeight="1">
      <c r="A178" s="30" t="s">
        <v>38</v>
      </c>
      <c r="B178" s="49"/>
      <c r="C178" s="50" t="s">
        <v>131</v>
      </c>
      <c r="D178" s="51"/>
      <c r="E178" s="73">
        <v>3.0</v>
      </c>
      <c r="F178" s="73">
        <v>2.0</v>
      </c>
      <c r="G178" s="73">
        <v>8.0</v>
      </c>
      <c r="H178" s="73">
        <v>0.0</v>
      </c>
      <c r="I178" s="73">
        <v>0.0</v>
      </c>
      <c r="J178" s="73">
        <v>2.0</v>
      </c>
      <c r="K178" s="73">
        <v>2.0</v>
      </c>
      <c r="L178" s="73">
        <v>2.0</v>
      </c>
      <c r="M178" s="73">
        <v>0.0</v>
      </c>
      <c r="N178" s="73">
        <v>2.0</v>
      </c>
      <c r="O178" s="73">
        <v>0.0</v>
      </c>
      <c r="P178" s="73">
        <v>1.0</v>
      </c>
      <c r="Q178" s="73">
        <v>1.0</v>
      </c>
      <c r="R178" s="73">
        <v>0.0</v>
      </c>
      <c r="S178" s="73">
        <v>0.0</v>
      </c>
      <c r="T178" s="73">
        <v>0.0</v>
      </c>
      <c r="U178" s="13">
        <f t="shared" si="36"/>
        <v>23</v>
      </c>
    </row>
    <row r="179" ht="12.75" customHeight="1">
      <c r="A179" s="18"/>
      <c r="B179" s="49"/>
      <c r="C179" s="50" t="s">
        <v>132</v>
      </c>
      <c r="D179" s="51"/>
      <c r="E179" s="73">
        <v>0.0</v>
      </c>
      <c r="F179" s="73">
        <v>0.0</v>
      </c>
      <c r="G179" s="73">
        <v>0.0</v>
      </c>
      <c r="H179" s="73">
        <v>0.0</v>
      </c>
      <c r="I179" s="73">
        <v>0.0</v>
      </c>
      <c r="J179" s="73">
        <v>0.0</v>
      </c>
      <c r="K179" s="73">
        <v>0.0</v>
      </c>
      <c r="L179" s="73">
        <v>2.0</v>
      </c>
      <c r="M179" s="73">
        <v>0.0</v>
      </c>
      <c r="N179" s="73">
        <v>0.0</v>
      </c>
      <c r="O179" s="73">
        <v>1.0</v>
      </c>
      <c r="P179" s="73">
        <v>0.0</v>
      </c>
      <c r="Q179" s="73">
        <v>1.0</v>
      </c>
      <c r="R179" s="73">
        <v>0.0</v>
      </c>
      <c r="S179" s="73">
        <v>0.0</v>
      </c>
      <c r="T179" s="73">
        <v>0.0</v>
      </c>
      <c r="U179" s="13">
        <f t="shared" si="36"/>
        <v>4</v>
      </c>
    </row>
    <row r="180" ht="12.75" customHeight="1">
      <c r="A180" s="18"/>
      <c r="B180" s="49"/>
      <c r="C180" s="50" t="s">
        <v>133</v>
      </c>
      <c r="D180" s="51"/>
      <c r="E180" s="73">
        <v>1.0</v>
      </c>
      <c r="F180" s="73">
        <v>0.0</v>
      </c>
      <c r="G180" s="73">
        <v>0.0</v>
      </c>
      <c r="H180" s="73">
        <v>1.0</v>
      </c>
      <c r="I180" s="73">
        <v>0.0</v>
      </c>
      <c r="J180" s="73">
        <v>1.0</v>
      </c>
      <c r="K180" s="73">
        <v>0.0</v>
      </c>
      <c r="L180" s="73">
        <v>0.0</v>
      </c>
      <c r="M180" s="73">
        <v>1.0</v>
      </c>
      <c r="N180" s="73">
        <v>0.0</v>
      </c>
      <c r="O180" s="73">
        <v>2.0</v>
      </c>
      <c r="P180" s="73">
        <v>0.0</v>
      </c>
      <c r="Q180" s="73">
        <v>0.0</v>
      </c>
      <c r="R180" s="73">
        <v>1.0</v>
      </c>
      <c r="S180" s="73">
        <v>0.0</v>
      </c>
      <c r="T180" s="73">
        <v>1.0</v>
      </c>
      <c r="U180" s="13">
        <f t="shared" si="36"/>
        <v>8</v>
      </c>
    </row>
    <row r="181" ht="12.75" customHeight="1">
      <c r="A181" s="18"/>
      <c r="B181" s="49"/>
      <c r="C181" s="50" t="s">
        <v>134</v>
      </c>
      <c r="D181" s="51"/>
      <c r="E181" s="73">
        <v>1.0</v>
      </c>
      <c r="F181" s="73">
        <v>0.0</v>
      </c>
      <c r="G181" s="73">
        <v>0.0</v>
      </c>
      <c r="H181" s="73">
        <v>0.0</v>
      </c>
      <c r="I181" s="73">
        <v>0.0</v>
      </c>
      <c r="J181" s="73">
        <v>1.0</v>
      </c>
      <c r="K181" s="73">
        <v>0.0</v>
      </c>
      <c r="L181" s="73">
        <v>0.0</v>
      </c>
      <c r="M181" s="73">
        <v>0.0</v>
      </c>
      <c r="N181" s="73">
        <v>0.0</v>
      </c>
      <c r="O181" s="73">
        <v>0.0</v>
      </c>
      <c r="P181" s="73">
        <v>0.0</v>
      </c>
      <c r="Q181" s="73">
        <v>0.0</v>
      </c>
      <c r="R181" s="73">
        <v>1.0</v>
      </c>
      <c r="S181" s="73">
        <v>0.0</v>
      </c>
      <c r="T181" s="73">
        <v>0.0</v>
      </c>
      <c r="U181" s="13">
        <f t="shared" si="36"/>
        <v>3</v>
      </c>
    </row>
    <row r="182" ht="12.75" customHeight="1">
      <c r="A182" s="18"/>
      <c r="B182" s="49"/>
      <c r="C182" s="50" t="s">
        <v>135</v>
      </c>
      <c r="D182" s="51"/>
      <c r="E182" s="73">
        <v>0.0</v>
      </c>
      <c r="F182" s="73">
        <v>0.0</v>
      </c>
      <c r="G182" s="73">
        <v>0.0</v>
      </c>
      <c r="H182" s="73">
        <v>0.0</v>
      </c>
      <c r="I182" s="73">
        <v>0.0</v>
      </c>
      <c r="J182" s="73">
        <v>0.0</v>
      </c>
      <c r="K182" s="73">
        <v>0.0</v>
      </c>
      <c r="L182" s="73">
        <v>0.0</v>
      </c>
      <c r="M182" s="73">
        <v>0.0</v>
      </c>
      <c r="N182" s="73">
        <v>0.0</v>
      </c>
      <c r="O182" s="73">
        <v>0.0</v>
      </c>
      <c r="P182" s="73">
        <v>0.0</v>
      </c>
      <c r="Q182" s="73">
        <v>0.0</v>
      </c>
      <c r="R182" s="73">
        <v>0.0</v>
      </c>
      <c r="S182" s="73">
        <v>0.0</v>
      </c>
      <c r="T182" s="73">
        <v>1.0</v>
      </c>
      <c r="U182" s="13">
        <f t="shared" si="36"/>
        <v>1</v>
      </c>
    </row>
    <row r="183" ht="12.75" customHeight="1">
      <c r="A183" s="18"/>
      <c r="B183" s="49"/>
      <c r="C183" s="50" t="s">
        <v>136</v>
      </c>
      <c r="D183" s="51"/>
      <c r="E183" s="73">
        <v>0.0</v>
      </c>
      <c r="F183" s="73">
        <v>0.0</v>
      </c>
      <c r="G183" s="73">
        <v>0.0</v>
      </c>
      <c r="H183" s="73">
        <v>0.0</v>
      </c>
      <c r="I183" s="73">
        <v>0.0</v>
      </c>
      <c r="J183" s="73">
        <v>0.0</v>
      </c>
      <c r="K183" s="73">
        <v>0.0</v>
      </c>
      <c r="L183" s="73">
        <v>1.0</v>
      </c>
      <c r="M183" s="73">
        <v>1.0</v>
      </c>
      <c r="N183" s="73">
        <v>0.0</v>
      </c>
      <c r="O183" s="73">
        <v>0.0</v>
      </c>
      <c r="P183" s="73">
        <v>0.0</v>
      </c>
      <c r="Q183" s="73">
        <v>0.0</v>
      </c>
      <c r="R183" s="73">
        <v>0.0</v>
      </c>
      <c r="S183" s="73">
        <v>0.0</v>
      </c>
      <c r="T183" s="73">
        <v>0.0</v>
      </c>
      <c r="U183" s="13">
        <f t="shared" si="36"/>
        <v>2</v>
      </c>
    </row>
    <row r="184" ht="12.75" customHeight="1">
      <c r="A184" s="79"/>
      <c r="B184" s="49"/>
      <c r="C184" s="50" t="s">
        <v>137</v>
      </c>
      <c r="D184" s="51"/>
      <c r="E184" s="80">
        <v>1.0</v>
      </c>
      <c r="F184" s="80">
        <v>0.0</v>
      </c>
      <c r="G184" s="80">
        <v>0.0</v>
      </c>
      <c r="H184" s="80">
        <v>1.0</v>
      </c>
      <c r="I184" s="80">
        <v>0.0</v>
      </c>
      <c r="J184" s="80">
        <v>0.0</v>
      </c>
      <c r="K184" s="80">
        <v>0.0</v>
      </c>
      <c r="L184" s="80">
        <v>0.0</v>
      </c>
      <c r="M184" s="80">
        <v>0.0</v>
      </c>
      <c r="N184" s="80">
        <v>0.0</v>
      </c>
      <c r="O184" s="80">
        <v>0.0</v>
      </c>
      <c r="P184" s="80">
        <v>0.0</v>
      </c>
      <c r="Q184" s="80">
        <v>0.0</v>
      </c>
      <c r="R184" s="80">
        <v>0.0</v>
      </c>
      <c r="S184" s="80">
        <v>0.0</v>
      </c>
      <c r="T184" s="80">
        <v>0.0</v>
      </c>
      <c r="U184" s="13">
        <f t="shared" si="36"/>
        <v>2</v>
      </c>
    </row>
    <row r="185" ht="12.75" customHeight="1">
      <c r="A185" s="79"/>
      <c r="B185" s="49"/>
      <c r="C185" s="50" t="s">
        <v>138</v>
      </c>
      <c r="D185" s="51"/>
      <c r="E185" s="80">
        <v>0.0</v>
      </c>
      <c r="F185" s="80">
        <v>0.0</v>
      </c>
      <c r="G185" s="80">
        <v>0.0</v>
      </c>
      <c r="H185" s="80">
        <v>1.0</v>
      </c>
      <c r="I185" s="80">
        <v>0.0</v>
      </c>
      <c r="J185" s="80">
        <v>0.0</v>
      </c>
      <c r="K185" s="80">
        <v>0.0</v>
      </c>
      <c r="L185" s="80">
        <v>0.0</v>
      </c>
      <c r="M185" s="80">
        <v>0.0</v>
      </c>
      <c r="N185" s="80">
        <v>0.0</v>
      </c>
      <c r="O185" s="80">
        <v>0.0</v>
      </c>
      <c r="P185" s="80">
        <v>0.0</v>
      </c>
      <c r="Q185" s="80">
        <v>0.0</v>
      </c>
      <c r="R185" s="80">
        <v>0.0</v>
      </c>
      <c r="S185" s="80">
        <v>0.0</v>
      </c>
      <c r="T185" s="80">
        <v>0.0</v>
      </c>
      <c r="U185" s="13">
        <f t="shared" si="36"/>
        <v>1</v>
      </c>
    </row>
    <row r="186" ht="12.75" customHeight="1">
      <c r="A186" s="79"/>
      <c r="B186" s="49"/>
      <c r="C186" s="50" t="s">
        <v>139</v>
      </c>
      <c r="D186" s="51"/>
      <c r="E186" s="80">
        <v>0.0</v>
      </c>
      <c r="F186" s="80">
        <v>0.0</v>
      </c>
      <c r="G186" s="80">
        <v>0.0</v>
      </c>
      <c r="H186" s="80">
        <v>0.0</v>
      </c>
      <c r="I186" s="80">
        <v>0.0</v>
      </c>
      <c r="J186" s="80">
        <v>0.0</v>
      </c>
      <c r="K186" s="80">
        <v>0.0</v>
      </c>
      <c r="L186" s="80">
        <v>0.0</v>
      </c>
      <c r="M186" s="80">
        <v>0.0</v>
      </c>
      <c r="N186" s="80">
        <v>0.0</v>
      </c>
      <c r="O186" s="80">
        <v>0.0</v>
      </c>
      <c r="P186" s="80">
        <v>0.0</v>
      </c>
      <c r="Q186" s="80">
        <v>0.0</v>
      </c>
      <c r="R186" s="80">
        <v>0.0</v>
      </c>
      <c r="S186" s="80">
        <v>0.0</v>
      </c>
      <c r="T186" s="80">
        <v>0.0</v>
      </c>
      <c r="U186" s="13">
        <f t="shared" si="36"/>
        <v>0</v>
      </c>
    </row>
    <row r="187" ht="12.75" customHeight="1">
      <c r="A187" s="19" t="s">
        <v>14</v>
      </c>
      <c r="B187" s="47" t="s">
        <v>48</v>
      </c>
      <c r="C187" s="15"/>
      <c r="D187" s="16"/>
      <c r="E187" s="13">
        <f t="shared" ref="E187:U187" si="37">SUM(E177:E186)</f>
        <v>6</v>
      </c>
      <c r="F187" s="13">
        <f t="shared" si="37"/>
        <v>4</v>
      </c>
      <c r="G187" s="13">
        <f t="shared" si="37"/>
        <v>8</v>
      </c>
      <c r="H187" s="13">
        <f t="shared" si="37"/>
        <v>3</v>
      </c>
      <c r="I187" s="13">
        <f t="shared" si="37"/>
        <v>0</v>
      </c>
      <c r="J187" s="13">
        <f t="shared" si="37"/>
        <v>5</v>
      </c>
      <c r="K187" s="13">
        <f t="shared" si="37"/>
        <v>2</v>
      </c>
      <c r="L187" s="13">
        <f t="shared" si="37"/>
        <v>5</v>
      </c>
      <c r="M187" s="13">
        <f t="shared" si="37"/>
        <v>3</v>
      </c>
      <c r="N187" s="13">
        <f t="shared" si="37"/>
        <v>5</v>
      </c>
      <c r="O187" s="13">
        <f t="shared" si="37"/>
        <v>4</v>
      </c>
      <c r="P187" s="13">
        <f t="shared" si="37"/>
        <v>1</v>
      </c>
      <c r="Q187" s="13">
        <f t="shared" si="37"/>
        <v>2</v>
      </c>
      <c r="R187" s="13">
        <f t="shared" si="37"/>
        <v>2</v>
      </c>
      <c r="S187" s="13">
        <f t="shared" si="37"/>
        <v>1</v>
      </c>
      <c r="T187" s="13">
        <f t="shared" si="37"/>
        <v>3</v>
      </c>
      <c r="U187" s="13">
        <f t="shared" si="37"/>
        <v>54</v>
      </c>
    </row>
    <row r="188" ht="12.75" customHeight="1">
      <c r="A188" s="24"/>
      <c r="B188" s="15"/>
      <c r="C188" s="15"/>
      <c r="D188" s="15"/>
      <c r="E188" s="16"/>
      <c r="F188" s="81"/>
      <c r="G188" s="81"/>
      <c r="H188" s="81"/>
      <c r="I188" s="81"/>
      <c r="J188" s="81"/>
      <c r="K188" s="81"/>
      <c r="L188" s="81"/>
      <c r="M188" s="81"/>
      <c r="N188" s="81"/>
      <c r="T188" s="81"/>
      <c r="U188" s="13"/>
    </row>
    <row r="189" ht="12.75" customHeight="1">
      <c r="A189" s="30" t="s">
        <v>36</v>
      </c>
      <c r="B189" s="47" t="s">
        <v>140</v>
      </c>
      <c r="C189" s="48" t="s">
        <v>141</v>
      </c>
      <c r="D189" s="16"/>
      <c r="E189" s="73">
        <v>5.0</v>
      </c>
      <c r="F189" s="73">
        <v>3.0</v>
      </c>
      <c r="G189" s="73">
        <v>2.0</v>
      </c>
      <c r="H189" s="73">
        <v>0.0</v>
      </c>
      <c r="I189" s="73">
        <v>3.0</v>
      </c>
      <c r="J189" s="73">
        <v>1.0</v>
      </c>
      <c r="K189" s="73">
        <v>2.0</v>
      </c>
      <c r="L189" s="73">
        <v>2.0</v>
      </c>
      <c r="M189" s="73">
        <v>0.0</v>
      </c>
      <c r="N189" s="73">
        <v>1.0</v>
      </c>
      <c r="O189" s="73">
        <v>0.0</v>
      </c>
      <c r="P189" s="73">
        <v>0.0</v>
      </c>
      <c r="Q189" s="73">
        <v>0.0</v>
      </c>
      <c r="R189" s="73">
        <v>1.0</v>
      </c>
      <c r="S189" s="73">
        <v>0.0</v>
      </c>
      <c r="T189" s="73">
        <v>0.0</v>
      </c>
      <c r="U189" s="13">
        <f t="shared" ref="U189:U198" si="38">SUM(E189:T189)</f>
        <v>20</v>
      </c>
    </row>
    <row r="190" ht="12.75" customHeight="1">
      <c r="A190" s="30" t="s">
        <v>38</v>
      </c>
      <c r="B190" s="49"/>
      <c r="C190" s="50" t="s">
        <v>142</v>
      </c>
      <c r="D190" s="51"/>
      <c r="E190" s="73">
        <v>1.0</v>
      </c>
      <c r="F190" s="73">
        <v>2.0</v>
      </c>
      <c r="G190" s="73">
        <v>1.0</v>
      </c>
      <c r="H190" s="73">
        <v>0.0</v>
      </c>
      <c r="I190" s="73">
        <v>0.0</v>
      </c>
      <c r="J190" s="73">
        <v>0.0</v>
      </c>
      <c r="K190" s="73">
        <v>0.0</v>
      </c>
      <c r="L190" s="73">
        <v>0.0</v>
      </c>
      <c r="M190" s="73">
        <v>0.0</v>
      </c>
      <c r="N190" s="73">
        <v>1.0</v>
      </c>
      <c r="O190" s="73">
        <v>0.0</v>
      </c>
      <c r="P190" s="73">
        <v>0.0</v>
      </c>
      <c r="Q190" s="73">
        <v>0.0</v>
      </c>
      <c r="R190" s="73">
        <v>0.0</v>
      </c>
      <c r="S190" s="73">
        <v>0.0</v>
      </c>
      <c r="T190" s="73">
        <v>0.0</v>
      </c>
      <c r="U190" s="13">
        <f t="shared" si="38"/>
        <v>5</v>
      </c>
    </row>
    <row r="191" ht="12.75" customHeight="1">
      <c r="A191" s="18"/>
      <c r="B191" s="49"/>
      <c r="C191" s="50" t="s">
        <v>143</v>
      </c>
      <c r="D191" s="51"/>
      <c r="E191" s="73">
        <v>0.0</v>
      </c>
      <c r="F191" s="73">
        <v>0.0</v>
      </c>
      <c r="G191" s="73">
        <v>0.0</v>
      </c>
      <c r="H191" s="73">
        <v>0.0</v>
      </c>
      <c r="I191" s="73">
        <v>0.0</v>
      </c>
      <c r="J191" s="73">
        <v>0.0</v>
      </c>
      <c r="K191" s="73">
        <v>0.0</v>
      </c>
      <c r="L191" s="73">
        <v>0.0</v>
      </c>
      <c r="M191" s="73">
        <v>0.0</v>
      </c>
      <c r="N191" s="73">
        <v>0.0</v>
      </c>
      <c r="O191" s="73">
        <v>0.0</v>
      </c>
      <c r="P191" s="73">
        <v>1.0</v>
      </c>
      <c r="Q191" s="73">
        <v>0.0</v>
      </c>
      <c r="R191" s="73">
        <v>0.0</v>
      </c>
      <c r="S191" s="73">
        <v>0.0</v>
      </c>
      <c r="T191" s="73">
        <v>0.0</v>
      </c>
      <c r="U191" s="13">
        <f t="shared" si="38"/>
        <v>1</v>
      </c>
    </row>
    <row r="192" ht="12.75" customHeight="1">
      <c r="A192" s="18"/>
      <c r="B192" s="49"/>
      <c r="C192" s="50" t="s">
        <v>144</v>
      </c>
      <c r="D192" s="51"/>
      <c r="E192" s="73">
        <v>0.0</v>
      </c>
      <c r="F192" s="73">
        <v>0.0</v>
      </c>
      <c r="G192" s="73">
        <v>2.0</v>
      </c>
      <c r="H192" s="73">
        <v>0.0</v>
      </c>
      <c r="I192" s="73">
        <v>0.0</v>
      </c>
      <c r="J192" s="73">
        <v>0.0</v>
      </c>
      <c r="K192" s="73">
        <v>0.0</v>
      </c>
      <c r="L192" s="73">
        <v>0.0</v>
      </c>
      <c r="M192" s="73">
        <v>0.0</v>
      </c>
      <c r="N192" s="73">
        <v>0.0</v>
      </c>
      <c r="O192" s="73">
        <v>0.0</v>
      </c>
      <c r="P192" s="73">
        <v>0.0</v>
      </c>
      <c r="Q192" s="73">
        <v>0.0</v>
      </c>
      <c r="R192" s="73">
        <v>0.0</v>
      </c>
      <c r="S192" s="73">
        <v>0.0</v>
      </c>
      <c r="T192" s="73">
        <v>0.0</v>
      </c>
      <c r="U192" s="13">
        <f t="shared" si="38"/>
        <v>2</v>
      </c>
    </row>
    <row r="193" ht="12.75" customHeight="1">
      <c r="A193" s="18"/>
      <c r="B193" s="49"/>
      <c r="C193" s="50" t="s">
        <v>145</v>
      </c>
      <c r="D193" s="51"/>
      <c r="E193" s="73">
        <v>0.0</v>
      </c>
      <c r="F193" s="73">
        <v>0.0</v>
      </c>
      <c r="G193" s="73">
        <v>0.0</v>
      </c>
      <c r="H193" s="73">
        <v>0.0</v>
      </c>
      <c r="I193" s="73">
        <v>0.0</v>
      </c>
      <c r="J193" s="73">
        <v>0.0</v>
      </c>
      <c r="K193" s="73">
        <v>0.0</v>
      </c>
      <c r="L193" s="73">
        <v>0.0</v>
      </c>
      <c r="M193" s="73">
        <v>0.0</v>
      </c>
      <c r="N193" s="73">
        <v>0.0</v>
      </c>
      <c r="O193" s="73">
        <v>0.0</v>
      </c>
      <c r="P193" s="73">
        <v>0.0</v>
      </c>
      <c r="Q193" s="73">
        <v>0.0</v>
      </c>
      <c r="R193" s="73">
        <v>0.0</v>
      </c>
      <c r="S193" s="73">
        <v>0.0</v>
      </c>
      <c r="T193" s="73">
        <v>0.0</v>
      </c>
      <c r="U193" s="13">
        <f t="shared" si="38"/>
        <v>0</v>
      </c>
    </row>
    <row r="194" ht="12.75" customHeight="1">
      <c r="A194" s="18"/>
      <c r="B194" s="49"/>
      <c r="C194" s="50" t="s">
        <v>146</v>
      </c>
      <c r="D194" s="51"/>
      <c r="E194" s="73">
        <v>0.0</v>
      </c>
      <c r="F194" s="73">
        <v>0.0</v>
      </c>
      <c r="G194" s="73">
        <v>0.0</v>
      </c>
      <c r="H194" s="73">
        <v>0.0</v>
      </c>
      <c r="I194" s="73">
        <v>0.0</v>
      </c>
      <c r="J194" s="73">
        <v>1.0</v>
      </c>
      <c r="K194" s="73">
        <v>0.0</v>
      </c>
      <c r="L194" s="73">
        <v>0.0</v>
      </c>
      <c r="M194" s="73">
        <v>0.0</v>
      </c>
      <c r="N194" s="73">
        <v>0.0</v>
      </c>
      <c r="O194" s="73">
        <v>0.0</v>
      </c>
      <c r="P194" s="73">
        <v>0.0</v>
      </c>
      <c r="Q194" s="73">
        <v>0.0</v>
      </c>
      <c r="R194" s="73">
        <v>0.0</v>
      </c>
      <c r="S194" s="73">
        <v>0.0</v>
      </c>
      <c r="T194" s="73">
        <v>1.0</v>
      </c>
      <c r="U194" s="13">
        <f t="shared" si="38"/>
        <v>2</v>
      </c>
    </row>
    <row r="195" ht="12.75" customHeight="1">
      <c r="A195" s="18"/>
      <c r="B195" s="49"/>
      <c r="C195" s="50" t="s">
        <v>147</v>
      </c>
      <c r="D195" s="51"/>
      <c r="E195" s="73">
        <v>0.0</v>
      </c>
      <c r="F195" s="73">
        <v>1.0</v>
      </c>
      <c r="G195" s="73">
        <v>0.0</v>
      </c>
      <c r="H195" s="73">
        <v>1.0</v>
      </c>
      <c r="I195" s="73">
        <v>1.0</v>
      </c>
      <c r="J195" s="73">
        <v>1.0</v>
      </c>
      <c r="K195" s="73">
        <v>0.0</v>
      </c>
      <c r="L195" s="73">
        <v>0.0</v>
      </c>
      <c r="M195" s="73">
        <v>0.0</v>
      </c>
      <c r="N195" s="73">
        <v>0.0</v>
      </c>
      <c r="O195" s="73">
        <v>0.0</v>
      </c>
      <c r="P195" s="73">
        <v>0.0</v>
      </c>
      <c r="Q195" s="73">
        <v>0.0</v>
      </c>
      <c r="R195" s="73">
        <v>0.0</v>
      </c>
      <c r="S195" s="73">
        <v>0.0</v>
      </c>
      <c r="T195" s="73">
        <v>1.0</v>
      </c>
      <c r="U195" s="13">
        <f t="shared" si="38"/>
        <v>5</v>
      </c>
    </row>
    <row r="196" ht="12.75" customHeight="1">
      <c r="A196" s="79"/>
      <c r="B196" s="49"/>
      <c r="C196" s="50" t="s">
        <v>148</v>
      </c>
      <c r="D196" s="51"/>
      <c r="E196" s="80">
        <v>2.0</v>
      </c>
      <c r="F196" s="80">
        <v>1.0</v>
      </c>
      <c r="G196" s="80">
        <v>0.0</v>
      </c>
      <c r="H196" s="80">
        <v>0.0</v>
      </c>
      <c r="I196" s="80">
        <v>0.0</v>
      </c>
      <c r="J196" s="80">
        <v>0.0</v>
      </c>
      <c r="K196" s="80">
        <v>1.0</v>
      </c>
      <c r="L196" s="80">
        <v>0.0</v>
      </c>
      <c r="M196" s="80">
        <v>0.0</v>
      </c>
      <c r="N196" s="80">
        <v>0.0</v>
      </c>
      <c r="O196" s="80">
        <v>0.0</v>
      </c>
      <c r="P196" s="80">
        <v>0.0</v>
      </c>
      <c r="Q196" s="80">
        <v>0.0</v>
      </c>
      <c r="R196" s="80">
        <v>1.0</v>
      </c>
      <c r="S196" s="80">
        <v>0.0</v>
      </c>
      <c r="T196" s="80">
        <v>0.0</v>
      </c>
      <c r="U196" s="13">
        <f t="shared" si="38"/>
        <v>5</v>
      </c>
    </row>
    <row r="197" ht="12.75" customHeight="1">
      <c r="A197" s="79"/>
      <c r="B197" s="49"/>
      <c r="C197" s="50" t="s">
        <v>149</v>
      </c>
      <c r="D197" s="51"/>
      <c r="E197" s="80">
        <v>1.0</v>
      </c>
      <c r="F197" s="80">
        <v>0.0</v>
      </c>
      <c r="G197" s="80">
        <v>0.0</v>
      </c>
      <c r="H197" s="80">
        <v>0.0</v>
      </c>
      <c r="I197" s="80">
        <v>0.0</v>
      </c>
      <c r="J197" s="80">
        <v>0.0</v>
      </c>
      <c r="K197" s="80">
        <v>0.0</v>
      </c>
      <c r="L197" s="80">
        <v>0.0</v>
      </c>
      <c r="M197" s="80">
        <v>0.0</v>
      </c>
      <c r="N197" s="80">
        <v>0.0</v>
      </c>
      <c r="O197" s="80">
        <v>0.0</v>
      </c>
      <c r="P197" s="80">
        <v>0.0</v>
      </c>
      <c r="Q197" s="80">
        <v>0.0</v>
      </c>
      <c r="R197" s="80">
        <v>0.0</v>
      </c>
      <c r="S197" s="80">
        <v>0.0</v>
      </c>
      <c r="T197" s="80">
        <v>0.0</v>
      </c>
      <c r="U197" s="13">
        <f t="shared" si="38"/>
        <v>1</v>
      </c>
    </row>
    <row r="198" ht="12.75" customHeight="1">
      <c r="A198" s="79"/>
      <c r="B198" s="49"/>
      <c r="C198" s="50" t="s">
        <v>150</v>
      </c>
      <c r="D198" s="51"/>
      <c r="E198" s="80">
        <v>1.0</v>
      </c>
      <c r="F198" s="80">
        <v>1.0</v>
      </c>
      <c r="G198" s="80">
        <v>0.0</v>
      </c>
      <c r="H198" s="80">
        <v>1.0</v>
      </c>
      <c r="I198" s="80">
        <v>0.0</v>
      </c>
      <c r="J198" s="80">
        <v>0.0</v>
      </c>
      <c r="K198" s="80">
        <v>0.0</v>
      </c>
      <c r="L198" s="80">
        <v>0.0</v>
      </c>
      <c r="M198" s="80">
        <v>0.0</v>
      </c>
      <c r="N198" s="80">
        <v>0.0</v>
      </c>
      <c r="O198" s="80">
        <v>0.0</v>
      </c>
      <c r="P198" s="80">
        <v>0.0</v>
      </c>
      <c r="Q198" s="80">
        <v>0.0</v>
      </c>
      <c r="R198" s="80">
        <v>0.0</v>
      </c>
      <c r="S198" s="80">
        <v>0.0</v>
      </c>
      <c r="T198" s="80">
        <v>0.0</v>
      </c>
      <c r="U198" s="13">
        <f t="shared" si="38"/>
        <v>3</v>
      </c>
    </row>
    <row r="199" ht="12.75" customHeight="1">
      <c r="A199" s="19" t="s">
        <v>14</v>
      </c>
      <c r="B199" s="47" t="s">
        <v>48</v>
      </c>
      <c r="C199" s="15"/>
      <c r="D199" s="16"/>
      <c r="E199" s="13">
        <f t="shared" ref="E199:U199" si="39">SUM(E189:E198)</f>
        <v>10</v>
      </c>
      <c r="F199" s="13">
        <f t="shared" si="39"/>
        <v>8</v>
      </c>
      <c r="G199" s="13">
        <f t="shared" si="39"/>
        <v>5</v>
      </c>
      <c r="H199" s="13">
        <f t="shared" si="39"/>
        <v>2</v>
      </c>
      <c r="I199" s="13">
        <f t="shared" si="39"/>
        <v>4</v>
      </c>
      <c r="J199" s="13">
        <f t="shared" si="39"/>
        <v>3</v>
      </c>
      <c r="K199" s="13">
        <f t="shared" si="39"/>
        <v>3</v>
      </c>
      <c r="L199" s="13">
        <f t="shared" si="39"/>
        <v>2</v>
      </c>
      <c r="M199" s="13">
        <f t="shared" si="39"/>
        <v>0</v>
      </c>
      <c r="N199" s="13">
        <f t="shared" si="39"/>
        <v>2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2</v>
      </c>
      <c r="S199" s="13">
        <f t="shared" si="39"/>
        <v>0</v>
      </c>
      <c r="T199" s="13">
        <f t="shared" si="39"/>
        <v>2</v>
      </c>
      <c r="U199" s="13">
        <f t="shared" si="39"/>
        <v>44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</row>
    <row r="201" ht="12.75" customHeight="1">
      <c r="A201" s="30" t="s">
        <v>36</v>
      </c>
      <c r="B201" s="47" t="s">
        <v>151</v>
      </c>
      <c r="C201" s="48" t="s">
        <v>152</v>
      </c>
      <c r="D201" s="16"/>
      <c r="E201" s="73">
        <v>3.0</v>
      </c>
      <c r="F201" s="73">
        <v>1.0</v>
      </c>
      <c r="G201" s="73">
        <v>6.0</v>
      </c>
      <c r="H201" s="73">
        <v>7.0</v>
      </c>
      <c r="I201" s="73">
        <v>4.0</v>
      </c>
      <c r="J201" s="73">
        <v>2.0</v>
      </c>
      <c r="K201" s="73">
        <v>13.0</v>
      </c>
      <c r="L201" s="73">
        <v>6.0</v>
      </c>
      <c r="M201" s="73">
        <v>7.0</v>
      </c>
      <c r="N201" s="73">
        <v>20.0</v>
      </c>
      <c r="O201" s="73">
        <v>17.0</v>
      </c>
      <c r="P201" s="73">
        <v>13.0</v>
      </c>
      <c r="Q201" s="73">
        <v>10.0</v>
      </c>
      <c r="R201" s="73">
        <v>7.0</v>
      </c>
      <c r="S201" s="73">
        <v>2.0</v>
      </c>
      <c r="T201" s="73">
        <v>1.0</v>
      </c>
      <c r="U201" s="13">
        <f t="shared" ref="U201:U210" si="40">SUM(E201:T201)</f>
        <v>119</v>
      </c>
    </row>
    <row r="202" ht="12.75" customHeight="1">
      <c r="A202" s="30" t="s">
        <v>38</v>
      </c>
      <c r="B202" s="49"/>
      <c r="C202" s="50" t="s">
        <v>153</v>
      </c>
      <c r="D202" s="51"/>
      <c r="E202" s="73">
        <v>4.0</v>
      </c>
      <c r="F202" s="73">
        <v>2.0</v>
      </c>
      <c r="G202" s="73">
        <v>5.0</v>
      </c>
      <c r="H202" s="73">
        <v>7.0</v>
      </c>
      <c r="I202" s="73">
        <v>5.0</v>
      </c>
      <c r="J202" s="73">
        <v>9.0</v>
      </c>
      <c r="K202" s="73">
        <v>6.0</v>
      </c>
      <c r="L202" s="73">
        <v>0.0</v>
      </c>
      <c r="M202" s="73">
        <v>15.0</v>
      </c>
      <c r="N202" s="73">
        <v>13.0</v>
      </c>
      <c r="O202" s="73">
        <v>8.0</v>
      </c>
      <c r="P202" s="73">
        <v>11.0</v>
      </c>
      <c r="Q202" s="73">
        <v>7.0</v>
      </c>
      <c r="R202" s="73">
        <v>4.0</v>
      </c>
      <c r="S202" s="73">
        <v>5.0</v>
      </c>
      <c r="T202" s="73">
        <v>4.0</v>
      </c>
      <c r="U202" s="13">
        <f t="shared" si="40"/>
        <v>105</v>
      </c>
    </row>
    <row r="203" ht="12.75" customHeight="1">
      <c r="A203" s="18"/>
      <c r="B203" s="49"/>
      <c r="C203" s="50" t="s">
        <v>154</v>
      </c>
      <c r="D203" s="51"/>
      <c r="E203" s="73">
        <v>1.0</v>
      </c>
      <c r="F203" s="73">
        <v>1.0</v>
      </c>
      <c r="G203" s="73">
        <v>2.0</v>
      </c>
      <c r="H203" s="73">
        <v>4.0</v>
      </c>
      <c r="I203" s="73">
        <v>3.0</v>
      </c>
      <c r="J203" s="73">
        <v>2.0</v>
      </c>
      <c r="K203" s="73">
        <v>2.0</v>
      </c>
      <c r="L203" s="73">
        <v>2.0</v>
      </c>
      <c r="M203" s="73">
        <v>4.0</v>
      </c>
      <c r="N203" s="73">
        <v>14.0</v>
      </c>
      <c r="O203" s="73">
        <v>9.0</v>
      </c>
      <c r="P203" s="73">
        <v>2.0</v>
      </c>
      <c r="Q203" s="73">
        <v>3.0</v>
      </c>
      <c r="R203" s="73">
        <v>0.0</v>
      </c>
      <c r="S203" s="73">
        <v>3.0</v>
      </c>
      <c r="T203" s="73">
        <v>2.0</v>
      </c>
      <c r="U203" s="13">
        <f t="shared" si="40"/>
        <v>54</v>
      </c>
    </row>
    <row r="204" ht="12.75" customHeight="1">
      <c r="A204" s="18"/>
      <c r="B204" s="49"/>
      <c r="C204" s="50" t="s">
        <v>155</v>
      </c>
      <c r="D204" s="51"/>
      <c r="E204" s="73">
        <v>0.0</v>
      </c>
      <c r="F204" s="73">
        <v>2.0</v>
      </c>
      <c r="G204" s="73">
        <v>0.0</v>
      </c>
      <c r="H204" s="73">
        <v>1.0</v>
      </c>
      <c r="I204" s="73">
        <v>0.0</v>
      </c>
      <c r="J204" s="73">
        <v>1.0</v>
      </c>
      <c r="K204" s="73">
        <v>1.0</v>
      </c>
      <c r="L204" s="73">
        <v>2.0</v>
      </c>
      <c r="M204" s="73">
        <v>0.0</v>
      </c>
      <c r="N204" s="73">
        <v>2.0</v>
      </c>
      <c r="O204" s="73">
        <v>0.0</v>
      </c>
      <c r="P204" s="73">
        <v>4.0</v>
      </c>
      <c r="Q204" s="73">
        <v>1.0</v>
      </c>
      <c r="R204" s="73">
        <v>2.0</v>
      </c>
      <c r="S204" s="73">
        <v>1.0</v>
      </c>
      <c r="T204" s="73">
        <v>1.0</v>
      </c>
      <c r="U204" s="13">
        <f t="shared" si="40"/>
        <v>18</v>
      </c>
    </row>
    <row r="205" ht="12.75" customHeight="1">
      <c r="A205" s="18"/>
      <c r="B205" s="49"/>
      <c r="C205" s="50" t="s">
        <v>156</v>
      </c>
      <c r="D205" s="51"/>
      <c r="E205" s="73">
        <v>0.0</v>
      </c>
      <c r="F205" s="73">
        <v>0.0</v>
      </c>
      <c r="G205" s="73">
        <v>0.0</v>
      </c>
      <c r="H205" s="73">
        <v>0.0</v>
      </c>
      <c r="I205" s="73">
        <v>0.0</v>
      </c>
      <c r="J205" s="73">
        <v>0.0</v>
      </c>
      <c r="K205" s="73">
        <v>1.0</v>
      </c>
      <c r="L205" s="73">
        <v>0.0</v>
      </c>
      <c r="M205" s="73">
        <v>0.0</v>
      </c>
      <c r="N205" s="73">
        <v>0.0</v>
      </c>
      <c r="O205" s="73">
        <v>0.0</v>
      </c>
      <c r="P205" s="73">
        <v>0.0</v>
      </c>
      <c r="Q205" s="73">
        <v>0.0</v>
      </c>
      <c r="R205" s="73">
        <v>1.0</v>
      </c>
      <c r="S205" s="73">
        <v>0.0</v>
      </c>
      <c r="T205" s="73">
        <v>0.0</v>
      </c>
      <c r="U205" s="13">
        <f t="shared" si="40"/>
        <v>2</v>
      </c>
    </row>
    <row r="206" ht="12.75" customHeight="1">
      <c r="A206" s="18"/>
      <c r="B206" s="49"/>
      <c r="C206" s="50" t="s">
        <v>157</v>
      </c>
      <c r="D206" s="51"/>
      <c r="E206" s="73">
        <v>0.0</v>
      </c>
      <c r="F206" s="73">
        <v>0.0</v>
      </c>
      <c r="G206" s="73">
        <v>0.0</v>
      </c>
      <c r="H206" s="73">
        <v>2.0</v>
      </c>
      <c r="I206" s="73">
        <v>1.0</v>
      </c>
      <c r="J206" s="73">
        <v>0.0</v>
      </c>
      <c r="K206" s="73">
        <v>1.0</v>
      </c>
      <c r="L206" s="73">
        <v>0.0</v>
      </c>
      <c r="M206" s="73">
        <v>0.0</v>
      </c>
      <c r="N206" s="73">
        <v>1.0</v>
      </c>
      <c r="O206" s="73">
        <v>0.0</v>
      </c>
      <c r="P206" s="73">
        <v>0.0</v>
      </c>
      <c r="Q206" s="73">
        <v>0.0</v>
      </c>
      <c r="R206" s="73">
        <v>1.0</v>
      </c>
      <c r="S206" s="73">
        <v>0.0</v>
      </c>
      <c r="T206" s="73">
        <v>0.0</v>
      </c>
      <c r="U206" s="13">
        <f t="shared" si="40"/>
        <v>6</v>
      </c>
    </row>
    <row r="207" ht="12.75" customHeight="1">
      <c r="A207" s="18"/>
      <c r="B207" s="49"/>
      <c r="C207" s="50" t="s">
        <v>158</v>
      </c>
      <c r="D207" s="51"/>
      <c r="E207" s="73">
        <v>1.0</v>
      </c>
      <c r="F207" s="73">
        <v>0.0</v>
      </c>
      <c r="G207" s="73">
        <v>0.0</v>
      </c>
      <c r="H207" s="73">
        <v>0.0</v>
      </c>
      <c r="I207" s="73">
        <v>0.0</v>
      </c>
      <c r="J207" s="73">
        <v>0.0</v>
      </c>
      <c r="K207" s="73">
        <v>0.0</v>
      </c>
      <c r="L207" s="73">
        <v>1.0</v>
      </c>
      <c r="M207" s="73">
        <v>0.0</v>
      </c>
      <c r="N207" s="73">
        <v>1.0</v>
      </c>
      <c r="O207" s="73">
        <v>0.0</v>
      </c>
      <c r="P207" s="73">
        <v>1.0</v>
      </c>
      <c r="Q207" s="73">
        <v>1.0</v>
      </c>
      <c r="R207" s="73">
        <v>0.0</v>
      </c>
      <c r="S207" s="73">
        <v>0.0</v>
      </c>
      <c r="T207" s="73">
        <v>0.0</v>
      </c>
      <c r="U207" s="13">
        <f t="shared" si="40"/>
        <v>5</v>
      </c>
    </row>
    <row r="208" ht="12.75" customHeight="1">
      <c r="A208" s="79"/>
      <c r="B208" s="49"/>
      <c r="C208" s="50" t="s">
        <v>159</v>
      </c>
      <c r="D208" s="51"/>
      <c r="E208" s="80">
        <v>1.0</v>
      </c>
      <c r="F208" s="80">
        <v>3.0</v>
      </c>
      <c r="G208" s="80">
        <v>0.0</v>
      </c>
      <c r="H208" s="80">
        <v>1.0</v>
      </c>
      <c r="I208" s="80">
        <v>1.0</v>
      </c>
      <c r="J208" s="80">
        <v>2.0</v>
      </c>
      <c r="K208" s="80">
        <v>1.0</v>
      </c>
      <c r="L208" s="80">
        <v>1.0</v>
      </c>
      <c r="M208" s="80">
        <v>1.0</v>
      </c>
      <c r="N208" s="80">
        <v>0.0</v>
      </c>
      <c r="O208" s="80">
        <v>1.0</v>
      </c>
      <c r="P208" s="80">
        <v>2.0</v>
      </c>
      <c r="Q208" s="80">
        <v>2.0</v>
      </c>
      <c r="R208" s="80">
        <v>1.0</v>
      </c>
      <c r="S208" s="80">
        <v>1.0</v>
      </c>
      <c r="T208" s="80">
        <v>0.0</v>
      </c>
      <c r="U208" s="13">
        <f t="shared" si="40"/>
        <v>18</v>
      </c>
    </row>
    <row r="209" ht="12.75" customHeight="1">
      <c r="A209" s="79"/>
      <c r="B209" s="49"/>
      <c r="C209" s="50" t="s">
        <v>160</v>
      </c>
      <c r="D209" s="51"/>
      <c r="E209" s="80">
        <v>1.0</v>
      </c>
      <c r="F209" s="80">
        <v>0.0</v>
      </c>
      <c r="G209" s="80">
        <v>0.0</v>
      </c>
      <c r="H209" s="80">
        <v>0.0</v>
      </c>
      <c r="I209" s="80">
        <v>0.0</v>
      </c>
      <c r="J209" s="80">
        <v>0.0</v>
      </c>
      <c r="K209" s="80">
        <v>1.0</v>
      </c>
      <c r="L209" s="80">
        <v>0.0</v>
      </c>
      <c r="M209" s="80">
        <v>0.0</v>
      </c>
      <c r="N209" s="80">
        <v>0.0</v>
      </c>
      <c r="O209" s="80">
        <v>0.0</v>
      </c>
      <c r="P209" s="80">
        <v>0.0</v>
      </c>
      <c r="Q209" s="80">
        <v>0.0</v>
      </c>
      <c r="R209" s="80">
        <v>0.0</v>
      </c>
      <c r="S209" s="80">
        <v>0.0</v>
      </c>
      <c r="T209" s="80">
        <v>0.0</v>
      </c>
      <c r="U209" s="13">
        <f t="shared" si="40"/>
        <v>2</v>
      </c>
    </row>
    <row r="210" ht="12.75" customHeight="1">
      <c r="A210" s="79"/>
      <c r="B210" s="49"/>
      <c r="C210" s="50" t="s">
        <v>161</v>
      </c>
      <c r="D210" s="51"/>
      <c r="E210" s="80">
        <v>0.0</v>
      </c>
      <c r="F210" s="80">
        <v>0.0</v>
      </c>
      <c r="G210" s="80">
        <v>0.0</v>
      </c>
      <c r="H210" s="80">
        <v>0.0</v>
      </c>
      <c r="I210" s="80">
        <v>1.0</v>
      </c>
      <c r="J210" s="80">
        <v>1.0</v>
      </c>
      <c r="K210" s="80">
        <v>0.0</v>
      </c>
      <c r="L210" s="80">
        <v>0.0</v>
      </c>
      <c r="M210" s="80">
        <v>1.0</v>
      </c>
      <c r="N210" s="80">
        <v>0.0</v>
      </c>
      <c r="O210" s="80">
        <v>0.0</v>
      </c>
      <c r="P210" s="80">
        <v>0.0</v>
      </c>
      <c r="Q210" s="80">
        <v>0.0</v>
      </c>
      <c r="R210" s="80">
        <v>0.0</v>
      </c>
      <c r="S210" s="80">
        <v>0.0</v>
      </c>
      <c r="T210" s="80">
        <v>0.0</v>
      </c>
      <c r="U210" s="13">
        <f t="shared" si="40"/>
        <v>3</v>
      </c>
    </row>
    <row r="211" ht="12.75" customHeight="1">
      <c r="A211" s="19" t="s">
        <v>14</v>
      </c>
      <c r="B211" s="47" t="s">
        <v>48</v>
      </c>
      <c r="C211" s="15"/>
      <c r="D211" s="16"/>
      <c r="E211" s="13">
        <f t="shared" ref="E211:U211" si="41">SUM(E201:E210)</f>
        <v>11</v>
      </c>
      <c r="F211" s="13">
        <f t="shared" si="41"/>
        <v>9</v>
      </c>
      <c r="G211" s="13">
        <f t="shared" si="41"/>
        <v>13</v>
      </c>
      <c r="H211" s="13">
        <f t="shared" si="41"/>
        <v>22</v>
      </c>
      <c r="I211" s="13">
        <f t="shared" si="41"/>
        <v>15</v>
      </c>
      <c r="J211" s="13">
        <f t="shared" si="41"/>
        <v>17</v>
      </c>
      <c r="K211" s="13">
        <f t="shared" si="41"/>
        <v>26</v>
      </c>
      <c r="L211" s="13">
        <f t="shared" si="41"/>
        <v>12</v>
      </c>
      <c r="M211" s="13">
        <f t="shared" si="41"/>
        <v>28</v>
      </c>
      <c r="N211" s="13">
        <f t="shared" si="41"/>
        <v>51</v>
      </c>
      <c r="O211" s="13">
        <f t="shared" si="41"/>
        <v>35</v>
      </c>
      <c r="P211" s="13">
        <f t="shared" si="41"/>
        <v>33</v>
      </c>
      <c r="Q211" s="13">
        <f t="shared" si="41"/>
        <v>24</v>
      </c>
      <c r="R211" s="13">
        <f t="shared" si="41"/>
        <v>16</v>
      </c>
      <c r="S211" s="13">
        <f t="shared" si="41"/>
        <v>12</v>
      </c>
      <c r="T211" s="13">
        <f t="shared" si="41"/>
        <v>8</v>
      </c>
      <c r="U211" s="13">
        <f t="shared" si="41"/>
        <v>332</v>
      </c>
    </row>
    <row r="212" ht="12.75" customHeight="1">
      <c r="A212" s="24"/>
      <c r="B212" s="15"/>
      <c r="C212" s="15"/>
      <c r="D212" s="15"/>
      <c r="E212" s="16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</row>
    <row r="213" ht="12.75" customHeight="1">
      <c r="A213" s="30" t="s">
        <v>36</v>
      </c>
      <c r="B213" s="47" t="s">
        <v>162</v>
      </c>
      <c r="C213" s="48" t="s">
        <v>163</v>
      </c>
      <c r="D213" s="16"/>
      <c r="E213" s="73">
        <v>1.0</v>
      </c>
      <c r="F213" s="73">
        <v>2.0</v>
      </c>
      <c r="G213" s="73">
        <v>1.0</v>
      </c>
      <c r="H213" s="73">
        <v>0.0</v>
      </c>
      <c r="I213" s="73">
        <v>0.0</v>
      </c>
      <c r="J213" s="73">
        <v>5.0</v>
      </c>
      <c r="K213" s="73">
        <v>2.0</v>
      </c>
      <c r="L213" s="73">
        <v>9.0</v>
      </c>
      <c r="M213" s="73">
        <v>1.0</v>
      </c>
      <c r="N213" s="73">
        <v>1.0</v>
      </c>
      <c r="O213" s="73">
        <v>6.0</v>
      </c>
      <c r="P213" s="73">
        <v>2.0</v>
      </c>
      <c r="Q213" s="73">
        <v>0.0</v>
      </c>
      <c r="R213" s="73">
        <v>2.0</v>
      </c>
      <c r="S213" s="73">
        <v>0.0</v>
      </c>
      <c r="T213" s="73">
        <v>0.0</v>
      </c>
      <c r="U213" s="13">
        <f t="shared" ref="U213:U222" si="42">SUM(E213:T213)</f>
        <v>32</v>
      </c>
    </row>
    <row r="214" ht="12.75" customHeight="1">
      <c r="A214" s="30" t="s">
        <v>38</v>
      </c>
      <c r="B214" s="49"/>
      <c r="C214" s="50" t="s">
        <v>164</v>
      </c>
      <c r="D214" s="51"/>
      <c r="E214" s="73">
        <v>0.0</v>
      </c>
      <c r="F214" s="73">
        <v>2.0</v>
      </c>
      <c r="G214" s="73">
        <v>2.0</v>
      </c>
      <c r="H214" s="73">
        <v>1.0</v>
      </c>
      <c r="I214" s="73">
        <v>0.0</v>
      </c>
      <c r="J214" s="73">
        <v>1.0</v>
      </c>
      <c r="K214" s="73">
        <v>0.0</v>
      </c>
      <c r="L214" s="73">
        <v>0.0</v>
      </c>
      <c r="M214" s="73">
        <v>0.0</v>
      </c>
      <c r="N214" s="73">
        <v>0.0</v>
      </c>
      <c r="O214" s="73">
        <v>1.0</v>
      </c>
      <c r="P214" s="73">
        <v>1.0</v>
      </c>
      <c r="Q214" s="73">
        <v>0.0</v>
      </c>
      <c r="R214" s="73">
        <v>0.0</v>
      </c>
      <c r="S214" s="73">
        <v>0.0</v>
      </c>
      <c r="T214" s="73">
        <v>1.0</v>
      </c>
      <c r="U214" s="13">
        <f t="shared" si="42"/>
        <v>9</v>
      </c>
    </row>
    <row r="215" ht="12.75" customHeight="1">
      <c r="A215" s="18"/>
      <c r="B215" s="49"/>
      <c r="C215" s="50" t="s">
        <v>165</v>
      </c>
      <c r="D215" s="51"/>
      <c r="E215" s="73">
        <v>2.0</v>
      </c>
      <c r="F215" s="73">
        <v>1.0</v>
      </c>
      <c r="G215" s="73">
        <v>1.0</v>
      </c>
      <c r="H215" s="73">
        <v>0.0</v>
      </c>
      <c r="I215" s="73">
        <v>0.0</v>
      </c>
      <c r="J215" s="73">
        <v>3.0</v>
      </c>
      <c r="K215" s="73">
        <v>1.0</v>
      </c>
      <c r="L215" s="73">
        <v>2.0</v>
      </c>
      <c r="M215" s="73">
        <v>2.0</v>
      </c>
      <c r="N215" s="73">
        <v>2.0</v>
      </c>
      <c r="O215" s="73">
        <v>1.0</v>
      </c>
      <c r="P215" s="73">
        <v>0.0</v>
      </c>
      <c r="Q215" s="73">
        <v>1.0</v>
      </c>
      <c r="R215" s="73">
        <v>0.0</v>
      </c>
      <c r="S215" s="73">
        <v>1.0</v>
      </c>
      <c r="T215" s="73">
        <v>0.0</v>
      </c>
      <c r="U215" s="13">
        <f t="shared" si="42"/>
        <v>17</v>
      </c>
    </row>
    <row r="216" ht="12.75" customHeight="1">
      <c r="A216" s="18"/>
      <c r="B216" s="49"/>
      <c r="C216" s="50" t="s">
        <v>166</v>
      </c>
      <c r="D216" s="51"/>
      <c r="E216" s="73">
        <v>0.0</v>
      </c>
      <c r="F216" s="73">
        <v>0.0</v>
      </c>
      <c r="G216" s="73">
        <v>0.0</v>
      </c>
      <c r="H216" s="73">
        <v>0.0</v>
      </c>
      <c r="I216" s="73">
        <v>1.0</v>
      </c>
      <c r="J216" s="73">
        <v>0.0</v>
      </c>
      <c r="K216" s="73">
        <v>0.0</v>
      </c>
      <c r="L216" s="73">
        <v>0.0</v>
      </c>
      <c r="M216" s="73">
        <v>0.0</v>
      </c>
      <c r="N216" s="73">
        <v>1.0</v>
      </c>
      <c r="O216" s="73">
        <v>1.0</v>
      </c>
      <c r="P216" s="73">
        <v>0.0</v>
      </c>
      <c r="Q216" s="73">
        <v>0.0</v>
      </c>
      <c r="R216" s="73">
        <v>0.0</v>
      </c>
      <c r="S216" s="73">
        <v>0.0</v>
      </c>
      <c r="T216" s="73">
        <v>0.0</v>
      </c>
      <c r="U216" s="13">
        <f t="shared" si="42"/>
        <v>3</v>
      </c>
    </row>
    <row r="217" ht="12.75" customHeight="1">
      <c r="A217" s="18"/>
      <c r="B217" s="57"/>
      <c r="C217" s="58"/>
      <c r="D217" s="61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3">
        <f t="shared" si="42"/>
        <v>0</v>
      </c>
    </row>
    <row r="218" ht="12.75" customHeight="1">
      <c r="A218" s="18"/>
      <c r="B218" s="57"/>
      <c r="C218" s="58"/>
      <c r="D218" s="61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3">
        <f t="shared" si="42"/>
        <v>0</v>
      </c>
    </row>
    <row r="219" ht="12.75" customHeight="1">
      <c r="A219" s="79"/>
      <c r="B219" s="57"/>
      <c r="C219" s="58"/>
      <c r="D219" s="61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13">
        <f t="shared" si="42"/>
        <v>0</v>
      </c>
    </row>
    <row r="220" ht="12.75" customHeight="1">
      <c r="A220" s="79"/>
      <c r="B220" s="57"/>
      <c r="C220" s="58"/>
      <c r="D220" s="61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13">
        <f t="shared" si="42"/>
        <v>0</v>
      </c>
    </row>
    <row r="221" ht="12.75" customHeight="1">
      <c r="A221" s="79"/>
      <c r="B221" s="57"/>
      <c r="C221" s="58"/>
      <c r="D221" s="61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13">
        <f t="shared" si="42"/>
        <v>0</v>
      </c>
    </row>
    <row r="222" ht="12.75" customHeight="1">
      <c r="A222" s="79"/>
      <c r="B222" s="57"/>
      <c r="C222" s="58"/>
      <c r="D222" s="61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13">
        <f t="shared" si="42"/>
        <v>0</v>
      </c>
    </row>
    <row r="223" ht="12.75" customHeight="1">
      <c r="A223" s="19" t="s">
        <v>14</v>
      </c>
      <c r="B223" s="47" t="s">
        <v>48</v>
      </c>
      <c r="C223" s="15"/>
      <c r="D223" s="16"/>
      <c r="E223" s="13">
        <f t="shared" ref="E223:U223" si="43">SUM(E213:E222)</f>
        <v>3</v>
      </c>
      <c r="F223" s="13">
        <f t="shared" si="43"/>
        <v>5</v>
      </c>
      <c r="G223" s="13">
        <f t="shared" si="43"/>
        <v>4</v>
      </c>
      <c r="H223" s="13">
        <f t="shared" si="43"/>
        <v>1</v>
      </c>
      <c r="I223" s="13">
        <f t="shared" si="43"/>
        <v>1</v>
      </c>
      <c r="J223" s="13">
        <f t="shared" si="43"/>
        <v>9</v>
      </c>
      <c r="K223" s="13">
        <f t="shared" si="43"/>
        <v>3</v>
      </c>
      <c r="L223" s="13">
        <f t="shared" si="43"/>
        <v>11</v>
      </c>
      <c r="M223" s="13">
        <f t="shared" si="43"/>
        <v>3</v>
      </c>
      <c r="N223" s="13">
        <f t="shared" si="43"/>
        <v>4</v>
      </c>
      <c r="O223" s="13">
        <f t="shared" si="43"/>
        <v>9</v>
      </c>
      <c r="P223" s="13">
        <f t="shared" si="43"/>
        <v>3</v>
      </c>
      <c r="Q223" s="13">
        <f t="shared" si="43"/>
        <v>1</v>
      </c>
      <c r="R223" s="13">
        <f t="shared" si="43"/>
        <v>2</v>
      </c>
      <c r="S223" s="13">
        <f t="shared" si="43"/>
        <v>1</v>
      </c>
      <c r="T223" s="13">
        <f t="shared" si="43"/>
        <v>1</v>
      </c>
      <c r="U223" s="13">
        <f t="shared" si="43"/>
        <v>61</v>
      </c>
    </row>
    <row r="224" ht="12.75" customHeight="1">
      <c r="A224" s="24"/>
      <c r="B224" s="15"/>
      <c r="C224" s="15"/>
      <c r="D224" s="15"/>
      <c r="E224" s="16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</row>
    <row r="225" ht="12.75" customHeight="1">
      <c r="A225" s="30" t="s">
        <v>36</v>
      </c>
      <c r="B225" s="47" t="s">
        <v>167</v>
      </c>
      <c r="C225" s="48" t="s">
        <v>168</v>
      </c>
      <c r="D225" s="16"/>
      <c r="E225" s="73">
        <v>0.0</v>
      </c>
      <c r="F225" s="73">
        <v>0.0</v>
      </c>
      <c r="G225" s="73">
        <v>0.0</v>
      </c>
      <c r="H225" s="73">
        <v>0.0</v>
      </c>
      <c r="I225" s="73">
        <v>1.0</v>
      </c>
      <c r="J225" s="73">
        <v>0.0</v>
      </c>
      <c r="K225" s="73">
        <v>0.0</v>
      </c>
      <c r="L225" s="73">
        <v>0.0</v>
      </c>
      <c r="M225" s="73">
        <v>0.0</v>
      </c>
      <c r="N225" s="73">
        <v>0.0</v>
      </c>
      <c r="O225" s="73">
        <v>0.0</v>
      </c>
      <c r="P225" s="73">
        <v>0.0</v>
      </c>
      <c r="Q225" s="73">
        <v>1.0</v>
      </c>
      <c r="R225" s="73">
        <v>0.0</v>
      </c>
      <c r="S225" s="73">
        <v>0.0</v>
      </c>
      <c r="T225" s="73">
        <v>0.0</v>
      </c>
      <c r="U225" s="13">
        <f t="shared" ref="U225:U234" si="44">SUM(E225:T225)</f>
        <v>2</v>
      </c>
    </row>
    <row r="226" ht="12.75" customHeight="1">
      <c r="A226" s="30" t="s">
        <v>38</v>
      </c>
      <c r="B226" s="49"/>
      <c r="C226" s="50" t="s">
        <v>169</v>
      </c>
      <c r="D226" s="51"/>
      <c r="E226" s="73">
        <v>0.0</v>
      </c>
      <c r="F226" s="73">
        <v>0.0</v>
      </c>
      <c r="G226" s="73">
        <v>1.0</v>
      </c>
      <c r="H226" s="73">
        <v>0.0</v>
      </c>
      <c r="I226" s="73">
        <v>0.0</v>
      </c>
      <c r="J226" s="73">
        <v>0.0</v>
      </c>
      <c r="K226" s="73">
        <v>0.0</v>
      </c>
      <c r="L226" s="73">
        <v>0.0</v>
      </c>
      <c r="M226" s="73">
        <v>0.0</v>
      </c>
      <c r="N226" s="73">
        <v>0.0</v>
      </c>
      <c r="O226" s="73">
        <v>0.0</v>
      </c>
      <c r="P226" s="73">
        <v>0.0</v>
      </c>
      <c r="Q226" s="73">
        <v>0.0</v>
      </c>
      <c r="R226" s="73">
        <v>0.0</v>
      </c>
      <c r="S226" s="73">
        <v>1.0</v>
      </c>
      <c r="T226" s="73">
        <v>0.0</v>
      </c>
      <c r="U226" s="13">
        <f t="shared" si="44"/>
        <v>2</v>
      </c>
    </row>
    <row r="227" ht="12.75" customHeight="1">
      <c r="A227" s="18"/>
      <c r="B227" s="49"/>
      <c r="C227" s="50" t="s">
        <v>170</v>
      </c>
      <c r="D227" s="51"/>
      <c r="E227" s="73">
        <v>0.0</v>
      </c>
      <c r="F227" s="73">
        <v>0.0</v>
      </c>
      <c r="G227" s="73">
        <v>0.0</v>
      </c>
      <c r="H227" s="73">
        <v>0.0</v>
      </c>
      <c r="I227" s="73">
        <v>0.0</v>
      </c>
      <c r="J227" s="73">
        <v>0.0</v>
      </c>
      <c r="K227" s="73">
        <v>0.0</v>
      </c>
      <c r="L227" s="73">
        <v>0.0</v>
      </c>
      <c r="M227" s="73">
        <v>0.0</v>
      </c>
      <c r="N227" s="73">
        <v>0.0</v>
      </c>
      <c r="O227" s="73">
        <v>0.0</v>
      </c>
      <c r="P227" s="73">
        <v>0.0</v>
      </c>
      <c r="Q227" s="73">
        <v>0.0</v>
      </c>
      <c r="R227" s="73">
        <v>0.0</v>
      </c>
      <c r="S227" s="73">
        <v>0.0</v>
      </c>
      <c r="T227" s="73">
        <v>0.0</v>
      </c>
      <c r="U227" s="13">
        <f t="shared" si="44"/>
        <v>0</v>
      </c>
    </row>
    <row r="228" ht="12.75" customHeight="1">
      <c r="A228" s="18"/>
      <c r="B228" s="49"/>
      <c r="C228" s="50" t="s">
        <v>171</v>
      </c>
      <c r="D228" s="51"/>
      <c r="E228" s="73">
        <v>0.0</v>
      </c>
      <c r="F228" s="73">
        <v>0.0</v>
      </c>
      <c r="G228" s="73">
        <v>0.0</v>
      </c>
      <c r="H228" s="73">
        <v>0.0</v>
      </c>
      <c r="I228" s="73">
        <v>0.0</v>
      </c>
      <c r="J228" s="73">
        <v>1.0</v>
      </c>
      <c r="K228" s="73">
        <v>0.0</v>
      </c>
      <c r="L228" s="73">
        <v>0.0</v>
      </c>
      <c r="M228" s="73">
        <v>0.0</v>
      </c>
      <c r="N228" s="73">
        <v>0.0</v>
      </c>
      <c r="O228" s="73">
        <v>0.0</v>
      </c>
      <c r="P228" s="73">
        <v>0.0</v>
      </c>
      <c r="Q228" s="73">
        <v>0.0</v>
      </c>
      <c r="R228" s="73">
        <v>0.0</v>
      </c>
      <c r="S228" s="73">
        <v>0.0</v>
      </c>
      <c r="T228" s="73">
        <v>0.0</v>
      </c>
      <c r="U228" s="13">
        <f t="shared" si="44"/>
        <v>1</v>
      </c>
    </row>
    <row r="229" ht="12.75" customHeight="1">
      <c r="A229" s="18"/>
      <c r="B229" s="49"/>
      <c r="C229" s="50" t="s">
        <v>172</v>
      </c>
      <c r="D229" s="51"/>
      <c r="E229" s="73">
        <v>0.0</v>
      </c>
      <c r="F229" s="73">
        <v>0.0</v>
      </c>
      <c r="G229" s="73">
        <v>0.0</v>
      </c>
      <c r="H229" s="73">
        <v>0.0</v>
      </c>
      <c r="I229" s="73">
        <v>0.0</v>
      </c>
      <c r="J229" s="73">
        <v>0.0</v>
      </c>
      <c r="K229" s="73">
        <v>0.0</v>
      </c>
      <c r="L229" s="73">
        <v>0.0</v>
      </c>
      <c r="M229" s="73">
        <v>0.0</v>
      </c>
      <c r="N229" s="73">
        <v>0.0</v>
      </c>
      <c r="O229" s="73">
        <v>0.0</v>
      </c>
      <c r="P229" s="73">
        <v>0.0</v>
      </c>
      <c r="Q229" s="73">
        <v>0.0</v>
      </c>
      <c r="R229" s="73">
        <v>0.0</v>
      </c>
      <c r="S229" s="73">
        <v>0.0</v>
      </c>
      <c r="T229" s="73">
        <v>0.0</v>
      </c>
      <c r="U229" s="13">
        <f t="shared" si="44"/>
        <v>0</v>
      </c>
    </row>
    <row r="230" ht="12.75" customHeight="1">
      <c r="A230" s="18"/>
      <c r="B230" s="49"/>
      <c r="C230" s="50"/>
      <c r="D230" s="56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3">
        <f t="shared" si="44"/>
        <v>0</v>
      </c>
    </row>
    <row r="231" ht="12.75" customHeight="1">
      <c r="A231" s="18"/>
      <c r="B231" s="49"/>
      <c r="C231" s="50"/>
      <c r="D231" s="56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3">
        <f t="shared" si="44"/>
        <v>0</v>
      </c>
    </row>
    <row r="232" ht="12.75" customHeight="1">
      <c r="A232" s="79"/>
      <c r="B232" s="57"/>
      <c r="C232" s="58"/>
      <c r="D232" s="59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13">
        <f t="shared" si="44"/>
        <v>0</v>
      </c>
    </row>
    <row r="233" ht="12.75" customHeight="1">
      <c r="A233" s="79"/>
      <c r="B233" s="57"/>
      <c r="C233" s="58"/>
      <c r="D233" s="59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13">
        <f t="shared" si="44"/>
        <v>0</v>
      </c>
    </row>
    <row r="234" ht="12.75" customHeight="1">
      <c r="A234" s="79"/>
      <c r="B234" s="57"/>
      <c r="C234" s="58"/>
      <c r="D234" s="59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13">
        <f t="shared" si="44"/>
        <v>0</v>
      </c>
    </row>
    <row r="235" ht="12.75" customHeight="1">
      <c r="A235" s="19" t="s">
        <v>14</v>
      </c>
      <c r="B235" s="47" t="s">
        <v>48</v>
      </c>
      <c r="C235" s="15"/>
      <c r="D235" s="16"/>
      <c r="E235" s="13">
        <f t="shared" ref="E235:U235" si="45">SUM(E225:E234)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1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5</v>
      </c>
    </row>
    <row r="236" ht="12.75" customHeight="1">
      <c r="A236" s="24"/>
      <c r="B236" s="15"/>
      <c r="C236" s="15"/>
      <c r="D236" s="15"/>
      <c r="E236" s="16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</row>
    <row r="237" ht="12.75" customHeight="1">
      <c r="A237" s="30" t="s">
        <v>36</v>
      </c>
      <c r="B237" s="47" t="s">
        <v>173</v>
      </c>
      <c r="C237" s="48" t="s">
        <v>174</v>
      </c>
      <c r="D237" s="16"/>
      <c r="E237" s="73">
        <v>0.0</v>
      </c>
      <c r="F237" s="73">
        <v>0.0</v>
      </c>
      <c r="G237" s="73">
        <v>2.0</v>
      </c>
      <c r="H237" s="73">
        <v>0.0</v>
      </c>
      <c r="I237" s="73">
        <v>1.0</v>
      </c>
      <c r="J237" s="73">
        <v>1.0</v>
      </c>
      <c r="K237" s="73">
        <v>0.0</v>
      </c>
      <c r="L237" s="73">
        <v>0.0</v>
      </c>
      <c r="M237" s="73">
        <v>0.0</v>
      </c>
      <c r="N237" s="73">
        <v>1.0</v>
      </c>
      <c r="O237" s="73">
        <v>0.0</v>
      </c>
      <c r="P237" s="73">
        <v>0.0</v>
      </c>
      <c r="Q237" s="73">
        <v>0.0</v>
      </c>
      <c r="R237" s="73">
        <v>1.0</v>
      </c>
      <c r="S237" s="73">
        <v>0.0</v>
      </c>
      <c r="T237" s="73">
        <v>1.0</v>
      </c>
      <c r="U237" s="13">
        <f t="shared" ref="U237:U246" si="46">SUM(E237:T237)</f>
        <v>7</v>
      </c>
    </row>
    <row r="238" ht="12.75" customHeight="1">
      <c r="A238" s="30" t="s">
        <v>38</v>
      </c>
      <c r="B238" s="49"/>
      <c r="C238" s="50" t="s">
        <v>175</v>
      </c>
      <c r="D238" s="51"/>
      <c r="E238" s="73">
        <v>1.0</v>
      </c>
      <c r="F238" s="73">
        <v>1.0</v>
      </c>
      <c r="G238" s="73">
        <v>1.0</v>
      </c>
      <c r="H238" s="73">
        <v>0.0</v>
      </c>
      <c r="I238" s="73">
        <v>1.0</v>
      </c>
      <c r="J238" s="73">
        <v>0.0</v>
      </c>
      <c r="K238" s="73">
        <v>1.0</v>
      </c>
      <c r="L238" s="73">
        <v>0.0</v>
      </c>
      <c r="M238" s="73">
        <v>0.0</v>
      </c>
      <c r="N238" s="73">
        <v>1.0</v>
      </c>
      <c r="O238" s="73">
        <v>0.0</v>
      </c>
      <c r="P238" s="73">
        <v>1.0</v>
      </c>
      <c r="Q238" s="73">
        <v>2.0</v>
      </c>
      <c r="R238" s="73">
        <v>0.0</v>
      </c>
      <c r="S238" s="73">
        <v>0.0</v>
      </c>
      <c r="T238" s="73">
        <v>0.0</v>
      </c>
      <c r="U238" s="13">
        <f t="shared" si="46"/>
        <v>9</v>
      </c>
    </row>
    <row r="239" ht="12.75" customHeight="1">
      <c r="A239" s="18"/>
      <c r="B239" s="49"/>
      <c r="C239" s="50" t="s">
        <v>176</v>
      </c>
      <c r="D239" s="51"/>
      <c r="E239" s="73">
        <v>2.0</v>
      </c>
      <c r="F239" s="73">
        <v>2.0</v>
      </c>
      <c r="G239" s="73">
        <v>0.0</v>
      </c>
      <c r="H239" s="73">
        <v>0.0</v>
      </c>
      <c r="I239" s="73">
        <v>6.0</v>
      </c>
      <c r="J239" s="73">
        <v>3.0</v>
      </c>
      <c r="K239" s="73">
        <v>1.0</v>
      </c>
      <c r="L239" s="73">
        <v>0.0</v>
      </c>
      <c r="M239" s="73">
        <v>2.0</v>
      </c>
      <c r="N239" s="73">
        <v>2.0</v>
      </c>
      <c r="O239" s="73">
        <v>4.0</v>
      </c>
      <c r="P239" s="73">
        <v>0.0</v>
      </c>
      <c r="Q239" s="73">
        <v>2.0</v>
      </c>
      <c r="R239" s="73">
        <v>2.0</v>
      </c>
      <c r="S239" s="73">
        <v>1.0</v>
      </c>
      <c r="T239" s="73">
        <v>2.0</v>
      </c>
      <c r="U239" s="13">
        <f t="shared" si="46"/>
        <v>29</v>
      </c>
    </row>
    <row r="240" ht="12.75" customHeight="1">
      <c r="A240" s="18"/>
      <c r="B240" s="49"/>
      <c r="C240" s="50" t="s">
        <v>177</v>
      </c>
      <c r="D240" s="51"/>
      <c r="E240" s="73">
        <v>0.0</v>
      </c>
      <c r="F240" s="73">
        <v>1.0</v>
      </c>
      <c r="G240" s="73">
        <v>0.0</v>
      </c>
      <c r="H240" s="73">
        <v>0.0</v>
      </c>
      <c r="I240" s="73">
        <v>0.0</v>
      </c>
      <c r="J240" s="73">
        <v>0.0</v>
      </c>
      <c r="K240" s="73">
        <v>0.0</v>
      </c>
      <c r="L240" s="73">
        <v>0.0</v>
      </c>
      <c r="M240" s="73">
        <v>0.0</v>
      </c>
      <c r="N240" s="73">
        <v>0.0</v>
      </c>
      <c r="O240" s="73">
        <v>0.0</v>
      </c>
      <c r="P240" s="73">
        <v>0.0</v>
      </c>
      <c r="Q240" s="73">
        <v>0.0</v>
      </c>
      <c r="R240" s="73">
        <v>1.0</v>
      </c>
      <c r="S240" s="73">
        <v>1.0</v>
      </c>
      <c r="T240" s="73">
        <v>1.0</v>
      </c>
      <c r="U240" s="13">
        <f t="shared" si="46"/>
        <v>4</v>
      </c>
    </row>
    <row r="241" ht="12.75" customHeight="1">
      <c r="A241" s="18"/>
      <c r="B241" s="49"/>
      <c r="C241" s="50" t="s">
        <v>178</v>
      </c>
      <c r="D241" s="51"/>
      <c r="E241" s="73">
        <v>0.0</v>
      </c>
      <c r="F241" s="73">
        <v>0.0</v>
      </c>
      <c r="G241" s="73">
        <v>0.0</v>
      </c>
      <c r="H241" s="73">
        <v>0.0</v>
      </c>
      <c r="I241" s="73">
        <v>0.0</v>
      </c>
      <c r="J241" s="73">
        <v>0.0</v>
      </c>
      <c r="K241" s="73">
        <v>1.0</v>
      </c>
      <c r="L241" s="73">
        <v>0.0</v>
      </c>
      <c r="M241" s="73">
        <v>0.0</v>
      </c>
      <c r="N241" s="73">
        <v>0.0</v>
      </c>
      <c r="O241" s="73">
        <v>0.0</v>
      </c>
      <c r="P241" s="73">
        <v>0.0</v>
      </c>
      <c r="Q241" s="73">
        <v>1.0</v>
      </c>
      <c r="R241" s="73">
        <v>0.0</v>
      </c>
      <c r="S241" s="73">
        <v>0.0</v>
      </c>
      <c r="T241" s="73">
        <v>0.0</v>
      </c>
      <c r="U241" s="13">
        <f t="shared" si="46"/>
        <v>2</v>
      </c>
    </row>
    <row r="242" ht="12.75" customHeight="1">
      <c r="A242" s="18"/>
      <c r="B242" s="49"/>
      <c r="C242" s="50" t="s">
        <v>179</v>
      </c>
      <c r="D242" s="51"/>
      <c r="E242" s="73">
        <v>0.0</v>
      </c>
      <c r="F242" s="73">
        <v>0.0</v>
      </c>
      <c r="G242" s="73">
        <v>1.0</v>
      </c>
      <c r="H242" s="73">
        <v>0.0</v>
      </c>
      <c r="I242" s="73">
        <v>0.0</v>
      </c>
      <c r="J242" s="73">
        <v>1.0</v>
      </c>
      <c r="K242" s="73">
        <v>0.0</v>
      </c>
      <c r="L242" s="73">
        <v>0.0</v>
      </c>
      <c r="M242" s="73">
        <v>1.0</v>
      </c>
      <c r="N242" s="73">
        <v>0.0</v>
      </c>
      <c r="O242" s="73">
        <v>1.0</v>
      </c>
      <c r="P242" s="73">
        <v>0.0</v>
      </c>
      <c r="Q242" s="73">
        <v>0.0</v>
      </c>
      <c r="R242" s="73">
        <v>2.0</v>
      </c>
      <c r="S242" s="73">
        <v>1.0</v>
      </c>
      <c r="T242" s="73">
        <v>2.0</v>
      </c>
      <c r="U242" s="13">
        <f t="shared" si="46"/>
        <v>9</v>
      </c>
    </row>
    <row r="243" ht="12.75" customHeight="1">
      <c r="A243" s="18"/>
      <c r="B243" s="49"/>
      <c r="C243" s="50" t="s">
        <v>180</v>
      </c>
      <c r="D243" s="51"/>
      <c r="E243" s="73">
        <v>0.0</v>
      </c>
      <c r="F243" s="73">
        <v>0.0</v>
      </c>
      <c r="G243" s="73">
        <v>0.0</v>
      </c>
      <c r="H243" s="73">
        <v>0.0</v>
      </c>
      <c r="I243" s="73">
        <v>0.0</v>
      </c>
      <c r="J243" s="73">
        <v>0.0</v>
      </c>
      <c r="K243" s="73">
        <v>1.0</v>
      </c>
      <c r="L243" s="73">
        <v>0.0</v>
      </c>
      <c r="M243" s="73">
        <v>0.0</v>
      </c>
      <c r="N243" s="73">
        <v>0.0</v>
      </c>
      <c r="O243" s="73">
        <v>0.0</v>
      </c>
      <c r="P243" s="73">
        <v>0.0</v>
      </c>
      <c r="Q243" s="73">
        <v>0.0</v>
      </c>
      <c r="R243" s="73">
        <v>0.0</v>
      </c>
      <c r="S243" s="73">
        <v>1.0</v>
      </c>
      <c r="T243" s="73">
        <v>0.0</v>
      </c>
      <c r="U243" s="13">
        <f t="shared" si="46"/>
        <v>2</v>
      </c>
    </row>
    <row r="244" ht="12.75" customHeight="1">
      <c r="A244" s="79"/>
      <c r="B244" s="49"/>
      <c r="C244" s="50" t="s">
        <v>181</v>
      </c>
      <c r="D244" s="51"/>
      <c r="E244" s="80">
        <v>0.0</v>
      </c>
      <c r="F244" s="80">
        <v>0.0</v>
      </c>
      <c r="G244" s="80">
        <v>0.0</v>
      </c>
      <c r="H244" s="80">
        <v>0.0</v>
      </c>
      <c r="I244" s="80">
        <v>1.0</v>
      </c>
      <c r="J244" s="80">
        <v>0.0</v>
      </c>
      <c r="K244" s="80">
        <v>0.0</v>
      </c>
      <c r="L244" s="80">
        <v>0.0</v>
      </c>
      <c r="M244" s="80">
        <v>0.0</v>
      </c>
      <c r="N244" s="80">
        <v>0.0</v>
      </c>
      <c r="O244" s="80">
        <v>0.0</v>
      </c>
      <c r="P244" s="80">
        <v>0.0</v>
      </c>
      <c r="Q244" s="80">
        <v>0.0</v>
      </c>
      <c r="R244" s="80">
        <v>0.0</v>
      </c>
      <c r="S244" s="80">
        <v>0.0</v>
      </c>
      <c r="T244" s="80">
        <v>0.0</v>
      </c>
      <c r="U244" s="13">
        <f t="shared" si="46"/>
        <v>1</v>
      </c>
    </row>
    <row r="245" ht="12.75" customHeight="1">
      <c r="A245" s="79"/>
      <c r="B245" s="49"/>
      <c r="C245" s="50" t="s">
        <v>182</v>
      </c>
      <c r="D245" s="51"/>
      <c r="E245" s="80">
        <v>0.0</v>
      </c>
      <c r="F245" s="80">
        <v>0.0</v>
      </c>
      <c r="G245" s="80">
        <v>0.0</v>
      </c>
      <c r="H245" s="80">
        <v>0.0</v>
      </c>
      <c r="I245" s="80">
        <v>0.0</v>
      </c>
      <c r="J245" s="80">
        <v>0.0</v>
      </c>
      <c r="K245" s="80">
        <v>0.0</v>
      </c>
      <c r="L245" s="80">
        <v>0.0</v>
      </c>
      <c r="M245" s="80">
        <v>0.0</v>
      </c>
      <c r="N245" s="80">
        <v>0.0</v>
      </c>
      <c r="O245" s="80">
        <v>0.0</v>
      </c>
      <c r="P245" s="80">
        <v>0.0</v>
      </c>
      <c r="Q245" s="80">
        <v>0.0</v>
      </c>
      <c r="R245" s="80">
        <v>0.0</v>
      </c>
      <c r="S245" s="80">
        <v>0.0</v>
      </c>
      <c r="T245" s="80">
        <v>0.0</v>
      </c>
      <c r="U245" s="13">
        <f t="shared" si="46"/>
        <v>0</v>
      </c>
    </row>
    <row r="246" ht="12.75" customHeight="1">
      <c r="A246" s="79"/>
      <c r="B246" s="49"/>
      <c r="C246" s="50" t="s">
        <v>183</v>
      </c>
      <c r="D246" s="51"/>
      <c r="E246" s="80">
        <v>0.0</v>
      </c>
      <c r="F246" s="80">
        <v>0.0</v>
      </c>
      <c r="G246" s="80">
        <v>0.0</v>
      </c>
      <c r="H246" s="80">
        <v>0.0</v>
      </c>
      <c r="I246" s="80">
        <v>0.0</v>
      </c>
      <c r="J246" s="80">
        <v>0.0</v>
      </c>
      <c r="K246" s="80">
        <v>0.0</v>
      </c>
      <c r="L246" s="80">
        <v>0.0</v>
      </c>
      <c r="M246" s="80">
        <v>0.0</v>
      </c>
      <c r="N246" s="80">
        <v>0.0</v>
      </c>
      <c r="O246" s="80">
        <v>0.0</v>
      </c>
      <c r="P246" s="80">
        <v>0.0</v>
      </c>
      <c r="Q246" s="80">
        <v>0.0</v>
      </c>
      <c r="R246" s="80">
        <v>0.0</v>
      </c>
      <c r="S246" s="80">
        <v>0.0</v>
      </c>
      <c r="T246" s="80">
        <v>0.0</v>
      </c>
      <c r="U246" s="13">
        <f t="shared" si="46"/>
        <v>0</v>
      </c>
    </row>
    <row r="247" ht="12.75" customHeight="1">
      <c r="A247" s="19" t="s">
        <v>14</v>
      </c>
      <c r="B247" s="47" t="s">
        <v>48</v>
      </c>
      <c r="C247" s="15"/>
      <c r="D247" s="16"/>
      <c r="E247" s="13">
        <f t="shared" ref="E247:U247" si="47">SUM(E237:E246)</f>
        <v>3</v>
      </c>
      <c r="F247" s="13">
        <f t="shared" si="47"/>
        <v>4</v>
      </c>
      <c r="G247" s="13">
        <f t="shared" si="47"/>
        <v>4</v>
      </c>
      <c r="H247" s="13">
        <f t="shared" si="47"/>
        <v>0</v>
      </c>
      <c r="I247" s="13">
        <f t="shared" si="47"/>
        <v>9</v>
      </c>
      <c r="J247" s="13">
        <f t="shared" si="47"/>
        <v>5</v>
      </c>
      <c r="K247" s="13">
        <f t="shared" si="47"/>
        <v>4</v>
      </c>
      <c r="L247" s="13">
        <f t="shared" si="47"/>
        <v>0</v>
      </c>
      <c r="M247" s="13">
        <f t="shared" si="47"/>
        <v>3</v>
      </c>
      <c r="N247" s="13">
        <f t="shared" si="47"/>
        <v>4</v>
      </c>
      <c r="O247" s="13">
        <f t="shared" si="47"/>
        <v>5</v>
      </c>
      <c r="P247" s="13">
        <f t="shared" si="47"/>
        <v>1</v>
      </c>
      <c r="Q247" s="13">
        <f t="shared" si="47"/>
        <v>5</v>
      </c>
      <c r="R247" s="13">
        <f t="shared" si="47"/>
        <v>6</v>
      </c>
      <c r="S247" s="13">
        <f t="shared" si="47"/>
        <v>4</v>
      </c>
      <c r="T247" s="13">
        <f t="shared" si="47"/>
        <v>6</v>
      </c>
      <c r="U247" s="13">
        <f t="shared" si="47"/>
        <v>63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184</v>
      </c>
      <c r="C249" s="48" t="s">
        <v>185</v>
      </c>
      <c r="D249" s="16"/>
      <c r="E249" s="73">
        <v>1.0</v>
      </c>
      <c r="F249" s="73">
        <v>0.0</v>
      </c>
      <c r="G249" s="73">
        <v>0.0</v>
      </c>
      <c r="H249" s="73">
        <v>0.0</v>
      </c>
      <c r="I249" s="73">
        <v>0.0</v>
      </c>
      <c r="J249" s="73">
        <v>2.0</v>
      </c>
      <c r="K249" s="73">
        <v>0.0</v>
      </c>
      <c r="L249" s="73">
        <v>0.0</v>
      </c>
      <c r="M249" s="73">
        <v>0.0</v>
      </c>
      <c r="N249" s="73">
        <v>0.0</v>
      </c>
      <c r="O249" s="73">
        <v>0.0</v>
      </c>
      <c r="P249" s="73">
        <v>0.0</v>
      </c>
      <c r="Q249" s="73">
        <v>0.0</v>
      </c>
      <c r="R249" s="73">
        <v>2.0</v>
      </c>
      <c r="S249" s="73">
        <v>0.0</v>
      </c>
      <c r="T249" s="73">
        <v>2.0</v>
      </c>
      <c r="U249" s="13">
        <f t="shared" ref="U249:U258" si="48">SUM(E249:T249)</f>
        <v>7</v>
      </c>
    </row>
    <row r="250" ht="12.75" customHeight="1">
      <c r="A250" s="30" t="s">
        <v>38</v>
      </c>
      <c r="B250" s="49"/>
      <c r="C250" s="50" t="s">
        <v>186</v>
      </c>
      <c r="D250" s="51"/>
      <c r="E250" s="73">
        <v>0.0</v>
      </c>
      <c r="F250" s="73">
        <v>0.0</v>
      </c>
      <c r="G250" s="73">
        <v>1.0</v>
      </c>
      <c r="H250" s="73">
        <v>0.0</v>
      </c>
      <c r="I250" s="73">
        <v>0.0</v>
      </c>
      <c r="J250" s="73">
        <v>3.0</v>
      </c>
      <c r="K250" s="73">
        <v>0.0</v>
      </c>
      <c r="L250" s="73">
        <v>2.0</v>
      </c>
      <c r="M250" s="73">
        <v>1.0</v>
      </c>
      <c r="N250" s="73">
        <v>0.0</v>
      </c>
      <c r="O250" s="73">
        <v>0.0</v>
      </c>
      <c r="P250" s="73">
        <v>0.0</v>
      </c>
      <c r="Q250" s="73">
        <v>0.0</v>
      </c>
      <c r="R250" s="73">
        <v>0.0</v>
      </c>
      <c r="S250" s="73">
        <v>0.0</v>
      </c>
      <c r="T250" s="73">
        <v>0.0</v>
      </c>
      <c r="U250" s="13">
        <f t="shared" si="48"/>
        <v>7</v>
      </c>
    </row>
    <row r="251" ht="12.75" customHeight="1">
      <c r="A251" s="18"/>
      <c r="B251" s="49"/>
      <c r="C251" s="50" t="s">
        <v>187</v>
      </c>
      <c r="D251" s="51"/>
      <c r="E251" s="73">
        <v>0.0</v>
      </c>
      <c r="F251" s="73">
        <v>0.0</v>
      </c>
      <c r="G251" s="73">
        <v>0.0</v>
      </c>
      <c r="H251" s="73">
        <v>0.0</v>
      </c>
      <c r="I251" s="73">
        <v>0.0</v>
      </c>
      <c r="J251" s="73">
        <v>0.0</v>
      </c>
      <c r="K251" s="73">
        <v>0.0</v>
      </c>
      <c r="L251" s="73">
        <v>0.0</v>
      </c>
      <c r="M251" s="73">
        <v>0.0</v>
      </c>
      <c r="N251" s="73">
        <v>0.0</v>
      </c>
      <c r="O251" s="73">
        <v>0.0</v>
      </c>
      <c r="P251" s="73">
        <v>0.0</v>
      </c>
      <c r="Q251" s="73">
        <v>0.0</v>
      </c>
      <c r="R251" s="73">
        <v>0.0</v>
      </c>
      <c r="S251" s="73">
        <v>0.0</v>
      </c>
      <c r="T251" s="73">
        <v>0.0</v>
      </c>
      <c r="U251" s="13">
        <f t="shared" si="48"/>
        <v>0</v>
      </c>
    </row>
    <row r="252" ht="12.75" customHeight="1">
      <c r="A252" s="18"/>
      <c r="B252" s="49"/>
      <c r="C252" s="50" t="s">
        <v>188</v>
      </c>
      <c r="D252" s="51"/>
      <c r="E252" s="73">
        <v>0.0</v>
      </c>
      <c r="F252" s="73">
        <v>0.0</v>
      </c>
      <c r="G252" s="73">
        <v>1.0</v>
      </c>
      <c r="H252" s="73">
        <v>0.0</v>
      </c>
      <c r="I252" s="73">
        <v>0.0</v>
      </c>
      <c r="J252" s="73">
        <v>0.0</v>
      </c>
      <c r="K252" s="73">
        <v>0.0</v>
      </c>
      <c r="L252" s="73">
        <v>0.0</v>
      </c>
      <c r="M252" s="73">
        <v>0.0</v>
      </c>
      <c r="N252" s="73">
        <v>0.0</v>
      </c>
      <c r="O252" s="73">
        <v>0.0</v>
      </c>
      <c r="P252" s="73">
        <v>0.0</v>
      </c>
      <c r="Q252" s="73">
        <v>0.0</v>
      </c>
      <c r="R252" s="73">
        <v>0.0</v>
      </c>
      <c r="S252" s="73">
        <v>0.0</v>
      </c>
      <c r="T252" s="73">
        <v>0.0</v>
      </c>
      <c r="U252" s="13">
        <f t="shared" si="48"/>
        <v>1</v>
      </c>
    </row>
    <row r="253" ht="12.75" customHeight="1">
      <c r="A253" s="18"/>
      <c r="B253" s="57"/>
      <c r="C253" s="58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3">
        <f t="shared" si="48"/>
        <v>0</v>
      </c>
    </row>
    <row r="254" ht="12.75" customHeight="1">
      <c r="A254" s="79"/>
      <c r="B254" s="57"/>
      <c r="C254" s="67"/>
      <c r="D254" s="59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13">
        <f t="shared" si="48"/>
        <v>0</v>
      </c>
    </row>
    <row r="255" ht="12.75" customHeight="1">
      <c r="A255" s="79"/>
      <c r="B255" s="57"/>
      <c r="C255" s="67"/>
      <c r="D255" s="59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13">
        <f t="shared" si="48"/>
        <v>0</v>
      </c>
    </row>
    <row r="256" ht="12.75" customHeight="1">
      <c r="A256" s="79"/>
      <c r="B256" s="57"/>
      <c r="C256" s="65"/>
      <c r="D256" s="59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13">
        <f t="shared" si="48"/>
        <v>0</v>
      </c>
    </row>
    <row r="257" ht="12.75" customHeight="1">
      <c r="A257" s="79"/>
      <c r="B257" s="57"/>
      <c r="C257" s="65"/>
      <c r="D257" s="59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13">
        <f t="shared" si="48"/>
        <v>0</v>
      </c>
    </row>
    <row r="258" ht="12.75" customHeight="1">
      <c r="A258" s="79"/>
      <c r="B258" s="57"/>
      <c r="C258" s="65"/>
      <c r="D258" s="59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13">
        <f t="shared" si="48"/>
        <v>0</v>
      </c>
    </row>
    <row r="259" ht="12.75" customHeight="1">
      <c r="A259" s="19" t="s">
        <v>14</v>
      </c>
      <c r="B259" s="47" t="s">
        <v>48</v>
      </c>
      <c r="C259" s="15"/>
      <c r="D259" s="16"/>
      <c r="E259" s="13">
        <f t="shared" ref="E259:U259" si="49">SUM(E249:E258)</f>
        <v>1</v>
      </c>
      <c r="F259" s="13">
        <f t="shared" si="49"/>
        <v>0</v>
      </c>
      <c r="G259" s="13">
        <f t="shared" si="49"/>
        <v>2</v>
      </c>
      <c r="H259" s="13">
        <f t="shared" si="49"/>
        <v>0</v>
      </c>
      <c r="I259" s="13">
        <f t="shared" si="49"/>
        <v>0</v>
      </c>
      <c r="J259" s="13">
        <f t="shared" si="49"/>
        <v>5</v>
      </c>
      <c r="K259" s="13">
        <f t="shared" si="49"/>
        <v>0</v>
      </c>
      <c r="L259" s="13">
        <f t="shared" si="49"/>
        <v>2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2</v>
      </c>
      <c r="S259" s="13">
        <f t="shared" si="49"/>
        <v>0</v>
      </c>
      <c r="T259" s="13">
        <f t="shared" si="49"/>
        <v>2</v>
      </c>
      <c r="U259" s="13">
        <f t="shared" si="49"/>
        <v>15</v>
      </c>
    </row>
    <row r="260" ht="12.75" customHeight="1"/>
    <row r="261" ht="12.75" customHeight="1">
      <c r="A261" s="42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76"/>
      <c r="P261" s="76"/>
      <c r="Q261" s="76"/>
      <c r="R261" s="76"/>
      <c r="S261" s="76"/>
      <c r="T261" s="13"/>
      <c r="U261" s="13"/>
    </row>
    <row r="262" ht="12.75" customHeight="1">
      <c r="A262" s="42"/>
      <c r="B262" s="68" t="s">
        <v>191</v>
      </c>
      <c r="C262" s="69" t="s">
        <v>192</v>
      </c>
      <c r="D262" s="16"/>
      <c r="E262" s="19">
        <f t="shared" ref="E262:T262" si="50">E55+E67+E79+E91+E103+E115+E127+E139+E151+E163+E175+E187+E199+E211+E223+E235+E247+E259</f>
        <v>173</v>
      </c>
      <c r="F262" s="19">
        <f t="shared" si="50"/>
        <v>140</v>
      </c>
      <c r="G262" s="19">
        <f t="shared" si="50"/>
        <v>155</v>
      </c>
      <c r="H262" s="19">
        <f t="shared" si="50"/>
        <v>178</v>
      </c>
      <c r="I262" s="19">
        <f t="shared" si="50"/>
        <v>168</v>
      </c>
      <c r="J262" s="19">
        <f t="shared" si="50"/>
        <v>177</v>
      </c>
      <c r="K262" s="19">
        <f t="shared" si="50"/>
        <v>181</v>
      </c>
      <c r="L262" s="19">
        <f t="shared" si="50"/>
        <v>179</v>
      </c>
      <c r="M262" s="19">
        <f t="shared" si="50"/>
        <v>176</v>
      </c>
      <c r="N262" s="19">
        <f t="shared" si="50"/>
        <v>227</v>
      </c>
      <c r="O262" s="19">
        <f t="shared" si="50"/>
        <v>156</v>
      </c>
      <c r="P262" s="19">
        <f t="shared" si="50"/>
        <v>195</v>
      </c>
      <c r="Q262" s="19">
        <f t="shared" si="50"/>
        <v>169</v>
      </c>
      <c r="R262" s="19">
        <f t="shared" si="50"/>
        <v>207</v>
      </c>
      <c r="S262" s="19">
        <f t="shared" si="50"/>
        <v>150</v>
      </c>
      <c r="T262" s="19">
        <f t="shared" si="50"/>
        <v>177</v>
      </c>
      <c r="U262" s="13">
        <f t="shared" ref="U262:U264" si="51">SUM(E262:T262)</f>
        <v>2808</v>
      </c>
    </row>
    <row r="263" ht="12.75" customHeight="1">
      <c r="A263" s="35"/>
      <c r="B263" s="68" t="s">
        <v>193</v>
      </c>
      <c r="C263" s="69" t="s">
        <v>194</v>
      </c>
      <c r="D263" s="16"/>
      <c r="E263" s="73">
        <v>38.0</v>
      </c>
      <c r="F263" s="73">
        <v>29.0</v>
      </c>
      <c r="G263" s="73">
        <v>20.0</v>
      </c>
      <c r="H263" s="73">
        <v>28.0</v>
      </c>
      <c r="I263" s="73">
        <v>32.0</v>
      </c>
      <c r="J263" s="73">
        <v>33.0</v>
      </c>
      <c r="K263" s="73">
        <v>36.0</v>
      </c>
      <c r="L263" s="73">
        <v>26.0</v>
      </c>
      <c r="M263" s="73">
        <v>30.0</v>
      </c>
      <c r="N263" s="73">
        <v>30.0</v>
      </c>
      <c r="O263" s="73">
        <v>39.0</v>
      </c>
      <c r="P263" s="73">
        <v>28.0</v>
      </c>
      <c r="Q263" s="73">
        <v>18.0</v>
      </c>
      <c r="R263" s="73">
        <v>27.0</v>
      </c>
      <c r="S263" s="73">
        <v>16.0</v>
      </c>
      <c r="T263" s="73">
        <v>29.0</v>
      </c>
      <c r="U263" s="13">
        <f t="shared" si="51"/>
        <v>459</v>
      </c>
    </row>
    <row r="264" ht="12.75" customHeight="1">
      <c r="A264" s="41"/>
      <c r="B264" s="68" t="s">
        <v>195</v>
      </c>
      <c r="C264" s="69" t="s">
        <v>196</v>
      </c>
      <c r="D264" s="16"/>
      <c r="E264" s="13">
        <f t="shared" ref="E264:T264" si="52">SUM(E262:E263)</f>
        <v>211</v>
      </c>
      <c r="F264" s="13">
        <f t="shared" si="52"/>
        <v>169</v>
      </c>
      <c r="G264" s="13">
        <f t="shared" si="52"/>
        <v>175</v>
      </c>
      <c r="H264" s="13">
        <f t="shared" si="52"/>
        <v>206</v>
      </c>
      <c r="I264" s="13">
        <f t="shared" si="52"/>
        <v>200</v>
      </c>
      <c r="J264" s="13">
        <f t="shared" si="52"/>
        <v>210</v>
      </c>
      <c r="K264" s="13">
        <f t="shared" si="52"/>
        <v>217</v>
      </c>
      <c r="L264" s="13">
        <f t="shared" si="52"/>
        <v>205</v>
      </c>
      <c r="M264" s="13">
        <f t="shared" si="52"/>
        <v>206</v>
      </c>
      <c r="N264" s="13">
        <f t="shared" si="52"/>
        <v>257</v>
      </c>
      <c r="O264" s="13">
        <f t="shared" si="52"/>
        <v>195</v>
      </c>
      <c r="P264" s="13">
        <f t="shared" si="52"/>
        <v>223</v>
      </c>
      <c r="Q264" s="13">
        <f t="shared" si="52"/>
        <v>187</v>
      </c>
      <c r="R264" s="13">
        <f t="shared" si="52"/>
        <v>234</v>
      </c>
      <c r="S264" s="13">
        <f t="shared" si="52"/>
        <v>166</v>
      </c>
      <c r="T264" s="13">
        <f t="shared" si="52"/>
        <v>206</v>
      </c>
      <c r="U264" s="13">
        <f t="shared" si="51"/>
        <v>3267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8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