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bbag Hukum SDM\Downloads\Rogojampi\"/>
    </mc:Choice>
  </mc:AlternateContent>
  <xr:revisionPtr revIDLastSave="0" documentId="13_ncr:1_{F59E7EC4-5AC5-4E20-B3BF-FD5E1196FBC3}" xr6:coauthVersionLast="47" xr6:coauthVersionMax="47" xr10:uidLastSave="{00000000-0000-0000-0000-000000000000}"/>
  <bookViews>
    <workbookView xWindow="-110" yWindow="-110" windowWidth="19420" windowHeight="10420" firstSheet="6" activeTab="10" xr2:uid="{00000000-000D-0000-FFFF-FFFF00000000}"/>
  </bookViews>
  <sheets>
    <sheet name="DPRD PROVINSI" sheetId="1" r:id="rId1"/>
    <sheet name="ALIYAN" sheetId="2" r:id="rId2"/>
    <sheet name="BUBUK" sheetId="3" r:id="rId3"/>
    <sheet name="GITIK" sheetId="4" r:id="rId4"/>
    <sheet name="GLADAG" sheetId="5" r:id="rId5"/>
    <sheet name="KARANGBENDO" sheetId="6" r:id="rId6"/>
    <sheet name="KEDALEMAN" sheetId="7" r:id="rId7"/>
    <sheet name="LEMAHBANGDEWO" sheetId="8" r:id="rId8"/>
    <sheet name="MANGIR" sheetId="9" r:id="rId9"/>
    <sheet name="PENGATIGAN" sheetId="10" r:id="rId10"/>
    <sheet name="ROGOJAMPI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ogziYGofuY3TELkZ31T8azagxGQrGwUL4YTejcqp/Bg="/>
    </ext>
  </extLst>
</workbook>
</file>

<file path=xl/calcChain.xml><?xml version="1.0" encoding="utf-8"?>
<calcChain xmlns="http://schemas.openxmlformats.org/spreadsheetml/2006/main">
  <c r="AM263" i="11" l="1"/>
  <c r="AL259" i="11"/>
  <c r="AK259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AM258" i="11"/>
  <c r="AM257" i="11"/>
  <c r="AM256" i="11"/>
  <c r="AM255" i="11"/>
  <c r="AM254" i="11"/>
  <c r="AM253" i="11"/>
  <c r="AM252" i="11"/>
  <c r="AM251" i="11"/>
  <c r="AM250" i="11"/>
  <c r="AM249" i="11"/>
  <c r="AL247" i="11"/>
  <c r="AK247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AM246" i="11"/>
  <c r="AM245" i="11"/>
  <c r="AM244" i="11"/>
  <c r="AM243" i="11"/>
  <c r="AM242" i="11"/>
  <c r="AM241" i="11"/>
  <c r="AM240" i="11"/>
  <c r="AM239" i="11"/>
  <c r="AM238" i="11"/>
  <c r="AM237" i="11"/>
  <c r="AL235" i="11"/>
  <c r="AK235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AM234" i="11"/>
  <c r="AM233" i="11"/>
  <c r="AM232" i="11"/>
  <c r="AM231" i="11"/>
  <c r="AM230" i="11"/>
  <c r="AM229" i="11"/>
  <c r="AM228" i="11"/>
  <c r="AM227" i="11"/>
  <c r="AM226" i="11"/>
  <c r="AM225" i="11"/>
  <c r="AL223" i="11"/>
  <c r="AK223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AM222" i="11"/>
  <c r="AM221" i="11"/>
  <c r="AM220" i="11"/>
  <c r="AM219" i="11"/>
  <c r="AM218" i="11"/>
  <c r="AM217" i="11"/>
  <c r="AM216" i="11"/>
  <c r="AM215" i="11"/>
  <c r="AM214" i="11"/>
  <c r="AM213" i="11"/>
  <c r="AL211" i="11"/>
  <c r="AK211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AM210" i="11"/>
  <c r="AM209" i="11"/>
  <c r="AM208" i="11"/>
  <c r="AM207" i="11"/>
  <c r="AM206" i="11"/>
  <c r="AM205" i="11"/>
  <c r="AM204" i="11"/>
  <c r="AM203" i="11"/>
  <c r="AM202" i="11"/>
  <c r="AM201" i="11"/>
  <c r="AL199" i="11"/>
  <c r="AK199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AM198" i="11"/>
  <c r="AM197" i="11"/>
  <c r="AM196" i="11"/>
  <c r="AM195" i="11"/>
  <c r="AM194" i="11"/>
  <c r="AM193" i="11"/>
  <c r="AM192" i="11"/>
  <c r="AM191" i="11"/>
  <c r="AM190" i="11"/>
  <c r="AM189" i="11"/>
  <c r="AL187" i="11"/>
  <c r="AK187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AM186" i="11"/>
  <c r="AM185" i="11"/>
  <c r="AM184" i="11"/>
  <c r="AM183" i="11"/>
  <c r="AM182" i="11"/>
  <c r="AM181" i="11"/>
  <c r="AM180" i="11"/>
  <c r="AM179" i="11"/>
  <c r="AM178" i="11"/>
  <c r="AM177" i="11"/>
  <c r="AL175" i="11"/>
  <c r="AK175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AM174" i="11"/>
  <c r="AM173" i="11"/>
  <c r="AM172" i="11"/>
  <c r="AM171" i="11"/>
  <c r="AM170" i="11"/>
  <c r="AM169" i="11"/>
  <c r="AM168" i="11"/>
  <c r="AM167" i="11"/>
  <c r="AM166" i="11"/>
  <c r="AM165" i="11"/>
  <c r="AL163" i="11"/>
  <c r="AK163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AM157" i="11" s="1"/>
  <c r="AM162" i="11"/>
  <c r="AM161" i="11"/>
  <c r="AM160" i="11"/>
  <c r="AM159" i="11"/>
  <c r="AM158" i="11"/>
  <c r="AM156" i="11"/>
  <c r="AM155" i="11"/>
  <c r="AM154" i="11"/>
  <c r="AM153" i="11"/>
  <c r="AL151" i="11"/>
  <c r="AK151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AM150" i="11"/>
  <c r="AM149" i="11"/>
  <c r="AM148" i="11"/>
  <c r="AM147" i="11"/>
  <c r="AM146" i="11"/>
  <c r="AM145" i="11"/>
  <c r="AM144" i="11"/>
  <c r="AM143" i="11"/>
  <c r="AM142" i="11"/>
  <c r="AM141" i="11"/>
  <c r="AL139" i="11"/>
  <c r="AK139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AM138" i="11"/>
  <c r="AM137" i="11"/>
  <c r="AM136" i="11"/>
  <c r="AM135" i="11"/>
  <c r="AM134" i="11"/>
  <c r="AM133" i="11"/>
  <c r="AM132" i="11"/>
  <c r="AM131" i="11"/>
  <c r="AM130" i="11"/>
  <c r="AM129" i="11"/>
  <c r="AL127" i="11"/>
  <c r="AK127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AM126" i="11"/>
  <c r="AM125" i="11"/>
  <c r="AM124" i="11"/>
  <c r="AM123" i="11"/>
  <c r="AM122" i="11"/>
  <c r="AM121" i="11"/>
  <c r="AM120" i="11"/>
  <c r="AM119" i="11"/>
  <c r="AM118" i="11"/>
  <c r="AM117" i="11"/>
  <c r="AL115" i="11"/>
  <c r="AK115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AM114" i="11"/>
  <c r="AM113" i="11"/>
  <c r="AM112" i="11"/>
  <c r="AM111" i="11"/>
  <c r="AM110" i="11"/>
  <c r="AM109" i="11"/>
  <c r="AM108" i="11"/>
  <c r="AM107" i="11"/>
  <c r="AM106" i="11"/>
  <c r="AM105" i="11"/>
  <c r="AL103" i="11"/>
  <c r="AK103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AM102" i="11"/>
  <c r="AM101" i="11"/>
  <c r="AM100" i="11"/>
  <c r="AM99" i="11"/>
  <c r="AM98" i="11"/>
  <c r="AM97" i="11"/>
  <c r="AM96" i="11"/>
  <c r="AM95" i="11"/>
  <c r="AM94" i="11"/>
  <c r="AM93" i="11"/>
  <c r="AL91" i="11"/>
  <c r="AK91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AM90" i="11"/>
  <c r="AM89" i="11"/>
  <c r="AM88" i="11"/>
  <c r="AM87" i="11"/>
  <c r="AM86" i="11"/>
  <c r="AM85" i="11"/>
  <c r="AM84" i="11"/>
  <c r="AM83" i="11"/>
  <c r="AM82" i="11"/>
  <c r="AM81" i="11"/>
  <c r="AL79" i="11"/>
  <c r="AK79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AM78" i="11"/>
  <c r="AM77" i="11"/>
  <c r="AM76" i="11"/>
  <c r="AM75" i="11"/>
  <c r="AM74" i="11"/>
  <c r="AM73" i="11"/>
  <c r="AM72" i="11"/>
  <c r="AM71" i="11"/>
  <c r="AM70" i="11"/>
  <c r="AM69" i="11"/>
  <c r="AL67" i="11"/>
  <c r="AK67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AM66" i="11"/>
  <c r="AM65" i="11"/>
  <c r="AM64" i="11"/>
  <c r="AM63" i="11"/>
  <c r="AM62" i="11"/>
  <c r="AM61" i="11"/>
  <c r="AM60" i="11"/>
  <c r="AM59" i="11"/>
  <c r="AM58" i="11"/>
  <c r="AM57" i="1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AM54" i="11"/>
  <c r="AM53" i="11"/>
  <c r="AM52" i="11"/>
  <c r="AM51" i="11"/>
  <c r="AM50" i="11"/>
  <c r="AM49" i="11"/>
  <c r="AM48" i="11"/>
  <c r="AM47" i="11"/>
  <c r="AM46" i="11"/>
  <c r="AM45" i="11"/>
  <c r="AL41" i="11"/>
  <c r="AK41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AM40" i="11"/>
  <c r="AM39" i="11"/>
  <c r="AL36" i="11"/>
  <c r="AK36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AM35" i="11"/>
  <c r="AM34" i="11"/>
  <c r="AM33" i="11"/>
  <c r="AB30" i="11"/>
  <c r="AL29" i="11"/>
  <c r="AK29" i="11"/>
  <c r="AJ29" i="11"/>
  <c r="AI29" i="11"/>
  <c r="AH29" i="11"/>
  <c r="AG29" i="11"/>
  <c r="AF29" i="11"/>
  <c r="AF30" i="11" s="1"/>
  <c r="AE29" i="11"/>
  <c r="AD29" i="11"/>
  <c r="AC29" i="11"/>
  <c r="AB29" i="11"/>
  <c r="AA29" i="11"/>
  <c r="Z29" i="11"/>
  <c r="Y29" i="11"/>
  <c r="X29" i="11"/>
  <c r="X30" i="11" s="1"/>
  <c r="W29" i="11"/>
  <c r="V29" i="11"/>
  <c r="U29" i="11"/>
  <c r="T29" i="11"/>
  <c r="T30" i="11" s="1"/>
  <c r="S29" i="11"/>
  <c r="R29" i="11"/>
  <c r="Q29" i="11"/>
  <c r="P29" i="11"/>
  <c r="P30" i="11" s="1"/>
  <c r="O29" i="11"/>
  <c r="N29" i="11"/>
  <c r="M29" i="11"/>
  <c r="L29" i="11"/>
  <c r="K29" i="11"/>
  <c r="J29" i="11"/>
  <c r="I29" i="11"/>
  <c r="H29" i="11"/>
  <c r="H30" i="11" s="1"/>
  <c r="G29" i="11"/>
  <c r="AM29" i="11" s="1"/>
  <c r="F29" i="11"/>
  <c r="E29" i="11"/>
  <c r="AL28" i="11"/>
  <c r="AL30" i="11" s="1"/>
  <c r="AK28" i="11"/>
  <c r="AK30" i="11" s="1"/>
  <c r="AJ28" i="11"/>
  <c r="AI28" i="11"/>
  <c r="AH28" i="11"/>
  <c r="AH30" i="11" s="1"/>
  <c r="AG28" i="11"/>
  <c r="AG30" i="11" s="1"/>
  <c r="AF28" i="11"/>
  <c r="AE28" i="11"/>
  <c r="AD28" i="11"/>
  <c r="AD30" i="11" s="1"/>
  <c r="AC28" i="11"/>
  <c r="AC30" i="11" s="1"/>
  <c r="AB28" i="11"/>
  <c r="AA28" i="11"/>
  <c r="Z28" i="11"/>
  <c r="Z30" i="11" s="1"/>
  <c r="Y28" i="11"/>
  <c r="Y30" i="11" s="1"/>
  <c r="X28" i="11"/>
  <c r="W28" i="11"/>
  <c r="V28" i="11"/>
  <c r="V30" i="11" s="1"/>
  <c r="U28" i="11"/>
  <c r="U30" i="11" s="1"/>
  <c r="T28" i="11"/>
  <c r="S28" i="11"/>
  <c r="R28" i="11"/>
  <c r="R30" i="11" s="1"/>
  <c r="Q28" i="11"/>
  <c r="Q30" i="11" s="1"/>
  <c r="P28" i="11"/>
  <c r="O28" i="11"/>
  <c r="N28" i="11"/>
  <c r="N30" i="11" s="1"/>
  <c r="M28" i="11"/>
  <c r="M30" i="11" s="1"/>
  <c r="L28" i="11"/>
  <c r="K28" i="11"/>
  <c r="J28" i="11"/>
  <c r="J30" i="11" s="1"/>
  <c r="I28" i="11"/>
  <c r="I30" i="11" s="1"/>
  <c r="H28" i="11"/>
  <c r="G28" i="11"/>
  <c r="F28" i="11"/>
  <c r="E28" i="11"/>
  <c r="E30" i="11" s="1"/>
  <c r="AL27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AM26" i="11"/>
  <c r="AM25" i="11"/>
  <c r="AL24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AM23" i="11"/>
  <c r="AM22" i="1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AM21" i="11" s="1"/>
  <c r="F21" i="11"/>
  <c r="E21" i="11"/>
  <c r="AM20" i="11"/>
  <c r="AM19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AM15" i="11"/>
  <c r="AM14" i="11"/>
  <c r="Y263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Y258" i="10"/>
  <c r="Y257" i="10"/>
  <c r="Y256" i="10"/>
  <c r="Y255" i="10"/>
  <c r="Y254" i="10"/>
  <c r="Y253" i="10"/>
  <c r="Y252" i="10"/>
  <c r="Y251" i="10"/>
  <c r="Y250" i="10"/>
  <c r="Y249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Y246" i="10"/>
  <c r="Y245" i="10"/>
  <c r="Y244" i="10"/>
  <c r="Y243" i="10"/>
  <c r="Y242" i="10"/>
  <c r="Y241" i="10"/>
  <c r="Y240" i="10"/>
  <c r="Y239" i="10"/>
  <c r="Y238" i="10"/>
  <c r="Y237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Y234" i="10"/>
  <c r="Y233" i="10"/>
  <c r="Y232" i="10"/>
  <c r="Y231" i="10"/>
  <c r="Y230" i="10"/>
  <c r="Y229" i="10"/>
  <c r="Y228" i="10"/>
  <c r="Y227" i="10"/>
  <c r="Y226" i="10"/>
  <c r="Y225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Y222" i="10"/>
  <c r="Y221" i="10"/>
  <c r="Y220" i="10"/>
  <c r="Y219" i="10"/>
  <c r="Y218" i="10"/>
  <c r="Y217" i="10"/>
  <c r="Y216" i="10"/>
  <c r="Y215" i="10"/>
  <c r="Y214" i="10"/>
  <c r="Y213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Y210" i="10"/>
  <c r="Y209" i="10"/>
  <c r="Y208" i="10"/>
  <c r="Y207" i="10"/>
  <c r="Y206" i="10"/>
  <c r="Y205" i="10"/>
  <c r="Y204" i="10"/>
  <c r="Y203" i="10"/>
  <c r="Y202" i="10"/>
  <c r="Y201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Y198" i="10"/>
  <c r="Y197" i="10"/>
  <c r="Y196" i="10"/>
  <c r="Y195" i="10"/>
  <c r="Y194" i="10"/>
  <c r="Y193" i="10"/>
  <c r="Y192" i="10"/>
  <c r="Y191" i="10"/>
  <c r="Y190" i="10"/>
  <c r="Y189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Y186" i="10"/>
  <c r="Y185" i="10"/>
  <c r="Y184" i="10"/>
  <c r="Y183" i="10"/>
  <c r="Y182" i="10"/>
  <c r="Y181" i="10"/>
  <c r="Y180" i="10"/>
  <c r="Y179" i="10"/>
  <c r="Y178" i="10"/>
  <c r="Y177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Y174" i="10"/>
  <c r="Y173" i="10"/>
  <c r="Y172" i="10"/>
  <c r="Y171" i="10"/>
  <c r="Y170" i="10"/>
  <c r="Y169" i="10"/>
  <c r="Y168" i="10"/>
  <c r="Y167" i="10"/>
  <c r="Y166" i="10"/>
  <c r="Y165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Y157" i="10" s="1"/>
  <c r="E163" i="10"/>
  <c r="Y162" i="10"/>
  <c r="Y161" i="10"/>
  <c r="Y160" i="10"/>
  <c r="Y159" i="10"/>
  <c r="Y158" i="10"/>
  <c r="Y156" i="10"/>
  <c r="Y155" i="10"/>
  <c r="Y154" i="10"/>
  <c r="Y153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Y150" i="10"/>
  <c r="Y149" i="10"/>
  <c r="Y148" i="10"/>
  <c r="Y147" i="10"/>
  <c r="Y146" i="10"/>
  <c r="Y145" i="10"/>
  <c r="Y144" i="10"/>
  <c r="Y143" i="10"/>
  <c r="Y142" i="10"/>
  <c r="Y141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Y138" i="10"/>
  <c r="Y137" i="10"/>
  <c r="Y136" i="10"/>
  <c r="Y135" i="10"/>
  <c r="Y134" i="10"/>
  <c r="Y133" i="10"/>
  <c r="Y132" i="10"/>
  <c r="Y131" i="10"/>
  <c r="Y130" i="10"/>
  <c r="Y129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Y126" i="10"/>
  <c r="Y125" i="10"/>
  <c r="Y124" i="10"/>
  <c r="Y123" i="10"/>
  <c r="Y122" i="10"/>
  <c r="Y121" i="10"/>
  <c r="Y120" i="10"/>
  <c r="Y119" i="10"/>
  <c r="Y118" i="10"/>
  <c r="Y117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Y114" i="10"/>
  <c r="Y113" i="10"/>
  <c r="Y112" i="10"/>
  <c r="Y111" i="10"/>
  <c r="Y110" i="10"/>
  <c r="Y109" i="10"/>
  <c r="Y108" i="10"/>
  <c r="Y107" i="10"/>
  <c r="Y106" i="10"/>
  <c r="Y105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Y102" i="10"/>
  <c r="Y101" i="10"/>
  <c r="Y100" i="10"/>
  <c r="Y99" i="10"/>
  <c r="Y98" i="10"/>
  <c r="Y97" i="10"/>
  <c r="Y96" i="10"/>
  <c r="Y95" i="10"/>
  <c r="Y94" i="10"/>
  <c r="Y93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Y90" i="10"/>
  <c r="Y89" i="10"/>
  <c r="Y88" i="10"/>
  <c r="Y87" i="10"/>
  <c r="Y86" i="10"/>
  <c r="Y85" i="10"/>
  <c r="Y84" i="10"/>
  <c r="Y83" i="10"/>
  <c r="Y82" i="10"/>
  <c r="Y81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Y78" i="10"/>
  <c r="Y77" i="10"/>
  <c r="Y76" i="10"/>
  <c r="Y75" i="10"/>
  <c r="Y74" i="10"/>
  <c r="Y73" i="10"/>
  <c r="Y72" i="10"/>
  <c r="Y71" i="10"/>
  <c r="Y70" i="10"/>
  <c r="Y69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Y66" i="10"/>
  <c r="Y65" i="10"/>
  <c r="Y64" i="10"/>
  <c r="Y63" i="10"/>
  <c r="Y62" i="10"/>
  <c r="Y61" i="10"/>
  <c r="Y60" i="10"/>
  <c r="Y59" i="10"/>
  <c r="Y58" i="10"/>
  <c r="Y57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Y54" i="10"/>
  <c r="Y53" i="10"/>
  <c r="Y52" i="10"/>
  <c r="Y51" i="10"/>
  <c r="Y50" i="10"/>
  <c r="Y49" i="10"/>
  <c r="Y48" i="10"/>
  <c r="Y47" i="10"/>
  <c r="Y55" i="10" s="1"/>
  <c r="Y46" i="10"/>
  <c r="Y45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Y40" i="10"/>
  <c r="Y39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Y35" i="10"/>
  <c r="Y34" i="10"/>
  <c r="Y33" i="10"/>
  <c r="W30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X28" i="10"/>
  <c r="W28" i="10"/>
  <c r="V28" i="10"/>
  <c r="U28" i="10"/>
  <c r="T28" i="10"/>
  <c r="T30" i="10" s="1"/>
  <c r="S28" i="10"/>
  <c r="S30" i="10" s="1"/>
  <c r="R28" i="10"/>
  <c r="R30" i="10" s="1"/>
  <c r="Q28" i="10"/>
  <c r="P28" i="10"/>
  <c r="O28" i="10"/>
  <c r="O30" i="10" s="1"/>
  <c r="N28" i="10"/>
  <c r="N30" i="10" s="1"/>
  <c r="M28" i="10"/>
  <c r="L28" i="10"/>
  <c r="K28" i="10"/>
  <c r="K30" i="10" s="1"/>
  <c r="J28" i="10"/>
  <c r="J30" i="10" s="1"/>
  <c r="I28" i="10"/>
  <c r="H28" i="10"/>
  <c r="G28" i="10"/>
  <c r="G30" i="10" s="1"/>
  <c r="F28" i="10"/>
  <c r="F30" i="10" s="1"/>
  <c r="E28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Y26" i="10"/>
  <c r="Y25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Y23" i="10"/>
  <c r="Y22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Y20" i="10"/>
  <c r="Y19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Y15" i="10"/>
  <c r="Y14" i="10"/>
  <c r="S263" i="9"/>
  <c r="R259" i="9"/>
  <c r="Q259" i="9"/>
  <c r="P259" i="9"/>
  <c r="O259" i="9"/>
  <c r="N259" i="9"/>
  <c r="M259" i="9"/>
  <c r="L259" i="9"/>
  <c r="K259" i="9"/>
  <c r="J259" i="9"/>
  <c r="I259" i="9"/>
  <c r="H259" i="9"/>
  <c r="G259" i="9"/>
  <c r="F259" i="9"/>
  <c r="E259" i="9"/>
  <c r="S258" i="9"/>
  <c r="S257" i="9"/>
  <c r="S256" i="9"/>
  <c r="S255" i="9"/>
  <c r="S254" i="9"/>
  <c r="S253" i="9"/>
  <c r="S252" i="9"/>
  <c r="S251" i="9"/>
  <c r="S250" i="9"/>
  <c r="S249" i="9"/>
  <c r="R247" i="9"/>
  <c r="Q247" i="9"/>
  <c r="P247" i="9"/>
  <c r="O247" i="9"/>
  <c r="N247" i="9"/>
  <c r="M247" i="9"/>
  <c r="L247" i="9"/>
  <c r="K247" i="9"/>
  <c r="J247" i="9"/>
  <c r="I247" i="9"/>
  <c r="H247" i="9"/>
  <c r="G247" i="9"/>
  <c r="F247" i="9"/>
  <c r="E247" i="9"/>
  <c r="S246" i="9"/>
  <c r="S245" i="9"/>
  <c r="S244" i="9"/>
  <c r="S243" i="9"/>
  <c r="S242" i="9"/>
  <c r="S241" i="9"/>
  <c r="S240" i="9"/>
  <c r="S239" i="9"/>
  <c r="S238" i="9"/>
  <c r="S237" i="9"/>
  <c r="R235" i="9"/>
  <c r="Q235" i="9"/>
  <c r="P235" i="9"/>
  <c r="O235" i="9"/>
  <c r="N235" i="9"/>
  <c r="M235" i="9"/>
  <c r="L235" i="9"/>
  <c r="K235" i="9"/>
  <c r="J235" i="9"/>
  <c r="I235" i="9"/>
  <c r="H235" i="9"/>
  <c r="G235" i="9"/>
  <c r="F235" i="9"/>
  <c r="E235" i="9"/>
  <c r="S234" i="9"/>
  <c r="S233" i="9"/>
  <c r="S232" i="9"/>
  <c r="S231" i="9"/>
  <c r="S230" i="9"/>
  <c r="S229" i="9"/>
  <c r="S228" i="9"/>
  <c r="S227" i="9"/>
  <c r="S226" i="9"/>
  <c r="S225" i="9"/>
  <c r="R223" i="9"/>
  <c r="Q223" i="9"/>
  <c r="P223" i="9"/>
  <c r="O223" i="9"/>
  <c r="N223" i="9"/>
  <c r="M223" i="9"/>
  <c r="L223" i="9"/>
  <c r="K223" i="9"/>
  <c r="J223" i="9"/>
  <c r="I223" i="9"/>
  <c r="H223" i="9"/>
  <c r="G223" i="9"/>
  <c r="F223" i="9"/>
  <c r="E223" i="9"/>
  <c r="S222" i="9"/>
  <c r="S221" i="9"/>
  <c r="S220" i="9"/>
  <c r="S219" i="9"/>
  <c r="S218" i="9"/>
  <c r="S217" i="9"/>
  <c r="S216" i="9"/>
  <c r="S215" i="9"/>
  <c r="S214" i="9"/>
  <c r="S213" i="9"/>
  <c r="R211" i="9"/>
  <c r="Q211" i="9"/>
  <c r="P211" i="9"/>
  <c r="O211" i="9"/>
  <c r="N211" i="9"/>
  <c r="M211" i="9"/>
  <c r="L211" i="9"/>
  <c r="K211" i="9"/>
  <c r="J211" i="9"/>
  <c r="I211" i="9"/>
  <c r="H211" i="9"/>
  <c r="G211" i="9"/>
  <c r="F211" i="9"/>
  <c r="E211" i="9"/>
  <c r="S210" i="9"/>
  <c r="S209" i="9"/>
  <c r="S208" i="9"/>
  <c r="S207" i="9"/>
  <c r="S206" i="9"/>
  <c r="S205" i="9"/>
  <c r="S204" i="9"/>
  <c r="S203" i="9"/>
  <c r="S202" i="9"/>
  <c r="S201" i="9"/>
  <c r="R199" i="9"/>
  <c r="Q199" i="9"/>
  <c r="P199" i="9"/>
  <c r="O199" i="9"/>
  <c r="N199" i="9"/>
  <c r="M199" i="9"/>
  <c r="L199" i="9"/>
  <c r="K199" i="9"/>
  <c r="J199" i="9"/>
  <c r="I199" i="9"/>
  <c r="H199" i="9"/>
  <c r="G199" i="9"/>
  <c r="F199" i="9"/>
  <c r="E199" i="9"/>
  <c r="S198" i="9"/>
  <c r="S197" i="9"/>
  <c r="S196" i="9"/>
  <c r="S195" i="9"/>
  <c r="S194" i="9"/>
  <c r="S193" i="9"/>
  <c r="S192" i="9"/>
  <c r="S191" i="9"/>
  <c r="S190" i="9"/>
  <c r="S189" i="9"/>
  <c r="R187" i="9"/>
  <c r="Q187" i="9"/>
  <c r="P187" i="9"/>
  <c r="O187" i="9"/>
  <c r="N187" i="9"/>
  <c r="M187" i="9"/>
  <c r="L187" i="9"/>
  <c r="K187" i="9"/>
  <c r="J187" i="9"/>
  <c r="I187" i="9"/>
  <c r="H187" i="9"/>
  <c r="G187" i="9"/>
  <c r="F187" i="9"/>
  <c r="E187" i="9"/>
  <c r="S186" i="9"/>
  <c r="S185" i="9"/>
  <c r="S184" i="9"/>
  <c r="S183" i="9"/>
  <c r="S182" i="9"/>
  <c r="S181" i="9"/>
  <c r="S180" i="9"/>
  <c r="S179" i="9"/>
  <c r="S178" i="9"/>
  <c r="S177" i="9"/>
  <c r="R175" i="9"/>
  <c r="Q175" i="9"/>
  <c r="P175" i="9"/>
  <c r="O175" i="9"/>
  <c r="N175" i="9"/>
  <c r="M175" i="9"/>
  <c r="L175" i="9"/>
  <c r="K175" i="9"/>
  <c r="J175" i="9"/>
  <c r="I175" i="9"/>
  <c r="H175" i="9"/>
  <c r="G175" i="9"/>
  <c r="F175" i="9"/>
  <c r="E175" i="9"/>
  <c r="S174" i="9"/>
  <c r="S173" i="9"/>
  <c r="S172" i="9"/>
  <c r="S171" i="9"/>
  <c r="S170" i="9"/>
  <c r="S169" i="9"/>
  <c r="S168" i="9"/>
  <c r="S167" i="9"/>
  <c r="S166" i="9"/>
  <c r="S165" i="9"/>
  <c r="R163" i="9"/>
  <c r="Q163" i="9"/>
  <c r="P163" i="9"/>
  <c r="O163" i="9"/>
  <c r="N163" i="9"/>
  <c r="M163" i="9"/>
  <c r="L163" i="9"/>
  <c r="K163" i="9"/>
  <c r="J163" i="9"/>
  <c r="I163" i="9"/>
  <c r="H163" i="9"/>
  <c r="G163" i="9"/>
  <c r="F163" i="9"/>
  <c r="E163" i="9"/>
  <c r="S157" i="9" s="1"/>
  <c r="S162" i="9"/>
  <c r="S161" i="9"/>
  <c r="S160" i="9"/>
  <c r="S159" i="9"/>
  <c r="S158" i="9"/>
  <c r="S156" i="9"/>
  <c r="S155" i="9"/>
  <c r="S154" i="9"/>
  <c r="S153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S150" i="9"/>
  <c r="S149" i="9"/>
  <c r="S148" i="9"/>
  <c r="S147" i="9"/>
  <c r="S146" i="9"/>
  <c r="S145" i="9"/>
  <c r="S144" i="9"/>
  <c r="S143" i="9"/>
  <c r="S142" i="9"/>
  <c r="S141" i="9"/>
  <c r="S151" i="9" s="1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S138" i="9"/>
  <c r="S137" i="9"/>
  <c r="S136" i="9"/>
  <c r="S135" i="9"/>
  <c r="S134" i="9"/>
  <c r="S133" i="9"/>
  <c r="S132" i="9"/>
  <c r="S131" i="9"/>
  <c r="S130" i="9"/>
  <c r="S129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S126" i="9"/>
  <c r="S125" i="9"/>
  <c r="S124" i="9"/>
  <c r="S123" i="9"/>
  <c r="S122" i="9"/>
  <c r="S121" i="9"/>
  <c r="S120" i="9"/>
  <c r="S119" i="9"/>
  <c r="S118" i="9"/>
  <c r="S117" i="9"/>
  <c r="R115" i="9"/>
  <c r="Q115" i="9"/>
  <c r="P115" i="9"/>
  <c r="O115" i="9"/>
  <c r="N115" i="9"/>
  <c r="M115" i="9"/>
  <c r="L115" i="9"/>
  <c r="K115" i="9"/>
  <c r="J115" i="9"/>
  <c r="I115" i="9"/>
  <c r="H115" i="9"/>
  <c r="G115" i="9"/>
  <c r="F115" i="9"/>
  <c r="E115" i="9"/>
  <c r="S114" i="9"/>
  <c r="S113" i="9"/>
  <c r="S112" i="9"/>
  <c r="S111" i="9"/>
  <c r="S110" i="9"/>
  <c r="S109" i="9"/>
  <c r="S108" i="9"/>
  <c r="S107" i="9"/>
  <c r="S106" i="9"/>
  <c r="S105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S102" i="9"/>
  <c r="S101" i="9"/>
  <c r="S100" i="9"/>
  <c r="S99" i="9"/>
  <c r="S98" i="9"/>
  <c r="S97" i="9"/>
  <c r="S96" i="9"/>
  <c r="S95" i="9"/>
  <c r="S94" i="9"/>
  <c r="S93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S90" i="9"/>
  <c r="S89" i="9"/>
  <c r="S88" i="9"/>
  <c r="S87" i="9"/>
  <c r="S86" i="9"/>
  <c r="S85" i="9"/>
  <c r="S84" i="9"/>
  <c r="S83" i="9"/>
  <c r="S82" i="9"/>
  <c r="S81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S78" i="9"/>
  <c r="S77" i="9"/>
  <c r="S76" i="9"/>
  <c r="S75" i="9"/>
  <c r="S74" i="9"/>
  <c r="S73" i="9"/>
  <c r="S72" i="9"/>
  <c r="S71" i="9"/>
  <c r="S70" i="9"/>
  <c r="S69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S66" i="9"/>
  <c r="S65" i="9"/>
  <c r="S64" i="9"/>
  <c r="S63" i="9"/>
  <c r="S62" i="9"/>
  <c r="S61" i="9"/>
  <c r="S60" i="9"/>
  <c r="S59" i="9"/>
  <c r="S58" i="9"/>
  <c r="S57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S54" i="9"/>
  <c r="S53" i="9"/>
  <c r="S52" i="9"/>
  <c r="S51" i="9"/>
  <c r="S50" i="9"/>
  <c r="S49" i="9"/>
  <c r="S48" i="9"/>
  <c r="S47" i="9"/>
  <c r="S46" i="9"/>
  <c r="S45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S41" i="9" s="1"/>
  <c r="S40" i="9"/>
  <c r="S39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S35" i="9"/>
  <c r="S34" i="9"/>
  <c r="S33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R28" i="9"/>
  <c r="Q28" i="9"/>
  <c r="Q30" i="9" s="1"/>
  <c r="P28" i="9"/>
  <c r="O28" i="9"/>
  <c r="N28" i="9"/>
  <c r="M28" i="9"/>
  <c r="M30" i="9" s="1"/>
  <c r="L28" i="9"/>
  <c r="K28" i="9"/>
  <c r="J28" i="9"/>
  <c r="I28" i="9"/>
  <c r="I30" i="9" s="1"/>
  <c r="H28" i="9"/>
  <c r="G28" i="9"/>
  <c r="F28" i="9"/>
  <c r="E28" i="9"/>
  <c r="E30" i="9" s="1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S26" i="9"/>
  <c r="S25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S23" i="9"/>
  <c r="S22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S20" i="9"/>
  <c r="S19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S15" i="9"/>
  <c r="S14" i="9"/>
  <c r="O263" i="8"/>
  <c r="N259" i="8"/>
  <c r="M259" i="8"/>
  <c r="L259" i="8"/>
  <c r="K259" i="8"/>
  <c r="J259" i="8"/>
  <c r="I259" i="8"/>
  <c r="H259" i="8"/>
  <c r="G259" i="8"/>
  <c r="F259" i="8"/>
  <c r="E259" i="8"/>
  <c r="O258" i="8"/>
  <c r="O257" i="8"/>
  <c r="O256" i="8"/>
  <c r="O255" i="8"/>
  <c r="O254" i="8"/>
  <c r="O253" i="8"/>
  <c r="O252" i="8"/>
  <c r="O251" i="8"/>
  <c r="O250" i="8"/>
  <c r="O249" i="8"/>
  <c r="O259" i="8" s="1"/>
  <c r="N247" i="8"/>
  <c r="M247" i="8"/>
  <c r="L247" i="8"/>
  <c r="K247" i="8"/>
  <c r="J247" i="8"/>
  <c r="I247" i="8"/>
  <c r="H247" i="8"/>
  <c r="G247" i="8"/>
  <c r="F247" i="8"/>
  <c r="E247" i="8"/>
  <c r="O246" i="8"/>
  <c r="O245" i="8"/>
  <c r="O244" i="8"/>
  <c r="O243" i="8"/>
  <c r="O242" i="8"/>
  <c r="O241" i="8"/>
  <c r="O240" i="8"/>
  <c r="O239" i="8"/>
  <c r="O238" i="8"/>
  <c r="O237" i="8"/>
  <c r="O247" i="8" s="1"/>
  <c r="N235" i="8"/>
  <c r="M235" i="8"/>
  <c r="L235" i="8"/>
  <c r="K235" i="8"/>
  <c r="J235" i="8"/>
  <c r="I235" i="8"/>
  <c r="H235" i="8"/>
  <c r="G235" i="8"/>
  <c r="F235" i="8"/>
  <c r="E235" i="8"/>
  <c r="O234" i="8"/>
  <c r="O233" i="8"/>
  <c r="O232" i="8"/>
  <c r="O231" i="8"/>
  <c r="O230" i="8"/>
  <c r="O229" i="8"/>
  <c r="O228" i="8"/>
  <c r="O227" i="8"/>
  <c r="O226" i="8"/>
  <c r="O225" i="8"/>
  <c r="O235" i="8" s="1"/>
  <c r="N223" i="8"/>
  <c r="M223" i="8"/>
  <c r="L223" i="8"/>
  <c r="K223" i="8"/>
  <c r="J223" i="8"/>
  <c r="I223" i="8"/>
  <c r="H223" i="8"/>
  <c r="G223" i="8"/>
  <c r="F223" i="8"/>
  <c r="E223" i="8"/>
  <c r="O222" i="8"/>
  <c r="O221" i="8"/>
  <c r="O220" i="8"/>
  <c r="O219" i="8"/>
  <c r="O218" i="8"/>
  <c r="O217" i="8"/>
  <c r="O216" i="8"/>
  <c r="O215" i="8"/>
  <c r="O214" i="8"/>
  <c r="O213" i="8"/>
  <c r="O223" i="8" s="1"/>
  <c r="N211" i="8"/>
  <c r="M211" i="8"/>
  <c r="L211" i="8"/>
  <c r="K211" i="8"/>
  <c r="J211" i="8"/>
  <c r="I211" i="8"/>
  <c r="H211" i="8"/>
  <c r="G211" i="8"/>
  <c r="F211" i="8"/>
  <c r="E211" i="8"/>
  <c r="O210" i="8"/>
  <c r="O209" i="8"/>
  <c r="O208" i="8"/>
  <c r="O207" i="8"/>
  <c r="O206" i="8"/>
  <c r="O205" i="8"/>
  <c r="O204" i="8"/>
  <c r="O203" i="8"/>
  <c r="O202" i="8"/>
  <c r="O201" i="8"/>
  <c r="N199" i="8"/>
  <c r="M199" i="8"/>
  <c r="L199" i="8"/>
  <c r="K199" i="8"/>
  <c r="J199" i="8"/>
  <c r="I199" i="8"/>
  <c r="H199" i="8"/>
  <c r="G199" i="8"/>
  <c r="F199" i="8"/>
  <c r="E199" i="8"/>
  <c r="O198" i="8"/>
  <c r="O197" i="8"/>
  <c r="O196" i="8"/>
  <c r="O195" i="8"/>
  <c r="O194" i="8"/>
  <c r="O193" i="8"/>
  <c r="O192" i="8"/>
  <c r="O191" i="8"/>
  <c r="O190" i="8"/>
  <c r="O189" i="8"/>
  <c r="N187" i="8"/>
  <c r="M187" i="8"/>
  <c r="L187" i="8"/>
  <c r="K187" i="8"/>
  <c r="J187" i="8"/>
  <c r="I187" i="8"/>
  <c r="H187" i="8"/>
  <c r="G187" i="8"/>
  <c r="F187" i="8"/>
  <c r="E187" i="8"/>
  <c r="O186" i="8"/>
  <c r="O185" i="8"/>
  <c r="O184" i="8"/>
  <c r="O183" i="8"/>
  <c r="O182" i="8"/>
  <c r="O181" i="8"/>
  <c r="O180" i="8"/>
  <c r="O179" i="8"/>
  <c r="O178" i="8"/>
  <c r="O177" i="8"/>
  <c r="O187" i="8" s="1"/>
  <c r="N175" i="8"/>
  <c r="M175" i="8"/>
  <c r="L175" i="8"/>
  <c r="K175" i="8"/>
  <c r="J175" i="8"/>
  <c r="I175" i="8"/>
  <c r="H175" i="8"/>
  <c r="G175" i="8"/>
  <c r="F175" i="8"/>
  <c r="E175" i="8"/>
  <c r="O174" i="8"/>
  <c r="O173" i="8"/>
  <c r="O172" i="8"/>
  <c r="O171" i="8"/>
  <c r="O170" i="8"/>
  <c r="O169" i="8"/>
  <c r="O168" i="8"/>
  <c r="O167" i="8"/>
  <c r="O166" i="8"/>
  <c r="O165" i="8"/>
  <c r="N163" i="8"/>
  <c r="M163" i="8"/>
  <c r="L163" i="8"/>
  <c r="K163" i="8"/>
  <c r="J163" i="8"/>
  <c r="I163" i="8"/>
  <c r="H163" i="8"/>
  <c r="G163" i="8"/>
  <c r="F163" i="8"/>
  <c r="E163" i="8"/>
  <c r="O162" i="8"/>
  <c r="O161" i="8"/>
  <c r="O160" i="8"/>
  <c r="O159" i="8"/>
  <c r="O158" i="8"/>
  <c r="O156" i="8"/>
  <c r="O155" i="8"/>
  <c r="O154" i="8"/>
  <c r="O153" i="8"/>
  <c r="N151" i="8"/>
  <c r="M151" i="8"/>
  <c r="L151" i="8"/>
  <c r="K151" i="8"/>
  <c r="J151" i="8"/>
  <c r="I151" i="8"/>
  <c r="H151" i="8"/>
  <c r="G151" i="8"/>
  <c r="F151" i="8"/>
  <c r="E151" i="8"/>
  <c r="O150" i="8"/>
  <c r="O149" i="8"/>
  <c r="O148" i="8"/>
  <c r="O147" i="8"/>
  <c r="O146" i="8"/>
  <c r="O145" i="8"/>
  <c r="O144" i="8"/>
  <c r="O143" i="8"/>
  <c r="O142" i="8"/>
  <c r="O141" i="8"/>
  <c r="O151" i="8" s="1"/>
  <c r="N139" i="8"/>
  <c r="M139" i="8"/>
  <c r="L139" i="8"/>
  <c r="K139" i="8"/>
  <c r="J139" i="8"/>
  <c r="I139" i="8"/>
  <c r="H139" i="8"/>
  <c r="G139" i="8"/>
  <c r="F139" i="8"/>
  <c r="E139" i="8"/>
  <c r="O138" i="8"/>
  <c r="O137" i="8"/>
  <c r="O136" i="8"/>
  <c r="O135" i="8"/>
  <c r="O134" i="8"/>
  <c r="O133" i="8"/>
  <c r="O132" i="8"/>
  <c r="O131" i="8"/>
  <c r="O130" i="8"/>
  <c r="O129" i="8"/>
  <c r="N127" i="8"/>
  <c r="M127" i="8"/>
  <c r="L127" i="8"/>
  <c r="K127" i="8"/>
  <c r="J127" i="8"/>
  <c r="I127" i="8"/>
  <c r="H127" i="8"/>
  <c r="G127" i="8"/>
  <c r="F127" i="8"/>
  <c r="E127" i="8"/>
  <c r="O126" i="8"/>
  <c r="O125" i="8"/>
  <c r="O124" i="8"/>
  <c r="O123" i="8"/>
  <c r="O122" i="8"/>
  <c r="O121" i="8"/>
  <c r="O120" i="8"/>
  <c r="O119" i="8"/>
  <c r="O118" i="8"/>
  <c r="O117" i="8"/>
  <c r="N115" i="8"/>
  <c r="M115" i="8"/>
  <c r="L115" i="8"/>
  <c r="K115" i="8"/>
  <c r="J115" i="8"/>
  <c r="I115" i="8"/>
  <c r="H115" i="8"/>
  <c r="G115" i="8"/>
  <c r="F115" i="8"/>
  <c r="E115" i="8"/>
  <c r="O114" i="8"/>
  <c r="O113" i="8"/>
  <c r="O112" i="8"/>
  <c r="O111" i="8"/>
  <c r="O110" i="8"/>
  <c r="O109" i="8"/>
  <c r="O108" i="8"/>
  <c r="O107" i="8"/>
  <c r="O106" i="8"/>
  <c r="O105" i="8"/>
  <c r="N103" i="8"/>
  <c r="M103" i="8"/>
  <c r="L103" i="8"/>
  <c r="K103" i="8"/>
  <c r="J103" i="8"/>
  <c r="I103" i="8"/>
  <c r="H103" i="8"/>
  <c r="G103" i="8"/>
  <c r="F103" i="8"/>
  <c r="E103" i="8"/>
  <c r="O102" i="8"/>
  <c r="O101" i="8"/>
  <c r="O100" i="8"/>
  <c r="O99" i="8"/>
  <c r="O98" i="8"/>
  <c r="O97" i="8"/>
  <c r="O96" i="8"/>
  <c r="O95" i="8"/>
  <c r="O94" i="8"/>
  <c r="O93" i="8"/>
  <c r="N91" i="8"/>
  <c r="M91" i="8"/>
  <c r="L91" i="8"/>
  <c r="K91" i="8"/>
  <c r="J91" i="8"/>
  <c r="I91" i="8"/>
  <c r="H91" i="8"/>
  <c r="G91" i="8"/>
  <c r="F91" i="8"/>
  <c r="E91" i="8"/>
  <c r="O90" i="8"/>
  <c r="O89" i="8"/>
  <c r="O88" i="8"/>
  <c r="O87" i="8"/>
  <c r="O86" i="8"/>
  <c r="O85" i="8"/>
  <c r="O84" i="8"/>
  <c r="O83" i="8"/>
  <c r="O82" i="8"/>
  <c r="O81" i="8"/>
  <c r="N79" i="8"/>
  <c r="M79" i="8"/>
  <c r="L79" i="8"/>
  <c r="K79" i="8"/>
  <c r="J79" i="8"/>
  <c r="I79" i="8"/>
  <c r="H79" i="8"/>
  <c r="G79" i="8"/>
  <c r="F79" i="8"/>
  <c r="E79" i="8"/>
  <c r="O78" i="8"/>
  <c r="O77" i="8"/>
  <c r="O76" i="8"/>
  <c r="O75" i="8"/>
  <c r="O74" i="8"/>
  <c r="O73" i="8"/>
  <c r="O72" i="8"/>
  <c r="O71" i="8"/>
  <c r="O70" i="8"/>
  <c r="O69" i="8"/>
  <c r="N67" i="8"/>
  <c r="M67" i="8"/>
  <c r="L67" i="8"/>
  <c r="K67" i="8"/>
  <c r="J67" i="8"/>
  <c r="I67" i="8"/>
  <c r="H67" i="8"/>
  <c r="G67" i="8"/>
  <c r="F67" i="8"/>
  <c r="E67" i="8"/>
  <c r="O66" i="8"/>
  <c r="O65" i="8"/>
  <c r="O64" i="8"/>
  <c r="O63" i="8"/>
  <c r="O62" i="8"/>
  <c r="O61" i="8"/>
  <c r="O60" i="8"/>
  <c r="O59" i="8"/>
  <c r="O58" i="8"/>
  <c r="O57" i="8"/>
  <c r="N55" i="8"/>
  <c r="M55" i="8"/>
  <c r="L55" i="8"/>
  <c r="K55" i="8"/>
  <c r="J55" i="8"/>
  <c r="I55" i="8"/>
  <c r="H55" i="8"/>
  <c r="G55" i="8"/>
  <c r="F55" i="8"/>
  <c r="F262" i="8" s="1"/>
  <c r="F264" i="8" s="1"/>
  <c r="E55" i="8"/>
  <c r="O54" i="8"/>
  <c r="O53" i="8"/>
  <c r="O52" i="8"/>
  <c r="O51" i="8"/>
  <c r="O50" i="8"/>
  <c r="O49" i="8"/>
  <c r="O48" i="8"/>
  <c r="O47" i="8"/>
  <c r="O46" i="8"/>
  <c r="O45" i="8"/>
  <c r="N41" i="8"/>
  <c r="M41" i="8"/>
  <c r="L41" i="8"/>
  <c r="K41" i="8"/>
  <c r="J41" i="8"/>
  <c r="I41" i="8"/>
  <c r="H41" i="8"/>
  <c r="G41" i="8"/>
  <c r="F41" i="8"/>
  <c r="E41" i="8"/>
  <c r="O40" i="8"/>
  <c r="O39" i="8"/>
  <c r="N36" i="8"/>
  <c r="M36" i="8"/>
  <c r="L36" i="8"/>
  <c r="K36" i="8"/>
  <c r="J36" i="8"/>
  <c r="I36" i="8"/>
  <c r="H36" i="8"/>
  <c r="G36" i="8"/>
  <c r="F36" i="8"/>
  <c r="E36" i="8"/>
  <c r="O35" i="8"/>
  <c r="O34" i="8"/>
  <c r="O33" i="8"/>
  <c r="N29" i="8"/>
  <c r="M29" i="8"/>
  <c r="L29" i="8"/>
  <c r="K29" i="8"/>
  <c r="J29" i="8"/>
  <c r="J30" i="8" s="1"/>
  <c r="I29" i="8"/>
  <c r="H29" i="8"/>
  <c r="G29" i="8"/>
  <c r="F29" i="8"/>
  <c r="E29" i="8"/>
  <c r="N28" i="8"/>
  <c r="M28" i="8"/>
  <c r="L28" i="8"/>
  <c r="L30" i="8" s="1"/>
  <c r="K28" i="8"/>
  <c r="J28" i="8"/>
  <c r="I28" i="8"/>
  <c r="H28" i="8"/>
  <c r="H30" i="8" s="1"/>
  <c r="G28" i="8"/>
  <c r="F28" i="8"/>
  <c r="E28" i="8"/>
  <c r="N27" i="8"/>
  <c r="M27" i="8"/>
  <c r="L27" i="8"/>
  <c r="K27" i="8"/>
  <c r="J27" i="8"/>
  <c r="I27" i="8"/>
  <c r="H27" i="8"/>
  <c r="G27" i="8"/>
  <c r="F27" i="8"/>
  <c r="E27" i="8"/>
  <c r="O26" i="8"/>
  <c r="O25" i="8"/>
  <c r="N24" i="8"/>
  <c r="M24" i="8"/>
  <c r="L24" i="8"/>
  <c r="K24" i="8"/>
  <c r="J24" i="8"/>
  <c r="I24" i="8"/>
  <c r="H24" i="8"/>
  <c r="G24" i="8"/>
  <c r="F24" i="8"/>
  <c r="E24" i="8"/>
  <c r="O23" i="8"/>
  <c r="O22" i="8"/>
  <c r="N21" i="8"/>
  <c r="M21" i="8"/>
  <c r="L21" i="8"/>
  <c r="K21" i="8"/>
  <c r="J21" i="8"/>
  <c r="I21" i="8"/>
  <c r="H21" i="8"/>
  <c r="G21" i="8"/>
  <c r="F21" i="8"/>
  <c r="E21" i="8"/>
  <c r="O20" i="8"/>
  <c r="O19" i="8"/>
  <c r="N16" i="8"/>
  <c r="M16" i="8"/>
  <c r="L16" i="8"/>
  <c r="K16" i="8"/>
  <c r="J16" i="8"/>
  <c r="I16" i="8"/>
  <c r="H16" i="8"/>
  <c r="G16" i="8"/>
  <c r="F16" i="8"/>
  <c r="E16" i="8"/>
  <c r="O15" i="8"/>
  <c r="O14" i="8"/>
  <c r="S263" i="7"/>
  <c r="R259" i="7"/>
  <c r="Q259" i="7"/>
  <c r="P259" i="7"/>
  <c r="O259" i="7"/>
  <c r="N259" i="7"/>
  <c r="M259" i="7"/>
  <c r="L259" i="7"/>
  <c r="K259" i="7"/>
  <c r="J259" i="7"/>
  <c r="I259" i="7"/>
  <c r="H259" i="7"/>
  <c r="G259" i="7"/>
  <c r="F259" i="7"/>
  <c r="E259" i="7"/>
  <c r="S258" i="7"/>
  <c r="S257" i="7"/>
  <c r="S256" i="7"/>
  <c r="S255" i="7"/>
  <c r="S254" i="7"/>
  <c r="S253" i="7"/>
  <c r="S252" i="7"/>
  <c r="S251" i="7"/>
  <c r="S250" i="7"/>
  <c r="S249" i="7"/>
  <c r="R247" i="7"/>
  <c r="Q247" i="7"/>
  <c r="P247" i="7"/>
  <c r="O247" i="7"/>
  <c r="N247" i="7"/>
  <c r="M247" i="7"/>
  <c r="L247" i="7"/>
  <c r="K247" i="7"/>
  <c r="J247" i="7"/>
  <c r="I247" i="7"/>
  <c r="H247" i="7"/>
  <c r="G247" i="7"/>
  <c r="F247" i="7"/>
  <c r="E247" i="7"/>
  <c r="S246" i="7"/>
  <c r="S245" i="7"/>
  <c r="S244" i="7"/>
  <c r="S243" i="7"/>
  <c r="S242" i="7"/>
  <c r="S241" i="7"/>
  <c r="S240" i="7"/>
  <c r="S239" i="7"/>
  <c r="S238" i="7"/>
  <c r="S237" i="7"/>
  <c r="R235" i="7"/>
  <c r="Q235" i="7"/>
  <c r="P235" i="7"/>
  <c r="O235" i="7"/>
  <c r="N235" i="7"/>
  <c r="M235" i="7"/>
  <c r="L235" i="7"/>
  <c r="K235" i="7"/>
  <c r="J235" i="7"/>
  <c r="I235" i="7"/>
  <c r="H235" i="7"/>
  <c r="G235" i="7"/>
  <c r="F235" i="7"/>
  <c r="E235" i="7"/>
  <c r="S234" i="7"/>
  <c r="S233" i="7"/>
  <c r="S232" i="7"/>
  <c r="S231" i="7"/>
  <c r="S230" i="7"/>
  <c r="S229" i="7"/>
  <c r="S228" i="7"/>
  <c r="S227" i="7"/>
  <c r="S226" i="7"/>
  <c r="S225" i="7"/>
  <c r="R223" i="7"/>
  <c r="Q223" i="7"/>
  <c r="P223" i="7"/>
  <c r="O223" i="7"/>
  <c r="N223" i="7"/>
  <c r="M223" i="7"/>
  <c r="L223" i="7"/>
  <c r="K223" i="7"/>
  <c r="J223" i="7"/>
  <c r="I223" i="7"/>
  <c r="H223" i="7"/>
  <c r="G223" i="7"/>
  <c r="F223" i="7"/>
  <c r="E223" i="7"/>
  <c r="S222" i="7"/>
  <c r="S221" i="7"/>
  <c r="S220" i="7"/>
  <c r="S219" i="7"/>
  <c r="S218" i="7"/>
  <c r="S217" i="7"/>
  <c r="S216" i="7"/>
  <c r="S215" i="7"/>
  <c r="S214" i="7"/>
  <c r="S213" i="7"/>
  <c r="R211" i="7"/>
  <c r="Q211" i="7"/>
  <c r="P211" i="7"/>
  <c r="O211" i="7"/>
  <c r="N211" i="7"/>
  <c r="M211" i="7"/>
  <c r="L211" i="7"/>
  <c r="K211" i="7"/>
  <c r="J211" i="7"/>
  <c r="I211" i="7"/>
  <c r="H211" i="7"/>
  <c r="G211" i="7"/>
  <c r="F211" i="7"/>
  <c r="E211" i="7"/>
  <c r="S210" i="7"/>
  <c r="S209" i="7"/>
  <c r="S208" i="7"/>
  <c r="S207" i="7"/>
  <c r="S206" i="7"/>
  <c r="S205" i="7"/>
  <c r="S204" i="7"/>
  <c r="S203" i="7"/>
  <c r="S202" i="7"/>
  <c r="S201" i="7"/>
  <c r="R199" i="7"/>
  <c r="Q199" i="7"/>
  <c r="P199" i="7"/>
  <c r="O199" i="7"/>
  <c r="N199" i="7"/>
  <c r="M199" i="7"/>
  <c r="L199" i="7"/>
  <c r="K199" i="7"/>
  <c r="J199" i="7"/>
  <c r="I199" i="7"/>
  <c r="H199" i="7"/>
  <c r="G199" i="7"/>
  <c r="F199" i="7"/>
  <c r="E199" i="7"/>
  <c r="S198" i="7"/>
  <c r="S197" i="7"/>
  <c r="S196" i="7"/>
  <c r="S195" i="7"/>
  <c r="S194" i="7"/>
  <c r="S193" i="7"/>
  <c r="S192" i="7"/>
  <c r="S191" i="7"/>
  <c r="S190" i="7"/>
  <c r="S189" i="7"/>
  <c r="R187" i="7"/>
  <c r="Q187" i="7"/>
  <c r="P187" i="7"/>
  <c r="O187" i="7"/>
  <c r="N187" i="7"/>
  <c r="M187" i="7"/>
  <c r="L187" i="7"/>
  <c r="K187" i="7"/>
  <c r="J187" i="7"/>
  <c r="I187" i="7"/>
  <c r="H187" i="7"/>
  <c r="G187" i="7"/>
  <c r="F187" i="7"/>
  <c r="E187" i="7"/>
  <c r="S186" i="7"/>
  <c r="S185" i="7"/>
  <c r="S184" i="7"/>
  <c r="S183" i="7"/>
  <c r="S182" i="7"/>
  <c r="S181" i="7"/>
  <c r="S180" i="7"/>
  <c r="S179" i="7"/>
  <c r="S178" i="7"/>
  <c r="S177" i="7"/>
  <c r="R175" i="7"/>
  <c r="Q175" i="7"/>
  <c r="P175" i="7"/>
  <c r="O175" i="7"/>
  <c r="N175" i="7"/>
  <c r="M175" i="7"/>
  <c r="L175" i="7"/>
  <c r="K175" i="7"/>
  <c r="J175" i="7"/>
  <c r="I175" i="7"/>
  <c r="H175" i="7"/>
  <c r="G175" i="7"/>
  <c r="F175" i="7"/>
  <c r="E175" i="7"/>
  <c r="S174" i="7"/>
  <c r="S173" i="7"/>
  <c r="S172" i="7"/>
  <c r="S171" i="7"/>
  <c r="S170" i="7"/>
  <c r="S169" i="7"/>
  <c r="S168" i="7"/>
  <c r="S167" i="7"/>
  <c r="S166" i="7"/>
  <c r="S165" i="7"/>
  <c r="R163" i="7"/>
  <c r="Q163" i="7"/>
  <c r="P163" i="7"/>
  <c r="O163" i="7"/>
  <c r="N163" i="7"/>
  <c r="M163" i="7"/>
  <c r="L163" i="7"/>
  <c r="K163" i="7"/>
  <c r="J163" i="7"/>
  <c r="I163" i="7"/>
  <c r="H163" i="7"/>
  <c r="G163" i="7"/>
  <c r="F163" i="7"/>
  <c r="E163" i="7"/>
  <c r="S162" i="7"/>
  <c r="S161" i="7"/>
  <c r="S160" i="7"/>
  <c r="S159" i="7"/>
  <c r="S158" i="7"/>
  <c r="S156" i="7"/>
  <c r="S155" i="7"/>
  <c r="S154" i="7"/>
  <c r="S153" i="7"/>
  <c r="R151" i="7"/>
  <c r="Q151" i="7"/>
  <c r="P151" i="7"/>
  <c r="O151" i="7"/>
  <c r="N151" i="7"/>
  <c r="M151" i="7"/>
  <c r="L151" i="7"/>
  <c r="K151" i="7"/>
  <c r="J151" i="7"/>
  <c r="I151" i="7"/>
  <c r="H151" i="7"/>
  <c r="G151" i="7"/>
  <c r="F151" i="7"/>
  <c r="E151" i="7"/>
  <c r="S150" i="7"/>
  <c r="S149" i="7"/>
  <c r="S148" i="7"/>
  <c r="S147" i="7"/>
  <c r="S146" i="7"/>
  <c r="S145" i="7"/>
  <c r="S144" i="7"/>
  <c r="S143" i="7"/>
  <c r="S142" i="7"/>
  <c r="S141" i="7"/>
  <c r="S151" i="7" s="1"/>
  <c r="R139" i="7"/>
  <c r="Q139" i="7"/>
  <c r="P139" i="7"/>
  <c r="O139" i="7"/>
  <c r="N139" i="7"/>
  <c r="M139" i="7"/>
  <c r="L139" i="7"/>
  <c r="K139" i="7"/>
  <c r="J139" i="7"/>
  <c r="I139" i="7"/>
  <c r="H139" i="7"/>
  <c r="G139" i="7"/>
  <c r="F139" i="7"/>
  <c r="E139" i="7"/>
  <c r="S138" i="7"/>
  <c r="S137" i="7"/>
  <c r="S136" i="7"/>
  <c r="S135" i="7"/>
  <c r="S134" i="7"/>
  <c r="S133" i="7"/>
  <c r="S132" i="7"/>
  <c r="S131" i="7"/>
  <c r="S130" i="7"/>
  <c r="S129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S126" i="7"/>
  <c r="S125" i="7"/>
  <c r="S124" i="7"/>
  <c r="S123" i="7"/>
  <c r="S122" i="7"/>
  <c r="S121" i="7"/>
  <c r="S120" i="7"/>
  <c r="S119" i="7"/>
  <c r="S118" i="7"/>
  <c r="S117" i="7"/>
  <c r="S127" i="7" s="1"/>
  <c r="R115" i="7"/>
  <c r="Q115" i="7"/>
  <c r="P115" i="7"/>
  <c r="O115" i="7"/>
  <c r="N115" i="7"/>
  <c r="M115" i="7"/>
  <c r="L115" i="7"/>
  <c r="K115" i="7"/>
  <c r="J115" i="7"/>
  <c r="I115" i="7"/>
  <c r="H115" i="7"/>
  <c r="G115" i="7"/>
  <c r="F115" i="7"/>
  <c r="E115" i="7"/>
  <c r="S114" i="7"/>
  <c r="S113" i="7"/>
  <c r="S112" i="7"/>
  <c r="S111" i="7"/>
  <c r="S110" i="7"/>
  <c r="S109" i="7"/>
  <c r="S108" i="7"/>
  <c r="S107" i="7"/>
  <c r="S106" i="7"/>
  <c r="S105" i="7"/>
  <c r="S115" i="7" s="1"/>
  <c r="R103" i="7"/>
  <c r="Q103" i="7"/>
  <c r="P103" i="7"/>
  <c r="O103" i="7"/>
  <c r="N103" i="7"/>
  <c r="M103" i="7"/>
  <c r="L103" i="7"/>
  <c r="K103" i="7"/>
  <c r="J103" i="7"/>
  <c r="I103" i="7"/>
  <c r="H103" i="7"/>
  <c r="G103" i="7"/>
  <c r="F103" i="7"/>
  <c r="E103" i="7"/>
  <c r="S102" i="7"/>
  <c r="S101" i="7"/>
  <c r="S100" i="7"/>
  <c r="S99" i="7"/>
  <c r="S98" i="7"/>
  <c r="S97" i="7"/>
  <c r="S96" i="7"/>
  <c r="S95" i="7"/>
  <c r="S94" i="7"/>
  <c r="S93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S90" i="7"/>
  <c r="S89" i="7"/>
  <c r="S88" i="7"/>
  <c r="S87" i="7"/>
  <c r="S86" i="7"/>
  <c r="S85" i="7"/>
  <c r="S84" i="7"/>
  <c r="S83" i="7"/>
  <c r="S82" i="7"/>
  <c r="S81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S78" i="7"/>
  <c r="S77" i="7"/>
  <c r="S76" i="7"/>
  <c r="S75" i="7"/>
  <c r="S74" i="7"/>
  <c r="S73" i="7"/>
  <c r="S72" i="7"/>
  <c r="S71" i="7"/>
  <c r="S70" i="7"/>
  <c r="S69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S66" i="7"/>
  <c r="S65" i="7"/>
  <c r="S64" i="7"/>
  <c r="S63" i="7"/>
  <c r="S62" i="7"/>
  <c r="S61" i="7"/>
  <c r="S60" i="7"/>
  <c r="S59" i="7"/>
  <c r="S58" i="7"/>
  <c r="S57" i="7"/>
  <c r="R55" i="7"/>
  <c r="Q55" i="7"/>
  <c r="P55" i="7"/>
  <c r="O55" i="7"/>
  <c r="O262" i="7" s="1"/>
  <c r="O264" i="7" s="1"/>
  <c r="N55" i="7"/>
  <c r="M55" i="7"/>
  <c r="L55" i="7"/>
  <c r="K55" i="7"/>
  <c r="K262" i="7" s="1"/>
  <c r="K264" i="7" s="1"/>
  <c r="J55" i="7"/>
  <c r="I55" i="7"/>
  <c r="H55" i="7"/>
  <c r="G55" i="7"/>
  <c r="G262" i="7" s="1"/>
  <c r="G264" i="7" s="1"/>
  <c r="F55" i="7"/>
  <c r="E55" i="7"/>
  <c r="S54" i="7"/>
  <c r="S53" i="7"/>
  <c r="S52" i="7"/>
  <c r="S51" i="7"/>
  <c r="S50" i="7"/>
  <c r="S49" i="7"/>
  <c r="S48" i="7"/>
  <c r="S47" i="7"/>
  <c r="S46" i="7"/>
  <c r="S45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S40" i="7"/>
  <c r="S39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S35" i="7"/>
  <c r="S34" i="7"/>
  <c r="S33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R28" i="7"/>
  <c r="Q28" i="7"/>
  <c r="P28" i="7"/>
  <c r="O28" i="7"/>
  <c r="N28" i="7"/>
  <c r="M28" i="7"/>
  <c r="L28" i="7"/>
  <c r="L30" i="7" s="1"/>
  <c r="K28" i="7"/>
  <c r="J28" i="7"/>
  <c r="I28" i="7"/>
  <c r="H28" i="7"/>
  <c r="H30" i="7" s="1"/>
  <c r="G28" i="7"/>
  <c r="F28" i="7"/>
  <c r="E28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S26" i="7"/>
  <c r="S25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S23" i="7"/>
  <c r="S22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S21" i="7" s="1"/>
  <c r="E21" i="7"/>
  <c r="S20" i="7"/>
  <c r="S19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S15" i="7"/>
  <c r="S14" i="7"/>
  <c r="Z263" i="6"/>
  <c r="Y259" i="6"/>
  <c r="X259" i="6"/>
  <c r="W259" i="6"/>
  <c r="V259" i="6"/>
  <c r="U259" i="6"/>
  <c r="T259" i="6"/>
  <c r="S259" i="6"/>
  <c r="R259" i="6"/>
  <c r="Q259" i="6"/>
  <c r="P259" i="6"/>
  <c r="O259" i="6"/>
  <c r="N259" i="6"/>
  <c r="M259" i="6"/>
  <c r="L259" i="6"/>
  <c r="K259" i="6"/>
  <c r="J259" i="6"/>
  <c r="I259" i="6"/>
  <c r="H259" i="6"/>
  <c r="G259" i="6"/>
  <c r="F259" i="6"/>
  <c r="E259" i="6"/>
  <c r="Z258" i="6"/>
  <c r="Z257" i="6"/>
  <c r="Z256" i="6"/>
  <c r="Z255" i="6"/>
  <c r="Z254" i="6"/>
  <c r="Z253" i="6"/>
  <c r="Z252" i="6"/>
  <c r="Z251" i="6"/>
  <c r="Z250" i="6"/>
  <c r="Z249" i="6"/>
  <c r="Y247" i="6"/>
  <c r="X247" i="6"/>
  <c r="W247" i="6"/>
  <c r="V247" i="6"/>
  <c r="U247" i="6"/>
  <c r="T247" i="6"/>
  <c r="S247" i="6"/>
  <c r="R247" i="6"/>
  <c r="Q247" i="6"/>
  <c r="P247" i="6"/>
  <c r="O247" i="6"/>
  <c r="N247" i="6"/>
  <c r="M247" i="6"/>
  <c r="L247" i="6"/>
  <c r="K247" i="6"/>
  <c r="J247" i="6"/>
  <c r="I247" i="6"/>
  <c r="H247" i="6"/>
  <c r="G247" i="6"/>
  <c r="F247" i="6"/>
  <c r="E247" i="6"/>
  <c r="Z246" i="6"/>
  <c r="Z245" i="6"/>
  <c r="Z244" i="6"/>
  <c r="Z243" i="6"/>
  <c r="Z242" i="6"/>
  <c r="Z241" i="6"/>
  <c r="Z240" i="6"/>
  <c r="Z239" i="6"/>
  <c r="Z238" i="6"/>
  <c r="Z237" i="6"/>
  <c r="Y235" i="6"/>
  <c r="X235" i="6"/>
  <c r="W235" i="6"/>
  <c r="V235" i="6"/>
  <c r="U235" i="6"/>
  <c r="T235" i="6"/>
  <c r="S235" i="6"/>
  <c r="R235" i="6"/>
  <c r="Q235" i="6"/>
  <c r="P235" i="6"/>
  <c r="O235" i="6"/>
  <c r="N235" i="6"/>
  <c r="M235" i="6"/>
  <c r="L235" i="6"/>
  <c r="K235" i="6"/>
  <c r="J235" i="6"/>
  <c r="I235" i="6"/>
  <c r="H235" i="6"/>
  <c r="G235" i="6"/>
  <c r="F235" i="6"/>
  <c r="E235" i="6"/>
  <c r="Z234" i="6"/>
  <c r="Z233" i="6"/>
  <c r="Z232" i="6"/>
  <c r="Z231" i="6"/>
  <c r="Z230" i="6"/>
  <c r="Z229" i="6"/>
  <c r="Z228" i="6"/>
  <c r="Z227" i="6"/>
  <c r="Z226" i="6"/>
  <c r="Z225" i="6"/>
  <c r="Y223" i="6"/>
  <c r="X223" i="6"/>
  <c r="W223" i="6"/>
  <c r="V223" i="6"/>
  <c r="U223" i="6"/>
  <c r="T223" i="6"/>
  <c r="S223" i="6"/>
  <c r="R223" i="6"/>
  <c r="Q223" i="6"/>
  <c r="P223" i="6"/>
  <c r="O223" i="6"/>
  <c r="N223" i="6"/>
  <c r="M223" i="6"/>
  <c r="L223" i="6"/>
  <c r="K223" i="6"/>
  <c r="J223" i="6"/>
  <c r="I223" i="6"/>
  <c r="H223" i="6"/>
  <c r="G223" i="6"/>
  <c r="F223" i="6"/>
  <c r="E223" i="6"/>
  <c r="Z222" i="6"/>
  <c r="Z221" i="6"/>
  <c r="Z220" i="6"/>
  <c r="Z219" i="6"/>
  <c r="Z218" i="6"/>
  <c r="Z217" i="6"/>
  <c r="Z216" i="6"/>
  <c r="Z215" i="6"/>
  <c r="Z214" i="6"/>
  <c r="Z213" i="6"/>
  <c r="Z223" i="6" s="1"/>
  <c r="Y211" i="6"/>
  <c r="X211" i="6"/>
  <c r="W211" i="6"/>
  <c r="V211" i="6"/>
  <c r="U211" i="6"/>
  <c r="T211" i="6"/>
  <c r="S211" i="6"/>
  <c r="R211" i="6"/>
  <c r="Q211" i="6"/>
  <c r="P211" i="6"/>
  <c r="O211" i="6"/>
  <c r="N211" i="6"/>
  <c r="M211" i="6"/>
  <c r="L211" i="6"/>
  <c r="K211" i="6"/>
  <c r="J211" i="6"/>
  <c r="I211" i="6"/>
  <c r="H211" i="6"/>
  <c r="G211" i="6"/>
  <c r="F211" i="6"/>
  <c r="E211" i="6"/>
  <c r="Z210" i="6"/>
  <c r="Z209" i="6"/>
  <c r="Z208" i="6"/>
  <c r="Z207" i="6"/>
  <c r="Z206" i="6"/>
  <c r="Z205" i="6"/>
  <c r="Z204" i="6"/>
  <c r="Z203" i="6"/>
  <c r="Z202" i="6"/>
  <c r="Z201" i="6"/>
  <c r="Y199" i="6"/>
  <c r="X199" i="6"/>
  <c r="W199" i="6"/>
  <c r="V199" i="6"/>
  <c r="U199" i="6"/>
  <c r="T199" i="6"/>
  <c r="S199" i="6"/>
  <c r="R199" i="6"/>
  <c r="Q199" i="6"/>
  <c r="P199" i="6"/>
  <c r="O199" i="6"/>
  <c r="N199" i="6"/>
  <c r="M199" i="6"/>
  <c r="L199" i="6"/>
  <c r="K199" i="6"/>
  <c r="J199" i="6"/>
  <c r="I199" i="6"/>
  <c r="H199" i="6"/>
  <c r="G199" i="6"/>
  <c r="F199" i="6"/>
  <c r="E199" i="6"/>
  <c r="Z198" i="6"/>
  <c r="Z197" i="6"/>
  <c r="Z196" i="6"/>
  <c r="Z195" i="6"/>
  <c r="Z194" i="6"/>
  <c r="Z193" i="6"/>
  <c r="Z192" i="6"/>
  <c r="Z191" i="6"/>
  <c r="Z190" i="6"/>
  <c r="Z189" i="6"/>
  <c r="Y187" i="6"/>
  <c r="X187" i="6"/>
  <c r="W187" i="6"/>
  <c r="V187" i="6"/>
  <c r="U187" i="6"/>
  <c r="T187" i="6"/>
  <c r="S187" i="6"/>
  <c r="R187" i="6"/>
  <c r="Q187" i="6"/>
  <c r="P187" i="6"/>
  <c r="O187" i="6"/>
  <c r="N187" i="6"/>
  <c r="M187" i="6"/>
  <c r="L187" i="6"/>
  <c r="K187" i="6"/>
  <c r="J187" i="6"/>
  <c r="I187" i="6"/>
  <c r="H187" i="6"/>
  <c r="G187" i="6"/>
  <c r="F187" i="6"/>
  <c r="E187" i="6"/>
  <c r="Z186" i="6"/>
  <c r="Z185" i="6"/>
  <c r="Z184" i="6"/>
  <c r="Z183" i="6"/>
  <c r="Z182" i="6"/>
  <c r="Z181" i="6"/>
  <c r="Z180" i="6"/>
  <c r="Z179" i="6"/>
  <c r="Z178" i="6"/>
  <c r="Z177" i="6"/>
  <c r="Y175" i="6"/>
  <c r="X175" i="6"/>
  <c r="W175" i="6"/>
  <c r="V175" i="6"/>
  <c r="U175" i="6"/>
  <c r="T175" i="6"/>
  <c r="S175" i="6"/>
  <c r="R175" i="6"/>
  <c r="Q175" i="6"/>
  <c r="P175" i="6"/>
  <c r="O175" i="6"/>
  <c r="N175" i="6"/>
  <c r="M175" i="6"/>
  <c r="L175" i="6"/>
  <c r="K175" i="6"/>
  <c r="J175" i="6"/>
  <c r="I175" i="6"/>
  <c r="H175" i="6"/>
  <c r="G175" i="6"/>
  <c r="F175" i="6"/>
  <c r="E175" i="6"/>
  <c r="Z174" i="6"/>
  <c r="Z173" i="6"/>
  <c r="Z172" i="6"/>
  <c r="Z171" i="6"/>
  <c r="Z170" i="6"/>
  <c r="Z169" i="6"/>
  <c r="Z168" i="6"/>
  <c r="Z167" i="6"/>
  <c r="Z166" i="6"/>
  <c r="Z165" i="6"/>
  <c r="Z175" i="6" s="1"/>
  <c r="Y163" i="6"/>
  <c r="X163" i="6"/>
  <c r="W163" i="6"/>
  <c r="V163" i="6"/>
  <c r="U163" i="6"/>
  <c r="T163" i="6"/>
  <c r="S163" i="6"/>
  <c r="R163" i="6"/>
  <c r="Q163" i="6"/>
  <c r="P163" i="6"/>
  <c r="O163" i="6"/>
  <c r="N163" i="6"/>
  <c r="M163" i="6"/>
  <c r="L163" i="6"/>
  <c r="K163" i="6"/>
  <c r="J163" i="6"/>
  <c r="I163" i="6"/>
  <c r="H163" i="6"/>
  <c r="G163" i="6"/>
  <c r="F163" i="6"/>
  <c r="Z157" i="6" s="1"/>
  <c r="E163" i="6"/>
  <c r="Z162" i="6"/>
  <c r="Z161" i="6"/>
  <c r="Z160" i="6"/>
  <c r="Z159" i="6"/>
  <c r="Z158" i="6"/>
  <c r="Z156" i="6"/>
  <c r="Z155" i="6"/>
  <c r="Z154" i="6"/>
  <c r="Z153" i="6"/>
  <c r="Y151" i="6"/>
  <c r="X151" i="6"/>
  <c r="W151" i="6"/>
  <c r="V151" i="6"/>
  <c r="U151" i="6"/>
  <c r="T151" i="6"/>
  <c r="S151" i="6"/>
  <c r="R151" i="6"/>
  <c r="Q151" i="6"/>
  <c r="P151" i="6"/>
  <c r="O151" i="6"/>
  <c r="N151" i="6"/>
  <c r="M151" i="6"/>
  <c r="L151" i="6"/>
  <c r="K151" i="6"/>
  <c r="J151" i="6"/>
  <c r="I151" i="6"/>
  <c r="H151" i="6"/>
  <c r="G151" i="6"/>
  <c r="F151" i="6"/>
  <c r="E151" i="6"/>
  <c r="Z150" i="6"/>
  <c r="Z149" i="6"/>
  <c r="Z148" i="6"/>
  <c r="Z147" i="6"/>
  <c r="Z146" i="6"/>
  <c r="Z145" i="6"/>
  <c r="Z144" i="6"/>
  <c r="Z143" i="6"/>
  <c r="Z142" i="6"/>
  <c r="Z141" i="6"/>
  <c r="Y139" i="6"/>
  <c r="X139" i="6"/>
  <c r="W139" i="6"/>
  <c r="V139" i="6"/>
  <c r="U139" i="6"/>
  <c r="T139" i="6"/>
  <c r="S139" i="6"/>
  <c r="R139" i="6"/>
  <c r="Q139" i="6"/>
  <c r="P139" i="6"/>
  <c r="O139" i="6"/>
  <c r="N139" i="6"/>
  <c r="M139" i="6"/>
  <c r="L139" i="6"/>
  <c r="K139" i="6"/>
  <c r="J139" i="6"/>
  <c r="I139" i="6"/>
  <c r="H139" i="6"/>
  <c r="G139" i="6"/>
  <c r="F139" i="6"/>
  <c r="E139" i="6"/>
  <c r="Z138" i="6"/>
  <c r="Z137" i="6"/>
  <c r="Z136" i="6"/>
  <c r="Z135" i="6"/>
  <c r="Z134" i="6"/>
  <c r="Z133" i="6"/>
  <c r="Z132" i="6"/>
  <c r="Z131" i="6"/>
  <c r="Z130" i="6"/>
  <c r="Z129" i="6"/>
  <c r="Y127" i="6"/>
  <c r="X127" i="6"/>
  <c r="W127" i="6"/>
  <c r="V127" i="6"/>
  <c r="U127" i="6"/>
  <c r="T127" i="6"/>
  <c r="S127" i="6"/>
  <c r="R127" i="6"/>
  <c r="Q127" i="6"/>
  <c r="P127" i="6"/>
  <c r="O127" i="6"/>
  <c r="N127" i="6"/>
  <c r="M127" i="6"/>
  <c r="L127" i="6"/>
  <c r="K127" i="6"/>
  <c r="J127" i="6"/>
  <c r="I127" i="6"/>
  <c r="H127" i="6"/>
  <c r="G127" i="6"/>
  <c r="F127" i="6"/>
  <c r="E127" i="6"/>
  <c r="Z126" i="6"/>
  <c r="Z125" i="6"/>
  <c r="Z124" i="6"/>
  <c r="Z123" i="6"/>
  <c r="Z122" i="6"/>
  <c r="Z121" i="6"/>
  <c r="Z120" i="6"/>
  <c r="Z119" i="6"/>
  <c r="Z118" i="6"/>
  <c r="Z117" i="6"/>
  <c r="Z127" i="6" s="1"/>
  <c r="Y115" i="6"/>
  <c r="X115" i="6"/>
  <c r="W115" i="6"/>
  <c r="V115" i="6"/>
  <c r="U115" i="6"/>
  <c r="T115" i="6"/>
  <c r="S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Z114" i="6"/>
  <c r="Z113" i="6"/>
  <c r="Z112" i="6"/>
  <c r="Z111" i="6"/>
  <c r="Z110" i="6"/>
  <c r="Z109" i="6"/>
  <c r="Z108" i="6"/>
  <c r="Z107" i="6"/>
  <c r="Z106" i="6"/>
  <c r="Z105" i="6"/>
  <c r="Z115" i="6" s="1"/>
  <c r="Y103" i="6"/>
  <c r="X103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Z102" i="6"/>
  <c r="Z101" i="6"/>
  <c r="Z100" i="6"/>
  <c r="Z99" i="6"/>
  <c r="Z98" i="6"/>
  <c r="Z97" i="6"/>
  <c r="Z96" i="6"/>
  <c r="Z95" i="6"/>
  <c r="Z94" i="6"/>
  <c r="Z93" i="6"/>
  <c r="Y91" i="6"/>
  <c r="X91" i="6"/>
  <c r="W91" i="6"/>
  <c r="V91" i="6"/>
  <c r="U91" i="6"/>
  <c r="T91" i="6"/>
  <c r="S91" i="6"/>
  <c r="R91" i="6"/>
  <c r="Q91" i="6"/>
  <c r="P91" i="6"/>
  <c r="O91" i="6"/>
  <c r="N91" i="6"/>
  <c r="M91" i="6"/>
  <c r="L91" i="6"/>
  <c r="K91" i="6"/>
  <c r="J91" i="6"/>
  <c r="I91" i="6"/>
  <c r="H91" i="6"/>
  <c r="G91" i="6"/>
  <c r="F91" i="6"/>
  <c r="E91" i="6"/>
  <c r="Z90" i="6"/>
  <c r="Z89" i="6"/>
  <c r="Z88" i="6"/>
  <c r="Z87" i="6"/>
  <c r="Z86" i="6"/>
  <c r="Z85" i="6"/>
  <c r="Z84" i="6"/>
  <c r="Z83" i="6"/>
  <c r="Z82" i="6"/>
  <c r="Z81" i="6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Z78" i="6"/>
  <c r="Z77" i="6"/>
  <c r="Z76" i="6"/>
  <c r="Z75" i="6"/>
  <c r="Z74" i="6"/>
  <c r="Z73" i="6"/>
  <c r="Z72" i="6"/>
  <c r="Z71" i="6"/>
  <c r="Z70" i="6"/>
  <c r="Z69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Z66" i="6"/>
  <c r="Z65" i="6"/>
  <c r="Z64" i="6"/>
  <c r="Z63" i="6"/>
  <c r="Z62" i="6"/>
  <c r="Z61" i="6"/>
  <c r="Z60" i="6"/>
  <c r="Z59" i="6"/>
  <c r="Z58" i="6"/>
  <c r="Z57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Z54" i="6"/>
  <c r="Z53" i="6"/>
  <c r="Z52" i="6"/>
  <c r="Z51" i="6"/>
  <c r="Z50" i="6"/>
  <c r="Z49" i="6"/>
  <c r="Z48" i="6"/>
  <c r="Z47" i="6"/>
  <c r="Z46" i="6"/>
  <c r="Z45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Z40" i="6"/>
  <c r="Z39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Z35" i="6"/>
  <c r="Z34" i="6"/>
  <c r="Z33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Y28" i="6"/>
  <c r="Y30" i="6" s="1"/>
  <c r="X28" i="6"/>
  <c r="W28" i="6"/>
  <c r="V28" i="6"/>
  <c r="V30" i="6" s="1"/>
  <c r="U28" i="6"/>
  <c r="U30" i="6" s="1"/>
  <c r="T28" i="6"/>
  <c r="S28" i="6"/>
  <c r="R28" i="6"/>
  <c r="R30" i="6" s="1"/>
  <c r="Q28" i="6"/>
  <c r="Q30" i="6" s="1"/>
  <c r="P28" i="6"/>
  <c r="O28" i="6"/>
  <c r="N28" i="6"/>
  <c r="N30" i="6" s="1"/>
  <c r="M28" i="6"/>
  <c r="M30" i="6" s="1"/>
  <c r="L28" i="6"/>
  <c r="K28" i="6"/>
  <c r="J28" i="6"/>
  <c r="J30" i="6" s="1"/>
  <c r="I28" i="6"/>
  <c r="I30" i="6" s="1"/>
  <c r="H28" i="6"/>
  <c r="G28" i="6"/>
  <c r="F28" i="6"/>
  <c r="F30" i="6" s="1"/>
  <c r="E28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Z26" i="6"/>
  <c r="Z25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Z23" i="6"/>
  <c r="Z22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Z20" i="6"/>
  <c r="Z19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Z15" i="6"/>
  <c r="Z14" i="6"/>
  <c r="W263" i="5"/>
  <c r="V259" i="5"/>
  <c r="U259" i="5"/>
  <c r="T259" i="5"/>
  <c r="S259" i="5"/>
  <c r="R259" i="5"/>
  <c r="Q259" i="5"/>
  <c r="P259" i="5"/>
  <c r="O259" i="5"/>
  <c r="N259" i="5"/>
  <c r="M259" i="5"/>
  <c r="L259" i="5"/>
  <c r="K259" i="5"/>
  <c r="J259" i="5"/>
  <c r="I259" i="5"/>
  <c r="H259" i="5"/>
  <c r="G259" i="5"/>
  <c r="F259" i="5"/>
  <c r="E259" i="5"/>
  <c r="W258" i="5"/>
  <c r="W257" i="5"/>
  <c r="W256" i="5"/>
  <c r="W255" i="5"/>
  <c r="W254" i="5"/>
  <c r="W253" i="5"/>
  <c r="W252" i="5"/>
  <c r="W251" i="5"/>
  <c r="W250" i="5"/>
  <c r="W249" i="5"/>
  <c r="V247" i="5"/>
  <c r="U247" i="5"/>
  <c r="T247" i="5"/>
  <c r="S247" i="5"/>
  <c r="R247" i="5"/>
  <c r="Q247" i="5"/>
  <c r="P247" i="5"/>
  <c r="O247" i="5"/>
  <c r="N247" i="5"/>
  <c r="M247" i="5"/>
  <c r="L247" i="5"/>
  <c r="K247" i="5"/>
  <c r="J247" i="5"/>
  <c r="I247" i="5"/>
  <c r="H247" i="5"/>
  <c r="G247" i="5"/>
  <c r="F247" i="5"/>
  <c r="E247" i="5"/>
  <c r="W246" i="5"/>
  <c r="W245" i="5"/>
  <c r="W244" i="5"/>
  <c r="W243" i="5"/>
  <c r="W242" i="5"/>
  <c r="W241" i="5"/>
  <c r="W240" i="5"/>
  <c r="W239" i="5"/>
  <c r="W238" i="5"/>
  <c r="W237" i="5"/>
  <c r="W247" i="5" s="1"/>
  <c r="V235" i="5"/>
  <c r="U235" i="5"/>
  <c r="T235" i="5"/>
  <c r="S235" i="5"/>
  <c r="R235" i="5"/>
  <c r="Q235" i="5"/>
  <c r="P235" i="5"/>
  <c r="O235" i="5"/>
  <c r="N235" i="5"/>
  <c r="M235" i="5"/>
  <c r="L235" i="5"/>
  <c r="K235" i="5"/>
  <c r="J235" i="5"/>
  <c r="I235" i="5"/>
  <c r="H235" i="5"/>
  <c r="G235" i="5"/>
  <c r="F235" i="5"/>
  <c r="E235" i="5"/>
  <c r="W234" i="5"/>
  <c r="W233" i="5"/>
  <c r="W232" i="5"/>
  <c r="W231" i="5"/>
  <c r="W230" i="5"/>
  <c r="W229" i="5"/>
  <c r="W228" i="5"/>
  <c r="W227" i="5"/>
  <c r="W226" i="5"/>
  <c r="W225" i="5"/>
  <c r="W235" i="5" s="1"/>
  <c r="V223" i="5"/>
  <c r="U223" i="5"/>
  <c r="T223" i="5"/>
  <c r="S223" i="5"/>
  <c r="R223" i="5"/>
  <c r="Q223" i="5"/>
  <c r="P223" i="5"/>
  <c r="O223" i="5"/>
  <c r="N223" i="5"/>
  <c r="M223" i="5"/>
  <c r="L223" i="5"/>
  <c r="K223" i="5"/>
  <c r="J223" i="5"/>
  <c r="I223" i="5"/>
  <c r="H223" i="5"/>
  <c r="G223" i="5"/>
  <c r="F223" i="5"/>
  <c r="E223" i="5"/>
  <c r="W222" i="5"/>
  <c r="W221" i="5"/>
  <c r="W220" i="5"/>
  <c r="W219" i="5"/>
  <c r="W218" i="5"/>
  <c r="W217" i="5"/>
  <c r="W216" i="5"/>
  <c r="W215" i="5"/>
  <c r="W214" i="5"/>
  <c r="W213" i="5"/>
  <c r="V211" i="5"/>
  <c r="U211" i="5"/>
  <c r="T211" i="5"/>
  <c r="S211" i="5"/>
  <c r="R211" i="5"/>
  <c r="Q211" i="5"/>
  <c r="P211" i="5"/>
  <c r="O211" i="5"/>
  <c r="N211" i="5"/>
  <c r="M211" i="5"/>
  <c r="L211" i="5"/>
  <c r="K211" i="5"/>
  <c r="J211" i="5"/>
  <c r="I211" i="5"/>
  <c r="H211" i="5"/>
  <c r="G211" i="5"/>
  <c r="F211" i="5"/>
  <c r="E211" i="5"/>
  <c r="W210" i="5"/>
  <c r="W209" i="5"/>
  <c r="W208" i="5"/>
  <c r="W207" i="5"/>
  <c r="W206" i="5"/>
  <c r="W205" i="5"/>
  <c r="W204" i="5"/>
  <c r="W203" i="5"/>
  <c r="W202" i="5"/>
  <c r="W201" i="5"/>
  <c r="V199" i="5"/>
  <c r="U199" i="5"/>
  <c r="T199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W198" i="5"/>
  <c r="W197" i="5"/>
  <c r="W196" i="5"/>
  <c r="W195" i="5"/>
  <c r="W194" i="5"/>
  <c r="W193" i="5"/>
  <c r="W192" i="5"/>
  <c r="W191" i="5"/>
  <c r="W190" i="5"/>
  <c r="W189" i="5"/>
  <c r="V187" i="5"/>
  <c r="U187" i="5"/>
  <c r="T187" i="5"/>
  <c r="S187" i="5"/>
  <c r="R187" i="5"/>
  <c r="Q187" i="5"/>
  <c r="P187" i="5"/>
  <c r="O187" i="5"/>
  <c r="N187" i="5"/>
  <c r="M187" i="5"/>
  <c r="L187" i="5"/>
  <c r="K187" i="5"/>
  <c r="J187" i="5"/>
  <c r="I187" i="5"/>
  <c r="H187" i="5"/>
  <c r="G187" i="5"/>
  <c r="F187" i="5"/>
  <c r="E187" i="5"/>
  <c r="W186" i="5"/>
  <c r="W185" i="5"/>
  <c r="W184" i="5"/>
  <c r="W183" i="5"/>
  <c r="W182" i="5"/>
  <c r="W181" i="5"/>
  <c r="W180" i="5"/>
  <c r="W179" i="5"/>
  <c r="W178" i="5"/>
  <c r="W177" i="5"/>
  <c r="W187" i="5" s="1"/>
  <c r="V175" i="5"/>
  <c r="U175" i="5"/>
  <c r="T175" i="5"/>
  <c r="S175" i="5"/>
  <c r="R175" i="5"/>
  <c r="Q175" i="5"/>
  <c r="P175" i="5"/>
  <c r="O175" i="5"/>
  <c r="N175" i="5"/>
  <c r="M175" i="5"/>
  <c r="L175" i="5"/>
  <c r="K175" i="5"/>
  <c r="J175" i="5"/>
  <c r="I175" i="5"/>
  <c r="H175" i="5"/>
  <c r="G175" i="5"/>
  <c r="F175" i="5"/>
  <c r="E175" i="5"/>
  <c r="W174" i="5"/>
  <c r="W173" i="5"/>
  <c r="W172" i="5"/>
  <c r="W171" i="5"/>
  <c r="W170" i="5"/>
  <c r="W169" i="5"/>
  <c r="W168" i="5"/>
  <c r="W167" i="5"/>
  <c r="W166" i="5"/>
  <c r="W165" i="5"/>
  <c r="V163" i="5"/>
  <c r="U163" i="5"/>
  <c r="T163" i="5"/>
  <c r="S163" i="5"/>
  <c r="R163" i="5"/>
  <c r="Q163" i="5"/>
  <c r="P163" i="5"/>
  <c r="O163" i="5"/>
  <c r="N163" i="5"/>
  <c r="M163" i="5"/>
  <c r="L163" i="5"/>
  <c r="K163" i="5"/>
  <c r="J163" i="5"/>
  <c r="I163" i="5"/>
  <c r="H163" i="5"/>
  <c r="G163" i="5"/>
  <c r="F163" i="5"/>
  <c r="E163" i="5"/>
  <c r="W162" i="5"/>
  <c r="W161" i="5"/>
  <c r="W160" i="5"/>
  <c r="W159" i="5"/>
  <c r="W158" i="5"/>
  <c r="W157" i="5"/>
  <c r="W156" i="5"/>
  <c r="W155" i="5"/>
  <c r="W154" i="5"/>
  <c r="W153" i="5"/>
  <c r="W163" i="5" s="1"/>
  <c r="V151" i="5"/>
  <c r="U151" i="5"/>
  <c r="T151" i="5"/>
  <c r="S151" i="5"/>
  <c r="R151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W150" i="5"/>
  <c r="W149" i="5"/>
  <c r="W148" i="5"/>
  <c r="W147" i="5"/>
  <c r="W146" i="5"/>
  <c r="W145" i="5"/>
  <c r="W144" i="5"/>
  <c r="W143" i="5"/>
  <c r="W142" i="5"/>
  <c r="W141" i="5"/>
  <c r="W151" i="5" s="1"/>
  <c r="V139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W138" i="5"/>
  <c r="W137" i="5"/>
  <c r="W136" i="5"/>
  <c r="W135" i="5"/>
  <c r="W134" i="5"/>
  <c r="W133" i="5"/>
  <c r="W132" i="5"/>
  <c r="W131" i="5"/>
  <c r="W130" i="5"/>
  <c r="W129" i="5"/>
  <c r="W139" i="5" s="1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W126" i="5"/>
  <c r="W125" i="5"/>
  <c r="W124" i="5"/>
  <c r="W123" i="5"/>
  <c r="W122" i="5"/>
  <c r="W121" i="5"/>
  <c r="W120" i="5"/>
  <c r="W119" i="5"/>
  <c r="W118" i="5"/>
  <c r="W117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W114" i="5"/>
  <c r="W113" i="5"/>
  <c r="W112" i="5"/>
  <c r="W111" i="5"/>
  <c r="W110" i="5"/>
  <c r="W109" i="5"/>
  <c r="W108" i="5"/>
  <c r="W107" i="5"/>
  <c r="W106" i="5"/>
  <c r="W105" i="5"/>
  <c r="W115" i="5" s="1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W102" i="5"/>
  <c r="W101" i="5"/>
  <c r="W100" i="5"/>
  <c r="W99" i="5"/>
  <c r="W98" i="5"/>
  <c r="W97" i="5"/>
  <c r="W96" i="5"/>
  <c r="W95" i="5"/>
  <c r="W94" i="5"/>
  <c r="W93" i="5"/>
  <c r="W103" i="5" s="1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W90" i="5"/>
  <c r="W89" i="5"/>
  <c r="W88" i="5"/>
  <c r="W87" i="5"/>
  <c r="W86" i="5"/>
  <c r="W85" i="5"/>
  <c r="W84" i="5"/>
  <c r="W83" i="5"/>
  <c r="W82" i="5"/>
  <c r="W81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W78" i="5"/>
  <c r="W77" i="5"/>
  <c r="W76" i="5"/>
  <c r="W75" i="5"/>
  <c r="W74" i="5"/>
  <c r="W73" i="5"/>
  <c r="W72" i="5"/>
  <c r="W71" i="5"/>
  <c r="W70" i="5"/>
  <c r="W69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W66" i="5"/>
  <c r="W65" i="5"/>
  <c r="W64" i="5"/>
  <c r="W63" i="5"/>
  <c r="W62" i="5"/>
  <c r="W61" i="5"/>
  <c r="W60" i="5"/>
  <c r="W59" i="5"/>
  <c r="W58" i="5"/>
  <c r="W57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W54" i="5"/>
  <c r="W53" i="5"/>
  <c r="W52" i="5"/>
  <c r="W51" i="5"/>
  <c r="W50" i="5"/>
  <c r="W49" i="5"/>
  <c r="W48" i="5"/>
  <c r="W47" i="5"/>
  <c r="W46" i="5"/>
  <c r="W45" i="5"/>
  <c r="W55" i="5" s="1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W41" i="5" s="1"/>
  <c r="F41" i="5"/>
  <c r="E41" i="5"/>
  <c r="W40" i="5"/>
  <c r="W39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W35" i="5"/>
  <c r="W34" i="5"/>
  <c r="W33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V28" i="5"/>
  <c r="V30" i="5" s="1"/>
  <c r="U28" i="5"/>
  <c r="T28" i="5"/>
  <c r="S28" i="5"/>
  <c r="R28" i="5"/>
  <c r="R30" i="5" s="1"/>
  <c r="Q28" i="5"/>
  <c r="P28" i="5"/>
  <c r="O28" i="5"/>
  <c r="O30" i="5" s="1"/>
  <c r="N28" i="5"/>
  <c r="N30" i="5" s="1"/>
  <c r="M28" i="5"/>
  <c r="L28" i="5"/>
  <c r="K28" i="5"/>
  <c r="K30" i="5" s="1"/>
  <c r="J28" i="5"/>
  <c r="J30" i="5" s="1"/>
  <c r="I28" i="5"/>
  <c r="H28" i="5"/>
  <c r="G28" i="5"/>
  <c r="F28" i="5"/>
  <c r="F30" i="5" s="1"/>
  <c r="E28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W26" i="5"/>
  <c r="W25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W23" i="5"/>
  <c r="W22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W21" i="5" s="1"/>
  <c r="W20" i="5"/>
  <c r="W19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W15" i="5"/>
  <c r="W14" i="5"/>
  <c r="N263" i="4"/>
  <c r="M259" i="4"/>
  <c r="L259" i="4"/>
  <c r="K259" i="4"/>
  <c r="J259" i="4"/>
  <c r="I259" i="4"/>
  <c r="H259" i="4"/>
  <c r="G259" i="4"/>
  <c r="F259" i="4"/>
  <c r="E259" i="4"/>
  <c r="N258" i="4"/>
  <c r="N257" i="4"/>
  <c r="N256" i="4"/>
  <c r="N255" i="4"/>
  <c r="N254" i="4"/>
  <c r="N253" i="4"/>
  <c r="N252" i="4"/>
  <c r="N251" i="4"/>
  <c r="N250" i="4"/>
  <c r="N249" i="4"/>
  <c r="M247" i="4"/>
  <c r="L247" i="4"/>
  <c r="K247" i="4"/>
  <c r="J247" i="4"/>
  <c r="I247" i="4"/>
  <c r="H247" i="4"/>
  <c r="G247" i="4"/>
  <c r="F247" i="4"/>
  <c r="E247" i="4"/>
  <c r="N246" i="4"/>
  <c r="N245" i="4"/>
  <c r="N244" i="4"/>
  <c r="N243" i="4"/>
  <c r="N242" i="4"/>
  <c r="N241" i="4"/>
  <c r="N240" i="4"/>
  <c r="N239" i="4"/>
  <c r="N238" i="4"/>
  <c r="N237" i="4"/>
  <c r="M235" i="4"/>
  <c r="L235" i="4"/>
  <c r="K235" i="4"/>
  <c r="J235" i="4"/>
  <c r="I235" i="4"/>
  <c r="H235" i="4"/>
  <c r="G235" i="4"/>
  <c r="F235" i="4"/>
  <c r="E235" i="4"/>
  <c r="N234" i="4"/>
  <c r="N233" i="4"/>
  <c r="N232" i="4"/>
  <c r="N231" i="4"/>
  <c r="N230" i="4"/>
  <c r="N229" i="4"/>
  <c r="N228" i="4"/>
  <c r="N227" i="4"/>
  <c r="N226" i="4"/>
  <c r="N225" i="4"/>
  <c r="N235" i="4" s="1"/>
  <c r="M223" i="4"/>
  <c r="L223" i="4"/>
  <c r="K223" i="4"/>
  <c r="J223" i="4"/>
  <c r="I223" i="4"/>
  <c r="H223" i="4"/>
  <c r="G223" i="4"/>
  <c r="F223" i="4"/>
  <c r="E223" i="4"/>
  <c r="N222" i="4"/>
  <c r="N221" i="4"/>
  <c r="N220" i="4"/>
  <c r="N219" i="4"/>
  <c r="N218" i="4"/>
  <c r="N217" i="4"/>
  <c r="N216" i="4"/>
  <c r="N215" i="4"/>
  <c r="N214" i="4"/>
  <c r="N213" i="4"/>
  <c r="M211" i="4"/>
  <c r="L211" i="4"/>
  <c r="K211" i="4"/>
  <c r="J211" i="4"/>
  <c r="I211" i="4"/>
  <c r="H211" i="4"/>
  <c r="G211" i="4"/>
  <c r="F211" i="4"/>
  <c r="E211" i="4"/>
  <c r="N210" i="4"/>
  <c r="N209" i="4"/>
  <c r="N208" i="4"/>
  <c r="N207" i="4"/>
  <c r="N206" i="4"/>
  <c r="N205" i="4"/>
  <c r="N204" i="4"/>
  <c r="N203" i="4"/>
  <c r="N202" i="4"/>
  <c r="N201" i="4"/>
  <c r="M199" i="4"/>
  <c r="L199" i="4"/>
  <c r="K199" i="4"/>
  <c r="J199" i="4"/>
  <c r="I199" i="4"/>
  <c r="H199" i="4"/>
  <c r="G199" i="4"/>
  <c r="F199" i="4"/>
  <c r="E199" i="4"/>
  <c r="N198" i="4"/>
  <c r="N197" i="4"/>
  <c r="N196" i="4"/>
  <c r="N195" i="4"/>
  <c r="N194" i="4"/>
  <c r="N193" i="4"/>
  <c r="N192" i="4"/>
  <c r="N191" i="4"/>
  <c r="N190" i="4"/>
  <c r="N189" i="4"/>
  <c r="M187" i="4"/>
  <c r="L187" i="4"/>
  <c r="K187" i="4"/>
  <c r="J187" i="4"/>
  <c r="I187" i="4"/>
  <c r="H187" i="4"/>
  <c r="G187" i="4"/>
  <c r="F187" i="4"/>
  <c r="E187" i="4"/>
  <c r="N186" i="4"/>
  <c r="N185" i="4"/>
  <c r="N184" i="4"/>
  <c r="N183" i="4"/>
  <c r="N182" i="4"/>
  <c r="N181" i="4"/>
  <c r="N180" i="4"/>
  <c r="N179" i="4"/>
  <c r="N178" i="4"/>
  <c r="N177" i="4"/>
  <c r="N187" i="4" s="1"/>
  <c r="M175" i="4"/>
  <c r="L175" i="4"/>
  <c r="K175" i="4"/>
  <c r="J175" i="4"/>
  <c r="I175" i="4"/>
  <c r="H175" i="4"/>
  <c r="G175" i="4"/>
  <c r="F175" i="4"/>
  <c r="E175" i="4"/>
  <c r="N174" i="4"/>
  <c r="N173" i="4"/>
  <c r="N172" i="4"/>
  <c r="N171" i="4"/>
  <c r="N170" i="4"/>
  <c r="N169" i="4"/>
  <c r="N168" i="4"/>
  <c r="N167" i="4"/>
  <c r="N166" i="4"/>
  <c r="N165" i="4"/>
  <c r="N175" i="4" s="1"/>
  <c r="M163" i="4"/>
  <c r="L163" i="4"/>
  <c r="K163" i="4"/>
  <c r="J163" i="4"/>
  <c r="I163" i="4"/>
  <c r="H163" i="4"/>
  <c r="G163" i="4"/>
  <c r="F163" i="4"/>
  <c r="E163" i="4"/>
  <c r="N157" i="4" s="1"/>
  <c r="N162" i="4"/>
  <c r="N161" i="4"/>
  <c r="N160" i="4"/>
  <c r="N159" i="4"/>
  <c r="N158" i="4"/>
  <c r="N156" i="4"/>
  <c r="N155" i="4"/>
  <c r="N154" i="4"/>
  <c r="N153" i="4"/>
  <c r="M151" i="4"/>
  <c r="L151" i="4"/>
  <c r="K151" i="4"/>
  <c r="J151" i="4"/>
  <c r="I151" i="4"/>
  <c r="H151" i="4"/>
  <c r="G151" i="4"/>
  <c r="F151" i="4"/>
  <c r="E151" i="4"/>
  <c r="N150" i="4"/>
  <c r="N149" i="4"/>
  <c r="N148" i="4"/>
  <c r="N147" i="4"/>
  <c r="N146" i="4"/>
  <c r="N145" i="4"/>
  <c r="N144" i="4"/>
  <c r="N143" i="4"/>
  <c r="N142" i="4"/>
  <c r="N141" i="4"/>
  <c r="M139" i="4"/>
  <c r="L139" i="4"/>
  <c r="K139" i="4"/>
  <c r="J139" i="4"/>
  <c r="I139" i="4"/>
  <c r="H139" i="4"/>
  <c r="G139" i="4"/>
  <c r="F139" i="4"/>
  <c r="E139" i="4"/>
  <c r="N138" i="4"/>
  <c r="N137" i="4"/>
  <c r="N136" i="4"/>
  <c r="N135" i="4"/>
  <c r="N134" i="4"/>
  <c r="N133" i="4"/>
  <c r="N132" i="4"/>
  <c r="N131" i="4"/>
  <c r="N130" i="4"/>
  <c r="N129" i="4"/>
  <c r="M127" i="4"/>
  <c r="L127" i="4"/>
  <c r="K127" i="4"/>
  <c r="J127" i="4"/>
  <c r="I127" i="4"/>
  <c r="H127" i="4"/>
  <c r="G127" i="4"/>
  <c r="F127" i="4"/>
  <c r="E127" i="4"/>
  <c r="N126" i="4"/>
  <c r="N125" i="4"/>
  <c r="N124" i="4"/>
  <c r="N123" i="4"/>
  <c r="N122" i="4"/>
  <c r="N121" i="4"/>
  <c r="N120" i="4"/>
  <c r="N119" i="4"/>
  <c r="N118" i="4"/>
  <c r="N117" i="4"/>
  <c r="M115" i="4"/>
  <c r="L115" i="4"/>
  <c r="K115" i="4"/>
  <c r="J115" i="4"/>
  <c r="I115" i="4"/>
  <c r="H115" i="4"/>
  <c r="G115" i="4"/>
  <c r="F115" i="4"/>
  <c r="E115" i="4"/>
  <c r="N114" i="4"/>
  <c r="N113" i="4"/>
  <c r="N112" i="4"/>
  <c r="N111" i="4"/>
  <c r="N110" i="4"/>
  <c r="N109" i="4"/>
  <c r="N108" i="4"/>
  <c r="N107" i="4"/>
  <c r="N106" i="4"/>
  <c r="N105" i="4"/>
  <c r="M103" i="4"/>
  <c r="L103" i="4"/>
  <c r="K103" i="4"/>
  <c r="J103" i="4"/>
  <c r="I103" i="4"/>
  <c r="H103" i="4"/>
  <c r="G103" i="4"/>
  <c r="F103" i="4"/>
  <c r="E103" i="4"/>
  <c r="N102" i="4"/>
  <c r="N101" i="4"/>
  <c r="N100" i="4"/>
  <c r="N99" i="4"/>
  <c r="N98" i="4"/>
  <c r="N97" i="4"/>
  <c r="N96" i="4"/>
  <c r="N95" i="4"/>
  <c r="N94" i="4"/>
  <c r="N93" i="4"/>
  <c r="M91" i="4"/>
  <c r="L91" i="4"/>
  <c r="K91" i="4"/>
  <c r="J91" i="4"/>
  <c r="I91" i="4"/>
  <c r="H91" i="4"/>
  <c r="G91" i="4"/>
  <c r="F91" i="4"/>
  <c r="E91" i="4"/>
  <c r="N90" i="4"/>
  <c r="N89" i="4"/>
  <c r="N88" i="4"/>
  <c r="N87" i="4"/>
  <c r="N86" i="4"/>
  <c r="N85" i="4"/>
  <c r="N84" i="4"/>
  <c r="N83" i="4"/>
  <c r="N82" i="4"/>
  <c r="N81" i="4"/>
  <c r="M79" i="4"/>
  <c r="L79" i="4"/>
  <c r="K79" i="4"/>
  <c r="J79" i="4"/>
  <c r="I79" i="4"/>
  <c r="H79" i="4"/>
  <c r="G79" i="4"/>
  <c r="F79" i="4"/>
  <c r="E79" i="4"/>
  <c r="N78" i="4"/>
  <c r="N77" i="4"/>
  <c r="N76" i="4"/>
  <c r="N75" i="4"/>
  <c r="N74" i="4"/>
  <c r="N73" i="4"/>
  <c r="N72" i="4"/>
  <c r="N71" i="4"/>
  <c r="N70" i="4"/>
  <c r="N69" i="4"/>
  <c r="M67" i="4"/>
  <c r="L67" i="4"/>
  <c r="K67" i="4"/>
  <c r="J67" i="4"/>
  <c r="I67" i="4"/>
  <c r="H67" i="4"/>
  <c r="G67" i="4"/>
  <c r="F67" i="4"/>
  <c r="E67" i="4"/>
  <c r="N66" i="4"/>
  <c r="N65" i="4"/>
  <c r="N64" i="4"/>
  <c r="N63" i="4"/>
  <c r="N62" i="4"/>
  <c r="N61" i="4"/>
  <c r="N60" i="4"/>
  <c r="N59" i="4"/>
  <c r="N58" i="4"/>
  <c r="N57" i="4"/>
  <c r="M55" i="4"/>
  <c r="L55" i="4"/>
  <c r="K55" i="4"/>
  <c r="J55" i="4"/>
  <c r="I55" i="4"/>
  <c r="H55" i="4"/>
  <c r="G55" i="4"/>
  <c r="F55" i="4"/>
  <c r="E55" i="4"/>
  <c r="N54" i="4"/>
  <c r="N53" i="4"/>
  <c r="N52" i="4"/>
  <c r="N51" i="4"/>
  <c r="N50" i="4"/>
  <c r="N49" i="4"/>
  <c r="N48" i="4"/>
  <c r="N47" i="4"/>
  <c r="N46" i="4"/>
  <c r="N45" i="4"/>
  <c r="M41" i="4"/>
  <c r="L41" i="4"/>
  <c r="K41" i="4"/>
  <c r="J41" i="4"/>
  <c r="I41" i="4"/>
  <c r="H41" i="4"/>
  <c r="G41" i="4"/>
  <c r="F41" i="4"/>
  <c r="E41" i="4"/>
  <c r="N40" i="4"/>
  <c r="N39" i="4"/>
  <c r="M36" i="4"/>
  <c r="L36" i="4"/>
  <c r="K36" i="4"/>
  <c r="J36" i="4"/>
  <c r="I36" i="4"/>
  <c r="H36" i="4"/>
  <c r="G36" i="4"/>
  <c r="F36" i="4"/>
  <c r="E36" i="4"/>
  <c r="N35" i="4"/>
  <c r="N34" i="4"/>
  <c r="N33" i="4"/>
  <c r="M29" i="4"/>
  <c r="L29" i="4"/>
  <c r="K29" i="4"/>
  <c r="J29" i="4"/>
  <c r="I29" i="4"/>
  <c r="H29" i="4"/>
  <c r="G29" i="4"/>
  <c r="F29" i="4"/>
  <c r="E29" i="4"/>
  <c r="M28" i="4"/>
  <c r="M30" i="4" s="1"/>
  <c r="L28" i="4"/>
  <c r="K28" i="4"/>
  <c r="J28" i="4"/>
  <c r="I28" i="4"/>
  <c r="I30" i="4" s="1"/>
  <c r="H28" i="4"/>
  <c r="G28" i="4"/>
  <c r="F28" i="4"/>
  <c r="F30" i="4" s="1"/>
  <c r="E28" i="4"/>
  <c r="M27" i="4"/>
  <c r="L27" i="4"/>
  <c r="K27" i="4"/>
  <c r="J27" i="4"/>
  <c r="I27" i="4"/>
  <c r="H27" i="4"/>
  <c r="G27" i="4"/>
  <c r="F27" i="4"/>
  <c r="E27" i="4"/>
  <c r="N26" i="4"/>
  <c r="N25" i="4"/>
  <c r="M24" i="4"/>
  <c r="L24" i="4"/>
  <c r="K24" i="4"/>
  <c r="J24" i="4"/>
  <c r="I24" i="4"/>
  <c r="H24" i="4"/>
  <c r="G24" i="4"/>
  <c r="F24" i="4"/>
  <c r="E24" i="4"/>
  <c r="N23" i="4"/>
  <c r="N22" i="4"/>
  <c r="M21" i="4"/>
  <c r="L21" i="4"/>
  <c r="K21" i="4"/>
  <c r="J21" i="4"/>
  <c r="I21" i="4"/>
  <c r="H21" i="4"/>
  <c r="G21" i="4"/>
  <c r="F21" i="4"/>
  <c r="E21" i="4"/>
  <c r="N20" i="4"/>
  <c r="N19" i="4"/>
  <c r="M16" i="4"/>
  <c r="L16" i="4"/>
  <c r="K16" i="4"/>
  <c r="J16" i="4"/>
  <c r="I16" i="4"/>
  <c r="H16" i="4"/>
  <c r="G16" i="4"/>
  <c r="F16" i="4"/>
  <c r="E16" i="4"/>
  <c r="N15" i="4"/>
  <c r="N14" i="4"/>
  <c r="T263" i="3"/>
  <c r="S259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T258" i="3"/>
  <c r="T257" i="3"/>
  <c r="T256" i="3"/>
  <c r="T255" i="3"/>
  <c r="T254" i="3"/>
  <c r="T253" i="3"/>
  <c r="T252" i="3"/>
  <c r="T251" i="3"/>
  <c r="T250" i="3"/>
  <c r="T249" i="3"/>
  <c r="S247" i="3"/>
  <c r="R247" i="3"/>
  <c r="Q247" i="3"/>
  <c r="P247" i="3"/>
  <c r="O247" i="3"/>
  <c r="N247" i="3"/>
  <c r="M247" i="3"/>
  <c r="L247" i="3"/>
  <c r="K247" i="3"/>
  <c r="J247" i="3"/>
  <c r="I247" i="3"/>
  <c r="H247" i="3"/>
  <c r="G247" i="3"/>
  <c r="F247" i="3"/>
  <c r="E247" i="3"/>
  <c r="T246" i="3"/>
  <c r="T245" i="3"/>
  <c r="T244" i="3"/>
  <c r="T243" i="3"/>
  <c r="T242" i="3"/>
  <c r="T241" i="3"/>
  <c r="T240" i="3"/>
  <c r="T239" i="3"/>
  <c r="T238" i="3"/>
  <c r="T237" i="3"/>
  <c r="S235" i="3"/>
  <c r="R235" i="3"/>
  <c r="Q235" i="3"/>
  <c r="P235" i="3"/>
  <c r="O235" i="3"/>
  <c r="N235" i="3"/>
  <c r="M235" i="3"/>
  <c r="L235" i="3"/>
  <c r="K235" i="3"/>
  <c r="J235" i="3"/>
  <c r="I235" i="3"/>
  <c r="H235" i="3"/>
  <c r="G235" i="3"/>
  <c r="F235" i="3"/>
  <c r="E235" i="3"/>
  <c r="T234" i="3"/>
  <c r="T233" i="3"/>
  <c r="T232" i="3"/>
  <c r="T231" i="3"/>
  <c r="T230" i="3"/>
  <c r="T229" i="3"/>
  <c r="T228" i="3"/>
  <c r="T227" i="3"/>
  <c r="T226" i="3"/>
  <c r="T225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T222" i="3"/>
  <c r="T221" i="3"/>
  <c r="T220" i="3"/>
  <c r="T219" i="3"/>
  <c r="T218" i="3"/>
  <c r="T217" i="3"/>
  <c r="T216" i="3"/>
  <c r="T215" i="3"/>
  <c r="T214" i="3"/>
  <c r="T213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T210" i="3"/>
  <c r="T209" i="3"/>
  <c r="T208" i="3"/>
  <c r="T207" i="3"/>
  <c r="T206" i="3"/>
  <c r="T205" i="3"/>
  <c r="T204" i="3"/>
  <c r="T203" i="3"/>
  <c r="T202" i="3"/>
  <c r="T201" i="3"/>
  <c r="T211" i="3" s="1"/>
  <c r="S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T198" i="3"/>
  <c r="T197" i="3"/>
  <c r="T196" i="3"/>
  <c r="T195" i="3"/>
  <c r="T194" i="3"/>
  <c r="T193" i="3"/>
  <c r="T192" i="3"/>
  <c r="T191" i="3"/>
  <c r="T190" i="3"/>
  <c r="T189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T186" i="3"/>
  <c r="T185" i="3"/>
  <c r="T184" i="3"/>
  <c r="T183" i="3"/>
  <c r="T182" i="3"/>
  <c r="T181" i="3"/>
  <c r="T180" i="3"/>
  <c r="T179" i="3"/>
  <c r="T178" i="3"/>
  <c r="T177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T174" i="3"/>
  <c r="T173" i="3"/>
  <c r="T172" i="3"/>
  <c r="T171" i="3"/>
  <c r="T170" i="3"/>
  <c r="T169" i="3"/>
  <c r="T168" i="3"/>
  <c r="T167" i="3"/>
  <c r="T166" i="3"/>
  <c r="T165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T162" i="3"/>
  <c r="T161" i="3"/>
  <c r="T160" i="3"/>
  <c r="T159" i="3"/>
  <c r="T158" i="3"/>
  <c r="T156" i="3"/>
  <c r="T155" i="3"/>
  <c r="T154" i="3"/>
  <c r="T153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T150" i="3"/>
  <c r="T149" i="3"/>
  <c r="T148" i="3"/>
  <c r="T147" i="3"/>
  <c r="T146" i="3"/>
  <c r="T145" i="3"/>
  <c r="T144" i="3"/>
  <c r="T143" i="3"/>
  <c r="T142" i="3"/>
  <c r="T141" i="3"/>
  <c r="T151" i="3" s="1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T138" i="3"/>
  <c r="T137" i="3"/>
  <c r="T136" i="3"/>
  <c r="T135" i="3"/>
  <c r="T134" i="3"/>
  <c r="T133" i="3"/>
  <c r="T132" i="3"/>
  <c r="T131" i="3"/>
  <c r="T130" i="3"/>
  <c r="T129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T126" i="3"/>
  <c r="T125" i="3"/>
  <c r="T124" i="3"/>
  <c r="T123" i="3"/>
  <c r="T122" i="3"/>
  <c r="T121" i="3"/>
  <c r="T120" i="3"/>
  <c r="T119" i="3"/>
  <c r="T118" i="3"/>
  <c r="T117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T114" i="3"/>
  <c r="T113" i="3"/>
  <c r="T112" i="3"/>
  <c r="T111" i="3"/>
  <c r="T110" i="3"/>
  <c r="T109" i="3"/>
  <c r="T108" i="3"/>
  <c r="T107" i="3"/>
  <c r="T106" i="3"/>
  <c r="T105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T102" i="3"/>
  <c r="T101" i="3"/>
  <c r="T100" i="3"/>
  <c r="T99" i="3"/>
  <c r="T98" i="3"/>
  <c r="T97" i="3"/>
  <c r="T96" i="3"/>
  <c r="T95" i="3"/>
  <c r="T94" i="3"/>
  <c r="T93" i="3"/>
  <c r="T103" i="3" s="1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T90" i="3"/>
  <c r="T89" i="3"/>
  <c r="T88" i="3"/>
  <c r="T87" i="3"/>
  <c r="T86" i="3"/>
  <c r="T85" i="3"/>
  <c r="T84" i="3"/>
  <c r="T83" i="3"/>
  <c r="T82" i="3"/>
  <c r="T81" i="3"/>
  <c r="S79" i="3"/>
  <c r="R79" i="3"/>
  <c r="Q79" i="3"/>
  <c r="Q262" i="3" s="1"/>
  <c r="Q264" i="3" s="1"/>
  <c r="P79" i="3"/>
  <c r="O79" i="3"/>
  <c r="N79" i="3"/>
  <c r="M79" i="3"/>
  <c r="M262" i="3" s="1"/>
  <c r="M264" i="3" s="1"/>
  <c r="L79" i="3"/>
  <c r="K79" i="3"/>
  <c r="J79" i="3"/>
  <c r="I79" i="3"/>
  <c r="H79" i="3"/>
  <c r="G79" i="3"/>
  <c r="F79" i="3"/>
  <c r="E79" i="3"/>
  <c r="T78" i="3"/>
  <c r="T77" i="3"/>
  <c r="T76" i="3"/>
  <c r="T75" i="3"/>
  <c r="T74" i="3"/>
  <c r="T73" i="3"/>
  <c r="T72" i="3"/>
  <c r="T71" i="3"/>
  <c r="T70" i="3"/>
  <c r="T69" i="3"/>
  <c r="S67" i="3"/>
  <c r="R67" i="3"/>
  <c r="R262" i="3" s="1"/>
  <c r="R264" i="3" s="1"/>
  <c r="Q67" i="3"/>
  <c r="P67" i="3"/>
  <c r="O67" i="3"/>
  <c r="N67" i="3"/>
  <c r="N262" i="3" s="1"/>
  <c r="N264" i="3" s="1"/>
  <c r="M67" i="3"/>
  <c r="L67" i="3"/>
  <c r="K67" i="3"/>
  <c r="J67" i="3"/>
  <c r="J262" i="3" s="1"/>
  <c r="J264" i="3" s="1"/>
  <c r="I67" i="3"/>
  <c r="H67" i="3"/>
  <c r="G67" i="3"/>
  <c r="F67" i="3"/>
  <c r="F262" i="3" s="1"/>
  <c r="F264" i="3" s="1"/>
  <c r="E67" i="3"/>
  <c r="T66" i="3"/>
  <c r="T65" i="3"/>
  <c r="T64" i="3"/>
  <c r="T63" i="3"/>
  <c r="T62" i="3"/>
  <c r="T61" i="3"/>
  <c r="T60" i="3"/>
  <c r="T59" i="3"/>
  <c r="T58" i="3"/>
  <c r="T57" i="3"/>
  <c r="S55" i="3"/>
  <c r="R55" i="3"/>
  <c r="Q55" i="3"/>
  <c r="P55" i="3"/>
  <c r="O55" i="3"/>
  <c r="N55" i="3"/>
  <c r="M55" i="3"/>
  <c r="L55" i="3"/>
  <c r="K55" i="3"/>
  <c r="K262" i="3" s="1"/>
  <c r="K264" i="3" s="1"/>
  <c r="J55" i="3"/>
  <c r="I55" i="3"/>
  <c r="H55" i="3"/>
  <c r="G55" i="3"/>
  <c r="F55" i="3"/>
  <c r="E55" i="3"/>
  <c r="T54" i="3"/>
  <c r="T53" i="3"/>
  <c r="T52" i="3"/>
  <c r="T51" i="3"/>
  <c r="T50" i="3"/>
  <c r="T49" i="3"/>
  <c r="T48" i="3"/>
  <c r="T47" i="3"/>
  <c r="T46" i="3"/>
  <c r="T45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T40" i="3"/>
  <c r="T39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T35" i="3"/>
  <c r="T34" i="3"/>
  <c r="T33" i="3"/>
  <c r="S29" i="3"/>
  <c r="R29" i="3"/>
  <c r="Q29" i="3"/>
  <c r="P29" i="3"/>
  <c r="P30" i="3" s="1"/>
  <c r="O29" i="3"/>
  <c r="N29" i="3"/>
  <c r="M29" i="3"/>
  <c r="L29" i="3"/>
  <c r="K29" i="3"/>
  <c r="J29" i="3"/>
  <c r="I29" i="3"/>
  <c r="H29" i="3"/>
  <c r="G29" i="3"/>
  <c r="F29" i="3"/>
  <c r="E29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T27" i="3" s="1"/>
  <c r="E27" i="3"/>
  <c r="T26" i="3"/>
  <c r="T25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T23" i="3"/>
  <c r="T22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T20" i="3"/>
  <c r="T19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T15" i="3"/>
  <c r="T14" i="3"/>
  <c r="V263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V258" i="2"/>
  <c r="V257" i="2"/>
  <c r="V256" i="2"/>
  <c r="V255" i="2"/>
  <c r="V254" i="2"/>
  <c r="V253" i="2"/>
  <c r="V252" i="2"/>
  <c r="V251" i="2"/>
  <c r="V250" i="2"/>
  <c r="V249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V246" i="2"/>
  <c r="V245" i="2"/>
  <c r="V244" i="2"/>
  <c r="V243" i="2"/>
  <c r="V242" i="2"/>
  <c r="V241" i="2"/>
  <c r="V240" i="2"/>
  <c r="V239" i="2"/>
  <c r="V238" i="2"/>
  <c r="V237" i="2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V234" i="2"/>
  <c r="V233" i="2"/>
  <c r="V232" i="2"/>
  <c r="V231" i="2"/>
  <c r="V230" i="2"/>
  <c r="V229" i="2"/>
  <c r="V228" i="2"/>
  <c r="V227" i="2"/>
  <c r="V235" i="2" s="1"/>
  <c r="V226" i="2"/>
  <c r="V225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V222" i="2"/>
  <c r="V221" i="2"/>
  <c r="V220" i="2"/>
  <c r="V219" i="2"/>
  <c r="V218" i="2"/>
  <c r="V217" i="2"/>
  <c r="V216" i="2"/>
  <c r="V215" i="2"/>
  <c r="V214" i="2"/>
  <c r="V213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V210" i="2"/>
  <c r="V209" i="2"/>
  <c r="V208" i="2"/>
  <c r="V207" i="2"/>
  <c r="V206" i="2"/>
  <c r="V205" i="2"/>
  <c r="V204" i="2"/>
  <c r="V203" i="2"/>
  <c r="V202" i="2"/>
  <c r="V201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V198" i="2"/>
  <c r="V197" i="2"/>
  <c r="V196" i="2"/>
  <c r="V195" i="2"/>
  <c r="V194" i="2"/>
  <c r="V193" i="2"/>
  <c r="V192" i="2"/>
  <c r="V191" i="2"/>
  <c r="V190" i="2"/>
  <c r="V189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V186" i="2"/>
  <c r="V185" i="2"/>
  <c r="V184" i="2"/>
  <c r="V183" i="2"/>
  <c r="V182" i="2"/>
  <c r="V181" i="2"/>
  <c r="V180" i="2"/>
  <c r="V179" i="2"/>
  <c r="V187" i="2" s="1"/>
  <c r="V178" i="2"/>
  <c r="V177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V174" i="2"/>
  <c r="V173" i="2"/>
  <c r="V172" i="2"/>
  <c r="V171" i="2"/>
  <c r="V170" i="2"/>
  <c r="V169" i="2"/>
  <c r="V168" i="2"/>
  <c r="V167" i="2"/>
  <c r="V166" i="2"/>
  <c r="V165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V162" i="2"/>
  <c r="V161" i="2"/>
  <c r="V160" i="2"/>
  <c r="V159" i="2"/>
  <c r="V158" i="2"/>
  <c r="V156" i="2"/>
  <c r="V155" i="2"/>
  <c r="V154" i="2"/>
  <c r="V153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V150" i="2"/>
  <c r="V149" i="2"/>
  <c r="V148" i="2"/>
  <c r="V147" i="2"/>
  <c r="V146" i="2"/>
  <c r="V145" i="2"/>
  <c r="V144" i="2"/>
  <c r="V143" i="2"/>
  <c r="V142" i="2"/>
  <c r="V141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V138" i="2"/>
  <c r="V137" i="2"/>
  <c r="V136" i="2"/>
  <c r="V135" i="2"/>
  <c r="V134" i="2"/>
  <c r="V133" i="2"/>
  <c r="V132" i="2"/>
  <c r="V131" i="2"/>
  <c r="V130" i="2"/>
  <c r="V129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V126" i="2"/>
  <c r="V125" i="2"/>
  <c r="V124" i="2"/>
  <c r="V123" i="2"/>
  <c r="V122" i="2"/>
  <c r="V121" i="2"/>
  <c r="V120" i="2"/>
  <c r="V119" i="2"/>
  <c r="V118" i="2"/>
  <c r="V117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V114" i="2"/>
  <c r="V113" i="2"/>
  <c r="V112" i="2"/>
  <c r="V111" i="2"/>
  <c r="V110" i="2"/>
  <c r="V109" i="2"/>
  <c r="V108" i="2"/>
  <c r="V115" i="2" s="1"/>
  <c r="V107" i="2"/>
  <c r="V106" i="2"/>
  <c r="V105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V102" i="2"/>
  <c r="V101" i="2"/>
  <c r="V100" i="2"/>
  <c r="V99" i="2"/>
  <c r="V98" i="2"/>
  <c r="V97" i="2"/>
  <c r="V96" i="2"/>
  <c r="V95" i="2"/>
  <c r="V94" i="2"/>
  <c r="V93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V90" i="2"/>
  <c r="V89" i="2"/>
  <c r="V88" i="2"/>
  <c r="V87" i="2"/>
  <c r="V86" i="2"/>
  <c r="V85" i="2"/>
  <c r="V84" i="2"/>
  <c r="V83" i="2"/>
  <c r="V82" i="2"/>
  <c r="V81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V78" i="2"/>
  <c r="V77" i="2"/>
  <c r="V76" i="2"/>
  <c r="V75" i="2"/>
  <c r="V74" i="2"/>
  <c r="V73" i="2"/>
  <c r="V72" i="2"/>
  <c r="V71" i="2"/>
  <c r="V70" i="2"/>
  <c r="V69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V66" i="2"/>
  <c r="V65" i="2"/>
  <c r="V64" i="2"/>
  <c r="V63" i="2"/>
  <c r="V62" i="2"/>
  <c r="V61" i="2"/>
  <c r="V60" i="2"/>
  <c r="V59" i="2"/>
  <c r="V58" i="2"/>
  <c r="V57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V54" i="2"/>
  <c r="V53" i="2"/>
  <c r="V52" i="2"/>
  <c r="V51" i="2"/>
  <c r="V50" i="2"/>
  <c r="V49" i="2"/>
  <c r="V48" i="2"/>
  <c r="V47" i="2"/>
  <c r="V46" i="2"/>
  <c r="V45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V41" i="2" s="1"/>
  <c r="E41" i="2"/>
  <c r="V40" i="2"/>
  <c r="V39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V35" i="2"/>
  <c r="V34" i="2"/>
  <c r="V33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G30" i="2" s="1"/>
  <c r="F28" i="2"/>
  <c r="F30" i="2" s="1"/>
  <c r="E28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V26" i="2"/>
  <c r="V25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V23" i="2"/>
  <c r="V22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V20" i="2"/>
  <c r="V19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V15" i="2"/>
  <c r="V14" i="2"/>
  <c r="E264" i="1"/>
  <c r="E259" i="1"/>
  <c r="E247" i="1"/>
  <c r="E235" i="1"/>
  <c r="E223" i="1"/>
  <c r="E211" i="1"/>
  <c r="E199" i="1"/>
  <c r="E187" i="1"/>
  <c r="E175" i="1"/>
  <c r="E151" i="1"/>
  <c r="E139" i="1"/>
  <c r="E127" i="1"/>
  <c r="E115" i="1"/>
  <c r="E103" i="1"/>
  <c r="E91" i="1"/>
  <c r="E79" i="1"/>
  <c r="E67" i="1"/>
  <c r="E55" i="1"/>
  <c r="E41" i="1"/>
  <c r="E36" i="1"/>
  <c r="E30" i="1"/>
  <c r="E29" i="1"/>
  <c r="E28" i="1"/>
  <c r="E27" i="1"/>
  <c r="E24" i="1"/>
  <c r="E21" i="1"/>
  <c r="E16" i="1"/>
  <c r="AM259" i="11" l="1"/>
  <c r="AM235" i="11"/>
  <c r="AM211" i="11"/>
  <c r="H262" i="11"/>
  <c r="H264" i="11" s="1"/>
  <c r="L262" i="11"/>
  <c r="L264" i="11" s="1"/>
  <c r="P262" i="11"/>
  <c r="P264" i="11" s="1"/>
  <c r="T262" i="11"/>
  <c r="T264" i="11" s="1"/>
  <c r="X262" i="11"/>
  <c r="X264" i="11" s="1"/>
  <c r="AB262" i="11"/>
  <c r="AB264" i="11" s="1"/>
  <c r="AF262" i="11"/>
  <c r="AF264" i="11" s="1"/>
  <c r="AJ262" i="11"/>
  <c r="AJ264" i="11" s="1"/>
  <c r="AM163" i="11"/>
  <c r="AM151" i="11"/>
  <c r="AM139" i="11"/>
  <c r="AM115" i="11"/>
  <c r="AM103" i="11"/>
  <c r="AM91" i="11"/>
  <c r="AM79" i="11"/>
  <c r="E262" i="11"/>
  <c r="E264" i="11" s="1"/>
  <c r="U262" i="11"/>
  <c r="U264" i="11" s="1"/>
  <c r="AM41" i="11"/>
  <c r="AM36" i="11"/>
  <c r="AM27" i="11"/>
  <c r="AM24" i="11"/>
  <c r="L30" i="11"/>
  <c r="AJ30" i="11"/>
  <c r="Y247" i="10"/>
  <c r="Y235" i="10"/>
  <c r="Y199" i="10"/>
  <c r="Y187" i="10"/>
  <c r="I262" i="10"/>
  <c r="I264" i="10" s="1"/>
  <c r="Q262" i="10"/>
  <c r="Q264" i="10" s="1"/>
  <c r="Y163" i="10"/>
  <c r="Y151" i="10"/>
  <c r="Y139" i="10"/>
  <c r="Y127" i="10"/>
  <c r="Y103" i="10"/>
  <c r="Y91" i="10"/>
  <c r="N262" i="10"/>
  <c r="N264" i="10" s="1"/>
  <c r="G262" i="10"/>
  <c r="G264" i="10" s="1"/>
  <c r="K262" i="10"/>
  <c r="K264" i="10" s="1"/>
  <c r="O262" i="10"/>
  <c r="O264" i="10" s="1"/>
  <c r="S262" i="10"/>
  <c r="S264" i="10" s="1"/>
  <c r="W262" i="10"/>
  <c r="W264" i="10" s="1"/>
  <c r="F262" i="10"/>
  <c r="F264" i="10" s="1"/>
  <c r="R262" i="10"/>
  <c r="R264" i="10" s="1"/>
  <c r="Y41" i="10"/>
  <c r="Y24" i="10"/>
  <c r="H30" i="10"/>
  <c r="L30" i="10"/>
  <c r="P30" i="10"/>
  <c r="X30" i="10"/>
  <c r="V30" i="10"/>
  <c r="Y29" i="10"/>
  <c r="S259" i="9"/>
  <c r="S247" i="9"/>
  <c r="S223" i="9"/>
  <c r="S211" i="9"/>
  <c r="Q262" i="9"/>
  <c r="Q264" i="9" s="1"/>
  <c r="S163" i="9"/>
  <c r="S127" i="9"/>
  <c r="S115" i="9"/>
  <c r="S79" i="9"/>
  <c r="S67" i="9"/>
  <c r="H262" i="9"/>
  <c r="H264" i="9" s="1"/>
  <c r="L262" i="9"/>
  <c r="L264" i="9" s="1"/>
  <c r="P262" i="9"/>
  <c r="P264" i="9" s="1"/>
  <c r="S36" i="9"/>
  <c r="S27" i="9"/>
  <c r="S24" i="9"/>
  <c r="S29" i="9"/>
  <c r="F30" i="9"/>
  <c r="J30" i="9"/>
  <c r="N30" i="9"/>
  <c r="R30" i="9"/>
  <c r="H30" i="9"/>
  <c r="L30" i="9"/>
  <c r="P30" i="9"/>
  <c r="S21" i="9"/>
  <c r="G30" i="9"/>
  <c r="K30" i="9"/>
  <c r="O30" i="9"/>
  <c r="E262" i="8"/>
  <c r="E264" i="8" s="1"/>
  <c r="O139" i="8"/>
  <c r="N262" i="8"/>
  <c r="N264" i="8" s="1"/>
  <c r="O91" i="8"/>
  <c r="O79" i="8"/>
  <c r="I262" i="8"/>
  <c r="I264" i="8" s="1"/>
  <c r="M262" i="8"/>
  <c r="M264" i="8" s="1"/>
  <c r="O41" i="8"/>
  <c r="O21" i="8"/>
  <c r="I30" i="8"/>
  <c r="M30" i="8"/>
  <c r="G30" i="8"/>
  <c r="K30" i="8"/>
  <c r="F30" i="8"/>
  <c r="N30" i="8"/>
  <c r="S247" i="7"/>
  <c r="S235" i="7"/>
  <c r="S223" i="7"/>
  <c r="S211" i="7"/>
  <c r="S199" i="7"/>
  <c r="S175" i="7"/>
  <c r="P262" i="7"/>
  <c r="P264" i="7" s="1"/>
  <c r="S157" i="7"/>
  <c r="H262" i="7"/>
  <c r="H264" i="7" s="1"/>
  <c r="I262" i="7"/>
  <c r="I264" i="7" s="1"/>
  <c r="S55" i="7"/>
  <c r="S36" i="7"/>
  <c r="I30" i="7"/>
  <c r="M30" i="7"/>
  <c r="Q30" i="7"/>
  <c r="G30" i="7"/>
  <c r="O30" i="7"/>
  <c r="S29" i="7"/>
  <c r="S24" i="7"/>
  <c r="P30" i="7"/>
  <c r="K30" i="7"/>
  <c r="S16" i="7"/>
  <c r="Z259" i="6"/>
  <c r="Z247" i="6"/>
  <c r="Z235" i="6"/>
  <c r="Z211" i="6"/>
  <c r="Z199" i="6"/>
  <c r="Z187" i="6"/>
  <c r="E160" i="1"/>
  <c r="E163" i="1" s="1"/>
  <c r="Z163" i="6"/>
  <c r="Z151" i="6"/>
  <c r="Z139" i="6"/>
  <c r="Z103" i="6"/>
  <c r="I262" i="6"/>
  <c r="I264" i="6" s="1"/>
  <c r="Z91" i="6"/>
  <c r="H262" i="6"/>
  <c r="H264" i="6" s="1"/>
  <c r="L262" i="6"/>
  <c r="L264" i="6" s="1"/>
  <c r="T262" i="6"/>
  <c r="T264" i="6" s="1"/>
  <c r="X262" i="6"/>
  <c r="X264" i="6" s="1"/>
  <c r="Q262" i="6"/>
  <c r="Q264" i="6" s="1"/>
  <c r="Y262" i="6"/>
  <c r="Y264" i="6" s="1"/>
  <c r="P262" i="6"/>
  <c r="P264" i="6" s="1"/>
  <c r="E262" i="6"/>
  <c r="E264" i="6" s="1"/>
  <c r="M262" i="6"/>
  <c r="M264" i="6" s="1"/>
  <c r="U262" i="6"/>
  <c r="U264" i="6" s="1"/>
  <c r="Z79" i="6"/>
  <c r="F262" i="6"/>
  <c r="F264" i="6" s="1"/>
  <c r="J262" i="6"/>
  <c r="J264" i="6" s="1"/>
  <c r="N262" i="6"/>
  <c r="N264" i="6" s="1"/>
  <c r="R262" i="6"/>
  <c r="R264" i="6" s="1"/>
  <c r="V262" i="6"/>
  <c r="V264" i="6" s="1"/>
  <c r="Z67" i="6"/>
  <c r="Z55" i="6"/>
  <c r="Z36" i="6"/>
  <c r="Z27" i="6"/>
  <c r="G30" i="6"/>
  <c r="S30" i="6"/>
  <c r="H30" i="6"/>
  <c r="L30" i="6"/>
  <c r="P30" i="6"/>
  <c r="T30" i="6"/>
  <c r="X30" i="6"/>
  <c r="W30" i="6"/>
  <c r="Z29" i="6"/>
  <c r="K30" i="6"/>
  <c r="O30" i="6"/>
  <c r="Z16" i="6"/>
  <c r="G262" i="5"/>
  <c r="G264" i="5" s="1"/>
  <c r="H262" i="5"/>
  <c r="H264" i="5" s="1"/>
  <c r="L262" i="5"/>
  <c r="L264" i="5" s="1"/>
  <c r="R262" i="5"/>
  <c r="R264" i="5" s="1"/>
  <c r="H30" i="5"/>
  <c r="L30" i="5"/>
  <c r="P30" i="5"/>
  <c r="T30" i="5"/>
  <c r="I30" i="5"/>
  <c r="M30" i="5"/>
  <c r="Q30" i="5"/>
  <c r="U30" i="5"/>
  <c r="G30" i="5"/>
  <c r="S30" i="5"/>
  <c r="W16" i="5"/>
  <c r="N223" i="4"/>
  <c r="N139" i="4"/>
  <c r="N127" i="4"/>
  <c r="N91" i="4"/>
  <c r="J262" i="4"/>
  <c r="J264" i="4" s="1"/>
  <c r="N79" i="4"/>
  <c r="I262" i="4"/>
  <c r="I264" i="4" s="1"/>
  <c r="F262" i="4"/>
  <c r="F264" i="4" s="1"/>
  <c r="G262" i="4"/>
  <c r="G264" i="4" s="1"/>
  <c r="E262" i="4"/>
  <c r="E264" i="4" s="1"/>
  <c r="J30" i="4"/>
  <c r="L30" i="4"/>
  <c r="N28" i="4"/>
  <c r="H30" i="4"/>
  <c r="N21" i="4"/>
  <c r="N29" i="4"/>
  <c r="E30" i="4"/>
  <c r="N16" i="4"/>
  <c r="T247" i="3"/>
  <c r="T223" i="3"/>
  <c r="T175" i="3"/>
  <c r="T157" i="3"/>
  <c r="T127" i="3"/>
  <c r="T115" i="3"/>
  <c r="P262" i="3"/>
  <c r="P264" i="3" s="1"/>
  <c r="H262" i="3"/>
  <c r="H264" i="3" s="1"/>
  <c r="L262" i="3"/>
  <c r="L264" i="3" s="1"/>
  <c r="T91" i="3"/>
  <c r="T79" i="3"/>
  <c r="T55" i="3"/>
  <c r="G262" i="3"/>
  <c r="G264" i="3" s="1"/>
  <c r="T41" i="3"/>
  <c r="T36" i="3"/>
  <c r="E30" i="3"/>
  <c r="I30" i="3"/>
  <c r="M30" i="3"/>
  <c r="Q30" i="3"/>
  <c r="T24" i="3"/>
  <c r="H30" i="3"/>
  <c r="L30" i="3"/>
  <c r="K30" i="3"/>
  <c r="T29" i="3"/>
  <c r="T28" i="3"/>
  <c r="R30" i="3"/>
  <c r="G30" i="3"/>
  <c r="T16" i="3"/>
  <c r="V259" i="2"/>
  <c r="V247" i="2"/>
  <c r="V223" i="2"/>
  <c r="V211" i="2"/>
  <c r="V199" i="2"/>
  <c r="V175" i="2"/>
  <c r="V157" i="2"/>
  <c r="V163" i="2"/>
  <c r="V151" i="2"/>
  <c r="V139" i="2"/>
  <c r="V127" i="2"/>
  <c r="F262" i="2"/>
  <c r="F264" i="2" s="1"/>
  <c r="J262" i="2"/>
  <c r="J264" i="2" s="1"/>
  <c r="N262" i="2"/>
  <c r="N264" i="2" s="1"/>
  <c r="V103" i="2"/>
  <c r="T262" i="2"/>
  <c r="T264" i="2" s="1"/>
  <c r="V91" i="2"/>
  <c r="L262" i="2"/>
  <c r="L264" i="2" s="1"/>
  <c r="S262" i="2"/>
  <c r="S264" i="2" s="1"/>
  <c r="G262" i="2"/>
  <c r="G264" i="2" s="1"/>
  <c r="K262" i="2"/>
  <c r="K264" i="2" s="1"/>
  <c r="O262" i="2"/>
  <c r="O264" i="2" s="1"/>
  <c r="V79" i="2"/>
  <c r="H262" i="2"/>
  <c r="H264" i="2" s="1"/>
  <c r="V67" i="2"/>
  <c r="P262" i="2"/>
  <c r="P264" i="2" s="1"/>
  <c r="R262" i="2"/>
  <c r="R264" i="2" s="1"/>
  <c r="V55" i="2"/>
  <c r="V36" i="2"/>
  <c r="O30" i="2"/>
  <c r="V24" i="2"/>
  <c r="E30" i="2"/>
  <c r="I30" i="2"/>
  <c r="M30" i="2"/>
  <c r="Q30" i="2"/>
  <c r="U30" i="2"/>
  <c r="J30" i="2"/>
  <c r="N30" i="2"/>
  <c r="R30" i="2"/>
  <c r="K30" i="2"/>
  <c r="S30" i="2"/>
  <c r="V21" i="2"/>
  <c r="V28" i="2"/>
  <c r="J30" i="3"/>
  <c r="N30" i="3"/>
  <c r="E262" i="3"/>
  <c r="I262" i="3"/>
  <c r="I264" i="3" s="1"/>
  <c r="T187" i="3"/>
  <c r="H262" i="4"/>
  <c r="H264" i="4" s="1"/>
  <c r="L262" i="4"/>
  <c r="L264" i="4" s="1"/>
  <c r="W24" i="5"/>
  <c r="W27" i="5"/>
  <c r="F262" i="5"/>
  <c r="F264" i="5" s="1"/>
  <c r="J262" i="5"/>
  <c r="J264" i="5" s="1"/>
  <c r="N262" i="5"/>
  <c r="N264" i="5" s="1"/>
  <c r="V262" i="5"/>
  <c r="V264" i="5" s="1"/>
  <c r="W259" i="5"/>
  <c r="V16" i="2"/>
  <c r="V29" i="2"/>
  <c r="O30" i="3"/>
  <c r="S30" i="3"/>
  <c r="F30" i="3"/>
  <c r="T199" i="3"/>
  <c r="N27" i="4"/>
  <c r="M262" i="4"/>
  <c r="M264" i="4" s="1"/>
  <c r="K262" i="5"/>
  <c r="K264" i="5" s="1"/>
  <c r="O262" i="5"/>
  <c r="O264" i="5" s="1"/>
  <c r="S262" i="5"/>
  <c r="S264" i="5" s="1"/>
  <c r="W175" i="5"/>
  <c r="Z24" i="6"/>
  <c r="Z28" i="6"/>
  <c r="E30" i="6"/>
  <c r="S67" i="7"/>
  <c r="S79" i="7"/>
  <c r="S28" i="9"/>
  <c r="Y21" i="10"/>
  <c r="V27" i="2"/>
  <c r="H30" i="2"/>
  <c r="L30" i="2"/>
  <c r="P30" i="2"/>
  <c r="T30" i="2"/>
  <c r="E262" i="2"/>
  <c r="I262" i="2"/>
  <c r="I264" i="2" s="1"/>
  <c r="M262" i="2"/>
  <c r="M264" i="2" s="1"/>
  <c r="Q262" i="2"/>
  <c r="Q264" i="2" s="1"/>
  <c r="U262" i="2"/>
  <c r="U264" i="2" s="1"/>
  <c r="T21" i="3"/>
  <c r="O262" i="3"/>
  <c r="O264" i="3" s="1"/>
  <c r="S262" i="3"/>
  <c r="S264" i="3" s="1"/>
  <c r="N24" i="4"/>
  <c r="K262" i="4"/>
  <c r="K264" i="4" s="1"/>
  <c r="E30" i="5"/>
  <c r="W28" i="5"/>
  <c r="W29" i="5"/>
  <c r="P262" i="5"/>
  <c r="P264" i="5" s="1"/>
  <c r="T262" i="5"/>
  <c r="T264" i="5" s="1"/>
  <c r="W67" i="5"/>
  <c r="W91" i="5"/>
  <c r="W199" i="5"/>
  <c r="W211" i="5"/>
  <c r="W223" i="5"/>
  <c r="Z21" i="6"/>
  <c r="Z41" i="6"/>
  <c r="G262" i="6"/>
  <c r="K262" i="6"/>
  <c r="K264" i="6" s="1"/>
  <c r="O262" i="6"/>
  <c r="O264" i="6" s="1"/>
  <c r="S262" i="6"/>
  <c r="S264" i="6" s="1"/>
  <c r="W262" i="6"/>
  <c r="W264" i="6" s="1"/>
  <c r="E262" i="7"/>
  <c r="M262" i="7"/>
  <c r="M264" i="7" s="1"/>
  <c r="S259" i="7"/>
  <c r="O16" i="8"/>
  <c r="O175" i="8"/>
  <c r="F30" i="11"/>
  <c r="AM28" i="11"/>
  <c r="M262" i="11"/>
  <c r="M264" i="11" s="1"/>
  <c r="AK262" i="11"/>
  <c r="AK264" i="11" s="1"/>
  <c r="L262" i="7"/>
  <c r="L264" i="7" s="1"/>
  <c r="S139" i="7"/>
  <c r="E30" i="8"/>
  <c r="O28" i="8"/>
  <c r="O29" i="8"/>
  <c r="J262" i="8"/>
  <c r="J264" i="8" s="1"/>
  <c r="E262" i="9"/>
  <c r="I262" i="9"/>
  <c r="I264" i="9" s="1"/>
  <c r="M262" i="9"/>
  <c r="M264" i="9" s="1"/>
  <c r="S139" i="9"/>
  <c r="G30" i="11"/>
  <c r="K30" i="11"/>
  <c r="O30" i="11"/>
  <c r="S30" i="11"/>
  <c r="W30" i="11"/>
  <c r="AA30" i="11"/>
  <c r="AE30" i="11"/>
  <c r="AI30" i="11"/>
  <c r="I262" i="11"/>
  <c r="I264" i="11" s="1"/>
  <c r="Q262" i="11"/>
  <c r="Q264" i="11" s="1"/>
  <c r="Y262" i="11"/>
  <c r="Y264" i="11" s="1"/>
  <c r="AC262" i="11"/>
  <c r="AC264" i="11" s="1"/>
  <c r="AG262" i="11"/>
  <c r="AG264" i="11" s="1"/>
  <c r="AM127" i="11"/>
  <c r="T67" i="3"/>
  <c r="T163" i="3"/>
  <c r="T259" i="3"/>
  <c r="G30" i="4"/>
  <c r="K30" i="4"/>
  <c r="N41" i="4"/>
  <c r="N67" i="4"/>
  <c r="N115" i="4"/>
  <c r="N163" i="4"/>
  <c r="N211" i="4"/>
  <c r="N259" i="4"/>
  <c r="W36" i="5"/>
  <c r="W127" i="5"/>
  <c r="E30" i="7"/>
  <c r="S28" i="7"/>
  <c r="S41" i="7"/>
  <c r="Q262" i="7"/>
  <c r="Q264" i="7" s="1"/>
  <c r="S163" i="7"/>
  <c r="S187" i="7"/>
  <c r="F262" i="9"/>
  <c r="F264" i="9" s="1"/>
  <c r="J262" i="9"/>
  <c r="J264" i="9" s="1"/>
  <c r="N262" i="9"/>
  <c r="N264" i="9" s="1"/>
  <c r="R262" i="9"/>
  <c r="R264" i="9" s="1"/>
  <c r="E262" i="10"/>
  <c r="M262" i="10"/>
  <c r="M264" i="10" s="1"/>
  <c r="U262" i="10"/>
  <c r="U264" i="10" s="1"/>
  <c r="AM175" i="11"/>
  <c r="AM187" i="11"/>
  <c r="AM199" i="11"/>
  <c r="T139" i="3"/>
  <c r="T235" i="3"/>
  <c r="N36" i="4"/>
  <c r="N55" i="4"/>
  <c r="N103" i="4"/>
  <c r="N151" i="4"/>
  <c r="N199" i="4"/>
  <c r="N247" i="4"/>
  <c r="E262" i="5"/>
  <c r="I262" i="5"/>
  <c r="I264" i="5" s="1"/>
  <c r="M262" i="5"/>
  <c r="M264" i="5" s="1"/>
  <c r="Q262" i="5"/>
  <c r="Q264" i="5" s="1"/>
  <c r="U262" i="5"/>
  <c r="U264" i="5" s="1"/>
  <c r="W79" i="5"/>
  <c r="F30" i="7"/>
  <c r="J30" i="7"/>
  <c r="N30" i="7"/>
  <c r="R30" i="7"/>
  <c r="S103" i="7"/>
  <c r="O24" i="8"/>
  <c r="O27" i="8"/>
  <c r="O36" i="8"/>
  <c r="H262" i="8"/>
  <c r="H264" i="8" s="1"/>
  <c r="L262" i="8"/>
  <c r="L264" i="8" s="1"/>
  <c r="O127" i="8"/>
  <c r="S91" i="9"/>
  <c r="S103" i="9"/>
  <c r="S235" i="9"/>
  <c r="J262" i="10"/>
  <c r="J264" i="10" s="1"/>
  <c r="V262" i="10"/>
  <c r="V264" i="10" s="1"/>
  <c r="Y67" i="10"/>
  <c r="AM67" i="11"/>
  <c r="AM223" i="11"/>
  <c r="AM247" i="11"/>
  <c r="S27" i="7"/>
  <c r="F262" i="7"/>
  <c r="F264" i="7" s="1"/>
  <c r="J262" i="7"/>
  <c r="J264" i="7" s="1"/>
  <c r="N262" i="7"/>
  <c r="N264" i="7" s="1"/>
  <c r="R262" i="7"/>
  <c r="R264" i="7" s="1"/>
  <c r="S91" i="7"/>
  <c r="O55" i="8"/>
  <c r="G262" i="8"/>
  <c r="G264" i="8" s="1"/>
  <c r="K262" i="8"/>
  <c r="K264" i="8" s="1"/>
  <c r="O67" i="8"/>
  <c r="O157" i="8"/>
  <c r="O163" i="8" s="1"/>
  <c r="O199" i="8"/>
  <c r="O211" i="8"/>
  <c r="S55" i="9"/>
  <c r="G262" i="9"/>
  <c r="G264" i="9" s="1"/>
  <c r="K262" i="9"/>
  <c r="K264" i="9" s="1"/>
  <c r="O262" i="9"/>
  <c r="O264" i="9" s="1"/>
  <c r="S175" i="9"/>
  <c r="S187" i="9"/>
  <c r="S199" i="9"/>
  <c r="Y16" i="10"/>
  <c r="Y27" i="10"/>
  <c r="E30" i="10"/>
  <c r="I30" i="10"/>
  <c r="M30" i="10"/>
  <c r="Q30" i="10"/>
  <c r="U30" i="10"/>
  <c r="Y28" i="10"/>
  <c r="Y223" i="10"/>
  <c r="Y259" i="10"/>
  <c r="AM55" i="11"/>
  <c r="G262" i="11"/>
  <c r="G264" i="11" s="1"/>
  <c r="K262" i="11"/>
  <c r="K264" i="11" s="1"/>
  <c r="O262" i="11"/>
  <c r="O264" i="11" s="1"/>
  <c r="S262" i="11"/>
  <c r="S264" i="11" s="1"/>
  <c r="W262" i="11"/>
  <c r="W264" i="11" s="1"/>
  <c r="AA262" i="11"/>
  <c r="AA264" i="11" s="1"/>
  <c r="AE262" i="11"/>
  <c r="AE264" i="11" s="1"/>
  <c r="AI262" i="11"/>
  <c r="AI264" i="11" s="1"/>
  <c r="O103" i="8"/>
  <c r="O115" i="8"/>
  <c r="S16" i="9"/>
  <c r="Y36" i="10"/>
  <c r="H262" i="10"/>
  <c r="H264" i="10" s="1"/>
  <c r="L262" i="10"/>
  <c r="L264" i="10" s="1"/>
  <c r="P262" i="10"/>
  <c r="P264" i="10" s="1"/>
  <c r="T262" i="10"/>
  <c r="T264" i="10" s="1"/>
  <c r="X262" i="10"/>
  <c r="X264" i="10" s="1"/>
  <c r="Y79" i="10"/>
  <c r="Y115" i="10"/>
  <c r="Y175" i="10"/>
  <c r="Y211" i="10"/>
  <c r="AM16" i="11"/>
  <c r="F262" i="11"/>
  <c r="F264" i="11" s="1"/>
  <c r="J262" i="11"/>
  <c r="J264" i="11" s="1"/>
  <c r="N262" i="11"/>
  <c r="N264" i="11" s="1"/>
  <c r="R262" i="11"/>
  <c r="R264" i="11" s="1"/>
  <c r="V262" i="11"/>
  <c r="V264" i="11" s="1"/>
  <c r="Z262" i="11"/>
  <c r="Z264" i="11" s="1"/>
  <c r="AD262" i="11"/>
  <c r="AD264" i="11" s="1"/>
  <c r="AH262" i="11"/>
  <c r="AH264" i="11" s="1"/>
  <c r="AL262" i="11"/>
  <c r="AL264" i="11" s="1"/>
  <c r="AM30" i="11" l="1"/>
  <c r="S30" i="9"/>
  <c r="O30" i="8"/>
  <c r="Z30" i="6"/>
  <c r="W30" i="5"/>
  <c r="N30" i="4"/>
  <c r="T30" i="3"/>
  <c r="V30" i="2"/>
  <c r="E264" i="10"/>
  <c r="Y264" i="10" s="1"/>
  <c r="Y262" i="10"/>
  <c r="O262" i="8"/>
  <c r="G264" i="6"/>
  <c r="Z264" i="6" s="1"/>
  <c r="Z262" i="6"/>
  <c r="T262" i="3"/>
  <c r="E264" i="3"/>
  <c r="T264" i="3" s="1"/>
  <c r="N264" i="4"/>
  <c r="Y30" i="10"/>
  <c r="E264" i="5"/>
  <c r="W264" i="5" s="1"/>
  <c r="W262" i="5"/>
  <c r="S30" i="7"/>
  <c r="S262" i="9"/>
  <c r="E264" i="9"/>
  <c r="S264" i="9" s="1"/>
  <c r="V262" i="2"/>
  <c r="E264" i="2"/>
  <c r="V264" i="2" s="1"/>
  <c r="AM264" i="11"/>
  <c r="O264" i="8"/>
  <c r="E264" i="7"/>
  <c r="S264" i="7" s="1"/>
  <c r="S262" i="7"/>
  <c r="N262" i="4"/>
  <c r="AM262" i="11"/>
</calcChain>
</file>

<file path=xl/sharedStrings.xml><?xml version="1.0" encoding="utf-8"?>
<sst xmlns="http://schemas.openxmlformats.org/spreadsheetml/2006/main" count="3338" uniqueCount="242">
  <si>
    <t>Kecamatan</t>
  </si>
  <si>
    <t>ROGOJAMPI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</si>
  <si>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</si>
  <si>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</si>
  <si>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</si>
  <si>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</si>
  <si>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</si>
  <si>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</si>
  <si>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</si>
  <si>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</si>
  <si>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</si>
  <si>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</si>
  <si>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</si>
  <si>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</si>
  <si>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</si>
  <si>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</si>
  <si>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</si>
  <si>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</si>
  <si>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</si>
  <si>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</si>
  <si>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</si>
  <si>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</si>
  <si>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</si>
  <si>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</si>
  <si>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</si>
  <si>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</si>
  <si>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</si>
  <si>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</si>
  <si>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</si>
  <si>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</si>
  <si>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</si>
  <si>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</si>
  <si>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</si>
  <si>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</si>
  <si>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</si>
  <si>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</si>
  <si>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</si>
  <si>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</si>
  <si>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</si>
  <si>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</si>
  <si>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Dra. Hj. MA`MULAH HARUN, M.Pd.I.</t>
  </si>
  <si>
    <t>2. UBAIDILLAH, S.Fil.I.</t>
  </si>
  <si>
    <t>3. Ir. H. YOYOK MULYADI, M.Si.</t>
  </si>
  <si>
    <t>4. KHOIRUL ANWAR, S.Fil.I.</t>
  </si>
  <si>
    <t>5. ARIF WIJAKSANA</t>
  </si>
  <si>
    <t>6. Dr. SITI YUMNAH</t>
  </si>
  <si>
    <t>7. MOHAMMAD ZAINI, M.Pd.I.</t>
  </si>
  <si>
    <t>8. FAWAIDUL MAKKIYAH</t>
  </si>
  <si>
    <t>9. IFFAH HIDAYATUR ROHMAH, S.Sos.</t>
  </si>
  <si>
    <t>JUMLAH SUARA SAH PARTAI POLITIK DAN CALON (A1 + A2)</t>
  </si>
  <si>
    <t>Partai Gerakan Indonesia Raya</t>
  </si>
  <si>
    <t>1. AHMAD HADINUDDIN, S.Pd.I.</t>
  </si>
  <si>
    <t>2. BIMA RAFSANJANI RAFID</t>
  </si>
  <si>
    <t>3. IRA DAMAYANTI</t>
  </si>
  <si>
    <t>4. MAULANA MALIK IBRAHIM, S.H.</t>
  </si>
  <si>
    <t>5. LULUK ALFIATI</t>
  </si>
  <si>
    <t>6. ILHAM WAHYUDI, S.H.</t>
  </si>
  <si>
    <t>7. HAERUL ANWAR, S.Pd.I.</t>
  </si>
  <si>
    <t>8. YOVI ADHITYA WARDANI</t>
  </si>
  <si>
    <t>9. RITA AMELIA</t>
  </si>
  <si>
    <t>Partai Demokrasi Indonesia Perjuangan</t>
  </si>
  <si>
    <t>1. MARTIN H., S.H., M.H.</t>
  </si>
  <si>
    <t>2. HERMANTO, S.E.</t>
  </si>
  <si>
    <t>3. EVY SUSILAWATI, S.E., M.M.</t>
  </si>
  <si>
    <t>4. M. SIROTTUDIN</t>
  </si>
  <si>
    <t>5. ABDUL HAFID, S.H.</t>
  </si>
  <si>
    <t>6. NIKITA FORTUNA SURYANINGATI, A.Md.Keb.</t>
  </si>
  <si>
    <t>7. YUDHO ILHAM WIJAYA, S.E.</t>
  </si>
  <si>
    <t>8. SETIAWATI, S.H.</t>
  </si>
  <si>
    <t>9. EKO BUDI SANTOSO, S.H.</t>
  </si>
  <si>
    <t>Partai Golongan Karya</t>
  </si>
  <si>
    <t>1. PRANAYA YUDHA MAHARDHIKA</t>
  </si>
  <si>
    <t>2. Dra. Ec. ENDANG SULASTUTY, M.I.P.</t>
  </si>
  <si>
    <t>3. AGUS REJEKI WARTONO</t>
  </si>
  <si>
    <t>4. Hj. TUTUK ASMA'A ZUCHROH, S.T., M.T.</t>
  </si>
  <si>
    <t>5. ADE M. RIZKI, S.E.</t>
  </si>
  <si>
    <t>6. ABDURAKHMAN, Bc.Kn.</t>
  </si>
  <si>
    <t>7. CENDY RHIYAN ADI PUTRI</t>
  </si>
  <si>
    <t>8. BAKTI WIJAYANTO, S.E.</t>
  </si>
  <si>
    <t>9. AHMAD UBAIDILLAH</t>
  </si>
  <si>
    <t>5.</t>
  </si>
  <si>
    <t>Partai NasDem</t>
  </si>
  <si>
    <t>1. ALI MUSTOFA, A.Md.</t>
  </si>
  <si>
    <t>2. Hj. BUAMI, S.H.</t>
  </si>
  <si>
    <t>3. SUGIONO, S.H.</t>
  </si>
  <si>
    <t>4. LULUK SUNARMIATININGSIH</t>
  </si>
  <si>
    <t>5. ANTON DJULIANTO ADI</t>
  </si>
  <si>
    <t>6. MOKHAMAD ROFI'I KHUSNAN</t>
  </si>
  <si>
    <t>7. Rr SETYO WATI</t>
  </si>
  <si>
    <t>8. ABD. KADIR ASSEGAFF</t>
  </si>
  <si>
    <t>9. FATHOR ZAINULLAH</t>
  </si>
  <si>
    <t>6.</t>
  </si>
  <si>
    <t>Partai Buruh</t>
  </si>
  <si>
    <t>1. AGUS SUPRIYADI</t>
  </si>
  <si>
    <t>2. ENI HARIATI</t>
  </si>
  <si>
    <t>7.</t>
  </si>
  <si>
    <t>Partai Gelombang Rakyat Indonesia</t>
  </si>
  <si>
    <t>1. MIRZA MUHROSNI AROMA</t>
  </si>
  <si>
    <t>2. ACHMAD BAGUS SUGIARTO</t>
  </si>
  <si>
    <t>3. ELOK FITRIYA NINGSIH</t>
  </si>
  <si>
    <t>4. MADI</t>
  </si>
  <si>
    <t>5. LUKY PERMANASARI</t>
  </si>
  <si>
    <t>8.</t>
  </si>
  <si>
    <t>Partai Keadilan Sejahtera</t>
  </si>
  <si>
    <t>1. H. IRWAN SETIAWAN</t>
  </si>
  <si>
    <t>2. USMAN SAHIB RAFIK, S.S.</t>
  </si>
  <si>
    <t>3. YULIUS AGUSTINA, S.Pd.I.</t>
  </si>
  <si>
    <t>4. JUGI TRISTIANTO, S.Sos., M.M.</t>
  </si>
  <si>
    <t>5. USAMAH ABDAT, S.E.</t>
  </si>
  <si>
    <t>6. Hj. ENDANG WIRETNI</t>
  </si>
  <si>
    <t>7. ANANG PURWIDIANTO</t>
  </si>
  <si>
    <t>8. HERU KURNIAWAN</t>
  </si>
  <si>
    <t>9. DYAH ROSYIDAH, S.Si.</t>
  </si>
  <si>
    <t>9.</t>
  </si>
  <si>
    <t>Partai Kebangkitan Nusantara</t>
  </si>
  <si>
    <t>1. AHMAD WAHYUDI</t>
  </si>
  <si>
    <t>2. TONY ARIF SETIAWAN</t>
  </si>
  <si>
    <t>3. HENI DUWI PUSPITASARI</t>
  </si>
  <si>
    <t>10.</t>
  </si>
  <si>
    <t>Partai Hati Nurani Rakyat</t>
  </si>
  <si>
    <t>1. BUDIYANTO EKO SISILA</t>
  </si>
  <si>
    <t>2. LAYLI HASAN, S.H.I.</t>
  </si>
  <si>
    <t>3. NUR HAYATI, ST.</t>
  </si>
  <si>
    <t>4. A. YUDI PRASETYO</t>
  </si>
  <si>
    <t>5. ESA TEDJA MAHANANIE, S.H.</t>
  </si>
  <si>
    <t>6. SANDI SANTOSO</t>
  </si>
  <si>
    <t>7. AGUS SUKMONO WATI</t>
  </si>
  <si>
    <t>11.</t>
  </si>
  <si>
    <t>Partai Garda Republik Indonesia</t>
  </si>
  <si>
    <t>1. LISTA ARIYANI, S.H.</t>
  </si>
  <si>
    <t>12.</t>
  </si>
  <si>
    <t>Partai Amanat Nasional</t>
  </si>
  <si>
    <t>1. DANU BUDIYONO</t>
  </si>
  <si>
    <t>2. MASRURO, S.Ag.</t>
  </si>
  <si>
    <t>3. MOH. IMRON FAUZI, S.Sos.I., M.M.</t>
  </si>
  <si>
    <t>4. FIRMANSYAH</t>
  </si>
  <si>
    <t>5. HANA HANDINI, S.Pd.</t>
  </si>
  <si>
    <t>6. IRAWAN, S.M.</t>
  </si>
  <si>
    <t>7. MAHYUDI</t>
  </si>
  <si>
    <t>8. NOVI NAHARI SYAFITRI</t>
  </si>
  <si>
    <t>9. SOFYAN MEDINA</t>
  </si>
  <si>
    <t>13.</t>
  </si>
  <si>
    <t>Partai Bulan Bintang</t>
  </si>
  <si>
    <t>1. Dra. WORO WANDANSARI</t>
  </si>
  <si>
    <t>2. MOH. RAMLI</t>
  </si>
  <si>
    <t>3. DIANA DEWI, S.Psi.</t>
  </si>
  <si>
    <t>4. RATIH PERBAWATI</t>
  </si>
  <si>
    <t>5. AINUL YAQIN, S.Pd., M.A.P.</t>
  </si>
  <si>
    <t>6. EKA FEBRY SULISTIYONO</t>
  </si>
  <si>
    <t>7. MOH. NURUL HUDA</t>
  </si>
  <si>
    <t>8. RAHMAWATI</t>
  </si>
  <si>
    <t>9. MUHAMMAD NUR RAHMATULLAH</t>
  </si>
  <si>
    <t>14.</t>
  </si>
  <si>
    <t>Partai Demokrat</t>
  </si>
  <si>
    <t>1. dr. AGUNG MULYONO</t>
  </si>
  <si>
    <t>2. ISYROFAH AMALIYAH ACHMAD, S.H., M.H.</t>
  </si>
  <si>
    <t>3. GIGIH ANDI WIJAYA, S.H.</t>
  </si>
  <si>
    <t>4. NAQSYABANDI</t>
  </si>
  <si>
    <t>5. NIYADI</t>
  </si>
  <si>
    <t>6. MEI VIDIA UTAMI</t>
  </si>
  <si>
    <t>7. LUKMAN HAKIM</t>
  </si>
  <si>
    <t>8. ZAIRI</t>
  </si>
  <si>
    <t>9. NURUL HIDAYAH</t>
  </si>
  <si>
    <t>15.</t>
  </si>
  <si>
    <t>Partai Solidaritas Indonesia</t>
  </si>
  <si>
    <t>1. Zainul Musabbikhin</t>
  </si>
  <si>
    <t>2. Veni Putri Nurfazila</t>
  </si>
  <si>
    <t>3. DWI WAHYULIANTO</t>
  </si>
  <si>
    <t>16.</t>
  </si>
  <si>
    <t>PARTAI PERINDO</t>
  </si>
  <si>
    <t>1. ADIBAH HAKAM, S.H.</t>
  </si>
  <si>
    <t>2. BUDI TEGUH SARTONO</t>
  </si>
  <si>
    <t>3. ILHAM AKBAR, S.E.</t>
  </si>
  <si>
    <t>4. FERA DWI HELMINA</t>
  </si>
  <si>
    <t>17.</t>
  </si>
  <si>
    <t>Partai Persatuan Pembangunan</t>
  </si>
  <si>
    <t>1. Hj. ZEINIYE, S.Ag.</t>
  </si>
  <si>
    <t>2. H. LUQMAN YANI</t>
  </si>
  <si>
    <t>3. MIRZA</t>
  </si>
  <si>
    <t>4. FADIL, S.Pd.I.</t>
  </si>
  <si>
    <t>5. SYAMSUL ARIFIN, S.H.</t>
  </si>
  <si>
    <t>6. SITA AMILATUZZAHRO</t>
  </si>
  <si>
    <t>7. ZEIROSI, S.H.I.</t>
  </si>
  <si>
    <t>8. MASYUDIK HARTONO</t>
  </si>
  <si>
    <t>9. NARITA NURIL FAJRIYAH</t>
  </si>
  <si>
    <t>18.</t>
  </si>
  <si>
    <t>Partai Ummat</t>
  </si>
  <si>
    <t>1. SAIFUL HADI</t>
  </si>
  <si>
    <t>2. Drs. WITONO, M.Pd.</t>
  </si>
  <si>
    <t>3. KHOLIKAH, S.T.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</si>
  <si>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</si>
  <si>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</si>
  <si>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</si>
  <si>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</si>
  <si>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</si>
  <si>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</si>
  <si>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</si>
  <si>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</si>
  <si>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</si>
  <si>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ALIYAN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</si>
  <si>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</si>
  <si>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</si>
  <si>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</si>
  <si>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</si>
  <si>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</si>
  <si>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</si>
  <si>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</si>
  <si>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</si>
  <si>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</si>
  <si>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</si>
  <si>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</si>
  <si>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</si>
  <si>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</si>
  <si>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</si>
  <si>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</si>
  <si>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</si>
  <si>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</si>
  <si>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BUBUK</t>
  </si>
  <si>
    <t>GITIK</t>
  </si>
  <si>
    <t>GLADAG</t>
  </si>
  <si>
    <t>TPS 018</t>
  </si>
  <si>
    <t>KARANGBENDO</t>
  </si>
  <si>
    <t>TPS 019</t>
  </si>
  <si>
    <t>TPS 020</t>
  </si>
  <si>
    <t>TPS 021</t>
  </si>
  <si>
    <t>KEDALEMAN</t>
  </si>
  <si>
    <t>LEMAHBANGDEWO</t>
  </si>
  <si>
    <t>MANGIR</t>
  </si>
  <si>
    <t>PENGATIGAN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</si>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</sst>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Calibri"/>
      <scheme val="minor"/>
    </font>
    <font>
      <b/>
      <sz val="10"/>
      <color theme="1"/>
      <name val="Bookman Old Style"/>
    </font>
    <font>
      <sz val="10"/>
      <color theme="1"/>
      <name val="Arial"/>
    </font>
    <font>
      <sz val="10"/>
      <color theme="1"/>
      <name val="Bookman Old Style"/>
    </font>
    <font>
      <sz val="10"/>
      <color rgb="FF000000"/>
      <name val="Bookman Old Style"/>
    </font>
    <font>
      <sz val="10"/>
      <name val="Calibri"/>
    </font>
    <font>
      <sz val="10"/>
      <color theme="1"/>
      <name val="Cambria"/>
    </font>
    <font>
      <b/>
      <sz val="10"/>
      <color rgb="FF000000"/>
      <name val="Bookman Old Style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3" fontId="1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3" fontId="2" fillId="0" borderId="0" xfId="0" applyNumberFormat="1" applyFont="1"/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2" fillId="0" borderId="4" xfId="0" applyFont="1" applyBorder="1"/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3" fontId="2" fillId="2" borderId="17" xfId="0" applyNumberFormat="1" applyFont="1" applyFill="1" applyBorder="1"/>
    <xf numFmtId="0" fontId="2" fillId="2" borderId="17" xfId="0" applyFont="1" applyFill="1" applyBorder="1"/>
    <xf numFmtId="0" fontId="3" fillId="0" borderId="4" xfId="0" applyFont="1" applyBorder="1" applyAlignment="1">
      <alignment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vertical="center" wrapText="1"/>
    </xf>
    <xf numFmtId="0" fontId="2" fillId="3" borderId="20" xfId="0" applyFont="1" applyFill="1" applyBorder="1"/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vertical="center" wrapText="1"/>
    </xf>
    <xf numFmtId="0" fontId="3" fillId="3" borderId="19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left" vertical="top" wrapText="1"/>
    </xf>
    <xf numFmtId="0" fontId="6" fillId="3" borderId="21" xfId="0" applyFont="1" applyFill="1" applyBorder="1" applyAlignment="1">
      <alignment horizontal="left" vertical="top" wrapText="1"/>
    </xf>
    <xf numFmtId="0" fontId="1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/>
    </xf>
    <xf numFmtId="0" fontId="8" fillId="0" borderId="1" xfId="0" applyFont="1" applyBorder="1"/>
    <xf numFmtId="0" fontId="1" fillId="0" borderId="1" xfId="0" applyFont="1" applyBorder="1" applyAlignment="1">
      <alignment vertical="center"/>
    </xf>
    <xf numFmtId="0" fontId="3" fillId="2" borderId="19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5" fillId="0" borderId="15" xfId="0" applyFont="1" applyBorder="1"/>
    <xf numFmtId="0" fontId="1" fillId="0" borderId="3" xfId="0" applyFont="1" applyBorder="1" applyAlignment="1">
      <alignment vertical="center" wrapText="1"/>
    </xf>
    <xf numFmtId="0" fontId="5" fillId="0" borderId="4" xfId="0" applyFont="1" applyBorder="1"/>
    <xf numFmtId="0" fontId="1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3" fillId="0" borderId="2" xfId="0" applyFont="1" applyBorder="1" applyAlignment="1">
      <alignment horizontal="center" vertical="center"/>
    </xf>
    <xf numFmtId="0" fontId="1" fillId="0" borderId="14" xfId="0" applyFont="1" applyBorder="1" applyAlignment="1">
      <alignment vertical="center" wrapText="1"/>
    </xf>
    <xf numFmtId="0" fontId="5" fillId="0" borderId="8" xfId="0" applyFont="1" applyBorder="1"/>
    <xf numFmtId="0" fontId="1" fillId="0" borderId="7" xfId="0" applyFont="1" applyBorder="1" applyAlignment="1">
      <alignment horizontal="center" vertical="center" wrapText="1"/>
    </xf>
    <xf numFmtId="0" fontId="5" fillId="0" borderId="10" xfId="0" applyFont="1" applyBorder="1"/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7" xfId="0" applyFont="1" applyBorder="1"/>
    <xf numFmtId="0" fontId="3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5" fillId="0" borderId="6" xfId="0" applyFont="1" applyBorder="1"/>
    <xf numFmtId="0" fontId="5" fillId="0" borderId="9" xfId="0" applyFont="1" applyBorder="1"/>
    <xf numFmtId="0" fontId="3" fillId="0" borderId="11" xfId="0" applyFont="1" applyBorder="1" applyAlignment="1">
      <alignment vertical="center" wrapText="1"/>
    </xf>
    <xf numFmtId="0" fontId="5" fillId="0" borderId="12" xfId="0" applyFont="1" applyBorder="1"/>
    <xf numFmtId="0" fontId="5" fillId="0" borderId="13" xfId="0" applyFont="1" applyBorder="1"/>
    <xf numFmtId="0" fontId="3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3" fillId="0" borderId="14" xfId="0" applyFont="1" applyBorder="1" applyAlignment="1">
      <alignment horizontal="left" vertical="center" wrapText="1"/>
    </xf>
    <xf numFmtId="0" fontId="0" fillId="0" borderId="0" xfId="0"/>
    <xf numFmtId="0" fontId="5" fillId="0" borderId="14" xfId="0" applyFont="1" applyBorder="1"/>
    <xf numFmtId="0" fontId="1" fillId="0" borderId="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wrapText="1"/>
    </xf>
  </cellXfs>
  <cellStyles count="1">
    <cellStyle name="Normal" xfId="0" builtinId="0"/>
  </cellStyles>
  <dxfs count="280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5:Z1000"/>
  <sheetViews>
    <sheetView workbookViewId="0"/>
  </sheetViews>
  <sheetFormatPr defaultColWidth="14.3984375" defaultRowHeight="15" customHeight="1" x14ac:dyDescent="0.3"/>
  <cols>
    <col min="1" max="1" width="3.59765625" customWidth="1"/>
    <col min="2" max="2" width="4" customWidth="1"/>
    <col min="3" max="3" width="64.59765625" customWidth="1"/>
    <col min="4" max="4" width="6.59765625" customWidth="1"/>
    <col min="5" max="5" width="18.8984375" customWidth="1"/>
    <col min="6" max="7" width="10.09765625" customWidth="1"/>
    <col min="8" max="16" width="10.09765625" hidden="1" customWidth="1"/>
    <col min="17" max="25" width="8.69921875" hidden="1" customWidth="1"/>
    <col min="26" max="26" width="8.69921875" customWidth="1"/>
  </cols>
  <sheetData>
    <row r="5" spans="1:26" ht="15.75" customHeight="1" x14ac:dyDescent="0.3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3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3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3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3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3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3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3">
      <c r="A12" s="13" t="s">
        <v>6</v>
      </c>
      <c r="B12" s="66" t="s">
        <v>7</v>
      </c>
      <c r="C12" s="60"/>
      <c r="D12" s="58"/>
      <c r="E12" s="68" t="s">
        <v>8</v>
      </c>
      <c r="F12" s="15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3">
      <c r="A13" s="16" t="s">
        <v>9</v>
      </c>
      <c r="B13" s="70" t="s">
        <v>10</v>
      </c>
      <c r="C13" s="60"/>
      <c r="D13" s="58"/>
      <c r="E13" s="69"/>
      <c r="F13" s="15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3">
      <c r="A14" s="15"/>
      <c r="B14" s="71" t="s">
        <v>11</v>
      </c>
      <c r="C14" s="63"/>
      <c r="D14" s="16" t="s">
        <v>12</v>
      </c>
      <c r="E14" s="17">
        <v>21478</v>
      </c>
      <c r="F14" s="18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3">
      <c r="A15" s="15"/>
      <c r="B15" s="72"/>
      <c r="C15" s="73"/>
      <c r="D15" s="16" t="s">
        <v>13</v>
      </c>
      <c r="E15" s="17">
        <v>22169</v>
      </c>
      <c r="F15" s="15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3">
      <c r="A16" s="18"/>
      <c r="B16" s="69"/>
      <c r="C16" s="65"/>
      <c r="D16" s="13" t="s">
        <v>14</v>
      </c>
      <c r="E16" s="19">
        <f>SUM(E14:E15)</f>
        <v>43647</v>
      </c>
      <c r="F16" s="15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3">
      <c r="A17" s="61"/>
      <c r="B17" s="60"/>
      <c r="C17" s="60"/>
      <c r="D17" s="58"/>
      <c r="E17" s="17"/>
      <c r="F17" s="18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3">
      <c r="A18" s="20" t="s">
        <v>15</v>
      </c>
      <c r="B18" s="70" t="s">
        <v>16</v>
      </c>
      <c r="C18" s="60"/>
      <c r="D18" s="58"/>
      <c r="E18" s="17"/>
      <c r="F18" s="15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3">
      <c r="A19" s="20"/>
      <c r="B19" s="77" t="s">
        <v>17</v>
      </c>
      <c r="C19" s="74" t="s">
        <v>18</v>
      </c>
      <c r="D19" s="16" t="s">
        <v>12</v>
      </c>
      <c r="E19" s="17">
        <v>16668</v>
      </c>
      <c r="F19" s="15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3">
      <c r="A20" s="21"/>
      <c r="B20" s="73"/>
      <c r="C20" s="75"/>
      <c r="D20" s="16" t="s">
        <v>13</v>
      </c>
      <c r="E20" s="17">
        <v>18266</v>
      </c>
      <c r="F20" s="18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3">
      <c r="A21" s="22"/>
      <c r="B21" s="65"/>
      <c r="C21" s="76"/>
      <c r="D21" s="13" t="s">
        <v>14</v>
      </c>
      <c r="E21" s="19">
        <f>SUM(E19:E20)</f>
        <v>34934</v>
      </c>
      <c r="F21" s="18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3">
      <c r="A22" s="21"/>
      <c r="B22" s="77" t="s">
        <v>19</v>
      </c>
      <c r="C22" s="74" t="s">
        <v>20</v>
      </c>
      <c r="D22" s="16" t="s">
        <v>12</v>
      </c>
      <c r="E22" s="17">
        <v>65</v>
      </c>
      <c r="F22" s="18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3">
      <c r="A23" s="21"/>
      <c r="B23" s="73"/>
      <c r="C23" s="75"/>
      <c r="D23" s="16" t="s">
        <v>13</v>
      </c>
      <c r="E23" s="17">
        <v>93</v>
      </c>
      <c r="F23" s="18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3">
      <c r="A24" s="22"/>
      <c r="B24" s="65"/>
      <c r="C24" s="76"/>
      <c r="D24" s="13" t="s">
        <v>14</v>
      </c>
      <c r="E24" s="19">
        <f>SUM(E22:E23)</f>
        <v>158</v>
      </c>
      <c r="F24" s="15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21"/>
      <c r="B25" s="77" t="s">
        <v>21</v>
      </c>
      <c r="C25" s="74" t="s">
        <v>22</v>
      </c>
      <c r="D25" s="16" t="s">
        <v>12</v>
      </c>
      <c r="E25" s="17">
        <v>176</v>
      </c>
      <c r="F25" s="18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21"/>
      <c r="B26" s="73"/>
      <c r="C26" s="75"/>
      <c r="D26" s="16" t="s">
        <v>13</v>
      </c>
      <c r="E26" s="17">
        <v>219</v>
      </c>
      <c r="F26" s="15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3">
      <c r="A27" s="22"/>
      <c r="B27" s="65"/>
      <c r="C27" s="76"/>
      <c r="D27" s="13" t="s">
        <v>14</v>
      </c>
      <c r="E27" s="19">
        <f>SUM(E25:E26)</f>
        <v>395</v>
      </c>
      <c r="F27" s="18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3">
      <c r="A28" s="22"/>
      <c r="B28" s="78" t="s">
        <v>23</v>
      </c>
      <c r="C28" s="79" t="s">
        <v>24</v>
      </c>
      <c r="D28" s="13" t="s">
        <v>12</v>
      </c>
      <c r="E28" s="19">
        <f t="shared" ref="E28:E29" si="0">E19+E22+E25</f>
        <v>16909</v>
      </c>
      <c r="F28" s="15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3">
      <c r="A29" s="22"/>
      <c r="B29" s="73"/>
      <c r="C29" s="75"/>
      <c r="D29" s="13" t="s">
        <v>13</v>
      </c>
      <c r="E29" s="19">
        <f t="shared" si="0"/>
        <v>18578</v>
      </c>
      <c r="F29" s="18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3">
      <c r="A30" s="22"/>
      <c r="B30" s="65"/>
      <c r="C30" s="76"/>
      <c r="D30" s="13" t="s">
        <v>14</v>
      </c>
      <c r="E30" s="19">
        <f>SUM(E28:E29)</f>
        <v>35487</v>
      </c>
      <c r="F30" s="23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61"/>
      <c r="B31" s="60"/>
      <c r="C31" s="60"/>
      <c r="D31" s="58"/>
      <c r="E31" s="24"/>
      <c r="F31" s="18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25" t="s">
        <v>25</v>
      </c>
      <c r="B32" s="66" t="s">
        <v>26</v>
      </c>
      <c r="C32" s="60"/>
      <c r="D32" s="58"/>
      <c r="E32" s="19"/>
      <c r="F32" s="15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3">
      <c r="A33" s="16">
        <v>1</v>
      </c>
      <c r="B33" s="70" t="s">
        <v>27</v>
      </c>
      <c r="C33" s="60"/>
      <c r="D33" s="58"/>
      <c r="E33" s="17">
        <v>44594</v>
      </c>
      <c r="F33" s="15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3">
      <c r="A34" s="16">
        <v>2</v>
      </c>
      <c r="B34" s="70" t="s">
        <v>28</v>
      </c>
      <c r="C34" s="60"/>
      <c r="D34" s="58"/>
      <c r="E34" s="17">
        <v>35487</v>
      </c>
      <c r="F34" s="18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3">
      <c r="A35" s="16">
        <v>3</v>
      </c>
      <c r="B35" s="70" t="s">
        <v>29</v>
      </c>
      <c r="C35" s="60"/>
      <c r="D35" s="58"/>
      <c r="E35" s="17">
        <v>70</v>
      </c>
      <c r="F35" s="23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16">
        <v>4</v>
      </c>
      <c r="B36" s="70" t="s">
        <v>30</v>
      </c>
      <c r="C36" s="60"/>
      <c r="D36" s="58"/>
      <c r="E36" s="19">
        <f>E33-(E34+E35)</f>
        <v>9037</v>
      </c>
      <c r="F36" s="18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61"/>
      <c r="B37" s="60"/>
      <c r="C37" s="60"/>
      <c r="D37" s="60"/>
      <c r="E37" s="60"/>
      <c r="F37" s="15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26" t="s">
        <v>31</v>
      </c>
      <c r="B38" s="66" t="s">
        <v>32</v>
      </c>
      <c r="C38" s="60"/>
      <c r="D38" s="58"/>
      <c r="E38" s="19"/>
      <c r="F38" s="15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3">
      <c r="A39" s="20"/>
      <c r="B39" s="80" t="s">
        <v>33</v>
      </c>
      <c r="C39" s="63"/>
      <c r="D39" s="16" t="s">
        <v>12</v>
      </c>
      <c r="E39" s="17">
        <v>47</v>
      </c>
      <c r="F39" s="15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3">
      <c r="A40" s="21"/>
      <c r="B40" s="81"/>
      <c r="C40" s="73"/>
      <c r="D40" s="16" t="s">
        <v>13</v>
      </c>
      <c r="E40" s="17">
        <v>49</v>
      </c>
      <c r="F40" s="15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3">
      <c r="A41" s="25"/>
      <c r="B41" s="56"/>
      <c r="C41" s="65"/>
      <c r="D41" s="13" t="s">
        <v>14</v>
      </c>
      <c r="E41" s="19">
        <f>SUM(E39:E40)</f>
        <v>96</v>
      </c>
      <c r="F41" s="15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3">
      <c r="A42" s="55"/>
      <c r="B42" s="56"/>
      <c r="C42" s="56"/>
      <c r="D42" s="65"/>
      <c r="E42" s="17"/>
      <c r="F42" s="15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3">
      <c r="A43" s="26" t="s">
        <v>34</v>
      </c>
      <c r="B43" s="66" t="s">
        <v>35</v>
      </c>
      <c r="C43" s="60"/>
      <c r="D43" s="58"/>
      <c r="E43" s="19"/>
      <c r="F43" s="15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3">
      <c r="A44" s="80" t="s">
        <v>36</v>
      </c>
      <c r="B44" s="82"/>
      <c r="C44" s="82"/>
      <c r="D44" s="63"/>
      <c r="E44" s="17"/>
      <c r="F44" s="15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3">
      <c r="A45" s="20" t="s">
        <v>37</v>
      </c>
      <c r="B45" s="27" t="s">
        <v>17</v>
      </c>
      <c r="C45" s="57" t="s">
        <v>38</v>
      </c>
      <c r="D45" s="58"/>
      <c r="E45" s="17">
        <v>874</v>
      </c>
      <c r="F45" s="18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3">
      <c r="A46" s="20" t="s">
        <v>39</v>
      </c>
      <c r="B46" s="28"/>
      <c r="C46" s="29" t="s">
        <v>40</v>
      </c>
      <c r="D46" s="30"/>
      <c r="E46" s="17">
        <v>1647</v>
      </c>
      <c r="F46" s="31"/>
      <c r="G46" s="32"/>
      <c r="H46" s="32"/>
      <c r="I46" s="32"/>
      <c r="J46" s="32"/>
      <c r="K46" s="32"/>
      <c r="L46" s="32"/>
      <c r="M46" s="32"/>
      <c r="N46" s="32"/>
      <c r="O46" s="32"/>
      <c r="P46" s="33"/>
      <c r="Q46" s="3"/>
      <c r="R46" s="3"/>
      <c r="S46" s="3"/>
      <c r="T46" s="3"/>
      <c r="U46" s="3"/>
      <c r="V46" s="3"/>
      <c r="W46" s="34"/>
      <c r="X46" s="3"/>
      <c r="Y46" s="3"/>
      <c r="Z46" s="3"/>
    </row>
    <row r="47" spans="1:26" ht="15.75" customHeight="1" x14ac:dyDescent="0.3">
      <c r="A47" s="15"/>
      <c r="B47" s="28"/>
      <c r="C47" s="29" t="s">
        <v>41</v>
      </c>
      <c r="D47" s="30"/>
      <c r="E47" s="17">
        <v>467</v>
      </c>
      <c r="F47" s="15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3">
      <c r="A48" s="15"/>
      <c r="B48" s="28"/>
      <c r="C48" s="29" t="s">
        <v>42</v>
      </c>
      <c r="D48" s="30"/>
      <c r="E48" s="17">
        <v>86</v>
      </c>
      <c r="F48" s="15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3">
      <c r="A49" s="15"/>
      <c r="B49" s="28"/>
      <c r="C49" s="29" t="s">
        <v>43</v>
      </c>
      <c r="D49" s="30"/>
      <c r="E49" s="17">
        <v>144</v>
      </c>
      <c r="F49" s="15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3">
      <c r="A50" s="15"/>
      <c r="B50" s="28"/>
      <c r="C50" s="29" t="s">
        <v>44</v>
      </c>
      <c r="D50" s="30"/>
      <c r="E50" s="17">
        <v>120</v>
      </c>
      <c r="F50" s="15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3">
      <c r="A51" s="15"/>
      <c r="B51" s="28"/>
      <c r="C51" s="29" t="s">
        <v>45</v>
      </c>
      <c r="D51" s="30"/>
      <c r="E51" s="17">
        <v>42</v>
      </c>
      <c r="F51" s="15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3">
      <c r="A52" s="15"/>
      <c r="B52" s="28"/>
      <c r="C52" s="29" t="s">
        <v>46</v>
      </c>
      <c r="D52" s="30"/>
      <c r="E52" s="17">
        <v>58</v>
      </c>
      <c r="F52" s="15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3">
      <c r="A53" s="15"/>
      <c r="B53" s="28"/>
      <c r="C53" s="29" t="s">
        <v>47</v>
      </c>
      <c r="D53" s="35"/>
      <c r="E53" s="17">
        <v>19</v>
      </c>
      <c r="F53" s="15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3">
      <c r="A54" s="15"/>
      <c r="B54" s="28"/>
      <c r="C54" s="29" t="s">
        <v>48</v>
      </c>
      <c r="D54" s="30"/>
      <c r="E54" s="17">
        <v>31</v>
      </c>
      <c r="F54" s="15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3">
      <c r="A55" s="16" t="s">
        <v>15</v>
      </c>
      <c r="B55" s="59" t="s">
        <v>49</v>
      </c>
      <c r="C55" s="60"/>
      <c r="D55" s="58"/>
      <c r="E55" s="13">
        <f>SUM(E45:E54)</f>
        <v>3488</v>
      </c>
      <c r="F55" s="15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3">
      <c r="A56" s="55"/>
      <c r="B56" s="56"/>
      <c r="C56" s="56"/>
      <c r="D56" s="56"/>
      <c r="E56" s="56"/>
      <c r="F56" s="15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3">
      <c r="A57" s="20" t="s">
        <v>37</v>
      </c>
      <c r="B57" s="27" t="s">
        <v>19</v>
      </c>
      <c r="C57" s="57" t="s">
        <v>50</v>
      </c>
      <c r="D57" s="58"/>
      <c r="E57" s="17">
        <v>1586</v>
      </c>
      <c r="F57" s="18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3">
      <c r="A58" s="20" t="s">
        <v>39</v>
      </c>
      <c r="B58" s="28"/>
      <c r="C58" s="29" t="s">
        <v>51</v>
      </c>
      <c r="D58" s="30"/>
      <c r="E58" s="17">
        <v>848</v>
      </c>
      <c r="F58" s="31"/>
      <c r="G58" s="32"/>
      <c r="H58" s="32"/>
      <c r="I58" s="32"/>
      <c r="J58" s="32"/>
      <c r="K58" s="32"/>
      <c r="L58" s="32"/>
      <c r="M58" s="32"/>
      <c r="N58" s="32"/>
      <c r="O58" s="32"/>
      <c r="P58" s="33"/>
      <c r="Q58" s="3"/>
      <c r="R58" s="3"/>
      <c r="S58" s="3"/>
      <c r="T58" s="3"/>
      <c r="U58" s="3"/>
      <c r="V58" s="3"/>
      <c r="W58" s="34"/>
      <c r="X58" s="3"/>
      <c r="Y58" s="3"/>
      <c r="Z58" s="3"/>
    </row>
    <row r="59" spans="1:26" ht="15.75" customHeight="1" x14ac:dyDescent="0.3">
      <c r="A59" s="15"/>
      <c r="B59" s="28"/>
      <c r="C59" s="29" t="s">
        <v>52</v>
      </c>
      <c r="D59" s="30"/>
      <c r="E59" s="17">
        <v>1861</v>
      </c>
      <c r="F59" s="15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3">
      <c r="A60" s="15"/>
      <c r="B60" s="28"/>
      <c r="C60" s="29" t="s">
        <v>53</v>
      </c>
      <c r="D60" s="30"/>
      <c r="E60" s="17">
        <v>245</v>
      </c>
      <c r="F60" s="15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3">
      <c r="A61" s="15"/>
      <c r="B61" s="28"/>
      <c r="C61" s="29" t="s">
        <v>54</v>
      </c>
      <c r="D61" s="30"/>
      <c r="E61" s="17">
        <v>1073</v>
      </c>
      <c r="F61" s="15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3">
      <c r="A62" s="15"/>
      <c r="B62" s="28"/>
      <c r="C62" s="29" t="s">
        <v>55</v>
      </c>
      <c r="D62" s="30"/>
      <c r="E62" s="17">
        <v>105</v>
      </c>
      <c r="F62" s="15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3">
      <c r="A63" s="15"/>
      <c r="B63" s="28"/>
      <c r="C63" s="29" t="s">
        <v>56</v>
      </c>
      <c r="D63" s="30"/>
      <c r="E63" s="17">
        <v>81</v>
      </c>
      <c r="F63" s="15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3">
      <c r="A64" s="15"/>
      <c r="B64" s="28"/>
      <c r="C64" s="29" t="s">
        <v>57</v>
      </c>
      <c r="D64" s="30"/>
      <c r="E64" s="17">
        <v>39</v>
      </c>
      <c r="F64" s="15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3">
      <c r="A65" s="15"/>
      <c r="B65" s="28"/>
      <c r="C65" s="29" t="s">
        <v>58</v>
      </c>
      <c r="D65" s="30"/>
      <c r="E65" s="17">
        <v>31</v>
      </c>
      <c r="F65" s="15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3">
      <c r="A66" s="15"/>
      <c r="B66" s="28"/>
      <c r="C66" s="29" t="s">
        <v>59</v>
      </c>
      <c r="D66" s="30"/>
      <c r="E66" s="17">
        <v>57</v>
      </c>
      <c r="F66" s="15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3">
      <c r="A67" s="16" t="s">
        <v>15</v>
      </c>
      <c r="B67" s="59" t="s">
        <v>49</v>
      </c>
      <c r="C67" s="60"/>
      <c r="D67" s="58"/>
      <c r="E67" s="13">
        <f>SUM(E57:E66)</f>
        <v>5926</v>
      </c>
      <c r="F67" s="15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3">
      <c r="A68" s="55"/>
      <c r="B68" s="56"/>
      <c r="C68" s="56"/>
      <c r="D68" s="56"/>
      <c r="E68" s="56"/>
      <c r="F68" s="15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3">
      <c r="A69" s="20" t="s">
        <v>37</v>
      </c>
      <c r="B69" s="27" t="s">
        <v>21</v>
      </c>
      <c r="C69" s="57" t="s">
        <v>60</v>
      </c>
      <c r="D69" s="58"/>
      <c r="E69" s="17">
        <v>1369</v>
      </c>
      <c r="F69" s="18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3">
      <c r="A70" s="20" t="s">
        <v>39</v>
      </c>
      <c r="B70" s="28"/>
      <c r="C70" s="29" t="s">
        <v>61</v>
      </c>
      <c r="D70" s="30"/>
      <c r="E70" s="17">
        <v>1115</v>
      </c>
      <c r="F70" s="31"/>
      <c r="G70" s="32"/>
      <c r="H70" s="32"/>
      <c r="I70" s="32"/>
      <c r="J70" s="32"/>
      <c r="K70" s="32"/>
      <c r="L70" s="32"/>
      <c r="M70" s="32"/>
      <c r="N70" s="32"/>
      <c r="O70" s="32"/>
      <c r="P70" s="33"/>
      <c r="Q70" s="3"/>
      <c r="R70" s="3"/>
      <c r="S70" s="3"/>
      <c r="T70" s="3"/>
      <c r="U70" s="3"/>
      <c r="V70" s="3"/>
      <c r="W70" s="34"/>
      <c r="X70" s="3"/>
      <c r="Y70" s="3"/>
      <c r="Z70" s="3"/>
    </row>
    <row r="71" spans="1:26" ht="15.75" customHeight="1" x14ac:dyDescent="0.3">
      <c r="A71" s="15"/>
      <c r="B71" s="28"/>
      <c r="C71" s="29" t="s">
        <v>62</v>
      </c>
      <c r="D71" s="30"/>
      <c r="E71" s="17">
        <v>735</v>
      </c>
      <c r="F71" s="15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3">
      <c r="A72" s="15"/>
      <c r="B72" s="28"/>
      <c r="C72" s="29" t="s">
        <v>63</v>
      </c>
      <c r="D72" s="30"/>
      <c r="E72" s="17">
        <v>619</v>
      </c>
      <c r="F72" s="15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3">
      <c r="A73" s="15"/>
      <c r="B73" s="28"/>
      <c r="C73" s="29" t="s">
        <v>64</v>
      </c>
      <c r="D73" s="30"/>
      <c r="E73" s="17">
        <v>473</v>
      </c>
      <c r="F73" s="15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3">
      <c r="A74" s="15"/>
      <c r="B74" s="28"/>
      <c r="C74" s="29" t="s">
        <v>65</v>
      </c>
      <c r="D74" s="30"/>
      <c r="E74" s="17">
        <v>171</v>
      </c>
      <c r="F74" s="15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3">
      <c r="A75" s="15"/>
      <c r="B75" s="28"/>
      <c r="C75" s="29" t="s">
        <v>66</v>
      </c>
      <c r="D75" s="30"/>
      <c r="E75" s="17">
        <v>105</v>
      </c>
      <c r="F75" s="15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3">
      <c r="A76" s="15"/>
      <c r="B76" s="28"/>
      <c r="C76" s="29" t="s">
        <v>67</v>
      </c>
      <c r="D76" s="30"/>
      <c r="E76" s="17">
        <v>42</v>
      </c>
      <c r="F76" s="15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3">
      <c r="A77" s="15"/>
      <c r="B77" s="28"/>
      <c r="C77" s="29" t="s">
        <v>68</v>
      </c>
      <c r="D77" s="30"/>
      <c r="E77" s="17">
        <v>55</v>
      </c>
      <c r="F77" s="15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3">
      <c r="A78" s="15"/>
      <c r="B78" s="28"/>
      <c r="C78" s="29" t="s">
        <v>69</v>
      </c>
      <c r="D78" s="30"/>
      <c r="E78" s="17">
        <v>50</v>
      </c>
      <c r="F78" s="15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3">
      <c r="A79" s="16" t="s">
        <v>15</v>
      </c>
      <c r="B79" s="59" t="s">
        <v>49</v>
      </c>
      <c r="C79" s="60"/>
      <c r="D79" s="58"/>
      <c r="E79" s="13">
        <f>SUM(E69:E78)</f>
        <v>4734</v>
      </c>
      <c r="F79" s="15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3">
      <c r="A80" s="55"/>
      <c r="B80" s="56"/>
      <c r="C80" s="56"/>
      <c r="D80" s="56"/>
      <c r="E80" s="56"/>
      <c r="F80" s="15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3">
      <c r="A81" s="20" t="s">
        <v>37</v>
      </c>
      <c r="B81" s="27" t="s">
        <v>23</v>
      </c>
      <c r="C81" s="57" t="s">
        <v>70</v>
      </c>
      <c r="D81" s="58"/>
      <c r="E81" s="17">
        <v>599</v>
      </c>
      <c r="F81" s="18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3">
      <c r="A82" s="20" t="s">
        <v>39</v>
      </c>
      <c r="B82" s="28"/>
      <c r="C82" s="29" t="s">
        <v>71</v>
      </c>
      <c r="D82" s="30"/>
      <c r="E82" s="17">
        <v>1351</v>
      </c>
      <c r="F82" s="31"/>
      <c r="G82" s="32"/>
      <c r="H82" s="32"/>
      <c r="I82" s="32"/>
      <c r="J82" s="32"/>
      <c r="K82" s="32"/>
      <c r="L82" s="32"/>
      <c r="M82" s="32"/>
      <c r="N82" s="32"/>
      <c r="O82" s="32"/>
      <c r="P82" s="33"/>
      <c r="Q82" s="3"/>
      <c r="R82" s="3"/>
      <c r="S82" s="3"/>
      <c r="T82" s="3"/>
      <c r="U82" s="3"/>
      <c r="V82" s="3"/>
      <c r="W82" s="34"/>
      <c r="X82" s="3"/>
      <c r="Y82" s="3"/>
      <c r="Z82" s="3"/>
    </row>
    <row r="83" spans="1:26" ht="15.75" customHeight="1" x14ac:dyDescent="0.3">
      <c r="A83" s="15"/>
      <c r="B83" s="28"/>
      <c r="C83" s="29" t="s">
        <v>72</v>
      </c>
      <c r="D83" s="30"/>
      <c r="E83" s="17">
        <v>170</v>
      </c>
      <c r="F83" s="15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3">
      <c r="A84" s="15"/>
      <c r="B84" s="28"/>
      <c r="C84" s="29" t="s">
        <v>73</v>
      </c>
      <c r="D84" s="30"/>
      <c r="E84" s="17">
        <v>93</v>
      </c>
      <c r="F84" s="15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3">
      <c r="A85" s="15"/>
      <c r="B85" s="28"/>
      <c r="C85" s="29" t="s">
        <v>74</v>
      </c>
      <c r="D85" s="30"/>
      <c r="E85" s="17">
        <v>154</v>
      </c>
      <c r="F85" s="15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3">
      <c r="A86" s="15"/>
      <c r="B86" s="28"/>
      <c r="C86" s="29" t="s">
        <v>75</v>
      </c>
      <c r="D86" s="30"/>
      <c r="E86" s="17">
        <v>3439</v>
      </c>
      <c r="F86" s="15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3">
      <c r="A87" s="15"/>
      <c r="B87" s="28"/>
      <c r="C87" s="29" t="s">
        <v>76</v>
      </c>
      <c r="D87" s="30"/>
      <c r="E87" s="17">
        <v>62</v>
      </c>
      <c r="F87" s="15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3">
      <c r="A88" s="15"/>
      <c r="B88" s="28"/>
      <c r="C88" s="29" t="s">
        <v>77</v>
      </c>
      <c r="D88" s="30"/>
      <c r="E88" s="17">
        <v>10</v>
      </c>
      <c r="F88" s="15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3">
      <c r="A89" s="15"/>
      <c r="B89" s="28"/>
      <c r="C89" s="29" t="s">
        <v>78</v>
      </c>
      <c r="D89" s="30"/>
      <c r="E89" s="17">
        <v>8</v>
      </c>
      <c r="F89" s="15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3">
      <c r="A90" s="15"/>
      <c r="B90" s="28"/>
      <c r="C90" s="29" t="s">
        <v>79</v>
      </c>
      <c r="D90" s="30"/>
      <c r="E90" s="17">
        <v>43</v>
      </c>
      <c r="F90" s="15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3">
      <c r="A91" s="16" t="s">
        <v>15</v>
      </c>
      <c r="B91" s="59" t="s">
        <v>49</v>
      </c>
      <c r="C91" s="60"/>
      <c r="D91" s="58"/>
      <c r="E91" s="13">
        <f>SUM(E81:E90)</f>
        <v>5929</v>
      </c>
      <c r="F91" s="15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3">
      <c r="A92" s="55"/>
      <c r="B92" s="56"/>
      <c r="C92" s="56"/>
      <c r="D92" s="56"/>
      <c r="E92" s="56"/>
      <c r="F92" s="15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3">
      <c r="A93" s="20" t="s">
        <v>37</v>
      </c>
      <c r="B93" s="27" t="s">
        <v>80</v>
      </c>
      <c r="C93" s="57" t="s">
        <v>81</v>
      </c>
      <c r="D93" s="58"/>
      <c r="E93" s="17">
        <v>280</v>
      </c>
      <c r="F93" s="18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3">
      <c r="A94" s="20" t="s">
        <v>39</v>
      </c>
      <c r="B94" s="28"/>
      <c r="C94" s="29" t="s">
        <v>82</v>
      </c>
      <c r="D94" s="35"/>
      <c r="E94" s="17">
        <v>557</v>
      </c>
      <c r="F94" s="31"/>
      <c r="G94" s="32"/>
      <c r="H94" s="32"/>
      <c r="I94" s="32"/>
      <c r="J94" s="32"/>
      <c r="K94" s="32"/>
      <c r="L94" s="32"/>
      <c r="M94" s="32"/>
      <c r="N94" s="32"/>
      <c r="O94" s="32"/>
      <c r="P94" s="33"/>
      <c r="Q94" s="3"/>
      <c r="R94" s="3"/>
      <c r="S94" s="3"/>
      <c r="T94" s="3"/>
      <c r="U94" s="3"/>
      <c r="V94" s="3"/>
      <c r="W94" s="34"/>
      <c r="X94" s="3"/>
      <c r="Y94" s="3"/>
      <c r="Z94" s="3"/>
    </row>
    <row r="95" spans="1:26" ht="15.75" customHeight="1" x14ac:dyDescent="0.3">
      <c r="A95" s="15"/>
      <c r="B95" s="28"/>
      <c r="C95" s="29" t="s">
        <v>83</v>
      </c>
      <c r="D95" s="35"/>
      <c r="E95" s="17">
        <v>76</v>
      </c>
      <c r="F95" s="15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3">
      <c r="A96" s="15"/>
      <c r="B96" s="28"/>
      <c r="C96" s="29" t="s">
        <v>84</v>
      </c>
      <c r="D96" s="35"/>
      <c r="E96" s="17">
        <v>42</v>
      </c>
      <c r="F96" s="15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3">
      <c r="A97" s="15"/>
      <c r="B97" s="28"/>
      <c r="C97" s="29" t="s">
        <v>85</v>
      </c>
      <c r="D97" s="35"/>
      <c r="E97" s="17">
        <v>32</v>
      </c>
      <c r="F97" s="15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3">
      <c r="A98" s="15"/>
      <c r="B98" s="28"/>
      <c r="C98" s="29" t="s">
        <v>86</v>
      </c>
      <c r="D98" s="30"/>
      <c r="E98" s="17">
        <v>42</v>
      </c>
      <c r="F98" s="15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3">
      <c r="A99" s="15"/>
      <c r="B99" s="28"/>
      <c r="C99" s="29" t="s">
        <v>87</v>
      </c>
      <c r="D99" s="30"/>
      <c r="E99" s="17">
        <v>8</v>
      </c>
      <c r="F99" s="15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3">
      <c r="A100" s="15"/>
      <c r="B100" s="28"/>
      <c r="C100" s="29" t="s">
        <v>88</v>
      </c>
      <c r="D100" s="35"/>
      <c r="E100" s="17">
        <v>1</v>
      </c>
      <c r="F100" s="15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3">
      <c r="A101" s="15"/>
      <c r="B101" s="28"/>
      <c r="C101" s="29" t="s">
        <v>89</v>
      </c>
      <c r="D101" s="35"/>
      <c r="E101" s="17">
        <v>17</v>
      </c>
      <c r="F101" s="15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3">
      <c r="A102" s="15"/>
      <c r="B102" s="28"/>
      <c r="C102" s="29" t="s">
        <v>90</v>
      </c>
      <c r="D102" s="35"/>
      <c r="E102" s="17">
        <v>7</v>
      </c>
      <c r="F102" s="15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3">
      <c r="A103" s="16" t="s">
        <v>15</v>
      </c>
      <c r="B103" s="59" t="s">
        <v>49</v>
      </c>
      <c r="C103" s="60"/>
      <c r="D103" s="58"/>
      <c r="E103" s="13">
        <f>SUM(E93:E102)</f>
        <v>1062</v>
      </c>
      <c r="F103" s="15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3">
      <c r="A104" s="55"/>
      <c r="B104" s="56"/>
      <c r="C104" s="56"/>
      <c r="D104" s="56"/>
      <c r="E104" s="56"/>
      <c r="F104" s="15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3">
      <c r="A105" s="20" t="s">
        <v>37</v>
      </c>
      <c r="B105" s="27" t="s">
        <v>91</v>
      </c>
      <c r="C105" s="57" t="s">
        <v>92</v>
      </c>
      <c r="D105" s="58"/>
      <c r="E105" s="17">
        <v>81</v>
      </c>
      <c r="F105" s="18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3">
      <c r="A106" s="20" t="s">
        <v>39</v>
      </c>
      <c r="B106" s="28"/>
      <c r="C106" s="29" t="s">
        <v>93</v>
      </c>
      <c r="D106" s="30"/>
      <c r="E106" s="17">
        <v>44</v>
      </c>
      <c r="F106" s="31"/>
      <c r="G106" s="32"/>
      <c r="H106" s="32"/>
      <c r="I106" s="32"/>
      <c r="J106" s="32"/>
      <c r="K106" s="32"/>
      <c r="L106" s="32"/>
      <c r="M106" s="32"/>
      <c r="N106" s="32"/>
      <c r="O106" s="32"/>
      <c r="P106" s="33"/>
      <c r="Q106" s="3"/>
      <c r="R106" s="3"/>
      <c r="S106" s="3"/>
      <c r="T106" s="3"/>
      <c r="U106" s="3"/>
      <c r="V106" s="3"/>
      <c r="W106" s="34"/>
      <c r="X106" s="3"/>
      <c r="Y106" s="3"/>
      <c r="Z106" s="3"/>
    </row>
    <row r="107" spans="1:26" ht="15.75" customHeight="1" x14ac:dyDescent="0.3">
      <c r="A107" s="15"/>
      <c r="B107" s="28"/>
      <c r="C107" s="29" t="s">
        <v>94</v>
      </c>
      <c r="D107" s="30"/>
      <c r="E107" s="17">
        <v>17</v>
      </c>
      <c r="F107" s="15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3">
      <c r="A108" s="15"/>
      <c r="B108" s="36"/>
      <c r="C108" s="37"/>
      <c r="D108" s="38"/>
      <c r="E108" s="39"/>
      <c r="F108" s="15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3">
      <c r="A109" s="15"/>
      <c r="B109" s="36"/>
      <c r="C109" s="37"/>
      <c r="D109" s="38"/>
      <c r="E109" s="39"/>
      <c r="F109" s="15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3">
      <c r="A110" s="15"/>
      <c r="B110" s="36"/>
      <c r="C110" s="37"/>
      <c r="D110" s="38"/>
      <c r="E110" s="39"/>
      <c r="F110" s="15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3">
      <c r="A111" s="15"/>
      <c r="B111" s="36"/>
      <c r="C111" s="37"/>
      <c r="D111" s="38"/>
      <c r="E111" s="39"/>
      <c r="F111" s="15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3">
      <c r="A112" s="15"/>
      <c r="B112" s="36"/>
      <c r="C112" s="37"/>
      <c r="D112" s="38"/>
      <c r="E112" s="39"/>
      <c r="F112" s="18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3">
      <c r="A113" s="15"/>
      <c r="B113" s="36"/>
      <c r="C113" s="37"/>
      <c r="D113" s="38"/>
      <c r="E113" s="39"/>
      <c r="F113" s="18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3">
      <c r="A114" s="15"/>
      <c r="B114" s="36"/>
      <c r="C114" s="37"/>
      <c r="D114" s="38"/>
      <c r="E114" s="39"/>
      <c r="F114" s="18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3">
      <c r="A115" s="16" t="s">
        <v>15</v>
      </c>
      <c r="B115" s="59" t="s">
        <v>49</v>
      </c>
      <c r="C115" s="60"/>
      <c r="D115" s="58"/>
      <c r="E115" s="13">
        <f>SUM(E105:E114)</f>
        <v>142</v>
      </c>
      <c r="F115" s="31"/>
      <c r="G115" s="32"/>
      <c r="H115" s="32"/>
      <c r="I115" s="32"/>
      <c r="J115" s="32"/>
      <c r="K115" s="32"/>
      <c r="L115" s="32"/>
      <c r="M115" s="32"/>
      <c r="N115" s="32"/>
      <c r="O115" s="32"/>
      <c r="P115" s="33"/>
      <c r="Q115" s="3"/>
      <c r="R115" s="3"/>
      <c r="S115" s="3"/>
      <c r="T115" s="3"/>
      <c r="U115" s="3"/>
      <c r="V115" s="3"/>
      <c r="W115" s="34"/>
      <c r="X115" s="3"/>
      <c r="Y115" s="3"/>
      <c r="Z115" s="3"/>
    </row>
    <row r="116" spans="1:26" ht="15.75" customHeight="1" x14ac:dyDescent="0.3">
      <c r="A116" s="61"/>
      <c r="B116" s="60"/>
      <c r="C116" s="60"/>
      <c r="D116" s="60"/>
      <c r="E116" s="58"/>
      <c r="F116" s="15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3">
      <c r="A117" s="20" t="s">
        <v>37</v>
      </c>
      <c r="B117" s="27" t="s">
        <v>95</v>
      </c>
      <c r="C117" s="57" t="s">
        <v>96</v>
      </c>
      <c r="D117" s="58"/>
      <c r="E117" s="17">
        <v>67</v>
      </c>
      <c r="F117" s="15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3">
      <c r="A118" s="20" t="s">
        <v>39</v>
      </c>
      <c r="B118" s="28"/>
      <c r="C118" s="29" t="s">
        <v>97</v>
      </c>
      <c r="D118" s="30"/>
      <c r="E118" s="17">
        <v>35</v>
      </c>
      <c r="F118" s="15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3">
      <c r="A119" s="15"/>
      <c r="B119" s="28"/>
      <c r="C119" s="29" t="s">
        <v>98</v>
      </c>
      <c r="D119" s="30"/>
      <c r="E119" s="17">
        <v>29</v>
      </c>
      <c r="F119" s="15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3">
      <c r="A120" s="15"/>
      <c r="B120" s="28"/>
      <c r="C120" s="29" t="s">
        <v>99</v>
      </c>
      <c r="D120" s="30"/>
      <c r="E120" s="17">
        <v>16</v>
      </c>
      <c r="F120" s="15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3">
      <c r="A121" s="15"/>
      <c r="B121" s="28"/>
      <c r="C121" s="29" t="s">
        <v>100</v>
      </c>
      <c r="D121" s="30"/>
      <c r="E121" s="17">
        <v>4</v>
      </c>
      <c r="F121" s="15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3">
      <c r="A122" s="15"/>
      <c r="B122" s="28"/>
      <c r="C122" s="29" t="s">
        <v>101</v>
      </c>
      <c r="D122" s="30"/>
      <c r="E122" s="17">
        <v>13</v>
      </c>
      <c r="F122" s="15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3">
      <c r="A123" s="15"/>
      <c r="B123" s="36"/>
      <c r="C123" s="37"/>
      <c r="D123" s="40"/>
      <c r="E123" s="39"/>
      <c r="F123" s="15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3">
      <c r="A124" s="15"/>
      <c r="B124" s="36"/>
      <c r="C124" s="37"/>
      <c r="D124" s="38"/>
      <c r="E124" s="41"/>
      <c r="F124" s="15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3">
      <c r="A125" s="15"/>
      <c r="B125" s="36"/>
      <c r="C125" s="37"/>
      <c r="D125" s="38"/>
      <c r="E125" s="41"/>
      <c r="F125" s="15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3">
      <c r="A126" s="15"/>
      <c r="B126" s="36"/>
      <c r="C126" s="37"/>
      <c r="D126" s="38"/>
      <c r="E126" s="41"/>
      <c r="F126" s="15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3">
      <c r="A127" s="16" t="s">
        <v>15</v>
      </c>
      <c r="B127" s="59" t="s">
        <v>49</v>
      </c>
      <c r="C127" s="60"/>
      <c r="D127" s="58"/>
      <c r="E127" s="13">
        <f>SUM(E117:E126)</f>
        <v>164</v>
      </c>
      <c r="F127" s="15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3">
      <c r="A128" s="61"/>
      <c r="B128" s="60"/>
      <c r="C128" s="60"/>
      <c r="D128" s="60"/>
      <c r="E128" s="58"/>
      <c r="F128" s="15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3">
      <c r="A129" s="20" t="s">
        <v>37</v>
      </c>
      <c r="B129" s="27" t="s">
        <v>102</v>
      </c>
      <c r="C129" s="57" t="s">
        <v>103</v>
      </c>
      <c r="D129" s="58"/>
      <c r="E129" s="17">
        <v>172</v>
      </c>
      <c r="F129" s="18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3">
      <c r="A130" s="20" t="s">
        <v>39</v>
      </c>
      <c r="B130" s="28"/>
      <c r="C130" s="29" t="s">
        <v>104</v>
      </c>
      <c r="D130" s="30"/>
      <c r="E130" s="17">
        <v>204</v>
      </c>
      <c r="F130" s="31"/>
      <c r="G130" s="32"/>
      <c r="H130" s="32"/>
      <c r="I130" s="32"/>
      <c r="J130" s="32"/>
      <c r="K130" s="32"/>
      <c r="L130" s="32"/>
      <c r="M130" s="32"/>
      <c r="N130" s="32"/>
      <c r="O130" s="32"/>
      <c r="P130" s="33"/>
      <c r="Q130" s="3"/>
      <c r="R130" s="3"/>
      <c r="S130" s="3"/>
      <c r="T130" s="3"/>
      <c r="U130" s="3"/>
      <c r="V130" s="3"/>
      <c r="W130" s="34"/>
      <c r="X130" s="3"/>
      <c r="Y130" s="3"/>
      <c r="Z130" s="3"/>
    </row>
    <row r="131" spans="1:26" ht="15.75" customHeight="1" x14ac:dyDescent="0.3">
      <c r="A131" s="15"/>
      <c r="B131" s="28"/>
      <c r="C131" s="29" t="s">
        <v>105</v>
      </c>
      <c r="D131" s="30"/>
      <c r="E131" s="17">
        <v>29</v>
      </c>
      <c r="F131" s="15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3">
      <c r="A132" s="15"/>
      <c r="B132" s="28"/>
      <c r="C132" s="29" t="s">
        <v>106</v>
      </c>
      <c r="D132" s="30"/>
      <c r="E132" s="17">
        <v>23</v>
      </c>
      <c r="F132" s="15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3">
      <c r="A133" s="15"/>
      <c r="B133" s="28"/>
      <c r="C133" s="29" t="s">
        <v>107</v>
      </c>
      <c r="D133" s="30"/>
      <c r="E133" s="17">
        <v>20</v>
      </c>
      <c r="F133" s="15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3">
      <c r="A134" s="15"/>
      <c r="B134" s="28"/>
      <c r="C134" s="29" t="s">
        <v>108</v>
      </c>
      <c r="D134" s="30"/>
      <c r="E134" s="17">
        <v>77</v>
      </c>
      <c r="F134" s="15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3">
      <c r="A135" s="15"/>
      <c r="B135" s="28"/>
      <c r="C135" s="29" t="s">
        <v>109</v>
      </c>
      <c r="D135" s="30"/>
      <c r="E135" s="17">
        <v>33</v>
      </c>
      <c r="F135" s="15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3">
      <c r="A136" s="15"/>
      <c r="B136" s="28"/>
      <c r="C136" s="29" t="s">
        <v>110</v>
      </c>
      <c r="D136" s="30"/>
      <c r="E136" s="17">
        <v>20</v>
      </c>
      <c r="F136" s="15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3">
      <c r="A137" s="15"/>
      <c r="B137" s="28"/>
      <c r="C137" s="29" t="s">
        <v>111</v>
      </c>
      <c r="D137" s="30"/>
      <c r="E137" s="17">
        <v>9</v>
      </c>
      <c r="F137" s="15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3">
      <c r="A138" s="15"/>
      <c r="B138" s="28"/>
      <c r="C138" s="29" t="s">
        <v>112</v>
      </c>
      <c r="D138" s="30"/>
      <c r="E138" s="17">
        <v>14</v>
      </c>
      <c r="F138" s="15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3">
      <c r="A139" s="16" t="s">
        <v>15</v>
      </c>
      <c r="B139" s="59" t="s">
        <v>49</v>
      </c>
      <c r="C139" s="60"/>
      <c r="D139" s="58"/>
      <c r="E139" s="13">
        <f>SUM(E129:E138)</f>
        <v>601</v>
      </c>
      <c r="F139" s="15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3">
      <c r="A140" s="61"/>
      <c r="B140" s="60"/>
      <c r="C140" s="60"/>
      <c r="D140" s="60"/>
      <c r="E140" s="58"/>
      <c r="F140" s="15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3">
      <c r="A141" s="20" t="s">
        <v>37</v>
      </c>
      <c r="B141" s="27" t="s">
        <v>113</v>
      </c>
      <c r="C141" s="57" t="s">
        <v>114</v>
      </c>
      <c r="D141" s="58"/>
      <c r="E141" s="17">
        <v>8</v>
      </c>
      <c r="F141" s="18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3">
      <c r="A142" s="20" t="s">
        <v>39</v>
      </c>
      <c r="B142" s="28"/>
      <c r="C142" s="29" t="s">
        <v>115</v>
      </c>
      <c r="D142" s="30"/>
      <c r="E142" s="17">
        <v>11</v>
      </c>
      <c r="F142" s="31"/>
      <c r="G142" s="32"/>
      <c r="H142" s="32"/>
      <c r="I142" s="32"/>
      <c r="J142" s="32"/>
      <c r="K142" s="32"/>
      <c r="L142" s="32"/>
      <c r="M142" s="32"/>
      <c r="N142" s="32"/>
      <c r="O142" s="32"/>
      <c r="P142" s="33"/>
      <c r="Q142" s="3"/>
      <c r="R142" s="3"/>
      <c r="S142" s="3"/>
      <c r="T142" s="3"/>
      <c r="U142" s="3"/>
      <c r="V142" s="3"/>
      <c r="W142" s="34"/>
      <c r="X142" s="3"/>
      <c r="Y142" s="3"/>
      <c r="Z142" s="3"/>
    </row>
    <row r="143" spans="1:26" ht="15.75" customHeight="1" x14ac:dyDescent="0.3">
      <c r="A143" s="15"/>
      <c r="B143" s="28"/>
      <c r="C143" s="29" t="s">
        <v>116</v>
      </c>
      <c r="D143" s="30"/>
      <c r="E143" s="17">
        <v>1</v>
      </c>
      <c r="F143" s="15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3">
      <c r="A144" s="15"/>
      <c r="B144" s="28"/>
      <c r="C144" s="29" t="s">
        <v>117</v>
      </c>
      <c r="D144" s="30"/>
      <c r="E144" s="17">
        <v>6</v>
      </c>
      <c r="F144" s="15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3">
      <c r="A145" s="15"/>
      <c r="B145" s="36"/>
      <c r="C145" s="37"/>
      <c r="D145" s="40"/>
      <c r="E145" s="39"/>
      <c r="F145" s="15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3">
      <c r="A146" s="15"/>
      <c r="B146" s="36"/>
      <c r="C146" s="37"/>
      <c r="D146" s="40"/>
      <c r="E146" s="39"/>
      <c r="F146" s="15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3">
      <c r="A147" s="15"/>
      <c r="B147" s="36"/>
      <c r="C147" s="37"/>
      <c r="D147" s="40"/>
      <c r="E147" s="39"/>
      <c r="F147" s="15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3">
      <c r="A148" s="15"/>
      <c r="B148" s="36"/>
      <c r="C148" s="37"/>
      <c r="D148" s="38"/>
      <c r="E148" s="39"/>
      <c r="F148" s="15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3">
      <c r="A149" s="15"/>
      <c r="B149" s="36"/>
      <c r="C149" s="37"/>
      <c r="D149" s="38"/>
      <c r="E149" s="39"/>
      <c r="F149" s="15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3">
      <c r="A150" s="15"/>
      <c r="B150" s="36"/>
      <c r="C150" s="37"/>
      <c r="D150" s="38"/>
      <c r="E150" s="39"/>
      <c r="F150" s="15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3">
      <c r="A151" s="16" t="s">
        <v>15</v>
      </c>
      <c r="B151" s="59" t="s">
        <v>49</v>
      </c>
      <c r="C151" s="60"/>
      <c r="D151" s="58"/>
      <c r="E151" s="13">
        <f>SUM(E141:E150)</f>
        <v>26</v>
      </c>
      <c r="F151" s="15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3">
      <c r="A152" s="61"/>
      <c r="B152" s="60"/>
      <c r="C152" s="60"/>
      <c r="D152" s="60"/>
      <c r="E152" s="58"/>
      <c r="F152" s="18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3">
      <c r="A153" s="20" t="s">
        <v>37</v>
      </c>
      <c r="B153" s="14" t="s">
        <v>118</v>
      </c>
      <c r="C153" s="62" t="s">
        <v>119</v>
      </c>
      <c r="D153" s="63"/>
      <c r="E153" s="17">
        <v>43</v>
      </c>
      <c r="F153" s="31"/>
      <c r="G153" s="32"/>
      <c r="H153" s="32"/>
      <c r="I153" s="32"/>
      <c r="J153" s="32"/>
      <c r="K153" s="32"/>
      <c r="L153" s="32"/>
      <c r="M153" s="32"/>
      <c r="N153" s="32"/>
      <c r="O153" s="32"/>
      <c r="P153" s="33"/>
      <c r="Q153" s="3"/>
      <c r="R153" s="3"/>
      <c r="S153" s="3"/>
      <c r="T153" s="3"/>
      <c r="U153" s="3"/>
      <c r="V153" s="3"/>
      <c r="W153" s="34"/>
      <c r="X153" s="3"/>
      <c r="Y153" s="3"/>
      <c r="Z153" s="3"/>
    </row>
    <row r="154" spans="1:26" ht="15.75" customHeight="1" x14ac:dyDescent="0.3">
      <c r="A154" s="42" t="s">
        <v>39</v>
      </c>
      <c r="B154" s="28"/>
      <c r="C154" s="29" t="s">
        <v>120</v>
      </c>
      <c r="D154" s="30"/>
      <c r="E154" s="17">
        <v>42</v>
      </c>
      <c r="F154" s="15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3">
      <c r="A155" s="15"/>
      <c r="B155" s="28"/>
      <c r="C155" s="29" t="s">
        <v>121</v>
      </c>
      <c r="D155" s="30"/>
      <c r="E155" s="17">
        <v>38</v>
      </c>
      <c r="F155" s="15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3">
      <c r="A156" s="15"/>
      <c r="B156" s="28"/>
      <c r="C156" s="29" t="s">
        <v>122</v>
      </c>
      <c r="D156" s="30"/>
      <c r="E156" s="17">
        <v>32</v>
      </c>
      <c r="F156" s="15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3">
      <c r="A157" s="15"/>
      <c r="B157" s="28"/>
      <c r="C157" s="29" t="s">
        <v>123</v>
      </c>
      <c r="D157" s="30"/>
      <c r="E157" s="17">
        <v>8</v>
      </c>
      <c r="F157" s="15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3">
      <c r="A158" s="15"/>
      <c r="B158" s="28"/>
      <c r="C158" s="29" t="s">
        <v>124</v>
      </c>
      <c r="D158" s="30"/>
      <c r="E158" s="17">
        <v>4</v>
      </c>
      <c r="F158" s="15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3">
      <c r="A159" s="15"/>
      <c r="B159" s="28"/>
      <c r="C159" s="29" t="s">
        <v>125</v>
      </c>
      <c r="D159" s="30"/>
      <c r="E159" s="17">
        <v>13</v>
      </c>
      <c r="F159" s="15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3">
      <c r="A160" s="15"/>
      <c r="B160" s="28"/>
      <c r="C160" s="29" t="s">
        <v>126</v>
      </c>
      <c r="D160" s="30"/>
      <c r="E160" s="17">
        <f>ALIYAN!V160+BUBUK!T160+GITIK!N160+GLADAG!W160+KARANGBENDO!Z160+KEDALEMAN!S160+LEMAHBANGDEWO!O160+MANGIR!S160+PENGATIGAN!Y160+ROGOJAMPI!AM160</f>
        <v>46</v>
      </c>
      <c r="F160" s="15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3">
      <c r="A161" s="15"/>
      <c r="B161" s="36"/>
      <c r="C161" s="43"/>
      <c r="D161" s="38"/>
      <c r="E161" s="41"/>
      <c r="F161" s="15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3">
      <c r="A162" s="15"/>
      <c r="B162" s="36"/>
      <c r="C162" s="43"/>
      <c r="D162" s="38"/>
      <c r="E162" s="41"/>
      <c r="F162" s="15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3">
      <c r="A163" s="16" t="s">
        <v>15</v>
      </c>
      <c r="B163" s="64" t="s">
        <v>49</v>
      </c>
      <c r="C163" s="56"/>
      <c r="D163" s="65"/>
      <c r="E163" s="13">
        <f>SUM(E153:E162)</f>
        <v>226</v>
      </c>
      <c r="F163" s="15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3">
      <c r="A164" s="61"/>
      <c r="B164" s="60"/>
      <c r="C164" s="60"/>
      <c r="D164" s="60"/>
      <c r="E164" s="58"/>
      <c r="F164" s="15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3">
      <c r="A165" s="20" t="s">
        <v>37</v>
      </c>
      <c r="B165" s="27" t="s">
        <v>127</v>
      </c>
      <c r="C165" s="57" t="s">
        <v>128</v>
      </c>
      <c r="D165" s="58"/>
      <c r="E165" s="17">
        <v>35</v>
      </c>
      <c r="F165" s="18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3">
      <c r="A166" s="20" t="s">
        <v>39</v>
      </c>
      <c r="B166" s="28"/>
      <c r="C166" s="29" t="s">
        <v>129</v>
      </c>
      <c r="D166" s="30"/>
      <c r="E166" s="17">
        <v>46</v>
      </c>
      <c r="F166" s="31"/>
      <c r="G166" s="32"/>
      <c r="H166" s="32"/>
      <c r="I166" s="32"/>
      <c r="J166" s="32"/>
      <c r="K166" s="32"/>
      <c r="L166" s="32"/>
      <c r="M166" s="32"/>
      <c r="N166" s="32"/>
      <c r="O166" s="32"/>
      <c r="P166" s="33"/>
      <c r="Q166" s="3"/>
      <c r="R166" s="3"/>
      <c r="S166" s="3"/>
      <c r="T166" s="3"/>
      <c r="U166" s="3"/>
      <c r="V166" s="3"/>
      <c r="W166" s="34"/>
      <c r="X166" s="3"/>
      <c r="Y166" s="3"/>
      <c r="Z166" s="3"/>
    </row>
    <row r="167" spans="1:26" ht="15.75" customHeight="1" x14ac:dyDescent="0.3">
      <c r="A167" s="15"/>
      <c r="B167" s="36"/>
      <c r="C167" s="37"/>
      <c r="D167" s="38"/>
      <c r="E167" s="39"/>
      <c r="F167" s="15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3">
      <c r="A168" s="15"/>
      <c r="B168" s="36"/>
      <c r="C168" s="37"/>
      <c r="D168" s="38"/>
      <c r="E168" s="39"/>
      <c r="F168" s="15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3">
      <c r="A169" s="15"/>
      <c r="B169" s="36"/>
      <c r="C169" s="37"/>
      <c r="D169" s="38"/>
      <c r="E169" s="39"/>
      <c r="F169" s="15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3">
      <c r="A170" s="15"/>
      <c r="B170" s="36"/>
      <c r="C170" s="37"/>
      <c r="D170" s="38"/>
      <c r="E170" s="39"/>
      <c r="F170" s="15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3">
      <c r="A171" s="15"/>
      <c r="B171" s="36"/>
      <c r="C171" s="37"/>
      <c r="D171" s="38"/>
      <c r="E171" s="39"/>
      <c r="F171" s="15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3">
      <c r="A172" s="15"/>
      <c r="B172" s="36"/>
      <c r="C172" s="37"/>
      <c r="D172" s="38"/>
      <c r="E172" s="39"/>
      <c r="F172" s="15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3">
      <c r="A173" s="15"/>
      <c r="B173" s="36"/>
      <c r="C173" s="37"/>
      <c r="D173" s="38"/>
      <c r="E173" s="39"/>
      <c r="F173" s="15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3">
      <c r="A174" s="15"/>
      <c r="B174" s="36"/>
      <c r="C174" s="37"/>
      <c r="D174" s="38"/>
      <c r="E174" s="39"/>
      <c r="F174" s="15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3">
      <c r="A175" s="16" t="s">
        <v>15</v>
      </c>
      <c r="B175" s="59" t="s">
        <v>49</v>
      </c>
      <c r="C175" s="60"/>
      <c r="D175" s="58"/>
      <c r="E175" s="13">
        <f>SUM(E165:E174)</f>
        <v>81</v>
      </c>
      <c r="F175" s="15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3">
      <c r="A176" s="61"/>
      <c r="B176" s="60"/>
      <c r="C176" s="60"/>
      <c r="D176" s="60"/>
      <c r="E176" s="58"/>
      <c r="F176" s="15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3">
      <c r="A177" s="20" t="s">
        <v>37</v>
      </c>
      <c r="B177" s="27" t="s">
        <v>130</v>
      </c>
      <c r="C177" s="57" t="s">
        <v>131</v>
      </c>
      <c r="D177" s="58"/>
      <c r="E177" s="17">
        <v>118</v>
      </c>
      <c r="F177" s="18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3">
      <c r="A178" s="20" t="s">
        <v>39</v>
      </c>
      <c r="B178" s="28"/>
      <c r="C178" s="29" t="s">
        <v>132</v>
      </c>
      <c r="D178" s="30"/>
      <c r="E178" s="17">
        <v>103</v>
      </c>
      <c r="F178" s="31"/>
      <c r="G178" s="32"/>
      <c r="H178" s="32"/>
      <c r="I178" s="32"/>
      <c r="J178" s="32"/>
      <c r="K178" s="32"/>
      <c r="L178" s="32"/>
      <c r="M178" s="32"/>
      <c r="N178" s="32"/>
      <c r="O178" s="32"/>
      <c r="P178" s="33"/>
      <c r="Q178" s="3"/>
      <c r="R178" s="3"/>
      <c r="S178" s="3"/>
      <c r="T178" s="3"/>
      <c r="U178" s="3"/>
      <c r="V178" s="3"/>
      <c r="W178" s="34"/>
      <c r="X178" s="3"/>
      <c r="Y178" s="3"/>
      <c r="Z178" s="3"/>
    </row>
    <row r="179" spans="1:26" ht="15.75" customHeight="1" x14ac:dyDescent="0.3">
      <c r="A179" s="15"/>
      <c r="B179" s="28"/>
      <c r="C179" s="29" t="s">
        <v>133</v>
      </c>
      <c r="D179" s="30"/>
      <c r="E179" s="17">
        <v>50</v>
      </c>
      <c r="F179" s="15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3">
      <c r="A180" s="15"/>
      <c r="B180" s="28"/>
      <c r="C180" s="29" t="s">
        <v>134</v>
      </c>
      <c r="D180" s="30"/>
      <c r="E180" s="17">
        <v>120</v>
      </c>
      <c r="F180" s="15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3">
      <c r="A181" s="15"/>
      <c r="B181" s="28"/>
      <c r="C181" s="29" t="s">
        <v>135</v>
      </c>
      <c r="D181" s="30"/>
      <c r="E181" s="17">
        <v>30</v>
      </c>
      <c r="F181" s="15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3">
      <c r="A182" s="15"/>
      <c r="B182" s="28"/>
      <c r="C182" s="29" t="s">
        <v>136</v>
      </c>
      <c r="D182" s="30"/>
      <c r="E182" s="17">
        <v>24</v>
      </c>
      <c r="F182" s="15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3">
      <c r="A183" s="15"/>
      <c r="B183" s="28"/>
      <c r="C183" s="29" t="s">
        <v>137</v>
      </c>
      <c r="D183" s="30"/>
      <c r="E183" s="17">
        <v>19</v>
      </c>
      <c r="F183" s="15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3">
      <c r="A184" s="15"/>
      <c r="B184" s="28"/>
      <c r="C184" s="29" t="s">
        <v>138</v>
      </c>
      <c r="D184" s="30"/>
      <c r="E184" s="17">
        <v>6</v>
      </c>
      <c r="F184" s="15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3">
      <c r="A185" s="15"/>
      <c r="B185" s="28"/>
      <c r="C185" s="29" t="s">
        <v>139</v>
      </c>
      <c r="D185" s="30"/>
      <c r="E185" s="17">
        <v>12</v>
      </c>
      <c r="F185" s="15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3">
      <c r="A186" s="15"/>
      <c r="B186" s="28"/>
      <c r="C186" s="29" t="s">
        <v>140</v>
      </c>
      <c r="D186" s="30"/>
      <c r="E186" s="17">
        <v>3</v>
      </c>
      <c r="F186" s="15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3">
      <c r="A187" s="16" t="s">
        <v>15</v>
      </c>
      <c r="B187" s="59" t="s">
        <v>49</v>
      </c>
      <c r="C187" s="60"/>
      <c r="D187" s="58"/>
      <c r="E187" s="13">
        <f>SUM(E177:E186)</f>
        <v>485</v>
      </c>
      <c r="F187" s="15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3">
      <c r="A188" s="61"/>
      <c r="B188" s="60"/>
      <c r="C188" s="60"/>
      <c r="D188" s="60"/>
      <c r="E188" s="58"/>
      <c r="F188" s="15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3">
      <c r="A189" s="20" t="s">
        <v>37</v>
      </c>
      <c r="B189" s="27" t="s">
        <v>141</v>
      </c>
      <c r="C189" s="57" t="s">
        <v>142</v>
      </c>
      <c r="D189" s="58"/>
      <c r="E189" s="17">
        <v>19</v>
      </c>
      <c r="F189" s="18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3">
      <c r="A190" s="20" t="s">
        <v>39</v>
      </c>
      <c r="B190" s="28"/>
      <c r="C190" s="29" t="s">
        <v>143</v>
      </c>
      <c r="D190" s="30"/>
      <c r="E190" s="17">
        <v>17</v>
      </c>
      <c r="F190" s="31"/>
      <c r="G190" s="32"/>
      <c r="H190" s="32"/>
      <c r="I190" s="32"/>
      <c r="J190" s="32"/>
      <c r="K190" s="32"/>
      <c r="L190" s="32"/>
      <c r="M190" s="32"/>
      <c r="N190" s="32"/>
      <c r="O190" s="32"/>
      <c r="P190" s="33"/>
      <c r="Q190" s="3"/>
      <c r="R190" s="3"/>
      <c r="S190" s="3"/>
      <c r="T190" s="3"/>
      <c r="U190" s="3"/>
      <c r="V190" s="3"/>
      <c r="W190" s="34"/>
      <c r="X190" s="3"/>
      <c r="Y190" s="3"/>
      <c r="Z190" s="3"/>
    </row>
    <row r="191" spans="1:26" ht="15.75" customHeight="1" x14ac:dyDescent="0.3">
      <c r="A191" s="15"/>
      <c r="B191" s="28"/>
      <c r="C191" s="29" t="s">
        <v>144</v>
      </c>
      <c r="D191" s="30"/>
      <c r="E191" s="17">
        <v>14</v>
      </c>
      <c r="F191" s="15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3">
      <c r="A192" s="15"/>
      <c r="B192" s="28"/>
      <c r="C192" s="29" t="s">
        <v>145</v>
      </c>
      <c r="D192" s="30"/>
      <c r="E192" s="17">
        <v>7</v>
      </c>
      <c r="F192" s="15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3">
      <c r="A193" s="15"/>
      <c r="B193" s="28"/>
      <c r="C193" s="29" t="s">
        <v>146</v>
      </c>
      <c r="D193" s="30"/>
      <c r="E193" s="17">
        <v>0</v>
      </c>
      <c r="F193" s="15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3">
      <c r="A194" s="15"/>
      <c r="B194" s="28"/>
      <c r="C194" s="29" t="s">
        <v>147</v>
      </c>
      <c r="D194" s="30"/>
      <c r="E194" s="17">
        <v>0</v>
      </c>
      <c r="F194" s="15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3">
      <c r="A195" s="15"/>
      <c r="B195" s="28"/>
      <c r="C195" s="29" t="s">
        <v>148</v>
      </c>
      <c r="D195" s="30"/>
      <c r="E195" s="17">
        <v>2</v>
      </c>
      <c r="F195" s="15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3">
      <c r="A196" s="15"/>
      <c r="B196" s="28"/>
      <c r="C196" s="29" t="s">
        <v>149</v>
      </c>
      <c r="D196" s="30"/>
      <c r="E196" s="17">
        <v>4</v>
      </c>
      <c r="F196" s="15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3">
      <c r="A197" s="15"/>
      <c r="B197" s="28"/>
      <c r="C197" s="29" t="s">
        <v>150</v>
      </c>
      <c r="D197" s="30"/>
      <c r="E197" s="17">
        <v>1</v>
      </c>
      <c r="F197" s="15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3">
      <c r="A198" s="15"/>
      <c r="B198" s="28"/>
      <c r="C198" s="29" t="s">
        <v>151</v>
      </c>
      <c r="D198" s="30"/>
      <c r="E198" s="17">
        <v>2</v>
      </c>
      <c r="F198" s="15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3">
      <c r="A199" s="16" t="s">
        <v>15</v>
      </c>
      <c r="B199" s="59" t="s">
        <v>49</v>
      </c>
      <c r="C199" s="60"/>
      <c r="D199" s="58"/>
      <c r="E199" s="13">
        <f>SUM(E189:E198)</f>
        <v>66</v>
      </c>
      <c r="F199" s="15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3">
      <c r="A200" s="61"/>
      <c r="B200" s="60"/>
      <c r="C200" s="60"/>
      <c r="D200" s="60"/>
      <c r="E200" s="58"/>
      <c r="F200" s="15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3">
      <c r="A201" s="20" t="s">
        <v>37</v>
      </c>
      <c r="B201" s="27" t="s">
        <v>152</v>
      </c>
      <c r="C201" s="57" t="s">
        <v>153</v>
      </c>
      <c r="D201" s="58"/>
      <c r="E201" s="17">
        <v>1670</v>
      </c>
      <c r="F201" s="18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3">
      <c r="A202" s="20" t="s">
        <v>39</v>
      </c>
      <c r="B202" s="28"/>
      <c r="C202" s="29" t="s">
        <v>154</v>
      </c>
      <c r="D202" s="30"/>
      <c r="E202" s="17">
        <v>1069</v>
      </c>
      <c r="F202" s="31"/>
      <c r="G202" s="32"/>
      <c r="H202" s="32"/>
      <c r="I202" s="32"/>
      <c r="J202" s="32"/>
      <c r="K202" s="32"/>
      <c r="L202" s="32"/>
      <c r="M202" s="32"/>
      <c r="N202" s="32"/>
      <c r="O202" s="32"/>
      <c r="P202" s="33"/>
      <c r="Q202" s="3"/>
      <c r="R202" s="3"/>
      <c r="S202" s="3"/>
      <c r="T202" s="3"/>
      <c r="U202" s="3"/>
      <c r="V202" s="3"/>
      <c r="W202" s="34"/>
      <c r="X202" s="3"/>
      <c r="Y202" s="3"/>
      <c r="Z202" s="3"/>
    </row>
    <row r="203" spans="1:26" ht="15.75" customHeight="1" x14ac:dyDescent="0.3">
      <c r="A203" s="15"/>
      <c r="B203" s="28"/>
      <c r="C203" s="29" t="s">
        <v>155</v>
      </c>
      <c r="D203" s="30"/>
      <c r="E203" s="17">
        <v>2162</v>
      </c>
      <c r="F203" s="15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3">
      <c r="A204" s="15"/>
      <c r="B204" s="28"/>
      <c r="C204" s="29" t="s">
        <v>156</v>
      </c>
      <c r="D204" s="30"/>
      <c r="E204" s="17">
        <v>165</v>
      </c>
      <c r="F204" s="15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3">
      <c r="A205" s="15"/>
      <c r="B205" s="28"/>
      <c r="C205" s="29" t="s">
        <v>157</v>
      </c>
      <c r="D205" s="30"/>
      <c r="E205" s="17">
        <v>82</v>
      </c>
      <c r="F205" s="15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3">
      <c r="A206" s="15"/>
      <c r="B206" s="28"/>
      <c r="C206" s="29" t="s">
        <v>158</v>
      </c>
      <c r="D206" s="30"/>
      <c r="E206" s="17">
        <v>43</v>
      </c>
      <c r="F206" s="15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3">
      <c r="A207" s="15"/>
      <c r="B207" s="28"/>
      <c r="C207" s="29" t="s">
        <v>159</v>
      </c>
      <c r="D207" s="30"/>
      <c r="E207" s="17">
        <v>74</v>
      </c>
      <c r="F207" s="15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3">
      <c r="A208" s="15"/>
      <c r="B208" s="28"/>
      <c r="C208" s="29" t="s">
        <v>160</v>
      </c>
      <c r="D208" s="30"/>
      <c r="E208" s="17">
        <v>156</v>
      </c>
      <c r="F208" s="15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3">
      <c r="A209" s="15"/>
      <c r="B209" s="28"/>
      <c r="C209" s="29" t="s">
        <v>161</v>
      </c>
      <c r="D209" s="30"/>
      <c r="E209" s="17">
        <v>9</v>
      </c>
      <c r="F209" s="15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3">
      <c r="A210" s="15"/>
      <c r="B210" s="28"/>
      <c r="C210" s="29" t="s">
        <v>162</v>
      </c>
      <c r="D210" s="30"/>
      <c r="E210" s="17">
        <v>52</v>
      </c>
      <c r="F210" s="15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3">
      <c r="A211" s="16" t="s">
        <v>15</v>
      </c>
      <c r="B211" s="59" t="s">
        <v>49</v>
      </c>
      <c r="C211" s="60"/>
      <c r="D211" s="58"/>
      <c r="E211" s="13">
        <f>SUM(E201:E210)</f>
        <v>5482</v>
      </c>
      <c r="F211" s="15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3">
      <c r="A212" s="61"/>
      <c r="B212" s="60"/>
      <c r="C212" s="60"/>
      <c r="D212" s="60"/>
      <c r="E212" s="58"/>
      <c r="F212" s="15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3">
      <c r="A213" s="20" t="s">
        <v>37</v>
      </c>
      <c r="B213" s="27" t="s">
        <v>163</v>
      </c>
      <c r="C213" s="57" t="s">
        <v>164</v>
      </c>
      <c r="D213" s="58"/>
      <c r="E213" s="17">
        <v>303</v>
      </c>
      <c r="F213" s="18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3">
      <c r="A214" s="20" t="s">
        <v>39</v>
      </c>
      <c r="B214" s="28"/>
      <c r="C214" s="29" t="s">
        <v>165</v>
      </c>
      <c r="D214" s="30"/>
      <c r="E214" s="17">
        <v>181</v>
      </c>
      <c r="F214" s="31"/>
      <c r="G214" s="32"/>
      <c r="H214" s="32"/>
      <c r="I214" s="32"/>
      <c r="J214" s="32"/>
      <c r="K214" s="32"/>
      <c r="L214" s="32"/>
      <c r="M214" s="32"/>
      <c r="N214" s="32"/>
      <c r="O214" s="32"/>
      <c r="P214" s="33"/>
      <c r="Q214" s="3"/>
      <c r="R214" s="3"/>
      <c r="S214" s="3"/>
      <c r="T214" s="3"/>
      <c r="U214" s="3"/>
      <c r="V214" s="3"/>
      <c r="W214" s="34"/>
      <c r="X214" s="3"/>
      <c r="Y214" s="3"/>
      <c r="Z214" s="3"/>
    </row>
    <row r="215" spans="1:26" ht="15.75" customHeight="1" x14ac:dyDescent="0.3">
      <c r="A215" s="15"/>
      <c r="B215" s="28"/>
      <c r="C215" s="29" t="s">
        <v>166</v>
      </c>
      <c r="D215" s="30"/>
      <c r="E215" s="17">
        <v>192</v>
      </c>
      <c r="F215" s="15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3">
      <c r="A216" s="15"/>
      <c r="B216" s="28"/>
      <c r="C216" s="29" t="s">
        <v>167</v>
      </c>
      <c r="D216" s="30"/>
      <c r="E216" s="17">
        <v>47</v>
      </c>
      <c r="F216" s="15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3">
      <c r="A217" s="15"/>
      <c r="B217" s="36"/>
      <c r="C217" s="37"/>
      <c r="D217" s="40"/>
      <c r="E217" s="39"/>
      <c r="F217" s="15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3">
      <c r="A218" s="15"/>
      <c r="B218" s="36"/>
      <c r="C218" s="37"/>
      <c r="D218" s="40"/>
      <c r="E218" s="39"/>
      <c r="F218" s="15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3">
      <c r="A219" s="15"/>
      <c r="B219" s="36"/>
      <c r="C219" s="37"/>
      <c r="D219" s="40"/>
      <c r="E219" s="39"/>
      <c r="F219" s="15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3">
      <c r="A220" s="15"/>
      <c r="B220" s="36"/>
      <c r="C220" s="37"/>
      <c r="D220" s="40"/>
      <c r="E220" s="39"/>
      <c r="F220" s="15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3">
      <c r="A221" s="15"/>
      <c r="B221" s="36"/>
      <c r="C221" s="37"/>
      <c r="D221" s="40"/>
      <c r="E221" s="39"/>
      <c r="F221" s="15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3">
      <c r="A222" s="15"/>
      <c r="B222" s="36"/>
      <c r="C222" s="37"/>
      <c r="D222" s="40"/>
      <c r="E222" s="39"/>
      <c r="F222" s="15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3">
      <c r="A223" s="16" t="s">
        <v>15</v>
      </c>
      <c r="B223" s="59" t="s">
        <v>49</v>
      </c>
      <c r="C223" s="60"/>
      <c r="D223" s="58"/>
      <c r="E223" s="13">
        <f>SUM(E213:E222)</f>
        <v>723</v>
      </c>
      <c r="F223" s="15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3">
      <c r="A224" s="61"/>
      <c r="B224" s="60"/>
      <c r="C224" s="60"/>
      <c r="D224" s="60"/>
      <c r="E224" s="58"/>
      <c r="F224" s="15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3">
      <c r="A225" s="20" t="s">
        <v>37</v>
      </c>
      <c r="B225" s="27" t="s">
        <v>168</v>
      </c>
      <c r="C225" s="57" t="s">
        <v>169</v>
      </c>
      <c r="D225" s="58"/>
      <c r="E225" s="17">
        <v>27</v>
      </c>
      <c r="F225" s="18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3">
      <c r="A226" s="20" t="s">
        <v>39</v>
      </c>
      <c r="B226" s="28"/>
      <c r="C226" s="29" t="s">
        <v>170</v>
      </c>
      <c r="D226" s="30"/>
      <c r="E226" s="17">
        <v>59</v>
      </c>
      <c r="F226" s="31"/>
      <c r="G226" s="32"/>
      <c r="H226" s="32"/>
      <c r="I226" s="32"/>
      <c r="J226" s="32"/>
      <c r="K226" s="32"/>
      <c r="L226" s="32"/>
      <c r="M226" s="32"/>
      <c r="N226" s="32"/>
      <c r="O226" s="32"/>
      <c r="P226" s="33"/>
      <c r="Q226" s="3"/>
      <c r="R226" s="3"/>
      <c r="S226" s="3"/>
      <c r="T226" s="3"/>
      <c r="U226" s="3"/>
      <c r="V226" s="3"/>
      <c r="W226" s="34"/>
      <c r="X226" s="3"/>
      <c r="Y226" s="3"/>
      <c r="Z226" s="3"/>
    </row>
    <row r="227" spans="1:26" ht="15.75" customHeight="1" x14ac:dyDescent="0.3">
      <c r="A227" s="15"/>
      <c r="B227" s="28"/>
      <c r="C227" s="29" t="s">
        <v>171</v>
      </c>
      <c r="D227" s="30"/>
      <c r="E227" s="17">
        <v>12</v>
      </c>
      <c r="F227" s="15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3">
      <c r="A228" s="15"/>
      <c r="B228" s="28"/>
      <c r="C228" s="29" t="s">
        <v>172</v>
      </c>
      <c r="D228" s="30"/>
      <c r="E228" s="17">
        <v>5</v>
      </c>
      <c r="F228" s="15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3">
      <c r="A229" s="15"/>
      <c r="B229" s="28"/>
      <c r="C229" s="29" t="s">
        <v>173</v>
      </c>
      <c r="D229" s="30"/>
      <c r="E229" s="17">
        <v>13</v>
      </c>
      <c r="F229" s="15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3">
      <c r="A230" s="15"/>
      <c r="B230" s="36"/>
      <c r="C230" s="37"/>
      <c r="D230" s="40"/>
      <c r="E230" s="39"/>
      <c r="F230" s="15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3">
      <c r="A231" s="15"/>
      <c r="B231" s="36"/>
      <c r="C231" s="37"/>
      <c r="D231" s="40"/>
      <c r="E231" s="39"/>
      <c r="F231" s="15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3">
      <c r="A232" s="15"/>
      <c r="B232" s="36"/>
      <c r="C232" s="37"/>
      <c r="D232" s="38"/>
      <c r="E232" s="39"/>
      <c r="F232" s="15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3">
      <c r="A233" s="15"/>
      <c r="B233" s="36"/>
      <c r="C233" s="37"/>
      <c r="D233" s="38"/>
      <c r="E233" s="39"/>
      <c r="F233" s="15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3">
      <c r="A234" s="15"/>
      <c r="B234" s="36"/>
      <c r="C234" s="37"/>
      <c r="D234" s="38"/>
      <c r="E234" s="39"/>
      <c r="F234" s="15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3">
      <c r="A235" s="16" t="s">
        <v>15</v>
      </c>
      <c r="B235" s="59" t="s">
        <v>49</v>
      </c>
      <c r="C235" s="60"/>
      <c r="D235" s="58"/>
      <c r="E235" s="13">
        <f>SUM(E225:E234)</f>
        <v>116</v>
      </c>
      <c r="F235" s="15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3">
      <c r="A236" s="61"/>
      <c r="B236" s="60"/>
      <c r="C236" s="60"/>
      <c r="D236" s="60"/>
      <c r="E236" s="58"/>
      <c r="F236" s="15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3">
      <c r="A237" s="20" t="s">
        <v>37</v>
      </c>
      <c r="B237" s="27" t="s">
        <v>174</v>
      </c>
      <c r="C237" s="57" t="s">
        <v>175</v>
      </c>
      <c r="D237" s="58"/>
      <c r="E237" s="17">
        <v>116</v>
      </c>
      <c r="F237" s="18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3">
      <c r="A238" s="20" t="s">
        <v>39</v>
      </c>
      <c r="B238" s="28"/>
      <c r="C238" s="29" t="s">
        <v>176</v>
      </c>
      <c r="D238" s="30"/>
      <c r="E238" s="17">
        <v>99</v>
      </c>
      <c r="F238" s="31"/>
      <c r="G238" s="32"/>
      <c r="H238" s="32"/>
      <c r="I238" s="32"/>
      <c r="J238" s="32"/>
      <c r="K238" s="32"/>
      <c r="L238" s="32"/>
      <c r="M238" s="32"/>
      <c r="N238" s="32"/>
      <c r="O238" s="32"/>
      <c r="P238" s="33"/>
      <c r="Q238" s="3"/>
      <c r="R238" s="3"/>
      <c r="S238" s="3"/>
      <c r="T238" s="3"/>
      <c r="U238" s="3"/>
      <c r="V238" s="3"/>
      <c r="W238" s="34"/>
      <c r="X238" s="3"/>
      <c r="Y238" s="3"/>
      <c r="Z238" s="3"/>
    </row>
    <row r="239" spans="1:26" ht="15.75" customHeight="1" x14ac:dyDescent="0.3">
      <c r="A239" s="15"/>
      <c r="B239" s="28"/>
      <c r="C239" s="29" t="s">
        <v>177</v>
      </c>
      <c r="D239" s="30"/>
      <c r="E239" s="17">
        <v>287</v>
      </c>
      <c r="F239" s="15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3">
      <c r="A240" s="15"/>
      <c r="B240" s="28"/>
      <c r="C240" s="29" t="s">
        <v>178</v>
      </c>
      <c r="D240" s="30"/>
      <c r="E240" s="17">
        <v>23</v>
      </c>
      <c r="F240" s="15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3">
      <c r="A241" s="15"/>
      <c r="B241" s="28"/>
      <c r="C241" s="29" t="s">
        <v>179</v>
      </c>
      <c r="D241" s="30"/>
      <c r="E241" s="17">
        <v>10</v>
      </c>
      <c r="F241" s="15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3">
      <c r="A242" s="15"/>
      <c r="B242" s="28"/>
      <c r="C242" s="29" t="s">
        <v>180</v>
      </c>
      <c r="D242" s="30"/>
      <c r="E242" s="17">
        <v>168</v>
      </c>
      <c r="F242" s="15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3">
      <c r="A243" s="15"/>
      <c r="B243" s="28"/>
      <c r="C243" s="29" t="s">
        <v>181</v>
      </c>
      <c r="D243" s="30"/>
      <c r="E243" s="17">
        <v>15</v>
      </c>
      <c r="F243" s="15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3">
      <c r="A244" s="15"/>
      <c r="B244" s="28"/>
      <c r="C244" s="29" t="s">
        <v>182</v>
      </c>
      <c r="D244" s="30"/>
      <c r="E244" s="17">
        <v>14</v>
      </c>
      <c r="F244" s="15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3">
      <c r="A245" s="15"/>
      <c r="B245" s="28"/>
      <c r="C245" s="29" t="s">
        <v>183</v>
      </c>
      <c r="D245" s="30"/>
      <c r="E245" s="17">
        <v>7</v>
      </c>
      <c r="F245" s="15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3">
      <c r="A246" s="15"/>
      <c r="B246" s="28"/>
      <c r="C246" s="29" t="s">
        <v>184</v>
      </c>
      <c r="D246" s="30"/>
      <c r="E246" s="17">
        <v>9</v>
      </c>
      <c r="F246" s="15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3">
      <c r="A247" s="16" t="s">
        <v>15</v>
      </c>
      <c r="B247" s="59" t="s">
        <v>49</v>
      </c>
      <c r="C247" s="60"/>
      <c r="D247" s="58"/>
      <c r="E247" s="13">
        <f>SUM(E237:E246)</f>
        <v>748</v>
      </c>
      <c r="F247" s="15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3">
      <c r="A248" s="61"/>
      <c r="B248" s="60"/>
      <c r="C248" s="60"/>
      <c r="D248" s="60"/>
      <c r="E248" s="58"/>
      <c r="F248" s="15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3">
      <c r="A249" s="20" t="s">
        <v>37</v>
      </c>
      <c r="B249" s="27" t="s">
        <v>185</v>
      </c>
      <c r="C249" s="57" t="s">
        <v>186</v>
      </c>
      <c r="D249" s="58"/>
      <c r="E249" s="17">
        <v>61</v>
      </c>
      <c r="F249" s="18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3">
      <c r="A250" s="20" t="s">
        <v>39</v>
      </c>
      <c r="B250" s="28"/>
      <c r="C250" s="29" t="s">
        <v>187</v>
      </c>
      <c r="D250" s="30"/>
      <c r="E250" s="17">
        <v>90</v>
      </c>
      <c r="F250" s="15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15"/>
      <c r="B251" s="28"/>
      <c r="C251" s="29" t="s">
        <v>188</v>
      </c>
      <c r="D251" s="30"/>
      <c r="E251" s="17">
        <v>17</v>
      </c>
      <c r="F251" s="18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15"/>
      <c r="B252" s="28"/>
      <c r="C252" s="29" t="s">
        <v>189</v>
      </c>
      <c r="D252" s="30"/>
      <c r="E252" s="17">
        <v>16</v>
      </c>
      <c r="F252" s="18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3">
      <c r="A253" s="15"/>
      <c r="B253" s="36"/>
      <c r="C253" s="44"/>
      <c r="D253" s="38"/>
      <c r="E253" s="39"/>
      <c r="F253" s="15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3">
      <c r="A254" s="15"/>
      <c r="B254" s="36"/>
      <c r="C254" s="44"/>
      <c r="D254" s="38"/>
      <c r="E254" s="39"/>
      <c r="F254" s="18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3">
      <c r="A255" s="15"/>
      <c r="B255" s="36"/>
      <c r="C255" s="44"/>
      <c r="D255" s="38"/>
      <c r="E255" s="39"/>
      <c r="F255" s="1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15"/>
      <c r="B256" s="36"/>
      <c r="C256" s="43"/>
      <c r="D256" s="38"/>
      <c r="E256" s="39"/>
      <c r="F256" s="1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15"/>
      <c r="B257" s="36"/>
      <c r="C257" s="43"/>
      <c r="D257" s="38"/>
      <c r="E257" s="39"/>
      <c r="F257" s="1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15"/>
      <c r="B258" s="36"/>
      <c r="C258" s="43"/>
      <c r="D258" s="38"/>
      <c r="E258" s="39"/>
      <c r="F258" s="1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16" t="s">
        <v>15</v>
      </c>
      <c r="B259" s="59" t="s">
        <v>49</v>
      </c>
      <c r="C259" s="60"/>
      <c r="D259" s="58"/>
      <c r="E259" s="13">
        <f>SUM(E249:E258)</f>
        <v>184</v>
      </c>
      <c r="F259" s="15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F260" s="15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26" t="s">
        <v>190</v>
      </c>
      <c r="B261" s="66" t="s">
        <v>191</v>
      </c>
      <c r="C261" s="60"/>
      <c r="D261" s="58"/>
      <c r="E261" s="13"/>
      <c r="F261" s="15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26"/>
      <c r="B262" s="45" t="s">
        <v>192</v>
      </c>
      <c r="C262" s="67" t="s">
        <v>193</v>
      </c>
      <c r="D262" s="58"/>
      <c r="E262" s="17">
        <v>30137</v>
      </c>
      <c r="F262" s="15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22"/>
      <c r="B263" s="45" t="s">
        <v>194</v>
      </c>
      <c r="C263" s="67" t="s">
        <v>195</v>
      </c>
      <c r="D263" s="58"/>
      <c r="E263" s="17">
        <v>5350</v>
      </c>
      <c r="F263" s="15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25"/>
      <c r="B264" s="45" t="s">
        <v>196</v>
      </c>
      <c r="C264" s="67" t="s">
        <v>197</v>
      </c>
      <c r="D264" s="58"/>
      <c r="E264" s="13">
        <f>SUM(E262:E263)</f>
        <v>35487</v>
      </c>
      <c r="F264" s="15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5"/>
      <c r="B265" s="46"/>
      <c r="C265" s="4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5"/>
      <c r="B266" s="46"/>
      <c r="C266" s="4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5"/>
      <c r="B267" s="46"/>
      <c r="C267" s="4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hidden="1" customHeight="1" x14ac:dyDescent="0.3">
      <c r="A268" s="5"/>
      <c r="B268" s="46"/>
      <c r="C268" s="4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hidden="1" customHeight="1" x14ac:dyDescent="0.3">
      <c r="A269" s="5"/>
      <c r="B269" s="46"/>
      <c r="C269" s="4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hidden="1" customHeight="1" x14ac:dyDescent="0.3">
      <c r="A270" s="5"/>
      <c r="B270" s="46"/>
      <c r="C270" s="4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hidden="1" customHeight="1" x14ac:dyDescent="0.3">
      <c r="A271" s="5"/>
      <c r="B271" s="46"/>
      <c r="C271" s="4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hidden="1" customHeight="1" x14ac:dyDescent="0.3">
      <c r="A272" s="5"/>
      <c r="B272" s="46"/>
      <c r="C272" s="4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hidden="1" customHeight="1" x14ac:dyDescent="0.3">
      <c r="A273" s="5"/>
      <c r="B273" s="46"/>
      <c r="C273" s="4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hidden="1" customHeight="1" x14ac:dyDescent="0.3">
      <c r="A274" s="5"/>
      <c r="B274" s="46"/>
      <c r="C274" s="4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hidden="1" customHeight="1" x14ac:dyDescent="0.3">
      <c r="A275" s="5"/>
      <c r="B275" s="46"/>
      <c r="C275" s="4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hidden="1" customHeight="1" x14ac:dyDescent="0.3">
      <c r="A276" s="5"/>
      <c r="B276" s="46"/>
      <c r="C276" s="4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hidden="1" customHeight="1" x14ac:dyDescent="0.3">
      <c r="A277" s="5"/>
      <c r="B277" s="46"/>
      <c r="C277" s="4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hidden="1" customHeight="1" x14ac:dyDescent="0.3">
      <c r="A278" s="5"/>
      <c r="B278" s="46"/>
      <c r="C278" s="4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hidden="1" customHeight="1" x14ac:dyDescent="0.3">
      <c r="A279" s="5"/>
      <c r="B279" s="46"/>
      <c r="C279" s="4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hidden="1" customHeight="1" x14ac:dyDescent="0.3">
      <c r="A280" s="5"/>
      <c r="B280" s="46"/>
      <c r="C280" s="4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hidden="1" customHeight="1" x14ac:dyDescent="0.3">
      <c r="A281" s="5"/>
      <c r="B281" s="46"/>
      <c r="C281" s="4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hidden="1" customHeight="1" x14ac:dyDescent="0.3">
      <c r="A282" s="5"/>
      <c r="B282" s="46"/>
      <c r="C282" s="4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hidden="1" customHeight="1" x14ac:dyDescent="0.3">
      <c r="A283" s="5"/>
      <c r="B283" s="46"/>
      <c r="C283" s="4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hidden="1" customHeight="1" x14ac:dyDescent="0.3">
      <c r="A284" s="5"/>
      <c r="B284" s="46"/>
      <c r="C284" s="4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hidden="1" customHeight="1" x14ac:dyDescent="0.3">
      <c r="A285" s="5"/>
      <c r="B285" s="46"/>
      <c r="C285" s="4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hidden="1" customHeight="1" x14ac:dyDescent="0.3">
      <c r="A286" s="5"/>
      <c r="B286" s="46"/>
      <c r="C286" s="4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hidden="1" customHeight="1" x14ac:dyDescent="0.3">
      <c r="A287" s="5"/>
      <c r="B287" s="46"/>
      <c r="C287" s="4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hidden="1" customHeight="1" x14ac:dyDescent="0.3">
      <c r="A288" s="5"/>
      <c r="B288" s="46"/>
      <c r="C288" s="4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hidden="1" customHeight="1" x14ac:dyDescent="0.3">
      <c r="A289" s="5"/>
      <c r="B289" s="46"/>
      <c r="C289" s="4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hidden="1" customHeight="1" x14ac:dyDescent="0.3">
      <c r="A290" s="5"/>
      <c r="B290" s="46"/>
      <c r="C290" s="4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hidden="1" customHeight="1" x14ac:dyDescent="0.3">
      <c r="A291" s="5"/>
      <c r="B291" s="46"/>
      <c r="C291" s="4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hidden="1" customHeight="1" x14ac:dyDescent="0.3">
      <c r="A292" s="5"/>
      <c r="B292" s="46"/>
      <c r="C292" s="4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hidden="1" customHeight="1" x14ac:dyDescent="0.3">
      <c r="A293" s="5"/>
      <c r="B293" s="46"/>
      <c r="C293" s="4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hidden="1" customHeight="1" x14ac:dyDescent="0.3">
      <c r="A294" s="5"/>
      <c r="B294" s="46"/>
      <c r="C294" s="4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hidden="1" customHeight="1" x14ac:dyDescent="0.3">
      <c r="A295" s="5"/>
      <c r="B295" s="46"/>
      <c r="C295" s="4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hidden="1" customHeight="1" x14ac:dyDescent="0.3">
      <c r="A296" s="5"/>
      <c r="B296" s="46"/>
      <c r="C296" s="4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hidden="1" customHeight="1" x14ac:dyDescent="0.3">
      <c r="A297" s="5"/>
      <c r="B297" s="46"/>
      <c r="C297" s="4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hidden="1" customHeight="1" x14ac:dyDescent="0.3">
      <c r="A298" s="5"/>
      <c r="B298" s="46"/>
      <c r="C298" s="4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hidden="1" customHeight="1" x14ac:dyDescent="0.3">
      <c r="A299" s="5"/>
      <c r="B299" s="46"/>
      <c r="C299" s="4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hidden="1" customHeight="1" x14ac:dyDescent="0.3">
      <c r="A300" s="5"/>
      <c r="B300" s="46"/>
      <c r="C300" s="4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hidden="1" customHeight="1" x14ac:dyDescent="0.3">
      <c r="A301" s="5"/>
      <c r="B301" s="46"/>
      <c r="C301" s="4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hidden="1" customHeight="1" x14ac:dyDescent="0.3">
      <c r="A302" s="5"/>
      <c r="B302" s="46"/>
      <c r="C302" s="4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hidden="1" customHeight="1" x14ac:dyDescent="0.3">
      <c r="A303" s="5"/>
      <c r="B303" s="46"/>
      <c r="C303" s="4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hidden="1" customHeight="1" x14ac:dyDescent="0.3">
      <c r="A304" s="5"/>
      <c r="B304" s="46"/>
      <c r="C304" s="4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hidden="1" customHeight="1" x14ac:dyDescent="0.3">
      <c r="A305" s="5"/>
      <c r="B305" s="46"/>
      <c r="C305" s="4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hidden="1" customHeight="1" x14ac:dyDescent="0.3">
      <c r="A306" s="5"/>
      <c r="B306" s="46"/>
      <c r="C306" s="4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hidden="1" customHeight="1" x14ac:dyDescent="0.3">
      <c r="A307" s="5"/>
      <c r="B307" s="46"/>
      <c r="C307" s="4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hidden="1" customHeight="1" x14ac:dyDescent="0.3">
      <c r="A308" s="5"/>
      <c r="B308" s="46"/>
      <c r="C308" s="4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hidden="1" customHeight="1" x14ac:dyDescent="0.3">
      <c r="A309" s="5"/>
      <c r="B309" s="46"/>
      <c r="C309" s="4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hidden="1" customHeight="1" x14ac:dyDescent="0.3">
      <c r="A310" s="5"/>
      <c r="B310" s="46"/>
      <c r="C310" s="4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hidden="1" customHeight="1" x14ac:dyDescent="0.3">
      <c r="A311" s="5"/>
      <c r="B311" s="46"/>
      <c r="C311" s="4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hidden="1" customHeight="1" x14ac:dyDescent="0.3">
      <c r="A312" s="5"/>
      <c r="B312" s="46"/>
      <c r="C312" s="4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hidden="1" customHeight="1" x14ac:dyDescent="0.3">
      <c r="A313" s="5"/>
      <c r="B313" s="46"/>
      <c r="C313" s="4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hidden="1" customHeight="1" x14ac:dyDescent="0.3">
      <c r="A314" s="5"/>
      <c r="B314" s="46"/>
      <c r="C314" s="4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hidden="1" customHeight="1" x14ac:dyDescent="0.3">
      <c r="A315" s="5"/>
      <c r="B315" s="46"/>
      <c r="C315" s="4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hidden="1" customHeight="1" x14ac:dyDescent="0.3">
      <c r="A316" s="5"/>
      <c r="B316" s="46"/>
      <c r="C316" s="4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hidden="1" customHeight="1" x14ac:dyDescent="0.3">
      <c r="A317" s="5"/>
      <c r="B317" s="46"/>
      <c r="C317" s="4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hidden="1" customHeight="1" x14ac:dyDescent="0.3">
      <c r="A318" s="5"/>
      <c r="B318" s="46"/>
      <c r="C318" s="4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hidden="1" customHeight="1" x14ac:dyDescent="0.3">
      <c r="A319" s="5"/>
      <c r="B319" s="46"/>
      <c r="C319" s="4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hidden="1" customHeight="1" x14ac:dyDescent="0.3">
      <c r="A320" s="5"/>
      <c r="B320" s="46"/>
      <c r="C320" s="4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hidden="1" customHeight="1" x14ac:dyDescent="0.3">
      <c r="A321" s="5"/>
      <c r="B321" s="46"/>
      <c r="C321" s="4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hidden="1" customHeight="1" x14ac:dyDescent="0.3">
      <c r="A322" s="5"/>
      <c r="B322" s="46"/>
      <c r="C322" s="4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hidden="1" customHeight="1" x14ac:dyDescent="0.3">
      <c r="A323" s="5"/>
      <c r="B323" s="46"/>
      <c r="C323" s="4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hidden="1" customHeight="1" x14ac:dyDescent="0.3">
      <c r="A324" s="5"/>
      <c r="B324" s="46"/>
      <c r="C324" s="4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hidden="1" customHeight="1" x14ac:dyDescent="0.3">
      <c r="A325" s="5"/>
      <c r="B325" s="46"/>
      <c r="C325" s="4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hidden="1" customHeight="1" x14ac:dyDescent="0.3">
      <c r="A326" s="5"/>
      <c r="B326" s="46"/>
      <c r="C326" s="4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hidden="1" customHeight="1" x14ac:dyDescent="0.3">
      <c r="A327" s="5"/>
      <c r="B327" s="46"/>
      <c r="C327" s="4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hidden="1" customHeight="1" x14ac:dyDescent="0.3">
      <c r="A328" s="5"/>
      <c r="B328" s="46"/>
      <c r="C328" s="4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hidden="1" customHeight="1" x14ac:dyDescent="0.3">
      <c r="A329" s="5"/>
      <c r="B329" s="46"/>
      <c r="C329" s="4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hidden="1" customHeight="1" x14ac:dyDescent="0.3">
      <c r="A330" s="5"/>
      <c r="B330" s="46"/>
      <c r="C330" s="4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hidden="1" customHeight="1" x14ac:dyDescent="0.3">
      <c r="A331" s="5"/>
      <c r="B331" s="46"/>
      <c r="C331" s="4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hidden="1" customHeight="1" x14ac:dyDescent="0.3">
      <c r="A332" s="5"/>
      <c r="B332" s="46"/>
      <c r="C332" s="4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hidden="1" customHeight="1" x14ac:dyDescent="0.3">
      <c r="A333" s="5"/>
      <c r="B333" s="46"/>
      <c r="C333" s="4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hidden="1" customHeight="1" x14ac:dyDescent="0.3">
      <c r="A334" s="5"/>
      <c r="B334" s="46"/>
      <c r="C334" s="4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hidden="1" customHeight="1" x14ac:dyDescent="0.3">
      <c r="A335" s="5"/>
      <c r="B335" s="46"/>
      <c r="C335" s="4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hidden="1" customHeight="1" x14ac:dyDescent="0.3">
      <c r="A336" s="5"/>
      <c r="B336" s="46"/>
      <c r="C336" s="4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hidden="1" customHeight="1" x14ac:dyDescent="0.3">
      <c r="A337" s="5"/>
      <c r="B337" s="46"/>
      <c r="C337" s="4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hidden="1" customHeight="1" x14ac:dyDescent="0.3">
      <c r="A338" s="5"/>
      <c r="B338" s="46"/>
      <c r="C338" s="4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hidden="1" customHeight="1" x14ac:dyDescent="0.3">
      <c r="A339" s="5"/>
      <c r="B339" s="46"/>
      <c r="C339" s="4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hidden="1" customHeight="1" x14ac:dyDescent="0.3">
      <c r="A340" s="5"/>
      <c r="B340" s="46"/>
      <c r="C340" s="4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hidden="1" customHeight="1" x14ac:dyDescent="0.3">
      <c r="A341" s="5"/>
      <c r="B341" s="46"/>
      <c r="C341" s="4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hidden="1" customHeight="1" x14ac:dyDescent="0.3">
      <c r="A342" s="5"/>
      <c r="B342" s="46"/>
      <c r="C342" s="4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hidden="1" customHeight="1" x14ac:dyDescent="0.3">
      <c r="A343" s="5"/>
      <c r="B343" s="46"/>
      <c r="C343" s="4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hidden="1" customHeight="1" x14ac:dyDescent="0.3">
      <c r="A344" s="5"/>
      <c r="B344" s="46"/>
      <c r="C344" s="4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hidden="1" customHeight="1" x14ac:dyDescent="0.3">
      <c r="A345" s="5"/>
      <c r="B345" s="46"/>
      <c r="C345" s="4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hidden="1" customHeight="1" x14ac:dyDescent="0.3">
      <c r="A346" s="5"/>
      <c r="B346" s="46"/>
      <c r="C346" s="4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hidden="1" customHeight="1" x14ac:dyDescent="0.3">
      <c r="A347" s="5"/>
      <c r="B347" s="46"/>
      <c r="C347" s="4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hidden="1" customHeight="1" x14ac:dyDescent="0.3">
      <c r="A348" s="5"/>
      <c r="B348" s="46"/>
      <c r="C348" s="4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hidden="1" customHeight="1" x14ac:dyDescent="0.3">
      <c r="A349" s="5"/>
      <c r="B349" s="46"/>
      <c r="C349" s="4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hidden="1" customHeight="1" x14ac:dyDescent="0.3">
      <c r="A350" s="5"/>
      <c r="B350" s="46"/>
      <c r="C350" s="4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hidden="1" customHeight="1" x14ac:dyDescent="0.3">
      <c r="A351" s="5"/>
      <c r="B351" s="46"/>
      <c r="C351" s="4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hidden="1" customHeight="1" x14ac:dyDescent="0.3">
      <c r="A352" s="5"/>
      <c r="B352" s="46"/>
      <c r="C352" s="4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hidden="1" customHeight="1" x14ac:dyDescent="0.3">
      <c r="A353" s="5"/>
      <c r="B353" s="46"/>
      <c r="C353" s="4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hidden="1" customHeight="1" x14ac:dyDescent="0.3">
      <c r="A354" s="5"/>
      <c r="B354" s="46"/>
      <c r="C354" s="4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hidden="1" customHeight="1" x14ac:dyDescent="0.3">
      <c r="A355" s="5"/>
      <c r="B355" s="46"/>
      <c r="C355" s="4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hidden="1" customHeight="1" x14ac:dyDescent="0.3">
      <c r="A356" s="5"/>
      <c r="B356" s="46"/>
      <c r="C356" s="4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hidden="1" customHeight="1" x14ac:dyDescent="0.3">
      <c r="A357" s="5"/>
      <c r="B357" s="46"/>
      <c r="C357" s="4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hidden="1" customHeight="1" x14ac:dyDescent="0.3">
      <c r="A358" s="5"/>
      <c r="B358" s="46"/>
      <c r="C358" s="4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hidden="1" customHeight="1" x14ac:dyDescent="0.3">
      <c r="A359" s="5"/>
      <c r="B359" s="46"/>
      <c r="C359" s="4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hidden="1" customHeight="1" x14ac:dyDescent="0.3">
      <c r="A360" s="5"/>
      <c r="B360" s="46"/>
      <c r="C360" s="4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hidden="1" customHeight="1" x14ac:dyDescent="0.3">
      <c r="A361" s="5"/>
      <c r="B361" s="46"/>
      <c r="C361" s="4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hidden="1" customHeight="1" x14ac:dyDescent="0.3">
      <c r="A362" s="5"/>
      <c r="B362" s="46"/>
      <c r="C362" s="4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hidden="1" customHeight="1" x14ac:dyDescent="0.3">
      <c r="A363" s="5"/>
      <c r="B363" s="46"/>
      <c r="C363" s="4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hidden="1" customHeight="1" x14ac:dyDescent="0.3">
      <c r="A364" s="5"/>
      <c r="B364" s="46"/>
      <c r="C364" s="4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hidden="1" customHeight="1" x14ac:dyDescent="0.3">
      <c r="A365" s="5"/>
      <c r="B365" s="46"/>
      <c r="C365" s="4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hidden="1" customHeight="1" x14ac:dyDescent="0.3">
      <c r="A366" s="5"/>
      <c r="B366" s="46"/>
      <c r="C366" s="4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hidden="1" customHeight="1" x14ac:dyDescent="0.3">
      <c r="A367" s="5"/>
      <c r="B367" s="46"/>
      <c r="C367" s="4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hidden="1" customHeight="1" x14ac:dyDescent="0.3">
      <c r="A368" s="5"/>
      <c r="B368" s="46"/>
      <c r="C368" s="4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hidden="1" customHeight="1" x14ac:dyDescent="0.3">
      <c r="A369" s="5"/>
      <c r="B369" s="46"/>
      <c r="C369" s="4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hidden="1" customHeight="1" x14ac:dyDescent="0.3">
      <c r="A370" s="5"/>
      <c r="B370" s="46"/>
      <c r="C370" s="4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hidden="1" customHeight="1" x14ac:dyDescent="0.3">
      <c r="A371" s="5"/>
      <c r="B371" s="46"/>
      <c r="C371" s="4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hidden="1" customHeight="1" x14ac:dyDescent="0.3">
      <c r="A372" s="5"/>
      <c r="B372" s="46"/>
      <c r="C372" s="4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hidden="1" customHeight="1" x14ac:dyDescent="0.3">
      <c r="A373" s="5"/>
      <c r="B373" s="46"/>
      <c r="C373" s="4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hidden="1" customHeight="1" x14ac:dyDescent="0.3">
      <c r="A374" s="5"/>
      <c r="B374" s="46"/>
      <c r="C374" s="4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hidden="1" customHeight="1" x14ac:dyDescent="0.3">
      <c r="A375" s="5"/>
      <c r="B375" s="46"/>
      <c r="C375" s="4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hidden="1" customHeight="1" x14ac:dyDescent="0.3">
      <c r="A376" s="5"/>
      <c r="B376" s="46"/>
      <c r="C376" s="4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hidden="1" customHeight="1" x14ac:dyDescent="0.3">
      <c r="A377" s="5"/>
      <c r="B377" s="46"/>
      <c r="C377" s="4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hidden="1" customHeight="1" x14ac:dyDescent="0.3">
      <c r="A378" s="5"/>
      <c r="B378" s="46"/>
      <c r="C378" s="4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hidden="1" customHeight="1" x14ac:dyDescent="0.3">
      <c r="A379" s="5"/>
      <c r="B379" s="46"/>
      <c r="C379" s="4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hidden="1" customHeight="1" x14ac:dyDescent="0.3">
      <c r="A380" s="5"/>
      <c r="B380" s="46"/>
      <c r="C380" s="4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hidden="1" customHeight="1" x14ac:dyDescent="0.3">
      <c r="A381" s="5"/>
      <c r="B381" s="46"/>
      <c r="C381" s="4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hidden="1" customHeight="1" x14ac:dyDescent="0.3">
      <c r="A382" s="5"/>
      <c r="B382" s="46"/>
      <c r="C382" s="4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hidden="1" customHeight="1" x14ac:dyDescent="0.3">
      <c r="A383" s="5"/>
      <c r="B383" s="46"/>
      <c r="C383" s="4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hidden="1" customHeight="1" x14ac:dyDescent="0.3">
      <c r="A384" s="5"/>
      <c r="B384" s="46"/>
      <c r="C384" s="4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hidden="1" customHeight="1" x14ac:dyDescent="0.3">
      <c r="A385" s="5"/>
      <c r="B385" s="46"/>
      <c r="C385" s="4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hidden="1" customHeight="1" x14ac:dyDescent="0.3">
      <c r="A386" s="5"/>
      <c r="B386" s="46"/>
      <c r="C386" s="4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hidden="1" customHeight="1" x14ac:dyDescent="0.3">
      <c r="A387" s="5"/>
      <c r="B387" s="46"/>
      <c r="C387" s="4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hidden="1" customHeight="1" x14ac:dyDescent="0.3">
      <c r="A388" s="5"/>
      <c r="B388" s="46"/>
      <c r="C388" s="4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hidden="1" customHeight="1" x14ac:dyDescent="0.3">
      <c r="A389" s="5"/>
      <c r="B389" s="46"/>
      <c r="C389" s="4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hidden="1" customHeight="1" x14ac:dyDescent="0.3">
      <c r="A390" s="5"/>
      <c r="B390" s="46"/>
      <c r="C390" s="4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hidden="1" customHeight="1" x14ac:dyDescent="0.3">
      <c r="A391" s="5"/>
      <c r="B391" s="46"/>
      <c r="C391" s="4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hidden="1" customHeight="1" x14ac:dyDescent="0.3">
      <c r="A392" s="5"/>
      <c r="B392" s="46"/>
      <c r="C392" s="4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hidden="1" customHeight="1" x14ac:dyDescent="0.3">
      <c r="A393" s="5"/>
      <c r="B393" s="46"/>
      <c r="C393" s="4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hidden="1" customHeight="1" x14ac:dyDescent="0.3">
      <c r="A394" s="5"/>
      <c r="B394" s="46"/>
      <c r="C394" s="4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hidden="1" customHeight="1" x14ac:dyDescent="0.3">
      <c r="A395" s="5"/>
      <c r="B395" s="46"/>
      <c r="C395" s="4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hidden="1" customHeight="1" x14ac:dyDescent="0.3">
      <c r="A396" s="5"/>
      <c r="B396" s="46"/>
      <c r="C396" s="4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hidden="1" customHeight="1" x14ac:dyDescent="0.3">
      <c r="A397" s="5"/>
      <c r="B397" s="46"/>
      <c r="C397" s="4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hidden="1" customHeight="1" x14ac:dyDescent="0.3">
      <c r="A398" s="5"/>
      <c r="B398" s="46"/>
      <c r="C398" s="4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hidden="1" customHeight="1" x14ac:dyDescent="0.3">
      <c r="A399" s="5"/>
      <c r="B399" s="46"/>
      <c r="C399" s="4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hidden="1" customHeight="1" x14ac:dyDescent="0.3">
      <c r="A400" s="5"/>
      <c r="B400" s="46"/>
      <c r="C400" s="4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hidden="1" customHeight="1" x14ac:dyDescent="0.3">
      <c r="A401" s="5"/>
      <c r="B401" s="46"/>
      <c r="C401" s="4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hidden="1" customHeight="1" x14ac:dyDescent="0.3">
      <c r="A402" s="5"/>
      <c r="B402" s="46"/>
      <c r="C402" s="4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hidden="1" customHeight="1" x14ac:dyDescent="0.3">
      <c r="A403" s="5"/>
      <c r="B403" s="46"/>
      <c r="C403" s="4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hidden="1" customHeight="1" x14ac:dyDescent="0.3">
      <c r="A404" s="5"/>
      <c r="B404" s="46"/>
      <c r="C404" s="4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hidden="1" customHeight="1" x14ac:dyDescent="0.3">
      <c r="A405" s="5"/>
      <c r="B405" s="46"/>
      <c r="C405" s="4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hidden="1" customHeight="1" x14ac:dyDescent="0.3">
      <c r="A406" s="5"/>
      <c r="B406" s="46"/>
      <c r="C406" s="4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hidden="1" customHeight="1" x14ac:dyDescent="0.3">
      <c r="A407" s="5"/>
      <c r="B407" s="46"/>
      <c r="C407" s="4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hidden="1" customHeight="1" x14ac:dyDescent="0.3">
      <c r="A408" s="5"/>
      <c r="B408" s="46"/>
      <c r="C408" s="4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hidden="1" customHeight="1" x14ac:dyDescent="0.3">
      <c r="A409" s="5"/>
      <c r="B409" s="46"/>
      <c r="C409" s="4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hidden="1" customHeight="1" x14ac:dyDescent="0.3">
      <c r="A410" s="5"/>
      <c r="B410" s="46"/>
      <c r="C410" s="4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hidden="1" customHeight="1" x14ac:dyDescent="0.3">
      <c r="A411" s="5"/>
      <c r="B411" s="46"/>
      <c r="C411" s="4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hidden="1" customHeight="1" x14ac:dyDescent="0.3">
      <c r="A412" s="5"/>
      <c r="B412" s="46"/>
      <c r="C412" s="4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hidden="1" customHeight="1" x14ac:dyDescent="0.3">
      <c r="A413" s="5"/>
      <c r="B413" s="46"/>
      <c r="C413" s="4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hidden="1" customHeight="1" x14ac:dyDescent="0.3">
      <c r="A414" s="5"/>
      <c r="B414" s="46"/>
      <c r="C414" s="4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hidden="1" customHeight="1" x14ac:dyDescent="0.3">
      <c r="A415" s="5"/>
      <c r="B415" s="46"/>
      <c r="C415" s="4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hidden="1" customHeight="1" x14ac:dyDescent="0.3">
      <c r="A416" s="5"/>
      <c r="B416" s="46"/>
      <c r="C416" s="4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hidden="1" customHeight="1" x14ac:dyDescent="0.3">
      <c r="A417" s="5"/>
      <c r="B417" s="46"/>
      <c r="C417" s="4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hidden="1" customHeight="1" x14ac:dyDescent="0.3">
      <c r="A418" s="5"/>
      <c r="B418" s="46"/>
      <c r="C418" s="4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hidden="1" customHeight="1" x14ac:dyDescent="0.3">
      <c r="A419" s="5"/>
      <c r="B419" s="46"/>
      <c r="C419" s="4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hidden="1" customHeight="1" x14ac:dyDescent="0.3">
      <c r="A420" s="5"/>
      <c r="B420" s="46"/>
      <c r="C420" s="4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hidden="1" customHeight="1" x14ac:dyDescent="0.3">
      <c r="A421" s="5"/>
      <c r="B421" s="46"/>
      <c r="C421" s="4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hidden="1" customHeight="1" x14ac:dyDescent="0.3">
      <c r="A422" s="5"/>
      <c r="B422" s="46"/>
      <c r="C422" s="4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hidden="1" customHeight="1" x14ac:dyDescent="0.3">
      <c r="A423" s="5"/>
      <c r="B423" s="46"/>
      <c r="C423" s="4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hidden="1" customHeight="1" x14ac:dyDescent="0.3">
      <c r="A424" s="5"/>
      <c r="B424" s="46"/>
      <c r="C424" s="4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hidden="1" customHeight="1" x14ac:dyDescent="0.3">
      <c r="A425" s="5"/>
      <c r="B425" s="46"/>
      <c r="C425" s="4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hidden="1" customHeight="1" x14ac:dyDescent="0.3">
      <c r="A426" s="5"/>
      <c r="B426" s="46"/>
      <c r="C426" s="4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hidden="1" customHeight="1" x14ac:dyDescent="0.3">
      <c r="A427" s="5"/>
      <c r="B427" s="46"/>
      <c r="C427" s="4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hidden="1" customHeight="1" x14ac:dyDescent="0.3">
      <c r="A428" s="5"/>
      <c r="B428" s="46"/>
      <c r="C428" s="4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hidden="1" customHeight="1" x14ac:dyDescent="0.3">
      <c r="A429" s="5"/>
      <c r="B429" s="46"/>
      <c r="C429" s="4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hidden="1" customHeight="1" x14ac:dyDescent="0.3">
      <c r="A430" s="5"/>
      <c r="B430" s="46"/>
      <c r="C430" s="4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hidden="1" customHeight="1" x14ac:dyDescent="0.3">
      <c r="A431" s="5"/>
      <c r="B431" s="46"/>
      <c r="C431" s="4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hidden="1" customHeight="1" x14ac:dyDescent="0.3">
      <c r="A432" s="5"/>
      <c r="B432" s="46"/>
      <c r="C432" s="4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hidden="1" customHeight="1" x14ac:dyDescent="0.3">
      <c r="A433" s="5"/>
      <c r="B433" s="46"/>
      <c r="C433" s="4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hidden="1" customHeight="1" x14ac:dyDescent="0.3">
      <c r="A434" s="5"/>
      <c r="B434" s="46"/>
      <c r="C434" s="4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hidden="1" customHeight="1" x14ac:dyDescent="0.3">
      <c r="A435" s="5"/>
      <c r="B435" s="46"/>
      <c r="C435" s="4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hidden="1" customHeight="1" x14ac:dyDescent="0.3">
      <c r="A436" s="5"/>
      <c r="B436" s="46"/>
      <c r="C436" s="4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hidden="1" customHeight="1" x14ac:dyDescent="0.3">
      <c r="A437" s="5"/>
      <c r="B437" s="46"/>
      <c r="C437" s="4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hidden="1" customHeight="1" x14ac:dyDescent="0.3">
      <c r="A438" s="5"/>
      <c r="B438" s="46"/>
      <c r="C438" s="4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hidden="1" customHeight="1" x14ac:dyDescent="0.3">
      <c r="A439" s="5"/>
      <c r="B439" s="46"/>
      <c r="C439" s="4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hidden="1" customHeight="1" x14ac:dyDescent="0.3">
      <c r="A440" s="5"/>
      <c r="B440" s="46"/>
      <c r="C440" s="4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hidden="1" customHeight="1" x14ac:dyDescent="0.3">
      <c r="A441" s="5"/>
      <c r="B441" s="46"/>
      <c r="C441" s="4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hidden="1" customHeight="1" x14ac:dyDescent="0.3">
      <c r="A442" s="5"/>
      <c r="B442" s="46"/>
      <c r="C442" s="4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hidden="1" customHeight="1" x14ac:dyDescent="0.3">
      <c r="A443" s="5"/>
      <c r="B443" s="46"/>
      <c r="C443" s="4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hidden="1" customHeight="1" x14ac:dyDescent="0.3">
      <c r="A444" s="5"/>
      <c r="B444" s="46"/>
      <c r="C444" s="4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hidden="1" customHeight="1" x14ac:dyDescent="0.3">
      <c r="A445" s="5"/>
      <c r="B445" s="46"/>
      <c r="C445" s="4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hidden="1" customHeight="1" x14ac:dyDescent="0.3">
      <c r="A446" s="5"/>
      <c r="B446" s="46"/>
      <c r="C446" s="4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hidden="1" customHeight="1" x14ac:dyDescent="0.3">
      <c r="A447" s="5"/>
      <c r="B447" s="46"/>
      <c r="C447" s="4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hidden="1" customHeight="1" x14ac:dyDescent="0.3">
      <c r="A448" s="5"/>
      <c r="B448" s="46"/>
      <c r="C448" s="4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hidden="1" customHeight="1" x14ac:dyDescent="0.3">
      <c r="A449" s="5"/>
      <c r="B449" s="46"/>
      <c r="C449" s="4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hidden="1" customHeight="1" x14ac:dyDescent="0.3">
      <c r="A450" s="5"/>
      <c r="B450" s="46"/>
      <c r="C450" s="4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hidden="1" customHeight="1" x14ac:dyDescent="0.3">
      <c r="A451" s="5"/>
      <c r="B451" s="46"/>
      <c r="C451" s="4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hidden="1" customHeight="1" x14ac:dyDescent="0.3">
      <c r="A452" s="5"/>
      <c r="B452" s="46"/>
      <c r="C452" s="4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hidden="1" customHeight="1" x14ac:dyDescent="0.3">
      <c r="A453" s="5"/>
      <c r="B453" s="46"/>
      <c r="C453" s="4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hidden="1" customHeight="1" x14ac:dyDescent="0.3">
      <c r="A454" s="5"/>
      <c r="B454" s="46"/>
      <c r="C454" s="4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hidden="1" customHeight="1" x14ac:dyDescent="0.3">
      <c r="A455" s="5"/>
      <c r="B455" s="46"/>
      <c r="C455" s="4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hidden="1" customHeight="1" x14ac:dyDescent="0.3">
      <c r="A456" s="5"/>
      <c r="B456" s="46"/>
      <c r="C456" s="4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hidden="1" customHeight="1" x14ac:dyDescent="0.3">
      <c r="A457" s="5"/>
      <c r="B457" s="46"/>
      <c r="C457" s="4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hidden="1" customHeight="1" x14ac:dyDescent="0.3">
      <c r="A458" s="5"/>
      <c r="B458" s="46"/>
      <c r="C458" s="4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hidden="1" customHeight="1" x14ac:dyDescent="0.3">
      <c r="A459" s="5"/>
      <c r="B459" s="46"/>
      <c r="C459" s="4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hidden="1" customHeight="1" x14ac:dyDescent="0.3">
      <c r="A460" s="5"/>
      <c r="B460" s="46"/>
      <c r="C460" s="4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hidden="1" customHeight="1" x14ac:dyDescent="0.3">
      <c r="A461" s="5"/>
      <c r="B461" s="46"/>
      <c r="C461" s="4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hidden="1" customHeight="1" x14ac:dyDescent="0.3">
      <c r="A462" s="5"/>
      <c r="B462" s="46"/>
      <c r="C462" s="47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hidden="1" customHeight="1" x14ac:dyDescent="0.3">
      <c r="A463" s="5"/>
      <c r="B463" s="46"/>
      <c r="C463" s="47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hidden="1" customHeight="1" x14ac:dyDescent="0.3">
      <c r="A464" s="5"/>
      <c r="B464" s="46"/>
      <c r="C464" s="47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3">
    <mergeCell ref="C81:D81"/>
    <mergeCell ref="B91:D91"/>
    <mergeCell ref="C201:D201"/>
    <mergeCell ref="B211:D211"/>
    <mergeCell ref="A212:E212"/>
    <mergeCell ref="B67:D67"/>
    <mergeCell ref="A68:E68"/>
    <mergeCell ref="C69:D69"/>
    <mergeCell ref="B79:D79"/>
    <mergeCell ref="A80:E80"/>
    <mergeCell ref="A37:E37"/>
    <mergeCell ref="A56:E56"/>
    <mergeCell ref="C57:D57"/>
    <mergeCell ref="B38:D38"/>
    <mergeCell ref="B39:C41"/>
    <mergeCell ref="A42:D42"/>
    <mergeCell ref="B43:D43"/>
    <mergeCell ref="A44:D44"/>
    <mergeCell ref="C45:D45"/>
    <mergeCell ref="B55:D55"/>
    <mergeCell ref="B32:D32"/>
    <mergeCell ref="B33:D33"/>
    <mergeCell ref="B34:D34"/>
    <mergeCell ref="B35:D35"/>
    <mergeCell ref="B36:D36"/>
    <mergeCell ref="B25:B27"/>
    <mergeCell ref="C25:C27"/>
    <mergeCell ref="B28:B30"/>
    <mergeCell ref="C28:C30"/>
    <mergeCell ref="A31:D31"/>
    <mergeCell ref="B18:D18"/>
    <mergeCell ref="C19:C21"/>
    <mergeCell ref="B19:B21"/>
    <mergeCell ref="B22:B24"/>
    <mergeCell ref="C22:C24"/>
    <mergeCell ref="B12:D12"/>
    <mergeCell ref="E12:E13"/>
    <mergeCell ref="B13:D13"/>
    <mergeCell ref="B14:C16"/>
    <mergeCell ref="A17:D17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C189:D189"/>
    <mergeCell ref="B199:D199"/>
    <mergeCell ref="A200:E200"/>
    <mergeCell ref="B261:D261"/>
    <mergeCell ref="C262:D262"/>
    <mergeCell ref="C213:D213"/>
    <mergeCell ref="B223:D223"/>
    <mergeCell ref="A224:E224"/>
    <mergeCell ref="C225:D225"/>
    <mergeCell ref="B175:D175"/>
    <mergeCell ref="A176:E176"/>
    <mergeCell ref="C177:D177"/>
    <mergeCell ref="B187:D187"/>
    <mergeCell ref="A188:E188"/>
    <mergeCell ref="A152:E152"/>
    <mergeCell ref="C153:D153"/>
    <mergeCell ref="B163:D163"/>
    <mergeCell ref="A164:E164"/>
    <mergeCell ref="C165:D165"/>
    <mergeCell ref="C129:D129"/>
    <mergeCell ref="B139:D139"/>
    <mergeCell ref="A140:E140"/>
    <mergeCell ref="C141:D141"/>
    <mergeCell ref="B151:D151"/>
    <mergeCell ref="B115:D115"/>
    <mergeCell ref="A116:E116"/>
    <mergeCell ref="C117:D117"/>
    <mergeCell ref="B127:D127"/>
    <mergeCell ref="A128:E128"/>
    <mergeCell ref="A92:E92"/>
    <mergeCell ref="C93:D93"/>
    <mergeCell ref="B103:D103"/>
    <mergeCell ref="A104:E104"/>
    <mergeCell ref="C105:D105"/>
  </mergeCells>
  <conditionalFormatting sqref="E30">
    <cfRule type="expression" dxfId="279" priority="1">
      <formula>E30&lt;&gt;E264</formula>
    </cfRule>
    <cfRule type="expression" dxfId="278" priority="2">
      <formula>E30&lt;&gt;E34</formula>
    </cfRule>
  </conditionalFormatting>
  <conditionalFormatting sqref="E55">
    <cfRule type="containsBlanks" dxfId="277" priority="3">
      <formula>LEN(TRIM(E55))=0</formula>
    </cfRule>
  </conditionalFormatting>
  <conditionalFormatting sqref="E67">
    <cfRule type="containsBlanks" dxfId="276" priority="4">
      <formula>LEN(TRIM(E67))=0</formula>
    </cfRule>
  </conditionalFormatting>
  <conditionalFormatting sqref="E79">
    <cfRule type="containsBlanks" dxfId="275" priority="5">
      <formula>LEN(TRIM(E79))=0</formula>
    </cfRule>
  </conditionalFormatting>
  <conditionalFormatting sqref="E91">
    <cfRule type="containsBlanks" dxfId="274" priority="6">
      <formula>LEN(TRIM(E91))=0</formula>
    </cfRule>
  </conditionalFormatting>
  <conditionalFormatting sqref="E103">
    <cfRule type="containsBlanks" dxfId="273" priority="7">
      <formula>LEN(TRIM(E103))=0</formula>
    </cfRule>
  </conditionalFormatting>
  <conditionalFormatting sqref="E115">
    <cfRule type="containsBlanks" dxfId="272" priority="8">
      <formula>LEN(TRIM(E115))=0</formula>
    </cfRule>
  </conditionalFormatting>
  <conditionalFormatting sqref="E127">
    <cfRule type="containsBlanks" dxfId="271" priority="9">
      <formula>LEN(TRIM(E127))=0</formula>
    </cfRule>
  </conditionalFormatting>
  <conditionalFormatting sqref="E139">
    <cfRule type="containsBlanks" dxfId="270" priority="10">
      <formula>LEN(TRIM(E139))=0</formula>
    </cfRule>
  </conditionalFormatting>
  <conditionalFormatting sqref="E151">
    <cfRule type="containsBlanks" dxfId="269" priority="11">
      <formula>LEN(TRIM(E151))=0</formula>
    </cfRule>
  </conditionalFormatting>
  <conditionalFormatting sqref="E163">
    <cfRule type="containsBlanks" dxfId="268" priority="12">
      <formula>LEN(TRIM(E163))=0</formula>
    </cfRule>
  </conditionalFormatting>
  <conditionalFormatting sqref="E175">
    <cfRule type="containsBlanks" dxfId="267" priority="13">
      <formula>LEN(TRIM(E175))=0</formula>
    </cfRule>
  </conditionalFormatting>
  <conditionalFormatting sqref="E187">
    <cfRule type="containsBlanks" dxfId="266" priority="14">
      <formula>LEN(TRIM(E187))=0</formula>
    </cfRule>
  </conditionalFormatting>
  <conditionalFormatting sqref="E199">
    <cfRule type="containsBlanks" dxfId="265" priority="15">
      <formula>LEN(TRIM(E199))=0</formula>
    </cfRule>
  </conditionalFormatting>
  <conditionalFormatting sqref="E211">
    <cfRule type="containsBlanks" dxfId="264" priority="16">
      <formula>LEN(TRIM(E211))=0</formula>
    </cfRule>
  </conditionalFormatting>
  <conditionalFormatting sqref="E223">
    <cfRule type="containsBlanks" dxfId="263" priority="17">
      <formula>LEN(TRIM(E223))=0</formula>
    </cfRule>
  </conditionalFormatting>
  <conditionalFormatting sqref="E235">
    <cfRule type="containsBlanks" dxfId="262" priority="18">
      <formula>LEN(TRIM(E235))=0</formula>
    </cfRule>
  </conditionalFormatting>
  <conditionalFormatting sqref="E247">
    <cfRule type="containsBlanks" dxfId="261" priority="19">
      <formula>LEN(TRIM(E247))=0</formula>
    </cfRule>
  </conditionalFormatting>
  <conditionalFormatting sqref="E259">
    <cfRule type="containsBlanks" dxfId="260" priority="20">
      <formula>LEN(TRIM(E259))=0</formula>
    </cfRule>
  </conditionalFormatting>
  <conditionalFormatting sqref="F259:O261">
    <cfRule type="cellIs" dxfId="259" priority="21" operator="equal">
      <formula>"FALSE"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zoomScale="70" zoomScaleNormal="70" workbookViewId="0">
      <selection activeCell="G270" sqref="G270"/>
    </sheetView>
  </sheetViews>
  <sheetFormatPr defaultColWidth="14.3984375" defaultRowHeight="15" customHeight="1" x14ac:dyDescent="0.3"/>
  <cols>
    <col min="1" max="2" width="8.69921875" customWidth="1"/>
    <col min="3" max="3" width="67.09765625" customWidth="1"/>
    <col min="4" max="4" width="5.8984375" customWidth="1"/>
    <col min="5" max="21" width="8.69921875" customWidth="1"/>
    <col min="22" max="22" width="13.296875" customWidth="1"/>
    <col min="23" max="26" width="8.69921875" customWidth="1"/>
  </cols>
  <sheetData>
    <row r="1" spans="1:22" ht="12.75" customHeight="1" x14ac:dyDescent="0.3"/>
    <row r="2" spans="1:22" ht="12.75" customHeight="1" x14ac:dyDescent="0.3">
      <c r="C2" s="8" t="s">
        <v>0</v>
      </c>
      <c r="D2" s="8" t="s">
        <v>1</v>
      </c>
    </row>
    <row r="3" spans="1:22" ht="12.75" customHeight="1" x14ac:dyDescent="0.3">
      <c r="C3" s="8" t="s">
        <v>2</v>
      </c>
      <c r="D3" s="8" t="s">
        <v>3</v>
      </c>
    </row>
    <row r="4" spans="1:22" ht="12.75" customHeight="1" x14ac:dyDescent="0.3">
      <c r="C4" s="8" t="s">
        <v>4</v>
      </c>
      <c r="D4" s="8" t="s">
        <v>5</v>
      </c>
    </row>
    <row r="5" spans="1:22" ht="12.75" customHeight="1" x14ac:dyDescent="0.3">
      <c r="C5" s="8"/>
      <c r="D5" s="8"/>
    </row>
    <row r="6" spans="1:22" ht="12.75" customHeight="1" x14ac:dyDescent="0.3">
      <c r="C6" s="8"/>
      <c r="D6" s="8"/>
    </row>
    <row r="7" spans="1:22" ht="12.75" customHeight="1" x14ac:dyDescent="0.3">
      <c r="C7" s="8"/>
      <c r="D7" s="8"/>
    </row>
    <row r="8" spans="1:22" ht="12.75" customHeight="1" x14ac:dyDescent="0.3">
      <c r="C8" s="8"/>
      <c r="D8" s="8"/>
    </row>
    <row r="9" spans="1:22" ht="12.75" customHeight="1" x14ac:dyDescent="0.3">
      <c r="C9" s="8" t="s">
        <v>198</v>
      </c>
      <c r="D9" s="8" t="s">
        <v>199</v>
      </c>
    </row>
    <row r="10" spans="1:22" ht="12.75" customHeight="1" x14ac:dyDescent="0.3"/>
    <row r="11" spans="1:22" ht="12.75" customHeight="1" x14ac:dyDescent="0.3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</row>
    <row r="12" spans="1:22" ht="12.75" customHeight="1" x14ac:dyDescent="0.3">
      <c r="A12" s="13" t="s">
        <v>6</v>
      </c>
      <c r="B12" s="66" t="s">
        <v>7</v>
      </c>
      <c r="C12" s="60"/>
      <c r="D12" s="58"/>
      <c r="E12" s="83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84" t="s">
        <v>8</v>
      </c>
    </row>
    <row r="13" spans="1:22" ht="12.75" customHeight="1" x14ac:dyDescent="0.3">
      <c r="A13" s="16" t="s">
        <v>9</v>
      </c>
      <c r="B13" s="70" t="s">
        <v>10</v>
      </c>
      <c r="C13" s="60"/>
      <c r="D13" s="58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76"/>
    </row>
    <row r="14" spans="1:22" ht="12.75" customHeight="1" x14ac:dyDescent="0.3">
      <c r="A14" s="15"/>
      <c r="B14" s="71" t="s">
        <v>11</v>
      </c>
      <c r="C14" s="63"/>
      <c r="D14" s="16" t="s">
        <v>12</v>
      </c>
      <c r="E14" s="16">
        <v>76</v>
      </c>
      <c r="F14" s="16">
        <v>101</v>
      </c>
      <c r="G14" s="16">
        <v>67</v>
      </c>
      <c r="H14" s="16">
        <v>144</v>
      </c>
      <c r="I14" s="16">
        <v>143</v>
      </c>
      <c r="J14" s="16">
        <v>119</v>
      </c>
      <c r="K14" s="16">
        <v>147</v>
      </c>
      <c r="L14" s="16">
        <v>105</v>
      </c>
      <c r="M14" s="16">
        <v>114</v>
      </c>
      <c r="N14" s="16">
        <v>118</v>
      </c>
      <c r="O14" s="16">
        <v>132</v>
      </c>
      <c r="P14" s="16">
        <v>116</v>
      </c>
      <c r="Q14" s="16">
        <v>115</v>
      </c>
      <c r="R14" s="16">
        <v>137</v>
      </c>
      <c r="S14" s="16">
        <v>126</v>
      </c>
      <c r="T14" s="16">
        <v>119</v>
      </c>
      <c r="U14" s="16">
        <v>121</v>
      </c>
      <c r="V14" s="13">
        <f t="shared" ref="V14:V16" si="0">SUM(E14:U14)</f>
        <v>2000</v>
      </c>
    </row>
    <row r="15" spans="1:22" ht="12.75" customHeight="1" x14ac:dyDescent="0.3">
      <c r="A15" s="15"/>
      <c r="B15" s="72"/>
      <c r="C15" s="73"/>
      <c r="D15" s="16" t="s">
        <v>13</v>
      </c>
      <c r="E15" s="16">
        <v>78</v>
      </c>
      <c r="F15" s="16">
        <v>98</v>
      </c>
      <c r="G15" s="16">
        <v>73</v>
      </c>
      <c r="H15" s="16">
        <v>137</v>
      </c>
      <c r="I15" s="16">
        <v>121</v>
      </c>
      <c r="J15" s="16">
        <v>108</v>
      </c>
      <c r="K15" s="16">
        <v>145</v>
      </c>
      <c r="L15" s="16">
        <v>117</v>
      </c>
      <c r="M15" s="16">
        <v>114</v>
      </c>
      <c r="N15" s="16">
        <v>130</v>
      </c>
      <c r="O15" s="16">
        <v>138</v>
      </c>
      <c r="P15" s="16">
        <v>115</v>
      </c>
      <c r="Q15" s="16">
        <v>127</v>
      </c>
      <c r="R15" s="16">
        <v>134</v>
      </c>
      <c r="S15" s="16">
        <v>126</v>
      </c>
      <c r="T15" s="16">
        <v>123</v>
      </c>
      <c r="U15" s="16">
        <v>140</v>
      </c>
      <c r="V15" s="13">
        <f t="shared" si="0"/>
        <v>2024</v>
      </c>
    </row>
    <row r="16" spans="1:22" ht="12.75" customHeight="1" x14ac:dyDescent="0.3">
      <c r="A16" s="18"/>
      <c r="B16" s="69"/>
      <c r="C16" s="65"/>
      <c r="D16" s="13" t="s">
        <v>14</v>
      </c>
      <c r="E16" s="13">
        <f t="shared" ref="E16:U16" si="1">SUM(E14:E15)</f>
        <v>154</v>
      </c>
      <c r="F16" s="13">
        <f t="shared" si="1"/>
        <v>199</v>
      </c>
      <c r="G16" s="13">
        <f t="shared" si="1"/>
        <v>140</v>
      </c>
      <c r="H16" s="13">
        <f t="shared" si="1"/>
        <v>281</v>
      </c>
      <c r="I16" s="13">
        <f t="shared" si="1"/>
        <v>264</v>
      </c>
      <c r="J16" s="13">
        <f t="shared" si="1"/>
        <v>227</v>
      </c>
      <c r="K16" s="13">
        <f t="shared" si="1"/>
        <v>292</v>
      </c>
      <c r="L16" s="13">
        <f t="shared" si="1"/>
        <v>222</v>
      </c>
      <c r="M16" s="13">
        <f t="shared" si="1"/>
        <v>228</v>
      </c>
      <c r="N16" s="13">
        <f t="shared" si="1"/>
        <v>248</v>
      </c>
      <c r="O16" s="13">
        <f t="shared" si="1"/>
        <v>270</v>
      </c>
      <c r="P16" s="13">
        <f t="shared" si="1"/>
        <v>231</v>
      </c>
      <c r="Q16" s="13">
        <f t="shared" si="1"/>
        <v>242</v>
      </c>
      <c r="R16" s="13">
        <f t="shared" si="1"/>
        <v>271</v>
      </c>
      <c r="S16" s="13">
        <f t="shared" si="1"/>
        <v>252</v>
      </c>
      <c r="T16" s="13">
        <f t="shared" si="1"/>
        <v>242</v>
      </c>
      <c r="U16" s="13">
        <f t="shared" si="1"/>
        <v>261</v>
      </c>
      <c r="V16" s="13">
        <f t="shared" si="0"/>
        <v>4024</v>
      </c>
    </row>
    <row r="17" spans="1:22" ht="12.75" customHeight="1" x14ac:dyDescent="0.3">
      <c r="A17" s="61"/>
      <c r="B17" s="60"/>
      <c r="C17" s="60"/>
      <c r="D17" s="58"/>
      <c r="E17" s="16"/>
      <c r="F17" s="16"/>
      <c r="G17" s="16"/>
      <c r="H17" s="16"/>
      <c r="I17" s="16"/>
      <c r="J17" s="16"/>
      <c r="K17" s="16"/>
      <c r="L17" s="16"/>
      <c r="M17" s="16"/>
      <c r="N17" s="48"/>
      <c r="O17" s="16"/>
      <c r="P17" s="16"/>
      <c r="Q17" s="16"/>
      <c r="R17" s="16"/>
      <c r="S17" s="16"/>
      <c r="T17" s="16"/>
      <c r="U17" s="16"/>
      <c r="V17" s="49"/>
    </row>
    <row r="18" spans="1:22" ht="12.75" customHeight="1" x14ac:dyDescent="0.3">
      <c r="A18" s="20" t="s">
        <v>15</v>
      </c>
      <c r="B18" s="70" t="s">
        <v>16</v>
      </c>
      <c r="C18" s="60"/>
      <c r="D18" s="58"/>
      <c r="E18" s="16"/>
      <c r="F18" s="16"/>
      <c r="G18" s="16"/>
      <c r="H18" s="16"/>
      <c r="I18" s="16"/>
      <c r="J18" s="16"/>
      <c r="K18" s="16"/>
      <c r="L18" s="16"/>
      <c r="M18" s="16"/>
      <c r="N18" s="48"/>
      <c r="O18" s="16"/>
      <c r="P18" s="16"/>
      <c r="Q18" s="16"/>
      <c r="R18" s="16"/>
      <c r="S18" s="16"/>
      <c r="T18" s="16"/>
      <c r="U18" s="16"/>
      <c r="V18" s="49"/>
    </row>
    <row r="19" spans="1:22" ht="12.75" customHeight="1" x14ac:dyDescent="0.3">
      <c r="A19" s="20"/>
      <c r="B19" s="77" t="s">
        <v>17</v>
      </c>
      <c r="C19" s="74" t="s">
        <v>18</v>
      </c>
      <c r="D19" s="16" t="s">
        <v>12</v>
      </c>
      <c r="E19" s="16">
        <v>62</v>
      </c>
      <c r="F19" s="16">
        <v>87</v>
      </c>
      <c r="G19" s="16">
        <v>55</v>
      </c>
      <c r="H19" s="16">
        <v>112</v>
      </c>
      <c r="I19" s="16">
        <v>104</v>
      </c>
      <c r="J19" s="16">
        <v>91</v>
      </c>
      <c r="K19" s="16">
        <v>118</v>
      </c>
      <c r="L19" s="16">
        <v>82</v>
      </c>
      <c r="M19" s="16">
        <v>97</v>
      </c>
      <c r="N19" s="16">
        <v>93</v>
      </c>
      <c r="O19" s="16">
        <v>114</v>
      </c>
      <c r="P19" s="16">
        <v>97</v>
      </c>
      <c r="Q19" s="16">
        <v>105</v>
      </c>
      <c r="R19" s="16">
        <v>111</v>
      </c>
      <c r="S19" s="16">
        <v>96</v>
      </c>
      <c r="T19" s="16">
        <v>100</v>
      </c>
      <c r="U19" s="16">
        <v>100</v>
      </c>
      <c r="V19" s="13">
        <f t="shared" ref="V19:V30" si="2">SUM(E19:U19)</f>
        <v>1624</v>
      </c>
    </row>
    <row r="20" spans="1:22" ht="12.75" customHeight="1" x14ac:dyDescent="0.3">
      <c r="A20" s="21"/>
      <c r="B20" s="73"/>
      <c r="C20" s="75"/>
      <c r="D20" s="16" t="s">
        <v>13</v>
      </c>
      <c r="E20" s="16">
        <v>67</v>
      </c>
      <c r="F20" s="16">
        <v>86</v>
      </c>
      <c r="G20" s="16">
        <v>61</v>
      </c>
      <c r="H20" s="16">
        <v>118</v>
      </c>
      <c r="I20" s="16">
        <v>101</v>
      </c>
      <c r="J20" s="16">
        <v>94</v>
      </c>
      <c r="K20" s="16">
        <v>134</v>
      </c>
      <c r="L20" s="16">
        <v>97</v>
      </c>
      <c r="M20" s="16">
        <v>95</v>
      </c>
      <c r="N20" s="16">
        <v>110</v>
      </c>
      <c r="O20" s="16">
        <v>119</v>
      </c>
      <c r="P20" s="16">
        <v>106</v>
      </c>
      <c r="Q20" s="16">
        <v>116</v>
      </c>
      <c r="R20" s="16">
        <v>111</v>
      </c>
      <c r="S20" s="16">
        <v>104</v>
      </c>
      <c r="T20" s="16">
        <v>110</v>
      </c>
      <c r="U20" s="16">
        <v>122</v>
      </c>
      <c r="V20" s="13">
        <f t="shared" si="2"/>
        <v>1751</v>
      </c>
    </row>
    <row r="21" spans="1:22" ht="12.75" customHeight="1" x14ac:dyDescent="0.3">
      <c r="A21" s="22"/>
      <c r="B21" s="65"/>
      <c r="C21" s="76"/>
      <c r="D21" s="13" t="s">
        <v>14</v>
      </c>
      <c r="E21" s="13">
        <f t="shared" ref="E21:U21" si="3">SUM(E19:E20)</f>
        <v>129</v>
      </c>
      <c r="F21" s="13">
        <f t="shared" si="3"/>
        <v>173</v>
      </c>
      <c r="G21" s="13">
        <f t="shared" si="3"/>
        <v>116</v>
      </c>
      <c r="H21" s="13">
        <f t="shared" si="3"/>
        <v>230</v>
      </c>
      <c r="I21" s="13">
        <f t="shared" si="3"/>
        <v>205</v>
      </c>
      <c r="J21" s="13">
        <f t="shared" si="3"/>
        <v>185</v>
      </c>
      <c r="K21" s="13">
        <f t="shared" si="3"/>
        <v>252</v>
      </c>
      <c r="L21" s="13">
        <f t="shared" si="3"/>
        <v>179</v>
      </c>
      <c r="M21" s="13">
        <f t="shared" si="3"/>
        <v>192</v>
      </c>
      <c r="N21" s="13">
        <f t="shared" si="3"/>
        <v>203</v>
      </c>
      <c r="O21" s="13">
        <f t="shared" si="3"/>
        <v>233</v>
      </c>
      <c r="P21" s="13">
        <f t="shared" si="3"/>
        <v>203</v>
      </c>
      <c r="Q21" s="13">
        <f t="shared" si="3"/>
        <v>221</v>
      </c>
      <c r="R21" s="13">
        <f t="shared" si="3"/>
        <v>222</v>
      </c>
      <c r="S21" s="13">
        <f t="shared" si="3"/>
        <v>200</v>
      </c>
      <c r="T21" s="13">
        <f t="shared" si="3"/>
        <v>210</v>
      </c>
      <c r="U21" s="13">
        <f t="shared" si="3"/>
        <v>222</v>
      </c>
      <c r="V21" s="13">
        <f t="shared" si="2"/>
        <v>3375</v>
      </c>
    </row>
    <row r="22" spans="1:22" ht="12.75" customHeight="1" x14ac:dyDescent="0.3">
      <c r="A22" s="21"/>
      <c r="B22" s="77" t="s">
        <v>19</v>
      </c>
      <c r="C22" s="74" t="s">
        <v>20</v>
      </c>
      <c r="D22" s="16" t="s">
        <v>12</v>
      </c>
      <c r="E22" s="16">
        <v>0</v>
      </c>
      <c r="F22" s="16">
        <v>0</v>
      </c>
      <c r="G22" s="16">
        <v>0</v>
      </c>
      <c r="H22" s="16">
        <v>0</v>
      </c>
      <c r="I22" s="16">
        <v>1</v>
      </c>
      <c r="J22" s="16">
        <v>1</v>
      </c>
      <c r="K22" s="16">
        <v>0</v>
      </c>
      <c r="L22" s="16">
        <v>2</v>
      </c>
      <c r="M22" s="16">
        <v>0</v>
      </c>
      <c r="N22" s="16">
        <v>2</v>
      </c>
      <c r="O22" s="16">
        <v>3</v>
      </c>
      <c r="P22" s="16">
        <v>1</v>
      </c>
      <c r="Q22" s="16">
        <v>1</v>
      </c>
      <c r="R22" s="16">
        <v>1</v>
      </c>
      <c r="S22" s="16">
        <v>0</v>
      </c>
      <c r="T22" s="16">
        <v>0</v>
      </c>
      <c r="U22" s="16">
        <v>0</v>
      </c>
      <c r="V22" s="13">
        <f t="shared" si="2"/>
        <v>12</v>
      </c>
    </row>
    <row r="23" spans="1:22" ht="12.75" customHeight="1" x14ac:dyDescent="0.3">
      <c r="A23" s="21"/>
      <c r="B23" s="73"/>
      <c r="C23" s="75"/>
      <c r="D23" s="16" t="s">
        <v>13</v>
      </c>
      <c r="E23" s="16">
        <v>0</v>
      </c>
      <c r="F23" s="16">
        <v>0</v>
      </c>
      <c r="G23" s="16">
        <v>0</v>
      </c>
      <c r="H23" s="16">
        <v>0</v>
      </c>
      <c r="I23" s="16">
        <v>3</v>
      </c>
      <c r="J23" s="16">
        <v>0</v>
      </c>
      <c r="K23" s="16">
        <v>3</v>
      </c>
      <c r="L23" s="16">
        <v>1</v>
      </c>
      <c r="M23" s="16">
        <v>1</v>
      </c>
      <c r="N23" s="16">
        <v>1</v>
      </c>
      <c r="O23" s="16">
        <v>2</v>
      </c>
      <c r="P23" s="16">
        <v>1</v>
      </c>
      <c r="Q23" s="16">
        <v>2</v>
      </c>
      <c r="R23" s="16">
        <v>0</v>
      </c>
      <c r="S23" s="16">
        <v>0</v>
      </c>
      <c r="T23" s="16">
        <v>1</v>
      </c>
      <c r="U23" s="16">
        <v>0</v>
      </c>
      <c r="V23" s="13">
        <f t="shared" si="2"/>
        <v>15</v>
      </c>
    </row>
    <row r="24" spans="1:22" ht="12.75" customHeight="1" x14ac:dyDescent="0.3">
      <c r="A24" s="22"/>
      <c r="B24" s="65"/>
      <c r="C24" s="76"/>
      <c r="D24" s="13" t="s">
        <v>14</v>
      </c>
      <c r="E24" s="13">
        <f t="shared" ref="E24:U24" si="4">SUM(E22:E23)</f>
        <v>0</v>
      </c>
      <c r="F24" s="13">
        <f t="shared" si="4"/>
        <v>0</v>
      </c>
      <c r="G24" s="13">
        <f t="shared" si="4"/>
        <v>0</v>
      </c>
      <c r="H24" s="13">
        <f t="shared" si="4"/>
        <v>0</v>
      </c>
      <c r="I24" s="13">
        <f t="shared" si="4"/>
        <v>4</v>
      </c>
      <c r="J24" s="13">
        <f t="shared" si="4"/>
        <v>1</v>
      </c>
      <c r="K24" s="13">
        <f t="shared" si="4"/>
        <v>3</v>
      </c>
      <c r="L24" s="13">
        <f t="shared" si="4"/>
        <v>3</v>
      </c>
      <c r="M24" s="13">
        <f t="shared" si="4"/>
        <v>1</v>
      </c>
      <c r="N24" s="13">
        <f t="shared" si="4"/>
        <v>3</v>
      </c>
      <c r="O24" s="13">
        <f t="shared" si="4"/>
        <v>5</v>
      </c>
      <c r="P24" s="13">
        <f t="shared" si="4"/>
        <v>2</v>
      </c>
      <c r="Q24" s="13">
        <f t="shared" si="4"/>
        <v>3</v>
      </c>
      <c r="R24" s="13">
        <f t="shared" si="4"/>
        <v>1</v>
      </c>
      <c r="S24" s="13">
        <f t="shared" si="4"/>
        <v>0</v>
      </c>
      <c r="T24" s="13">
        <f t="shared" si="4"/>
        <v>1</v>
      </c>
      <c r="U24" s="13">
        <f t="shared" si="4"/>
        <v>0</v>
      </c>
      <c r="V24" s="13">
        <f t="shared" si="2"/>
        <v>27</v>
      </c>
    </row>
    <row r="25" spans="1:22" ht="12.75" customHeight="1" x14ac:dyDescent="0.3">
      <c r="A25" s="21"/>
      <c r="B25" s="77" t="s">
        <v>21</v>
      </c>
      <c r="C25" s="74" t="s">
        <v>22</v>
      </c>
      <c r="D25" s="16" t="s">
        <v>12</v>
      </c>
      <c r="E25" s="16">
        <v>0</v>
      </c>
      <c r="F25" s="16">
        <v>1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2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3">
        <f t="shared" si="2"/>
        <v>3</v>
      </c>
    </row>
    <row r="26" spans="1:22" ht="12.75" customHeight="1" x14ac:dyDescent="0.3">
      <c r="A26" s="21"/>
      <c r="B26" s="73"/>
      <c r="C26" s="75"/>
      <c r="D26" s="16" t="s">
        <v>13</v>
      </c>
      <c r="E26" s="16">
        <v>1</v>
      </c>
      <c r="F26" s="16">
        <v>0</v>
      </c>
      <c r="G26" s="16">
        <v>0</v>
      </c>
      <c r="H26" s="16">
        <v>0</v>
      </c>
      <c r="I26" s="16">
        <v>1</v>
      </c>
      <c r="J26" s="16">
        <v>0</v>
      </c>
      <c r="K26" s="16">
        <v>0</v>
      </c>
      <c r="L26" s="16">
        <v>1</v>
      </c>
      <c r="M26" s="16">
        <v>2</v>
      </c>
      <c r="N26" s="16">
        <v>0</v>
      </c>
      <c r="O26" s="16">
        <v>0</v>
      </c>
      <c r="P26" s="16">
        <v>0</v>
      </c>
      <c r="Q26" s="16">
        <v>2</v>
      </c>
      <c r="R26" s="16">
        <v>2</v>
      </c>
      <c r="S26" s="16">
        <v>3</v>
      </c>
      <c r="T26" s="16">
        <v>0</v>
      </c>
      <c r="U26" s="16">
        <v>0</v>
      </c>
      <c r="V26" s="13">
        <f t="shared" si="2"/>
        <v>12</v>
      </c>
    </row>
    <row r="27" spans="1:22" ht="12.75" customHeight="1" x14ac:dyDescent="0.3">
      <c r="A27" s="22"/>
      <c r="B27" s="65"/>
      <c r="C27" s="76"/>
      <c r="D27" s="13" t="s">
        <v>14</v>
      </c>
      <c r="E27" s="13">
        <f t="shared" ref="E27:U27" si="5">SUM(E25:E26)</f>
        <v>1</v>
      </c>
      <c r="F27" s="13">
        <f t="shared" si="5"/>
        <v>1</v>
      </c>
      <c r="G27" s="13">
        <f t="shared" si="5"/>
        <v>0</v>
      </c>
      <c r="H27" s="13">
        <f t="shared" si="5"/>
        <v>0</v>
      </c>
      <c r="I27" s="13">
        <f t="shared" si="5"/>
        <v>1</v>
      </c>
      <c r="J27" s="13">
        <f t="shared" si="5"/>
        <v>0</v>
      </c>
      <c r="K27" s="13">
        <f t="shared" si="5"/>
        <v>0</v>
      </c>
      <c r="L27" s="13">
        <f t="shared" si="5"/>
        <v>3</v>
      </c>
      <c r="M27" s="13">
        <f t="shared" si="5"/>
        <v>2</v>
      </c>
      <c r="N27" s="13">
        <f t="shared" si="5"/>
        <v>0</v>
      </c>
      <c r="O27" s="13">
        <f t="shared" si="5"/>
        <v>0</v>
      </c>
      <c r="P27" s="13">
        <f t="shared" si="5"/>
        <v>0</v>
      </c>
      <c r="Q27" s="13">
        <f t="shared" si="5"/>
        <v>2</v>
      </c>
      <c r="R27" s="13">
        <f t="shared" si="5"/>
        <v>2</v>
      </c>
      <c r="S27" s="13">
        <f t="shared" si="5"/>
        <v>3</v>
      </c>
      <c r="T27" s="13">
        <f t="shared" si="5"/>
        <v>0</v>
      </c>
      <c r="U27" s="13">
        <f t="shared" si="5"/>
        <v>0</v>
      </c>
      <c r="V27" s="13">
        <f t="shared" si="2"/>
        <v>15</v>
      </c>
    </row>
    <row r="28" spans="1:22" ht="12.75" customHeight="1" x14ac:dyDescent="0.3">
      <c r="A28" s="22"/>
      <c r="B28" s="78" t="s">
        <v>23</v>
      </c>
      <c r="C28" s="79" t="s">
        <v>24</v>
      </c>
      <c r="D28" s="13" t="s">
        <v>12</v>
      </c>
      <c r="E28" s="13">
        <f t="shared" ref="E28:U28" si="6">SUM(E19,E22,E25)</f>
        <v>62</v>
      </c>
      <c r="F28" s="13">
        <f t="shared" si="6"/>
        <v>88</v>
      </c>
      <c r="G28" s="13">
        <f t="shared" si="6"/>
        <v>55</v>
      </c>
      <c r="H28" s="13">
        <f t="shared" si="6"/>
        <v>112</v>
      </c>
      <c r="I28" s="13">
        <f t="shared" si="6"/>
        <v>105</v>
      </c>
      <c r="J28" s="13">
        <f t="shared" si="6"/>
        <v>92</v>
      </c>
      <c r="K28" s="13">
        <f t="shared" si="6"/>
        <v>118</v>
      </c>
      <c r="L28" s="13">
        <f t="shared" si="6"/>
        <v>86</v>
      </c>
      <c r="M28" s="13">
        <f t="shared" si="6"/>
        <v>97</v>
      </c>
      <c r="N28" s="13">
        <f t="shared" si="6"/>
        <v>95</v>
      </c>
      <c r="O28" s="13">
        <f t="shared" si="6"/>
        <v>117</v>
      </c>
      <c r="P28" s="13">
        <f t="shared" si="6"/>
        <v>98</v>
      </c>
      <c r="Q28" s="13">
        <f t="shared" si="6"/>
        <v>106</v>
      </c>
      <c r="R28" s="13">
        <f t="shared" si="6"/>
        <v>112</v>
      </c>
      <c r="S28" s="13">
        <f t="shared" si="6"/>
        <v>96</v>
      </c>
      <c r="T28" s="13">
        <f t="shared" si="6"/>
        <v>100</v>
      </c>
      <c r="U28" s="13">
        <f t="shared" si="6"/>
        <v>100</v>
      </c>
      <c r="V28" s="13">
        <f t="shared" si="2"/>
        <v>1639</v>
      </c>
    </row>
    <row r="29" spans="1:22" ht="12.75" customHeight="1" x14ac:dyDescent="0.3">
      <c r="A29" s="22"/>
      <c r="B29" s="73"/>
      <c r="C29" s="75"/>
      <c r="D29" s="13" t="s">
        <v>13</v>
      </c>
      <c r="E29" s="13">
        <f t="shared" ref="E29:U29" si="7">SUM(E20,E23,E26)</f>
        <v>68</v>
      </c>
      <c r="F29" s="13">
        <f t="shared" si="7"/>
        <v>86</v>
      </c>
      <c r="G29" s="13">
        <f t="shared" si="7"/>
        <v>61</v>
      </c>
      <c r="H29" s="13">
        <f t="shared" si="7"/>
        <v>118</v>
      </c>
      <c r="I29" s="13">
        <f t="shared" si="7"/>
        <v>105</v>
      </c>
      <c r="J29" s="13">
        <f t="shared" si="7"/>
        <v>94</v>
      </c>
      <c r="K29" s="13">
        <f t="shared" si="7"/>
        <v>137</v>
      </c>
      <c r="L29" s="13">
        <f t="shared" si="7"/>
        <v>99</v>
      </c>
      <c r="M29" s="13">
        <f t="shared" si="7"/>
        <v>98</v>
      </c>
      <c r="N29" s="13">
        <f t="shared" si="7"/>
        <v>111</v>
      </c>
      <c r="O29" s="13">
        <f t="shared" si="7"/>
        <v>121</v>
      </c>
      <c r="P29" s="13">
        <f t="shared" si="7"/>
        <v>107</v>
      </c>
      <c r="Q29" s="13">
        <f t="shared" si="7"/>
        <v>120</v>
      </c>
      <c r="R29" s="13">
        <f t="shared" si="7"/>
        <v>113</v>
      </c>
      <c r="S29" s="13">
        <f t="shared" si="7"/>
        <v>107</v>
      </c>
      <c r="T29" s="13">
        <f t="shared" si="7"/>
        <v>111</v>
      </c>
      <c r="U29" s="13">
        <f t="shared" si="7"/>
        <v>122</v>
      </c>
      <c r="V29" s="13">
        <f t="shared" si="2"/>
        <v>1778</v>
      </c>
    </row>
    <row r="30" spans="1:22" ht="12.75" customHeight="1" x14ac:dyDescent="0.3">
      <c r="A30" s="22"/>
      <c r="B30" s="65"/>
      <c r="C30" s="76"/>
      <c r="D30" s="13" t="s">
        <v>14</v>
      </c>
      <c r="E30" s="13">
        <f t="shared" ref="E30:U30" si="8">SUM(E28:E29)</f>
        <v>130</v>
      </c>
      <c r="F30" s="13">
        <f t="shared" si="8"/>
        <v>174</v>
      </c>
      <c r="G30" s="13">
        <f t="shared" si="8"/>
        <v>116</v>
      </c>
      <c r="H30" s="13">
        <f t="shared" si="8"/>
        <v>230</v>
      </c>
      <c r="I30" s="13">
        <f t="shared" si="8"/>
        <v>210</v>
      </c>
      <c r="J30" s="13">
        <f t="shared" si="8"/>
        <v>186</v>
      </c>
      <c r="K30" s="13">
        <f t="shared" si="8"/>
        <v>255</v>
      </c>
      <c r="L30" s="13">
        <f t="shared" si="8"/>
        <v>185</v>
      </c>
      <c r="M30" s="13">
        <f t="shared" si="8"/>
        <v>195</v>
      </c>
      <c r="N30" s="13">
        <f t="shared" si="8"/>
        <v>206</v>
      </c>
      <c r="O30" s="13">
        <f t="shared" si="8"/>
        <v>238</v>
      </c>
      <c r="P30" s="13">
        <f t="shared" si="8"/>
        <v>205</v>
      </c>
      <c r="Q30" s="13">
        <f t="shared" si="8"/>
        <v>226</v>
      </c>
      <c r="R30" s="13">
        <f t="shared" si="8"/>
        <v>225</v>
      </c>
      <c r="S30" s="13">
        <f t="shared" si="8"/>
        <v>203</v>
      </c>
      <c r="T30" s="13">
        <f t="shared" si="8"/>
        <v>211</v>
      </c>
      <c r="U30" s="13">
        <f t="shared" si="8"/>
        <v>222</v>
      </c>
      <c r="V30" s="13">
        <f t="shared" si="2"/>
        <v>3417</v>
      </c>
    </row>
    <row r="31" spans="1:22" ht="12.75" customHeight="1" x14ac:dyDescent="0.3">
      <c r="A31" s="61"/>
      <c r="B31" s="60"/>
      <c r="C31" s="60"/>
      <c r="D31" s="58"/>
      <c r="E31" s="16"/>
      <c r="F31" s="16"/>
      <c r="G31" s="16"/>
      <c r="H31" s="16"/>
      <c r="I31" s="16"/>
      <c r="J31" s="16"/>
      <c r="K31" s="16"/>
      <c r="L31" s="16"/>
      <c r="M31" s="16"/>
      <c r="N31" s="48"/>
      <c r="O31" s="16"/>
      <c r="P31" s="16"/>
      <c r="Q31" s="16"/>
      <c r="R31" s="16"/>
      <c r="S31" s="16"/>
      <c r="T31" s="16"/>
      <c r="U31" s="16"/>
      <c r="V31" s="49"/>
    </row>
    <row r="32" spans="1:22" ht="12.75" customHeight="1" x14ac:dyDescent="0.3">
      <c r="A32" s="25" t="s">
        <v>25</v>
      </c>
      <c r="B32" s="66" t="s">
        <v>26</v>
      </c>
      <c r="C32" s="60"/>
      <c r="D32" s="58"/>
      <c r="E32" s="13"/>
      <c r="F32" s="13"/>
      <c r="G32" s="13"/>
      <c r="H32" s="13"/>
      <c r="I32" s="13"/>
      <c r="J32" s="13"/>
      <c r="K32" s="13"/>
      <c r="L32" s="13"/>
      <c r="M32" s="13"/>
      <c r="N32" s="50"/>
      <c r="O32" s="13"/>
      <c r="P32" s="13"/>
      <c r="Q32" s="13"/>
      <c r="R32" s="13"/>
      <c r="S32" s="13"/>
      <c r="T32" s="13"/>
      <c r="U32" s="13"/>
      <c r="V32" s="49"/>
    </row>
    <row r="33" spans="1:22" ht="12.75" customHeight="1" x14ac:dyDescent="0.3">
      <c r="A33" s="16">
        <v>1</v>
      </c>
      <c r="B33" s="70" t="s">
        <v>27</v>
      </c>
      <c r="C33" s="60"/>
      <c r="D33" s="58"/>
      <c r="E33" s="16">
        <v>158</v>
      </c>
      <c r="F33" s="16">
        <v>200</v>
      </c>
      <c r="G33" s="16">
        <v>143</v>
      </c>
      <c r="H33" s="16">
        <v>284</v>
      </c>
      <c r="I33" s="16">
        <v>270</v>
      </c>
      <c r="J33" s="16">
        <v>229</v>
      </c>
      <c r="K33" s="16">
        <v>298</v>
      </c>
      <c r="L33" s="16">
        <v>227</v>
      </c>
      <c r="M33" s="16">
        <v>233</v>
      </c>
      <c r="N33" s="16">
        <v>250</v>
      </c>
      <c r="O33" s="16">
        <v>273</v>
      </c>
      <c r="P33" s="16">
        <v>233</v>
      </c>
      <c r="Q33" s="16">
        <v>244</v>
      </c>
      <c r="R33" s="16">
        <v>274</v>
      </c>
      <c r="S33" s="16">
        <v>255</v>
      </c>
      <c r="T33" s="16">
        <v>244</v>
      </c>
      <c r="U33" s="16">
        <v>264</v>
      </c>
      <c r="V33" s="13">
        <f t="shared" ref="V33:V36" si="9">SUM(E33:U33)</f>
        <v>4079</v>
      </c>
    </row>
    <row r="34" spans="1:22" ht="12.75" customHeight="1" x14ac:dyDescent="0.3">
      <c r="A34" s="16">
        <v>2</v>
      </c>
      <c r="B34" s="70" t="s">
        <v>28</v>
      </c>
      <c r="C34" s="60"/>
      <c r="D34" s="58"/>
      <c r="E34" s="13">
        <v>130</v>
      </c>
      <c r="F34" s="13">
        <v>174</v>
      </c>
      <c r="G34" s="13">
        <v>116</v>
      </c>
      <c r="H34" s="13">
        <v>230</v>
      </c>
      <c r="I34" s="13">
        <v>210</v>
      </c>
      <c r="J34" s="13">
        <v>186</v>
      </c>
      <c r="K34" s="13">
        <v>255</v>
      </c>
      <c r="L34" s="13">
        <v>185</v>
      </c>
      <c r="M34" s="13">
        <v>195</v>
      </c>
      <c r="N34" s="13">
        <v>206</v>
      </c>
      <c r="O34" s="13">
        <v>238</v>
      </c>
      <c r="P34" s="13">
        <v>205</v>
      </c>
      <c r="Q34" s="13">
        <v>226</v>
      </c>
      <c r="R34" s="13">
        <v>225</v>
      </c>
      <c r="S34" s="13">
        <v>203</v>
      </c>
      <c r="T34" s="13">
        <v>211</v>
      </c>
      <c r="U34" s="13">
        <v>222</v>
      </c>
      <c r="V34" s="13">
        <f t="shared" si="9"/>
        <v>3417</v>
      </c>
    </row>
    <row r="35" spans="1:22" ht="12.75" customHeight="1" x14ac:dyDescent="0.3">
      <c r="A35" s="16">
        <v>3</v>
      </c>
      <c r="B35" s="70" t="s">
        <v>29</v>
      </c>
      <c r="C35" s="60"/>
      <c r="D35" s="58"/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3</v>
      </c>
      <c r="M35" s="16">
        <v>0</v>
      </c>
      <c r="N35" s="16">
        <v>1</v>
      </c>
      <c r="O35" s="16">
        <v>1</v>
      </c>
      <c r="P35" s="16">
        <v>0</v>
      </c>
      <c r="Q35" s="16">
        <v>4</v>
      </c>
      <c r="R35" s="16">
        <v>0</v>
      </c>
      <c r="S35" s="16">
        <v>0</v>
      </c>
      <c r="T35" s="16">
        <v>0</v>
      </c>
      <c r="U35" s="16">
        <v>3</v>
      </c>
      <c r="V35" s="13">
        <f t="shared" si="9"/>
        <v>12</v>
      </c>
    </row>
    <row r="36" spans="1:22" ht="12.75" customHeight="1" x14ac:dyDescent="0.3">
      <c r="A36" s="16">
        <v>4</v>
      </c>
      <c r="B36" s="70" t="s">
        <v>30</v>
      </c>
      <c r="C36" s="60"/>
      <c r="D36" s="58"/>
      <c r="E36" s="13">
        <f t="shared" ref="E36:U36" si="10">E33-(E34+E35)</f>
        <v>28</v>
      </c>
      <c r="F36" s="13">
        <f t="shared" si="10"/>
        <v>26</v>
      </c>
      <c r="G36" s="13">
        <f t="shared" si="10"/>
        <v>27</v>
      </c>
      <c r="H36" s="13">
        <f t="shared" si="10"/>
        <v>54</v>
      </c>
      <c r="I36" s="13">
        <f t="shared" si="10"/>
        <v>60</v>
      </c>
      <c r="J36" s="13">
        <f t="shared" si="10"/>
        <v>43</v>
      </c>
      <c r="K36" s="13">
        <f t="shared" si="10"/>
        <v>43</v>
      </c>
      <c r="L36" s="13">
        <f t="shared" si="10"/>
        <v>39</v>
      </c>
      <c r="M36" s="13">
        <f t="shared" si="10"/>
        <v>38</v>
      </c>
      <c r="N36" s="13">
        <f t="shared" si="10"/>
        <v>43</v>
      </c>
      <c r="O36" s="13">
        <f t="shared" si="10"/>
        <v>34</v>
      </c>
      <c r="P36" s="13">
        <f t="shared" si="10"/>
        <v>28</v>
      </c>
      <c r="Q36" s="13">
        <f t="shared" si="10"/>
        <v>14</v>
      </c>
      <c r="R36" s="13">
        <f t="shared" si="10"/>
        <v>49</v>
      </c>
      <c r="S36" s="13">
        <f t="shared" si="10"/>
        <v>52</v>
      </c>
      <c r="T36" s="13">
        <f t="shared" si="10"/>
        <v>33</v>
      </c>
      <c r="U36" s="13">
        <f t="shared" si="10"/>
        <v>39</v>
      </c>
      <c r="V36" s="13">
        <f t="shared" si="9"/>
        <v>650</v>
      </c>
    </row>
    <row r="37" spans="1:22" ht="12.75" customHeight="1" x14ac:dyDescent="0.3">
      <c r="A37" s="61"/>
      <c r="B37" s="60"/>
      <c r="C37" s="60"/>
      <c r="D37" s="60"/>
      <c r="E37" s="61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49"/>
    </row>
    <row r="38" spans="1:22" ht="12.75" customHeight="1" x14ac:dyDescent="0.3">
      <c r="A38" s="26" t="s">
        <v>31</v>
      </c>
      <c r="B38" s="66" t="s">
        <v>32</v>
      </c>
      <c r="C38" s="60"/>
      <c r="D38" s="58"/>
      <c r="E38" s="13"/>
      <c r="F38" s="13"/>
      <c r="G38" s="13"/>
      <c r="H38" s="13"/>
      <c r="I38" s="13"/>
      <c r="J38" s="13"/>
      <c r="K38" s="13"/>
      <c r="L38" s="13"/>
      <c r="M38" s="13"/>
      <c r="N38" s="50"/>
      <c r="O38" s="13"/>
      <c r="P38" s="13"/>
      <c r="Q38" s="13"/>
      <c r="R38" s="13"/>
      <c r="S38" s="13"/>
      <c r="T38" s="13"/>
      <c r="U38" s="13"/>
      <c r="V38" s="49"/>
    </row>
    <row r="39" spans="1:22" ht="12.75" customHeight="1" x14ac:dyDescent="0.3">
      <c r="A39" s="20"/>
      <c r="B39" s="80" t="s">
        <v>33</v>
      </c>
      <c r="C39" s="63"/>
      <c r="D39" s="16" t="s">
        <v>12</v>
      </c>
      <c r="E39" s="16">
        <v>0</v>
      </c>
      <c r="F39" s="16">
        <v>0</v>
      </c>
      <c r="G39" s="16">
        <v>0</v>
      </c>
      <c r="H39" s="16">
        <v>0</v>
      </c>
      <c r="I39" s="16">
        <v>2</v>
      </c>
      <c r="J39" s="16">
        <v>0</v>
      </c>
      <c r="K39" s="16">
        <v>0</v>
      </c>
      <c r="L39" s="16">
        <v>1</v>
      </c>
      <c r="M39" s="16">
        <v>0</v>
      </c>
      <c r="N39" s="16">
        <v>0</v>
      </c>
      <c r="O39" s="16">
        <v>0</v>
      </c>
      <c r="P39" s="16">
        <v>0</v>
      </c>
      <c r="Q39" s="16">
        <v>1</v>
      </c>
      <c r="R39" s="16">
        <v>0</v>
      </c>
      <c r="S39" s="16">
        <v>0</v>
      </c>
      <c r="T39" s="16">
        <v>0</v>
      </c>
      <c r="U39" s="16">
        <v>0</v>
      </c>
      <c r="V39" s="13">
        <f t="shared" ref="V39:V41" si="11">SUM(E39:U39)</f>
        <v>4</v>
      </c>
    </row>
    <row r="40" spans="1:22" ht="12.75" customHeight="1" x14ac:dyDescent="0.3">
      <c r="A40" s="21"/>
      <c r="B40" s="81"/>
      <c r="C40" s="73"/>
      <c r="D40" s="16" t="s">
        <v>13</v>
      </c>
      <c r="E40" s="16">
        <v>0</v>
      </c>
      <c r="F40" s="16">
        <v>0</v>
      </c>
      <c r="G40" s="16">
        <v>0</v>
      </c>
      <c r="H40" s="16">
        <v>0</v>
      </c>
      <c r="I40" s="16">
        <v>2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3">
        <f t="shared" si="11"/>
        <v>5</v>
      </c>
    </row>
    <row r="41" spans="1:22" ht="12.75" customHeight="1" x14ac:dyDescent="0.3">
      <c r="A41" s="25"/>
      <c r="B41" s="56"/>
      <c r="C41" s="65"/>
      <c r="D41" s="13" t="s">
        <v>14</v>
      </c>
      <c r="E41" s="13">
        <f t="shared" ref="E41:U41" si="12">SUM(E39:E40)</f>
        <v>0</v>
      </c>
      <c r="F41" s="13">
        <f t="shared" si="12"/>
        <v>0</v>
      </c>
      <c r="G41" s="13">
        <f t="shared" si="12"/>
        <v>0</v>
      </c>
      <c r="H41" s="13">
        <f t="shared" si="12"/>
        <v>0</v>
      </c>
      <c r="I41" s="13">
        <f t="shared" si="12"/>
        <v>4</v>
      </c>
      <c r="J41" s="13">
        <f t="shared" si="12"/>
        <v>0</v>
      </c>
      <c r="K41" s="13">
        <f t="shared" si="12"/>
        <v>0</v>
      </c>
      <c r="L41" s="13">
        <f t="shared" si="12"/>
        <v>1</v>
      </c>
      <c r="M41" s="13">
        <f t="shared" si="12"/>
        <v>0</v>
      </c>
      <c r="N41" s="13">
        <f t="shared" si="12"/>
        <v>3</v>
      </c>
      <c r="O41" s="13">
        <f t="shared" si="12"/>
        <v>0</v>
      </c>
      <c r="P41" s="13">
        <f t="shared" si="12"/>
        <v>0</v>
      </c>
      <c r="Q41" s="13">
        <f t="shared" si="12"/>
        <v>1</v>
      </c>
      <c r="R41" s="13">
        <f t="shared" si="12"/>
        <v>0</v>
      </c>
      <c r="S41" s="13">
        <f t="shared" si="12"/>
        <v>0</v>
      </c>
      <c r="T41" s="13">
        <f t="shared" si="12"/>
        <v>0</v>
      </c>
      <c r="U41" s="13">
        <f t="shared" si="12"/>
        <v>0</v>
      </c>
      <c r="V41" s="13">
        <f t="shared" si="11"/>
        <v>9</v>
      </c>
    </row>
    <row r="42" spans="1:22" ht="12.75" customHeight="1" x14ac:dyDescent="0.3">
      <c r="A42" s="55"/>
      <c r="B42" s="56"/>
      <c r="C42" s="56"/>
      <c r="D42" s="65"/>
      <c r="E42" s="61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13"/>
    </row>
    <row r="43" spans="1:22" ht="12.75" customHeight="1" x14ac:dyDescent="0.3">
      <c r="A43" s="26" t="s">
        <v>34</v>
      </c>
      <c r="B43" s="66" t="s">
        <v>35</v>
      </c>
      <c r="C43" s="60"/>
      <c r="D43" s="58"/>
      <c r="E43" s="19"/>
      <c r="F43" s="13"/>
      <c r="G43" s="13"/>
      <c r="H43" s="13"/>
      <c r="I43" s="13"/>
      <c r="J43" s="13"/>
      <c r="K43" s="13"/>
      <c r="L43" s="13"/>
      <c r="M43" s="13"/>
      <c r="N43" s="50"/>
      <c r="O43" s="13"/>
      <c r="P43" s="13"/>
      <c r="Q43" s="13"/>
      <c r="R43" s="13"/>
      <c r="S43" s="13"/>
      <c r="T43" s="13"/>
      <c r="U43" s="13"/>
      <c r="V43" s="13"/>
    </row>
    <row r="44" spans="1:22" ht="12.75" customHeight="1" x14ac:dyDescent="0.3">
      <c r="A44" s="80" t="s">
        <v>36</v>
      </c>
      <c r="B44" s="82"/>
      <c r="C44" s="82"/>
      <c r="D44" s="63"/>
      <c r="E44" s="17"/>
      <c r="F44" s="16"/>
      <c r="G44" s="16"/>
      <c r="H44" s="16"/>
      <c r="I44" s="16"/>
      <c r="J44" s="16"/>
      <c r="K44" s="16"/>
      <c r="L44" s="16"/>
      <c r="M44" s="16"/>
      <c r="N44" s="48"/>
      <c r="O44" s="16"/>
      <c r="P44" s="16"/>
      <c r="Q44" s="16"/>
      <c r="R44" s="16"/>
      <c r="S44" s="16"/>
      <c r="T44" s="16"/>
      <c r="U44" s="16"/>
      <c r="V44" s="13"/>
    </row>
    <row r="45" spans="1:22" ht="12.75" customHeight="1" x14ac:dyDescent="0.3">
      <c r="A45" s="20" t="s">
        <v>37</v>
      </c>
      <c r="B45" s="27" t="s">
        <v>17</v>
      </c>
      <c r="C45" s="57" t="s">
        <v>38</v>
      </c>
      <c r="D45" s="58"/>
      <c r="E45" s="16">
        <v>6</v>
      </c>
      <c r="F45" s="16">
        <v>3</v>
      </c>
      <c r="G45" s="16">
        <v>13</v>
      </c>
      <c r="H45" s="16">
        <v>2</v>
      </c>
      <c r="I45" s="16">
        <v>4</v>
      </c>
      <c r="J45" s="16">
        <v>7</v>
      </c>
      <c r="K45" s="16">
        <v>6</v>
      </c>
      <c r="L45" s="16">
        <v>3</v>
      </c>
      <c r="M45" s="16">
        <v>1</v>
      </c>
      <c r="N45" s="16">
        <v>1</v>
      </c>
      <c r="O45" s="16">
        <v>7</v>
      </c>
      <c r="P45" s="16">
        <v>4</v>
      </c>
      <c r="Q45" s="16">
        <v>8</v>
      </c>
      <c r="R45" s="16">
        <v>6</v>
      </c>
      <c r="S45" s="16">
        <v>1</v>
      </c>
      <c r="T45" s="16">
        <v>1</v>
      </c>
      <c r="U45" s="16">
        <v>2</v>
      </c>
      <c r="V45" s="13">
        <f t="shared" ref="V45:V54" si="13">SUM(E45:U45)</f>
        <v>75</v>
      </c>
    </row>
    <row r="46" spans="1:22" ht="12.75" customHeight="1" x14ac:dyDescent="0.3">
      <c r="A46" s="20" t="s">
        <v>39</v>
      </c>
      <c r="B46" s="28"/>
      <c r="C46" s="29" t="s">
        <v>40</v>
      </c>
      <c r="D46" s="30"/>
      <c r="E46" s="16">
        <v>2</v>
      </c>
      <c r="F46" s="16">
        <v>6</v>
      </c>
      <c r="G46" s="16">
        <v>3</v>
      </c>
      <c r="H46" s="16">
        <v>2</v>
      </c>
      <c r="I46" s="16">
        <v>5</v>
      </c>
      <c r="J46" s="16">
        <v>7</v>
      </c>
      <c r="K46" s="16">
        <v>14</v>
      </c>
      <c r="L46" s="16">
        <v>7</v>
      </c>
      <c r="M46" s="16">
        <v>4</v>
      </c>
      <c r="N46" s="16">
        <v>2</v>
      </c>
      <c r="O46" s="16">
        <v>6</v>
      </c>
      <c r="P46" s="16">
        <v>9</v>
      </c>
      <c r="Q46" s="16">
        <v>13</v>
      </c>
      <c r="R46" s="16">
        <v>8</v>
      </c>
      <c r="S46" s="16">
        <v>8</v>
      </c>
      <c r="T46" s="16">
        <v>9</v>
      </c>
      <c r="U46" s="16">
        <v>6</v>
      </c>
      <c r="V46" s="13">
        <f t="shared" si="13"/>
        <v>111</v>
      </c>
    </row>
    <row r="47" spans="1:22" ht="12.75" customHeight="1" x14ac:dyDescent="0.3">
      <c r="A47" s="15"/>
      <c r="B47" s="28"/>
      <c r="C47" s="29" t="s">
        <v>41</v>
      </c>
      <c r="D47" s="30"/>
      <c r="E47" s="16">
        <v>1</v>
      </c>
      <c r="F47" s="16">
        <v>1</v>
      </c>
      <c r="G47" s="16">
        <v>1</v>
      </c>
      <c r="H47" s="16">
        <v>1</v>
      </c>
      <c r="I47" s="16">
        <v>0</v>
      </c>
      <c r="J47" s="16">
        <v>2</v>
      </c>
      <c r="K47" s="16">
        <v>4</v>
      </c>
      <c r="L47" s="16">
        <v>3</v>
      </c>
      <c r="M47" s="16">
        <v>0</v>
      </c>
      <c r="N47" s="16">
        <v>3</v>
      </c>
      <c r="O47" s="16">
        <v>1</v>
      </c>
      <c r="P47" s="16">
        <v>0</v>
      </c>
      <c r="Q47" s="16">
        <v>0</v>
      </c>
      <c r="R47" s="16">
        <v>2</v>
      </c>
      <c r="S47" s="16">
        <v>5</v>
      </c>
      <c r="T47" s="16">
        <v>2</v>
      </c>
      <c r="U47" s="16">
        <v>3</v>
      </c>
      <c r="V47" s="13">
        <f t="shared" si="13"/>
        <v>29</v>
      </c>
    </row>
    <row r="48" spans="1:22" ht="12.75" customHeight="1" x14ac:dyDescent="0.3">
      <c r="A48" s="15"/>
      <c r="B48" s="28"/>
      <c r="C48" s="29" t="s">
        <v>42</v>
      </c>
      <c r="D48" s="30"/>
      <c r="E48" s="16">
        <v>1</v>
      </c>
      <c r="F48" s="16">
        <v>0</v>
      </c>
      <c r="G48" s="16">
        <v>0</v>
      </c>
      <c r="H48" s="16">
        <v>0</v>
      </c>
      <c r="I48" s="16">
        <v>0</v>
      </c>
      <c r="J48" s="16">
        <v>1</v>
      </c>
      <c r="K48" s="16">
        <v>0</v>
      </c>
      <c r="L48" s="16">
        <v>0</v>
      </c>
      <c r="M48" s="16">
        <v>0</v>
      </c>
      <c r="N48" s="16">
        <v>0</v>
      </c>
      <c r="O48" s="16">
        <v>1</v>
      </c>
      <c r="P48" s="16">
        <v>0</v>
      </c>
      <c r="Q48" s="16">
        <v>1</v>
      </c>
      <c r="R48" s="16">
        <v>1</v>
      </c>
      <c r="S48" s="16">
        <v>0</v>
      </c>
      <c r="T48" s="16">
        <v>0</v>
      </c>
      <c r="U48" s="16">
        <v>1</v>
      </c>
      <c r="V48" s="13">
        <f t="shared" si="13"/>
        <v>6</v>
      </c>
    </row>
    <row r="49" spans="1:22" ht="12.75" customHeight="1" x14ac:dyDescent="0.3">
      <c r="A49" s="15"/>
      <c r="B49" s="28"/>
      <c r="C49" s="29" t="s">
        <v>43</v>
      </c>
      <c r="D49" s="30"/>
      <c r="E49" s="16">
        <v>1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1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2</v>
      </c>
      <c r="S49" s="16">
        <v>0</v>
      </c>
      <c r="T49" s="16">
        <v>0</v>
      </c>
      <c r="U49" s="16">
        <v>1</v>
      </c>
      <c r="V49" s="13">
        <f t="shared" si="13"/>
        <v>5</v>
      </c>
    </row>
    <row r="50" spans="1:22" ht="12.75" customHeight="1" x14ac:dyDescent="0.3">
      <c r="A50" s="15"/>
      <c r="B50" s="28"/>
      <c r="C50" s="29" t="s">
        <v>44</v>
      </c>
      <c r="D50" s="30"/>
      <c r="E50" s="16">
        <v>0</v>
      </c>
      <c r="F50" s="16">
        <v>1</v>
      </c>
      <c r="G50" s="16">
        <v>2</v>
      </c>
      <c r="H50" s="16">
        <v>0</v>
      </c>
      <c r="I50" s="16">
        <v>1</v>
      </c>
      <c r="J50" s="16">
        <v>0</v>
      </c>
      <c r="K50" s="16">
        <v>1</v>
      </c>
      <c r="L50" s="16">
        <v>1</v>
      </c>
      <c r="M50" s="16">
        <v>0</v>
      </c>
      <c r="N50" s="16">
        <v>0</v>
      </c>
      <c r="O50" s="16">
        <v>1</v>
      </c>
      <c r="P50" s="16">
        <v>0</v>
      </c>
      <c r="Q50" s="16">
        <v>0</v>
      </c>
      <c r="R50" s="16">
        <v>1</v>
      </c>
      <c r="S50" s="16">
        <v>0</v>
      </c>
      <c r="T50" s="16">
        <v>0</v>
      </c>
      <c r="U50" s="16">
        <v>0</v>
      </c>
      <c r="V50" s="13">
        <f t="shared" si="13"/>
        <v>8</v>
      </c>
    </row>
    <row r="51" spans="1:22" ht="12.75" customHeight="1" x14ac:dyDescent="0.3">
      <c r="A51" s="15"/>
      <c r="B51" s="28"/>
      <c r="C51" s="29" t="s">
        <v>45</v>
      </c>
      <c r="D51" s="30"/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1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3">
        <f t="shared" si="13"/>
        <v>1</v>
      </c>
    </row>
    <row r="52" spans="1:22" ht="12.75" customHeight="1" x14ac:dyDescent="0.3">
      <c r="A52" s="15"/>
      <c r="B52" s="28"/>
      <c r="C52" s="29" t="s">
        <v>46</v>
      </c>
      <c r="D52" s="30"/>
      <c r="E52" s="16">
        <v>0</v>
      </c>
      <c r="F52" s="16">
        <v>0</v>
      </c>
      <c r="G52" s="16">
        <v>1</v>
      </c>
      <c r="H52" s="16">
        <v>0</v>
      </c>
      <c r="I52" s="16">
        <v>2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3">
        <f t="shared" si="13"/>
        <v>3</v>
      </c>
    </row>
    <row r="53" spans="1:22" ht="12.75" customHeight="1" x14ac:dyDescent="0.3">
      <c r="A53" s="15"/>
      <c r="B53" s="28"/>
      <c r="C53" s="29" t="s">
        <v>47</v>
      </c>
      <c r="D53" s="35"/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2</v>
      </c>
      <c r="R53" s="16">
        <v>0</v>
      </c>
      <c r="S53" s="16">
        <v>0</v>
      </c>
      <c r="T53" s="16">
        <v>0</v>
      </c>
      <c r="U53" s="16">
        <v>0</v>
      </c>
      <c r="V53" s="13">
        <f t="shared" si="13"/>
        <v>2</v>
      </c>
    </row>
    <row r="54" spans="1:22" ht="12.75" customHeight="1" x14ac:dyDescent="0.3">
      <c r="A54" s="15"/>
      <c r="B54" s="28"/>
      <c r="C54" s="29" t="s">
        <v>48</v>
      </c>
      <c r="D54" s="30"/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3">
        <f t="shared" si="13"/>
        <v>0</v>
      </c>
    </row>
    <row r="55" spans="1:22" ht="12.75" customHeight="1" x14ac:dyDescent="0.3">
      <c r="A55" s="16" t="s">
        <v>15</v>
      </c>
      <c r="B55" s="59" t="s">
        <v>49</v>
      </c>
      <c r="C55" s="60"/>
      <c r="D55" s="58"/>
      <c r="E55" s="13">
        <f t="shared" ref="E55:V55" si="14">SUM(E45:E54)</f>
        <v>11</v>
      </c>
      <c r="F55" s="13">
        <f t="shared" si="14"/>
        <v>11</v>
      </c>
      <c r="G55" s="13">
        <f t="shared" si="14"/>
        <v>20</v>
      </c>
      <c r="H55" s="13">
        <f t="shared" si="14"/>
        <v>5</v>
      </c>
      <c r="I55" s="13">
        <f t="shared" si="14"/>
        <v>12</v>
      </c>
      <c r="J55" s="13">
        <f t="shared" si="14"/>
        <v>17</v>
      </c>
      <c r="K55" s="13">
        <f t="shared" si="14"/>
        <v>26</v>
      </c>
      <c r="L55" s="13">
        <f t="shared" si="14"/>
        <v>15</v>
      </c>
      <c r="M55" s="13">
        <f t="shared" si="14"/>
        <v>5</v>
      </c>
      <c r="N55" s="13">
        <f t="shared" si="14"/>
        <v>6</v>
      </c>
      <c r="O55" s="13">
        <f t="shared" si="14"/>
        <v>16</v>
      </c>
      <c r="P55" s="13">
        <f t="shared" si="14"/>
        <v>13</v>
      </c>
      <c r="Q55" s="13">
        <f t="shared" si="14"/>
        <v>24</v>
      </c>
      <c r="R55" s="13">
        <f t="shared" si="14"/>
        <v>20</v>
      </c>
      <c r="S55" s="13">
        <f t="shared" si="14"/>
        <v>14</v>
      </c>
      <c r="T55" s="13">
        <f t="shared" si="14"/>
        <v>12</v>
      </c>
      <c r="U55" s="13">
        <f t="shared" si="14"/>
        <v>13</v>
      </c>
      <c r="V55" s="13">
        <f t="shared" si="14"/>
        <v>240</v>
      </c>
    </row>
    <row r="56" spans="1:22" ht="12.75" customHeight="1" x14ac:dyDescent="0.3">
      <c r="A56" s="55"/>
      <c r="B56" s="56"/>
      <c r="C56" s="56"/>
      <c r="D56" s="56"/>
      <c r="E56" s="56"/>
      <c r="V56" s="13"/>
    </row>
    <row r="57" spans="1:22" ht="12.75" customHeight="1" x14ac:dyDescent="0.3">
      <c r="A57" s="20" t="s">
        <v>37</v>
      </c>
      <c r="B57" s="27" t="s">
        <v>19</v>
      </c>
      <c r="C57" s="57" t="s">
        <v>50</v>
      </c>
      <c r="D57" s="58"/>
      <c r="E57" s="16">
        <v>13</v>
      </c>
      <c r="F57" s="16">
        <v>16</v>
      </c>
      <c r="G57" s="16">
        <v>5</v>
      </c>
      <c r="H57" s="16">
        <v>7</v>
      </c>
      <c r="I57" s="16">
        <v>13</v>
      </c>
      <c r="J57" s="16">
        <v>6</v>
      </c>
      <c r="K57" s="16">
        <v>14</v>
      </c>
      <c r="L57" s="16">
        <v>8</v>
      </c>
      <c r="M57" s="16">
        <v>10</v>
      </c>
      <c r="N57" s="16">
        <v>17</v>
      </c>
      <c r="O57" s="16">
        <v>0</v>
      </c>
      <c r="P57" s="16">
        <v>4</v>
      </c>
      <c r="Q57" s="16">
        <v>12</v>
      </c>
      <c r="R57" s="16">
        <v>5</v>
      </c>
      <c r="S57" s="16">
        <v>5</v>
      </c>
      <c r="T57" s="16">
        <v>3</v>
      </c>
      <c r="U57" s="16">
        <v>4</v>
      </c>
      <c r="V57" s="13">
        <f t="shared" ref="V57:V66" si="15">SUM(E57:U57)</f>
        <v>142</v>
      </c>
    </row>
    <row r="58" spans="1:22" ht="12.75" customHeight="1" x14ac:dyDescent="0.3">
      <c r="A58" s="20" t="s">
        <v>39</v>
      </c>
      <c r="B58" s="28"/>
      <c r="C58" s="29" t="s">
        <v>51</v>
      </c>
      <c r="D58" s="30"/>
      <c r="E58" s="16">
        <v>1</v>
      </c>
      <c r="F58" s="16">
        <v>5</v>
      </c>
      <c r="G58" s="16">
        <v>7</v>
      </c>
      <c r="H58" s="16">
        <v>4</v>
      </c>
      <c r="I58" s="16">
        <v>5</v>
      </c>
      <c r="J58" s="16">
        <v>0</v>
      </c>
      <c r="K58" s="16">
        <v>7</v>
      </c>
      <c r="L58" s="16">
        <v>3</v>
      </c>
      <c r="M58" s="16">
        <v>3</v>
      </c>
      <c r="N58" s="16">
        <v>9</v>
      </c>
      <c r="O58" s="16">
        <v>6</v>
      </c>
      <c r="P58" s="16">
        <v>7</v>
      </c>
      <c r="Q58" s="16">
        <v>6</v>
      </c>
      <c r="R58" s="16">
        <v>6</v>
      </c>
      <c r="S58" s="16">
        <v>3</v>
      </c>
      <c r="T58" s="16">
        <v>2</v>
      </c>
      <c r="U58" s="16">
        <v>8</v>
      </c>
      <c r="V58" s="13">
        <f t="shared" si="15"/>
        <v>82</v>
      </c>
    </row>
    <row r="59" spans="1:22" ht="12.75" customHeight="1" x14ac:dyDescent="0.3">
      <c r="A59" s="15"/>
      <c r="B59" s="28"/>
      <c r="C59" s="29" t="s">
        <v>52</v>
      </c>
      <c r="D59" s="30"/>
      <c r="E59" s="16">
        <v>2</v>
      </c>
      <c r="F59" s="16">
        <v>4</v>
      </c>
      <c r="G59" s="16">
        <v>4</v>
      </c>
      <c r="H59" s="16">
        <v>3</v>
      </c>
      <c r="I59" s="16">
        <v>9</v>
      </c>
      <c r="J59" s="16">
        <v>8</v>
      </c>
      <c r="K59" s="16">
        <v>3</v>
      </c>
      <c r="L59" s="16">
        <v>3</v>
      </c>
      <c r="M59" s="16">
        <v>6</v>
      </c>
      <c r="N59" s="16">
        <v>5</v>
      </c>
      <c r="O59" s="16">
        <v>21</v>
      </c>
      <c r="P59" s="16">
        <v>5</v>
      </c>
      <c r="Q59" s="16">
        <v>9</v>
      </c>
      <c r="R59" s="16">
        <v>4</v>
      </c>
      <c r="S59" s="16">
        <v>5</v>
      </c>
      <c r="T59" s="16">
        <v>11</v>
      </c>
      <c r="U59" s="16">
        <v>11</v>
      </c>
      <c r="V59" s="13">
        <f t="shared" si="15"/>
        <v>113</v>
      </c>
    </row>
    <row r="60" spans="1:22" ht="12.75" customHeight="1" x14ac:dyDescent="0.3">
      <c r="A60" s="15"/>
      <c r="B60" s="28"/>
      <c r="C60" s="29" t="s">
        <v>53</v>
      </c>
      <c r="D60" s="30"/>
      <c r="E60" s="16">
        <v>0</v>
      </c>
      <c r="F60" s="16">
        <v>0</v>
      </c>
      <c r="G60" s="16">
        <v>0</v>
      </c>
      <c r="H60" s="16">
        <v>4</v>
      </c>
      <c r="I60" s="16">
        <v>0</v>
      </c>
      <c r="J60" s="16">
        <v>3</v>
      </c>
      <c r="K60" s="16">
        <v>4</v>
      </c>
      <c r="L60" s="16">
        <v>2</v>
      </c>
      <c r="M60" s="16">
        <v>3</v>
      </c>
      <c r="N60" s="16">
        <v>3</v>
      </c>
      <c r="O60" s="16">
        <v>0</v>
      </c>
      <c r="P60" s="16">
        <v>0</v>
      </c>
      <c r="Q60" s="16">
        <v>3</v>
      </c>
      <c r="R60" s="16">
        <v>2</v>
      </c>
      <c r="S60" s="16">
        <v>2</v>
      </c>
      <c r="T60" s="16">
        <v>3</v>
      </c>
      <c r="U60" s="16">
        <v>0</v>
      </c>
      <c r="V60" s="13">
        <f t="shared" si="15"/>
        <v>29</v>
      </c>
    </row>
    <row r="61" spans="1:22" ht="12.75" customHeight="1" x14ac:dyDescent="0.3">
      <c r="A61" s="15"/>
      <c r="B61" s="28"/>
      <c r="C61" s="29" t="s">
        <v>54</v>
      </c>
      <c r="D61" s="30"/>
      <c r="E61" s="16">
        <v>2</v>
      </c>
      <c r="F61" s="16">
        <v>2</v>
      </c>
      <c r="G61" s="16">
        <v>0</v>
      </c>
      <c r="H61" s="16">
        <v>3</v>
      </c>
      <c r="I61" s="16">
        <v>2</v>
      </c>
      <c r="J61" s="16">
        <v>2</v>
      </c>
      <c r="K61" s="16">
        <v>21</v>
      </c>
      <c r="L61" s="16">
        <v>0</v>
      </c>
      <c r="M61" s="16">
        <v>10</v>
      </c>
      <c r="N61" s="16">
        <v>2</v>
      </c>
      <c r="O61" s="16">
        <v>1</v>
      </c>
      <c r="P61" s="16">
        <v>0</v>
      </c>
      <c r="Q61" s="16">
        <v>4</v>
      </c>
      <c r="R61" s="16">
        <v>0</v>
      </c>
      <c r="S61" s="16">
        <v>0</v>
      </c>
      <c r="T61" s="16">
        <v>2</v>
      </c>
      <c r="U61" s="16">
        <v>5</v>
      </c>
      <c r="V61" s="13">
        <f t="shared" si="15"/>
        <v>56</v>
      </c>
    </row>
    <row r="62" spans="1:22" ht="12.75" customHeight="1" x14ac:dyDescent="0.3">
      <c r="A62" s="15"/>
      <c r="B62" s="28"/>
      <c r="C62" s="29" t="s">
        <v>55</v>
      </c>
      <c r="D62" s="30"/>
      <c r="E62" s="16">
        <v>1</v>
      </c>
      <c r="F62" s="16">
        <v>0</v>
      </c>
      <c r="G62" s="16">
        <v>0</v>
      </c>
      <c r="H62" s="16">
        <v>1</v>
      </c>
      <c r="I62" s="16">
        <v>2</v>
      </c>
      <c r="J62" s="16">
        <v>0</v>
      </c>
      <c r="K62" s="16">
        <v>2</v>
      </c>
      <c r="L62" s="16">
        <v>1</v>
      </c>
      <c r="M62" s="16">
        <v>0</v>
      </c>
      <c r="N62" s="16">
        <v>0</v>
      </c>
      <c r="O62" s="16">
        <v>0</v>
      </c>
      <c r="P62" s="16">
        <v>1</v>
      </c>
      <c r="Q62" s="16">
        <v>0</v>
      </c>
      <c r="R62" s="16">
        <v>0</v>
      </c>
      <c r="S62" s="16">
        <v>1</v>
      </c>
      <c r="T62" s="16">
        <v>0</v>
      </c>
      <c r="U62" s="16">
        <v>0</v>
      </c>
      <c r="V62" s="13">
        <f t="shared" si="15"/>
        <v>9</v>
      </c>
    </row>
    <row r="63" spans="1:22" ht="12.75" customHeight="1" x14ac:dyDescent="0.3">
      <c r="A63" s="15"/>
      <c r="B63" s="28"/>
      <c r="C63" s="29" t="s">
        <v>56</v>
      </c>
      <c r="D63" s="30"/>
      <c r="E63" s="16">
        <v>1</v>
      </c>
      <c r="F63" s="16">
        <v>0</v>
      </c>
      <c r="G63" s="16">
        <v>0</v>
      </c>
      <c r="H63" s="16">
        <v>1</v>
      </c>
      <c r="I63" s="16">
        <v>2</v>
      </c>
      <c r="J63" s="16">
        <v>2</v>
      </c>
      <c r="K63" s="16">
        <v>0</v>
      </c>
      <c r="L63" s="16">
        <v>0</v>
      </c>
      <c r="M63" s="16">
        <v>1</v>
      </c>
      <c r="N63" s="16">
        <v>0</v>
      </c>
      <c r="O63" s="16">
        <v>1</v>
      </c>
      <c r="P63" s="16">
        <v>0</v>
      </c>
      <c r="Q63" s="16">
        <v>1</v>
      </c>
      <c r="R63" s="16">
        <v>1</v>
      </c>
      <c r="S63" s="16">
        <v>2</v>
      </c>
      <c r="T63" s="16">
        <v>0</v>
      </c>
      <c r="U63" s="16">
        <v>0</v>
      </c>
      <c r="V63" s="13">
        <f t="shared" si="15"/>
        <v>12</v>
      </c>
    </row>
    <row r="64" spans="1:22" ht="12.75" customHeight="1" x14ac:dyDescent="0.3">
      <c r="A64" s="15"/>
      <c r="B64" s="28"/>
      <c r="C64" s="29" t="s">
        <v>57</v>
      </c>
      <c r="D64" s="30"/>
      <c r="E64" s="16">
        <v>1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1</v>
      </c>
      <c r="R64" s="16">
        <v>0</v>
      </c>
      <c r="S64" s="16">
        <v>0</v>
      </c>
      <c r="T64" s="16">
        <v>0</v>
      </c>
      <c r="U64" s="16">
        <v>0</v>
      </c>
      <c r="V64" s="13">
        <f t="shared" si="15"/>
        <v>2</v>
      </c>
    </row>
    <row r="65" spans="1:22" ht="12.75" customHeight="1" x14ac:dyDescent="0.3">
      <c r="A65" s="15"/>
      <c r="B65" s="28"/>
      <c r="C65" s="29" t="s">
        <v>58</v>
      </c>
      <c r="D65" s="30"/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3">
        <f t="shared" si="15"/>
        <v>0</v>
      </c>
    </row>
    <row r="66" spans="1:22" ht="12.75" customHeight="1" x14ac:dyDescent="0.3">
      <c r="A66" s="15"/>
      <c r="B66" s="28"/>
      <c r="C66" s="29" t="s">
        <v>59</v>
      </c>
      <c r="D66" s="30"/>
      <c r="E66" s="16">
        <v>0</v>
      </c>
      <c r="F66" s="16">
        <v>0</v>
      </c>
      <c r="G66" s="16">
        <v>0</v>
      </c>
      <c r="H66" s="16">
        <v>0</v>
      </c>
      <c r="I66" s="16">
        <v>1</v>
      </c>
      <c r="J66" s="16">
        <v>1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1</v>
      </c>
      <c r="T66" s="16">
        <v>0</v>
      </c>
      <c r="U66" s="16">
        <v>0</v>
      </c>
      <c r="V66" s="13">
        <f t="shared" si="15"/>
        <v>3</v>
      </c>
    </row>
    <row r="67" spans="1:22" ht="12.75" customHeight="1" x14ac:dyDescent="0.3">
      <c r="A67" s="16" t="s">
        <v>15</v>
      </c>
      <c r="B67" s="59" t="s">
        <v>49</v>
      </c>
      <c r="C67" s="60"/>
      <c r="D67" s="58"/>
      <c r="E67" s="13">
        <f t="shared" ref="E67:V67" si="16">SUM(E57:E66)</f>
        <v>21</v>
      </c>
      <c r="F67" s="13">
        <f t="shared" si="16"/>
        <v>27</v>
      </c>
      <c r="G67" s="13">
        <f t="shared" si="16"/>
        <v>16</v>
      </c>
      <c r="H67" s="13">
        <f t="shared" si="16"/>
        <v>23</v>
      </c>
      <c r="I67" s="13">
        <f t="shared" si="16"/>
        <v>34</v>
      </c>
      <c r="J67" s="13">
        <f t="shared" si="16"/>
        <v>22</v>
      </c>
      <c r="K67" s="13">
        <f t="shared" si="16"/>
        <v>51</v>
      </c>
      <c r="L67" s="13">
        <f t="shared" si="16"/>
        <v>17</v>
      </c>
      <c r="M67" s="13">
        <f t="shared" si="16"/>
        <v>33</v>
      </c>
      <c r="N67" s="13">
        <f t="shared" si="16"/>
        <v>36</v>
      </c>
      <c r="O67" s="13">
        <f t="shared" si="16"/>
        <v>29</v>
      </c>
      <c r="P67" s="13">
        <f t="shared" si="16"/>
        <v>17</v>
      </c>
      <c r="Q67" s="13">
        <f t="shared" si="16"/>
        <v>36</v>
      </c>
      <c r="R67" s="13">
        <f t="shared" si="16"/>
        <v>18</v>
      </c>
      <c r="S67" s="13">
        <f t="shared" si="16"/>
        <v>19</v>
      </c>
      <c r="T67" s="13">
        <f t="shared" si="16"/>
        <v>21</v>
      </c>
      <c r="U67" s="13">
        <f t="shared" si="16"/>
        <v>28</v>
      </c>
      <c r="V67" s="13">
        <f t="shared" si="16"/>
        <v>448</v>
      </c>
    </row>
    <row r="68" spans="1:22" ht="12.75" customHeight="1" x14ac:dyDescent="0.3">
      <c r="A68" s="55"/>
      <c r="B68" s="56"/>
      <c r="C68" s="56"/>
      <c r="D68" s="56"/>
      <c r="E68" s="56"/>
    </row>
    <row r="69" spans="1:22" ht="12.75" customHeight="1" x14ac:dyDescent="0.3">
      <c r="A69" s="20" t="s">
        <v>37</v>
      </c>
      <c r="B69" s="27" t="s">
        <v>21</v>
      </c>
      <c r="C69" s="57" t="s">
        <v>60</v>
      </c>
      <c r="D69" s="58"/>
      <c r="E69" s="16">
        <v>4</v>
      </c>
      <c r="F69" s="16">
        <v>3</v>
      </c>
      <c r="G69" s="16">
        <v>4</v>
      </c>
      <c r="H69" s="16">
        <v>28</v>
      </c>
      <c r="I69" s="16">
        <v>39</v>
      </c>
      <c r="J69" s="16">
        <v>20</v>
      </c>
      <c r="K69" s="16">
        <v>19</v>
      </c>
      <c r="L69" s="16">
        <v>10</v>
      </c>
      <c r="M69" s="16">
        <v>5</v>
      </c>
      <c r="N69" s="16">
        <v>11</v>
      </c>
      <c r="O69" s="16">
        <v>3</v>
      </c>
      <c r="P69" s="16">
        <v>6</v>
      </c>
      <c r="Q69" s="16">
        <v>9</v>
      </c>
      <c r="R69" s="16">
        <v>5</v>
      </c>
      <c r="S69" s="16">
        <v>7</v>
      </c>
      <c r="T69" s="16">
        <v>14</v>
      </c>
      <c r="U69" s="16">
        <v>5</v>
      </c>
      <c r="V69" s="13">
        <f t="shared" ref="V69:V78" si="17">SUM(E69:U69)</f>
        <v>192</v>
      </c>
    </row>
    <row r="70" spans="1:22" ht="12.75" customHeight="1" x14ac:dyDescent="0.3">
      <c r="A70" s="20" t="s">
        <v>39</v>
      </c>
      <c r="B70" s="28"/>
      <c r="C70" s="29" t="s">
        <v>61</v>
      </c>
      <c r="D70" s="30"/>
      <c r="E70" s="16">
        <v>2</v>
      </c>
      <c r="F70" s="16">
        <v>1</v>
      </c>
      <c r="G70" s="16">
        <v>4</v>
      </c>
      <c r="H70" s="16">
        <v>4</v>
      </c>
      <c r="I70" s="16">
        <v>4</v>
      </c>
      <c r="J70" s="16">
        <v>4</v>
      </c>
      <c r="K70" s="16">
        <v>4</v>
      </c>
      <c r="L70" s="16">
        <v>2</v>
      </c>
      <c r="M70" s="16">
        <v>28</v>
      </c>
      <c r="N70" s="16">
        <v>11</v>
      </c>
      <c r="O70" s="16">
        <v>1</v>
      </c>
      <c r="P70" s="16">
        <v>3</v>
      </c>
      <c r="Q70" s="16">
        <v>11</v>
      </c>
      <c r="R70" s="16">
        <v>9</v>
      </c>
      <c r="S70" s="16">
        <v>7</v>
      </c>
      <c r="T70" s="16">
        <v>6</v>
      </c>
      <c r="U70" s="16">
        <v>4</v>
      </c>
      <c r="V70" s="13">
        <f t="shared" si="17"/>
        <v>105</v>
      </c>
    </row>
    <row r="71" spans="1:22" ht="12.75" customHeight="1" x14ac:dyDescent="0.3">
      <c r="A71" s="15"/>
      <c r="B71" s="28"/>
      <c r="C71" s="29" t="s">
        <v>62</v>
      </c>
      <c r="D71" s="30"/>
      <c r="E71" s="16">
        <v>3</v>
      </c>
      <c r="F71" s="16">
        <v>4</v>
      </c>
      <c r="G71" s="16">
        <v>2</v>
      </c>
      <c r="H71" s="16">
        <v>5</v>
      </c>
      <c r="I71" s="16">
        <v>11</v>
      </c>
      <c r="J71" s="16">
        <v>3</v>
      </c>
      <c r="K71" s="16">
        <v>2</v>
      </c>
      <c r="L71" s="16">
        <v>3</v>
      </c>
      <c r="M71" s="16">
        <v>5</v>
      </c>
      <c r="N71" s="16">
        <v>2</v>
      </c>
      <c r="O71" s="16">
        <v>1</v>
      </c>
      <c r="P71" s="16">
        <v>1</v>
      </c>
      <c r="Q71" s="16">
        <v>1</v>
      </c>
      <c r="R71" s="16">
        <v>1</v>
      </c>
      <c r="S71" s="16">
        <v>6</v>
      </c>
      <c r="T71" s="16">
        <v>4</v>
      </c>
      <c r="U71" s="16">
        <v>8</v>
      </c>
      <c r="V71" s="13">
        <f t="shared" si="17"/>
        <v>62</v>
      </c>
    </row>
    <row r="72" spans="1:22" ht="12.75" customHeight="1" x14ac:dyDescent="0.3">
      <c r="A72" s="15"/>
      <c r="B72" s="28"/>
      <c r="C72" s="29" t="s">
        <v>63</v>
      </c>
      <c r="D72" s="30"/>
      <c r="E72" s="16">
        <v>1</v>
      </c>
      <c r="F72" s="16">
        <v>4</v>
      </c>
      <c r="G72" s="16">
        <v>1</v>
      </c>
      <c r="H72" s="16">
        <v>46</v>
      </c>
      <c r="I72" s="16">
        <v>17</v>
      </c>
      <c r="J72" s="16">
        <v>7</v>
      </c>
      <c r="K72" s="16">
        <v>23</v>
      </c>
      <c r="L72" s="16">
        <v>25</v>
      </c>
      <c r="M72" s="16">
        <v>7</v>
      </c>
      <c r="N72" s="16">
        <v>3</v>
      </c>
      <c r="O72" s="16">
        <v>4</v>
      </c>
      <c r="P72" s="16">
        <v>4</v>
      </c>
      <c r="Q72" s="16">
        <v>6</v>
      </c>
      <c r="R72" s="16">
        <v>5</v>
      </c>
      <c r="S72" s="16">
        <v>8</v>
      </c>
      <c r="T72" s="16">
        <v>18</v>
      </c>
      <c r="U72" s="16">
        <v>4</v>
      </c>
      <c r="V72" s="13">
        <f t="shared" si="17"/>
        <v>183</v>
      </c>
    </row>
    <row r="73" spans="1:22" ht="12.75" customHeight="1" x14ac:dyDescent="0.3">
      <c r="A73" s="15"/>
      <c r="B73" s="28"/>
      <c r="C73" s="29" t="s">
        <v>64</v>
      </c>
      <c r="D73" s="30"/>
      <c r="E73" s="16">
        <v>0</v>
      </c>
      <c r="F73" s="16">
        <v>3</v>
      </c>
      <c r="G73" s="16">
        <v>0</v>
      </c>
      <c r="H73" s="16">
        <v>5</v>
      </c>
      <c r="I73" s="16">
        <v>1</v>
      </c>
      <c r="J73" s="16">
        <v>4</v>
      </c>
      <c r="K73" s="16">
        <v>3</v>
      </c>
      <c r="L73" s="16">
        <v>3</v>
      </c>
      <c r="M73" s="16">
        <v>5</v>
      </c>
      <c r="N73" s="16">
        <v>2</v>
      </c>
      <c r="O73" s="16">
        <v>4</v>
      </c>
      <c r="P73" s="16">
        <v>0</v>
      </c>
      <c r="Q73" s="16">
        <v>2</v>
      </c>
      <c r="R73" s="16">
        <v>0</v>
      </c>
      <c r="S73" s="16">
        <v>1</v>
      </c>
      <c r="T73" s="16">
        <v>21</v>
      </c>
      <c r="U73" s="16">
        <v>5</v>
      </c>
      <c r="V73" s="13">
        <f t="shared" si="17"/>
        <v>59</v>
      </c>
    </row>
    <row r="74" spans="1:22" ht="12.75" customHeight="1" x14ac:dyDescent="0.3">
      <c r="A74" s="15"/>
      <c r="B74" s="28"/>
      <c r="C74" s="29" t="s">
        <v>65</v>
      </c>
      <c r="D74" s="30"/>
      <c r="E74" s="16">
        <v>1</v>
      </c>
      <c r="F74" s="16">
        <v>3</v>
      </c>
      <c r="G74" s="16">
        <v>0</v>
      </c>
      <c r="H74" s="16">
        <v>2</v>
      </c>
      <c r="I74" s="16">
        <v>1</v>
      </c>
      <c r="J74" s="16">
        <v>3</v>
      </c>
      <c r="K74" s="16">
        <v>2</v>
      </c>
      <c r="L74" s="16">
        <v>1</v>
      </c>
      <c r="M74" s="16">
        <v>0</v>
      </c>
      <c r="N74" s="16">
        <v>0</v>
      </c>
      <c r="O74" s="16">
        <v>0</v>
      </c>
      <c r="P74" s="16">
        <v>0</v>
      </c>
      <c r="Q74" s="16">
        <v>1</v>
      </c>
      <c r="R74" s="16">
        <v>2</v>
      </c>
      <c r="S74" s="16">
        <v>1</v>
      </c>
      <c r="T74" s="16">
        <v>0</v>
      </c>
      <c r="U74" s="16">
        <v>1</v>
      </c>
      <c r="V74" s="13">
        <f t="shared" si="17"/>
        <v>18</v>
      </c>
    </row>
    <row r="75" spans="1:22" ht="12.75" customHeight="1" x14ac:dyDescent="0.3">
      <c r="A75" s="15"/>
      <c r="B75" s="28"/>
      <c r="C75" s="29" t="s">
        <v>66</v>
      </c>
      <c r="D75" s="30"/>
      <c r="E75" s="16">
        <v>0</v>
      </c>
      <c r="F75" s="16">
        <v>0</v>
      </c>
      <c r="G75" s="16">
        <v>0</v>
      </c>
      <c r="H75" s="16">
        <v>4</v>
      </c>
      <c r="I75" s="16">
        <v>0</v>
      </c>
      <c r="J75" s="16">
        <v>3</v>
      </c>
      <c r="K75" s="16">
        <v>1</v>
      </c>
      <c r="L75" s="16">
        <v>0</v>
      </c>
      <c r="M75" s="16">
        <v>0</v>
      </c>
      <c r="N75" s="16">
        <v>2</v>
      </c>
      <c r="O75" s="16">
        <v>0</v>
      </c>
      <c r="P75" s="16">
        <v>1</v>
      </c>
      <c r="Q75" s="16">
        <v>0</v>
      </c>
      <c r="R75" s="16">
        <v>1</v>
      </c>
      <c r="S75" s="16">
        <v>0</v>
      </c>
      <c r="T75" s="16">
        <v>1</v>
      </c>
      <c r="U75" s="16">
        <v>1</v>
      </c>
      <c r="V75" s="13">
        <f t="shared" si="17"/>
        <v>14</v>
      </c>
    </row>
    <row r="76" spans="1:22" ht="12.75" customHeight="1" x14ac:dyDescent="0.3">
      <c r="A76" s="15"/>
      <c r="B76" s="28"/>
      <c r="C76" s="29" t="s">
        <v>67</v>
      </c>
      <c r="D76" s="30"/>
      <c r="E76" s="16">
        <v>1</v>
      </c>
      <c r="F76" s="16">
        <v>0</v>
      </c>
      <c r="G76" s="16">
        <v>0</v>
      </c>
      <c r="H76" s="16">
        <v>0</v>
      </c>
      <c r="I76" s="16">
        <v>1</v>
      </c>
      <c r="J76" s="16">
        <v>0</v>
      </c>
      <c r="K76" s="16">
        <v>2</v>
      </c>
      <c r="L76" s="16">
        <v>0</v>
      </c>
      <c r="M76" s="16">
        <v>1</v>
      </c>
      <c r="N76" s="16">
        <v>3</v>
      </c>
      <c r="O76" s="16">
        <v>0</v>
      </c>
      <c r="P76" s="16">
        <v>0</v>
      </c>
      <c r="Q76" s="16">
        <v>0</v>
      </c>
      <c r="R76" s="16">
        <v>0</v>
      </c>
      <c r="S76" s="16">
        <v>1</v>
      </c>
      <c r="T76" s="16">
        <v>1</v>
      </c>
      <c r="U76" s="16">
        <v>0</v>
      </c>
      <c r="V76" s="13">
        <f t="shared" si="17"/>
        <v>10</v>
      </c>
    </row>
    <row r="77" spans="1:22" ht="12.75" customHeight="1" x14ac:dyDescent="0.3">
      <c r="A77" s="15"/>
      <c r="B77" s="28"/>
      <c r="C77" s="29" t="s">
        <v>68</v>
      </c>
      <c r="D77" s="30"/>
      <c r="E77" s="16">
        <v>0</v>
      </c>
      <c r="F77" s="16">
        <v>1</v>
      </c>
      <c r="G77" s="16">
        <v>0</v>
      </c>
      <c r="H77" s="16">
        <v>1</v>
      </c>
      <c r="I77" s="16">
        <v>1</v>
      </c>
      <c r="J77" s="16">
        <v>2</v>
      </c>
      <c r="K77" s="16">
        <v>0</v>
      </c>
      <c r="L77" s="16">
        <v>1</v>
      </c>
      <c r="M77" s="16">
        <v>0</v>
      </c>
      <c r="N77" s="16">
        <v>1</v>
      </c>
      <c r="O77" s="16">
        <v>0</v>
      </c>
      <c r="P77" s="16">
        <v>0</v>
      </c>
      <c r="Q77" s="16">
        <v>1</v>
      </c>
      <c r="R77" s="16">
        <v>0</v>
      </c>
      <c r="S77" s="16">
        <v>0</v>
      </c>
      <c r="T77" s="16">
        <v>1</v>
      </c>
      <c r="U77" s="16">
        <v>0</v>
      </c>
      <c r="V77" s="13">
        <f t="shared" si="17"/>
        <v>9</v>
      </c>
    </row>
    <row r="78" spans="1:22" ht="12.75" customHeight="1" x14ac:dyDescent="0.3">
      <c r="A78" s="15"/>
      <c r="B78" s="28"/>
      <c r="C78" s="29" t="s">
        <v>69</v>
      </c>
      <c r="D78" s="30"/>
      <c r="E78" s="16">
        <v>1</v>
      </c>
      <c r="F78" s="16">
        <v>1</v>
      </c>
      <c r="G78" s="16">
        <v>0</v>
      </c>
      <c r="H78" s="16">
        <v>0</v>
      </c>
      <c r="I78" s="16">
        <v>1</v>
      </c>
      <c r="J78" s="16">
        <v>0</v>
      </c>
      <c r="K78" s="16">
        <v>2</v>
      </c>
      <c r="L78" s="16">
        <v>0</v>
      </c>
      <c r="M78" s="16">
        <v>1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1</v>
      </c>
      <c r="V78" s="13">
        <f t="shared" si="17"/>
        <v>7</v>
      </c>
    </row>
    <row r="79" spans="1:22" ht="12.75" customHeight="1" x14ac:dyDescent="0.3">
      <c r="A79" s="16" t="s">
        <v>15</v>
      </c>
      <c r="B79" s="59" t="s">
        <v>49</v>
      </c>
      <c r="C79" s="60"/>
      <c r="D79" s="58"/>
      <c r="E79" s="13">
        <f t="shared" ref="E79:V79" si="18">SUM(E69:E78)</f>
        <v>13</v>
      </c>
      <c r="F79" s="13">
        <f t="shared" si="18"/>
        <v>20</v>
      </c>
      <c r="G79" s="13">
        <f t="shared" si="18"/>
        <v>11</v>
      </c>
      <c r="H79" s="13">
        <f t="shared" si="18"/>
        <v>95</v>
      </c>
      <c r="I79" s="13">
        <f t="shared" si="18"/>
        <v>76</v>
      </c>
      <c r="J79" s="13">
        <f t="shared" si="18"/>
        <v>46</v>
      </c>
      <c r="K79" s="13">
        <f t="shared" si="18"/>
        <v>58</v>
      </c>
      <c r="L79" s="13">
        <f t="shared" si="18"/>
        <v>45</v>
      </c>
      <c r="M79" s="13">
        <f t="shared" si="18"/>
        <v>52</v>
      </c>
      <c r="N79" s="13">
        <f t="shared" si="18"/>
        <v>35</v>
      </c>
      <c r="O79" s="13">
        <f t="shared" si="18"/>
        <v>13</v>
      </c>
      <c r="P79" s="13">
        <f t="shared" si="18"/>
        <v>15</v>
      </c>
      <c r="Q79" s="13">
        <f t="shared" si="18"/>
        <v>31</v>
      </c>
      <c r="R79" s="13">
        <f t="shared" si="18"/>
        <v>23</v>
      </c>
      <c r="S79" s="13">
        <f t="shared" si="18"/>
        <v>31</v>
      </c>
      <c r="T79" s="13">
        <f t="shared" si="18"/>
        <v>66</v>
      </c>
      <c r="U79" s="13">
        <f t="shared" si="18"/>
        <v>29</v>
      </c>
      <c r="V79" s="13">
        <f t="shared" si="18"/>
        <v>659</v>
      </c>
    </row>
    <row r="80" spans="1:22" ht="12.75" customHeight="1" x14ac:dyDescent="0.3">
      <c r="A80" s="55"/>
      <c r="B80" s="56"/>
      <c r="C80" s="56"/>
      <c r="D80" s="56"/>
      <c r="E80" s="56"/>
    </row>
    <row r="81" spans="1:22" ht="12.75" customHeight="1" x14ac:dyDescent="0.3">
      <c r="A81" s="20" t="s">
        <v>37</v>
      </c>
      <c r="B81" s="27" t="s">
        <v>23</v>
      </c>
      <c r="C81" s="57" t="s">
        <v>70</v>
      </c>
      <c r="D81" s="58"/>
      <c r="E81" s="16">
        <v>12</v>
      </c>
      <c r="F81" s="16">
        <v>17</v>
      </c>
      <c r="G81" s="16">
        <v>5</v>
      </c>
      <c r="H81" s="16">
        <v>6</v>
      </c>
      <c r="I81" s="16">
        <v>5</v>
      </c>
      <c r="J81" s="16">
        <v>4</v>
      </c>
      <c r="K81" s="16">
        <v>10</v>
      </c>
      <c r="L81" s="16">
        <v>6</v>
      </c>
      <c r="M81" s="16">
        <v>3</v>
      </c>
      <c r="N81" s="16">
        <v>6</v>
      </c>
      <c r="O81" s="16">
        <v>4</v>
      </c>
      <c r="P81" s="16">
        <v>6</v>
      </c>
      <c r="Q81" s="16">
        <v>6</v>
      </c>
      <c r="R81" s="16">
        <v>4</v>
      </c>
      <c r="S81" s="16">
        <v>6</v>
      </c>
      <c r="T81" s="16">
        <v>2</v>
      </c>
      <c r="U81" s="16">
        <v>5</v>
      </c>
      <c r="V81" s="13">
        <f t="shared" ref="V81:V90" si="19">SUM(E81:U81)</f>
        <v>107</v>
      </c>
    </row>
    <row r="82" spans="1:22" ht="12.75" customHeight="1" x14ac:dyDescent="0.3">
      <c r="A82" s="20" t="s">
        <v>39</v>
      </c>
      <c r="B82" s="28"/>
      <c r="C82" s="29" t="s">
        <v>71</v>
      </c>
      <c r="D82" s="30"/>
      <c r="E82" s="16">
        <v>8</v>
      </c>
      <c r="F82" s="16">
        <v>21</v>
      </c>
      <c r="G82" s="16">
        <v>28</v>
      </c>
      <c r="H82" s="16">
        <v>10</v>
      </c>
      <c r="I82" s="16">
        <v>13</v>
      </c>
      <c r="J82" s="16">
        <v>17</v>
      </c>
      <c r="K82" s="16">
        <v>35</v>
      </c>
      <c r="L82" s="16">
        <v>25</v>
      </c>
      <c r="M82" s="16">
        <v>9</v>
      </c>
      <c r="N82" s="16">
        <v>22</v>
      </c>
      <c r="O82" s="16">
        <v>35</v>
      </c>
      <c r="P82" s="16">
        <v>33</v>
      </c>
      <c r="Q82" s="16">
        <v>29</v>
      </c>
      <c r="R82" s="16">
        <v>21</v>
      </c>
      <c r="S82" s="16">
        <v>35</v>
      </c>
      <c r="T82" s="16">
        <v>17</v>
      </c>
      <c r="U82" s="16">
        <v>26</v>
      </c>
      <c r="V82" s="13">
        <f t="shared" si="19"/>
        <v>384</v>
      </c>
    </row>
    <row r="83" spans="1:22" ht="12.75" customHeight="1" x14ac:dyDescent="0.3">
      <c r="A83" s="15"/>
      <c r="B83" s="28"/>
      <c r="C83" s="29" t="s">
        <v>72</v>
      </c>
      <c r="D83" s="30"/>
      <c r="E83" s="16">
        <v>1</v>
      </c>
      <c r="F83" s="16">
        <v>3</v>
      </c>
      <c r="G83" s="16">
        <v>2</v>
      </c>
      <c r="H83" s="16">
        <v>1</v>
      </c>
      <c r="I83" s="16">
        <v>0</v>
      </c>
      <c r="J83" s="16">
        <v>0</v>
      </c>
      <c r="K83" s="16">
        <v>1</v>
      </c>
      <c r="L83" s="16">
        <v>2</v>
      </c>
      <c r="M83" s="16">
        <v>2</v>
      </c>
      <c r="N83" s="16">
        <v>6</v>
      </c>
      <c r="O83" s="16">
        <v>1</v>
      </c>
      <c r="P83" s="16">
        <v>0</v>
      </c>
      <c r="Q83" s="16">
        <v>0</v>
      </c>
      <c r="R83" s="16">
        <v>0</v>
      </c>
      <c r="S83" s="16">
        <v>3</v>
      </c>
      <c r="T83" s="16">
        <v>5</v>
      </c>
      <c r="U83" s="16">
        <v>3</v>
      </c>
      <c r="V83" s="13">
        <f t="shared" si="19"/>
        <v>30</v>
      </c>
    </row>
    <row r="84" spans="1:22" ht="12.75" customHeight="1" x14ac:dyDescent="0.3">
      <c r="A84" s="15"/>
      <c r="B84" s="28"/>
      <c r="C84" s="29" t="s">
        <v>73</v>
      </c>
      <c r="D84" s="30"/>
      <c r="E84" s="16">
        <v>1</v>
      </c>
      <c r="F84" s="16">
        <v>1</v>
      </c>
      <c r="G84" s="16">
        <v>2</v>
      </c>
      <c r="H84" s="16">
        <v>1</v>
      </c>
      <c r="I84" s="16">
        <v>0</v>
      </c>
      <c r="J84" s="16">
        <v>1</v>
      </c>
      <c r="K84" s="16">
        <v>1</v>
      </c>
      <c r="L84" s="16">
        <v>0</v>
      </c>
      <c r="M84" s="16">
        <v>1</v>
      </c>
      <c r="N84" s="16">
        <v>1</v>
      </c>
      <c r="O84" s="16">
        <v>2</v>
      </c>
      <c r="P84" s="16">
        <v>1</v>
      </c>
      <c r="Q84" s="16">
        <v>3</v>
      </c>
      <c r="R84" s="16">
        <v>0</v>
      </c>
      <c r="S84" s="16">
        <v>0</v>
      </c>
      <c r="T84" s="16">
        <v>1</v>
      </c>
      <c r="U84" s="16">
        <v>4</v>
      </c>
      <c r="V84" s="13">
        <f t="shared" si="19"/>
        <v>20</v>
      </c>
    </row>
    <row r="85" spans="1:22" ht="12.75" customHeight="1" x14ac:dyDescent="0.3">
      <c r="A85" s="15"/>
      <c r="B85" s="28"/>
      <c r="C85" s="29" t="s">
        <v>74</v>
      </c>
      <c r="D85" s="30"/>
      <c r="E85" s="16">
        <v>1</v>
      </c>
      <c r="F85" s="16">
        <v>3</v>
      </c>
      <c r="G85" s="16">
        <v>1</v>
      </c>
      <c r="H85" s="16">
        <v>1</v>
      </c>
      <c r="I85" s="16">
        <v>1</v>
      </c>
      <c r="J85" s="16">
        <v>0</v>
      </c>
      <c r="K85" s="16">
        <v>1</v>
      </c>
      <c r="L85" s="16">
        <v>0</v>
      </c>
      <c r="M85" s="16">
        <v>1</v>
      </c>
      <c r="N85" s="16">
        <v>0</v>
      </c>
      <c r="O85" s="16">
        <v>1</v>
      </c>
      <c r="P85" s="16">
        <v>0</v>
      </c>
      <c r="Q85" s="16">
        <v>0</v>
      </c>
      <c r="R85" s="16">
        <v>0</v>
      </c>
      <c r="S85" s="16">
        <v>2</v>
      </c>
      <c r="T85" s="16">
        <v>0</v>
      </c>
      <c r="U85" s="16">
        <v>1</v>
      </c>
      <c r="V85" s="13">
        <f t="shared" si="19"/>
        <v>13</v>
      </c>
    </row>
    <row r="86" spans="1:22" ht="12.75" customHeight="1" x14ac:dyDescent="0.3">
      <c r="A86" s="15"/>
      <c r="B86" s="28"/>
      <c r="C86" s="29" t="s">
        <v>75</v>
      </c>
      <c r="D86" s="30"/>
      <c r="E86" s="16">
        <v>3</v>
      </c>
      <c r="F86" s="16">
        <v>5</v>
      </c>
      <c r="G86" s="16">
        <v>1</v>
      </c>
      <c r="H86" s="16">
        <v>5</v>
      </c>
      <c r="I86" s="16">
        <v>2</v>
      </c>
      <c r="J86" s="16">
        <v>3</v>
      </c>
      <c r="K86" s="16">
        <v>2</v>
      </c>
      <c r="L86" s="16">
        <v>6</v>
      </c>
      <c r="M86" s="16">
        <v>9</v>
      </c>
      <c r="N86" s="16">
        <v>3</v>
      </c>
      <c r="O86" s="16">
        <v>30</v>
      </c>
      <c r="P86" s="16">
        <v>12</v>
      </c>
      <c r="Q86" s="16">
        <v>0</v>
      </c>
      <c r="R86" s="16">
        <v>35</v>
      </c>
      <c r="S86" s="16">
        <v>23</v>
      </c>
      <c r="T86" s="16">
        <v>21</v>
      </c>
      <c r="U86" s="16">
        <v>39</v>
      </c>
      <c r="V86" s="13">
        <f t="shared" si="19"/>
        <v>199</v>
      </c>
    </row>
    <row r="87" spans="1:22" ht="12.75" customHeight="1" x14ac:dyDescent="0.3">
      <c r="A87" s="15"/>
      <c r="B87" s="28"/>
      <c r="C87" s="29" t="s">
        <v>76</v>
      </c>
      <c r="D87" s="30"/>
      <c r="E87" s="16">
        <v>0</v>
      </c>
      <c r="F87" s="16">
        <v>0</v>
      </c>
      <c r="G87" s="16">
        <v>0</v>
      </c>
      <c r="H87" s="16">
        <v>0</v>
      </c>
      <c r="I87" s="16">
        <v>1</v>
      </c>
      <c r="J87" s="16">
        <v>0</v>
      </c>
      <c r="K87" s="16">
        <v>0</v>
      </c>
      <c r="L87" s="16">
        <v>0</v>
      </c>
      <c r="M87" s="16">
        <v>1</v>
      </c>
      <c r="N87" s="16">
        <v>0</v>
      </c>
      <c r="O87" s="16">
        <v>4</v>
      </c>
      <c r="P87" s="16">
        <v>1</v>
      </c>
      <c r="Q87" s="16">
        <v>12</v>
      </c>
      <c r="R87" s="16">
        <v>1</v>
      </c>
      <c r="S87" s="16">
        <v>1</v>
      </c>
      <c r="T87" s="16">
        <v>1</v>
      </c>
      <c r="U87" s="16">
        <v>1</v>
      </c>
      <c r="V87" s="13">
        <f t="shared" si="19"/>
        <v>23</v>
      </c>
    </row>
    <row r="88" spans="1:22" ht="12.75" customHeight="1" x14ac:dyDescent="0.3">
      <c r="A88" s="15"/>
      <c r="B88" s="28"/>
      <c r="C88" s="29" t="s">
        <v>77</v>
      </c>
      <c r="D88" s="30"/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2</v>
      </c>
      <c r="R88" s="16">
        <v>0</v>
      </c>
      <c r="S88" s="16">
        <v>0</v>
      </c>
      <c r="T88" s="16">
        <v>0</v>
      </c>
      <c r="U88" s="16">
        <v>0</v>
      </c>
      <c r="V88" s="13">
        <f t="shared" si="19"/>
        <v>2</v>
      </c>
    </row>
    <row r="89" spans="1:22" ht="12.75" customHeight="1" x14ac:dyDescent="0.3">
      <c r="A89" s="15"/>
      <c r="B89" s="28"/>
      <c r="C89" s="29" t="s">
        <v>78</v>
      </c>
      <c r="D89" s="30"/>
      <c r="E89" s="16">
        <v>0</v>
      </c>
      <c r="F89" s="16">
        <v>0</v>
      </c>
      <c r="G89" s="16">
        <v>0</v>
      </c>
      <c r="H89" s="16">
        <v>1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1</v>
      </c>
      <c r="P89" s="16">
        <v>0</v>
      </c>
      <c r="Q89" s="16">
        <v>0</v>
      </c>
      <c r="R89" s="16">
        <v>0</v>
      </c>
      <c r="S89" s="16">
        <v>1</v>
      </c>
      <c r="T89" s="16">
        <v>0</v>
      </c>
      <c r="U89" s="16">
        <v>0</v>
      </c>
      <c r="V89" s="13">
        <f t="shared" si="19"/>
        <v>3</v>
      </c>
    </row>
    <row r="90" spans="1:22" ht="12.75" customHeight="1" x14ac:dyDescent="0.3">
      <c r="A90" s="15"/>
      <c r="B90" s="28"/>
      <c r="C90" s="29" t="s">
        <v>79</v>
      </c>
      <c r="D90" s="30"/>
      <c r="E90" s="16">
        <v>0</v>
      </c>
      <c r="F90" s="16">
        <v>1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1</v>
      </c>
      <c r="U90" s="16">
        <v>1</v>
      </c>
      <c r="V90" s="13">
        <f t="shared" si="19"/>
        <v>3</v>
      </c>
    </row>
    <row r="91" spans="1:22" ht="12.75" customHeight="1" x14ac:dyDescent="0.3">
      <c r="A91" s="16" t="s">
        <v>15</v>
      </c>
      <c r="B91" s="59" t="s">
        <v>49</v>
      </c>
      <c r="C91" s="60"/>
      <c r="D91" s="58"/>
      <c r="E91" s="13">
        <f t="shared" ref="E91:V91" si="20">SUM(E81:E90)</f>
        <v>26</v>
      </c>
      <c r="F91" s="13">
        <f t="shared" si="20"/>
        <v>51</v>
      </c>
      <c r="G91" s="13">
        <f t="shared" si="20"/>
        <v>39</v>
      </c>
      <c r="H91" s="13">
        <f t="shared" si="20"/>
        <v>25</v>
      </c>
      <c r="I91" s="13">
        <f t="shared" si="20"/>
        <v>22</v>
      </c>
      <c r="J91" s="13">
        <f t="shared" si="20"/>
        <v>25</v>
      </c>
      <c r="K91" s="13">
        <f t="shared" si="20"/>
        <v>50</v>
      </c>
      <c r="L91" s="13">
        <f t="shared" si="20"/>
        <v>39</v>
      </c>
      <c r="M91" s="13">
        <f t="shared" si="20"/>
        <v>26</v>
      </c>
      <c r="N91" s="13">
        <f t="shared" si="20"/>
        <v>38</v>
      </c>
      <c r="O91" s="13">
        <f t="shared" si="20"/>
        <v>78</v>
      </c>
      <c r="P91" s="13">
        <f t="shared" si="20"/>
        <v>53</v>
      </c>
      <c r="Q91" s="13">
        <f t="shared" si="20"/>
        <v>52</v>
      </c>
      <c r="R91" s="13">
        <f t="shared" si="20"/>
        <v>61</v>
      </c>
      <c r="S91" s="13">
        <f t="shared" si="20"/>
        <v>71</v>
      </c>
      <c r="T91" s="13">
        <f t="shared" si="20"/>
        <v>48</v>
      </c>
      <c r="U91" s="13">
        <f t="shared" si="20"/>
        <v>80</v>
      </c>
      <c r="V91" s="13">
        <f t="shared" si="20"/>
        <v>784</v>
      </c>
    </row>
    <row r="92" spans="1:22" ht="12.75" customHeight="1" x14ac:dyDescent="0.3">
      <c r="A92" s="55"/>
      <c r="B92" s="56"/>
      <c r="C92" s="56"/>
      <c r="D92" s="56"/>
      <c r="E92" s="56"/>
    </row>
    <row r="93" spans="1:22" ht="12.75" customHeight="1" x14ac:dyDescent="0.3">
      <c r="A93" s="20" t="s">
        <v>37</v>
      </c>
      <c r="B93" s="27" t="s">
        <v>80</v>
      </c>
      <c r="C93" s="57" t="s">
        <v>81</v>
      </c>
      <c r="D93" s="58"/>
      <c r="E93" s="16">
        <v>3</v>
      </c>
      <c r="F93" s="16">
        <v>0</v>
      </c>
      <c r="G93" s="16">
        <v>2</v>
      </c>
      <c r="H93" s="16">
        <v>1</v>
      </c>
      <c r="I93" s="16">
        <v>1</v>
      </c>
      <c r="J93" s="16">
        <v>0</v>
      </c>
      <c r="K93" s="16">
        <v>0</v>
      </c>
      <c r="L93" s="16">
        <v>0</v>
      </c>
      <c r="M93" s="16">
        <v>0</v>
      </c>
      <c r="N93" s="16">
        <v>4</v>
      </c>
      <c r="O93" s="16">
        <v>0</v>
      </c>
      <c r="P93" s="16">
        <v>7</v>
      </c>
      <c r="Q93" s="16">
        <v>4</v>
      </c>
      <c r="R93" s="16">
        <v>2</v>
      </c>
      <c r="S93" s="16">
        <v>1</v>
      </c>
      <c r="T93" s="16">
        <v>1</v>
      </c>
      <c r="U93" s="16">
        <v>1</v>
      </c>
      <c r="V93" s="13">
        <f t="shared" ref="V93:V102" si="21">SUM(E93:U93)</f>
        <v>27</v>
      </c>
    </row>
    <row r="94" spans="1:22" ht="12.75" customHeight="1" x14ac:dyDescent="0.3">
      <c r="A94" s="20" t="s">
        <v>39</v>
      </c>
      <c r="B94" s="28"/>
      <c r="C94" s="29" t="s">
        <v>82</v>
      </c>
      <c r="D94" s="35"/>
      <c r="E94" s="16">
        <v>2</v>
      </c>
      <c r="F94" s="16">
        <v>11</v>
      </c>
      <c r="G94" s="16">
        <v>0</v>
      </c>
      <c r="H94" s="16">
        <v>1</v>
      </c>
      <c r="I94" s="16">
        <v>1</v>
      </c>
      <c r="J94" s="16">
        <v>2</v>
      </c>
      <c r="K94" s="16">
        <v>1</v>
      </c>
      <c r="L94" s="16">
        <v>2</v>
      </c>
      <c r="M94" s="16">
        <v>3</v>
      </c>
      <c r="N94" s="16">
        <v>0</v>
      </c>
      <c r="O94" s="16">
        <v>22</v>
      </c>
      <c r="P94" s="16">
        <v>14</v>
      </c>
      <c r="Q94" s="16">
        <v>11</v>
      </c>
      <c r="R94" s="16">
        <v>51</v>
      </c>
      <c r="S94" s="16">
        <v>5</v>
      </c>
      <c r="T94" s="16">
        <v>1</v>
      </c>
      <c r="U94" s="16">
        <v>5</v>
      </c>
      <c r="V94" s="13">
        <f t="shared" si="21"/>
        <v>132</v>
      </c>
    </row>
    <row r="95" spans="1:22" ht="12.75" customHeight="1" x14ac:dyDescent="0.3">
      <c r="A95" s="15"/>
      <c r="B95" s="28"/>
      <c r="C95" s="29" t="s">
        <v>83</v>
      </c>
      <c r="D95" s="35"/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1</v>
      </c>
      <c r="Q95" s="16">
        <v>0</v>
      </c>
      <c r="R95" s="16">
        <v>2</v>
      </c>
      <c r="S95" s="16">
        <v>2</v>
      </c>
      <c r="T95" s="16">
        <v>1</v>
      </c>
      <c r="U95" s="16">
        <v>0</v>
      </c>
      <c r="V95" s="13">
        <f t="shared" si="21"/>
        <v>6</v>
      </c>
    </row>
    <row r="96" spans="1:22" ht="12.75" customHeight="1" x14ac:dyDescent="0.3">
      <c r="A96" s="15"/>
      <c r="B96" s="28"/>
      <c r="C96" s="29" t="s">
        <v>84</v>
      </c>
      <c r="D96" s="35"/>
      <c r="E96" s="16">
        <v>0</v>
      </c>
      <c r="F96" s="16">
        <v>1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1</v>
      </c>
      <c r="Q96" s="16">
        <v>0</v>
      </c>
      <c r="R96" s="16">
        <v>0</v>
      </c>
      <c r="S96" s="16">
        <v>0</v>
      </c>
      <c r="T96" s="16">
        <v>1</v>
      </c>
      <c r="U96" s="16">
        <v>0</v>
      </c>
      <c r="V96" s="13">
        <f t="shared" si="21"/>
        <v>3</v>
      </c>
    </row>
    <row r="97" spans="1:22" ht="12.75" customHeight="1" x14ac:dyDescent="0.3">
      <c r="A97" s="15"/>
      <c r="B97" s="28"/>
      <c r="C97" s="29" t="s">
        <v>85</v>
      </c>
      <c r="D97" s="35"/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1</v>
      </c>
      <c r="U97" s="16">
        <v>0</v>
      </c>
      <c r="V97" s="13">
        <f t="shared" si="21"/>
        <v>1</v>
      </c>
    </row>
    <row r="98" spans="1:22" ht="12.75" customHeight="1" x14ac:dyDescent="0.3">
      <c r="A98" s="15"/>
      <c r="B98" s="28"/>
      <c r="C98" s="29" t="s">
        <v>86</v>
      </c>
      <c r="D98" s="30"/>
      <c r="E98" s="16">
        <v>2</v>
      </c>
      <c r="F98" s="16">
        <v>0</v>
      </c>
      <c r="G98" s="16">
        <v>0</v>
      </c>
      <c r="H98" s="16">
        <v>0</v>
      </c>
      <c r="I98" s="16">
        <v>0</v>
      </c>
      <c r="J98" s="16">
        <v>1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1</v>
      </c>
      <c r="R98" s="16">
        <v>0</v>
      </c>
      <c r="S98" s="16">
        <v>3</v>
      </c>
      <c r="T98" s="16">
        <v>0</v>
      </c>
      <c r="U98" s="16">
        <v>0</v>
      </c>
      <c r="V98" s="13">
        <f t="shared" si="21"/>
        <v>7</v>
      </c>
    </row>
    <row r="99" spans="1:22" ht="12.75" customHeight="1" x14ac:dyDescent="0.3">
      <c r="A99" s="15"/>
      <c r="B99" s="28"/>
      <c r="C99" s="29" t="s">
        <v>87</v>
      </c>
      <c r="D99" s="30"/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3">
        <f t="shared" si="21"/>
        <v>0</v>
      </c>
    </row>
    <row r="100" spans="1:22" ht="12.75" customHeight="1" x14ac:dyDescent="0.3">
      <c r="A100" s="15"/>
      <c r="B100" s="28"/>
      <c r="C100" s="29" t="s">
        <v>88</v>
      </c>
      <c r="D100" s="35"/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3">
        <f t="shared" si="21"/>
        <v>0</v>
      </c>
    </row>
    <row r="101" spans="1:22" ht="12.75" customHeight="1" x14ac:dyDescent="0.3">
      <c r="A101" s="15"/>
      <c r="B101" s="28"/>
      <c r="C101" s="29" t="s">
        <v>89</v>
      </c>
      <c r="D101" s="35"/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3">
        <f t="shared" si="21"/>
        <v>0</v>
      </c>
    </row>
    <row r="102" spans="1:22" ht="12.75" customHeight="1" x14ac:dyDescent="0.3">
      <c r="A102" s="15"/>
      <c r="B102" s="28"/>
      <c r="C102" s="29" t="s">
        <v>90</v>
      </c>
      <c r="D102" s="35"/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1</v>
      </c>
      <c r="S102" s="16">
        <v>0</v>
      </c>
      <c r="T102" s="16">
        <v>0</v>
      </c>
      <c r="U102" s="16">
        <v>0</v>
      </c>
      <c r="V102" s="13">
        <f t="shared" si="21"/>
        <v>1</v>
      </c>
    </row>
    <row r="103" spans="1:22" ht="12.75" customHeight="1" x14ac:dyDescent="0.3">
      <c r="A103" s="16" t="s">
        <v>15</v>
      </c>
      <c r="B103" s="59" t="s">
        <v>49</v>
      </c>
      <c r="C103" s="60"/>
      <c r="D103" s="58"/>
      <c r="E103" s="13">
        <f t="shared" ref="E103:V103" si="22">SUM(E93:E102)</f>
        <v>7</v>
      </c>
      <c r="F103" s="13">
        <f t="shared" si="22"/>
        <v>12</v>
      </c>
      <c r="G103" s="13">
        <f t="shared" si="22"/>
        <v>2</v>
      </c>
      <c r="H103" s="13">
        <f t="shared" si="22"/>
        <v>2</v>
      </c>
      <c r="I103" s="13">
        <f t="shared" si="22"/>
        <v>2</v>
      </c>
      <c r="J103" s="13">
        <f t="shared" si="22"/>
        <v>3</v>
      </c>
      <c r="K103" s="13">
        <f t="shared" si="22"/>
        <v>1</v>
      </c>
      <c r="L103" s="13">
        <f t="shared" si="22"/>
        <v>2</v>
      </c>
      <c r="M103" s="13">
        <f t="shared" si="22"/>
        <v>3</v>
      </c>
      <c r="N103" s="13">
        <f t="shared" si="22"/>
        <v>4</v>
      </c>
      <c r="O103" s="13">
        <f t="shared" si="22"/>
        <v>22</v>
      </c>
      <c r="P103" s="13">
        <f t="shared" si="22"/>
        <v>23</v>
      </c>
      <c r="Q103" s="13">
        <f t="shared" si="22"/>
        <v>16</v>
      </c>
      <c r="R103" s="13">
        <f t="shared" si="22"/>
        <v>56</v>
      </c>
      <c r="S103" s="13">
        <f t="shared" si="22"/>
        <v>11</v>
      </c>
      <c r="T103" s="13">
        <f t="shared" si="22"/>
        <v>5</v>
      </c>
      <c r="U103" s="13">
        <f t="shared" si="22"/>
        <v>6</v>
      </c>
      <c r="V103" s="13">
        <f t="shared" si="22"/>
        <v>177</v>
      </c>
    </row>
    <row r="104" spans="1:22" ht="12.75" customHeight="1" x14ac:dyDescent="0.3">
      <c r="A104" s="55"/>
      <c r="B104" s="56"/>
      <c r="C104" s="56"/>
      <c r="D104" s="56"/>
      <c r="E104" s="56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</row>
    <row r="105" spans="1:22" ht="12.75" customHeight="1" x14ac:dyDescent="0.3">
      <c r="A105" s="20" t="s">
        <v>37</v>
      </c>
      <c r="B105" s="27" t="s">
        <v>91</v>
      </c>
      <c r="C105" s="57" t="s">
        <v>92</v>
      </c>
      <c r="D105" s="58"/>
      <c r="E105" s="16">
        <v>1</v>
      </c>
      <c r="F105" s="16">
        <v>1</v>
      </c>
      <c r="G105" s="16">
        <v>0</v>
      </c>
      <c r="H105" s="16">
        <v>0</v>
      </c>
      <c r="I105" s="16">
        <v>0</v>
      </c>
      <c r="J105" s="16">
        <v>1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1</v>
      </c>
      <c r="T105" s="16">
        <v>0</v>
      </c>
      <c r="U105" s="16">
        <v>0</v>
      </c>
      <c r="V105" s="13">
        <f t="shared" ref="V105:V114" si="23">SUM(E105:U105)</f>
        <v>4</v>
      </c>
    </row>
    <row r="106" spans="1:22" ht="12.75" customHeight="1" x14ac:dyDescent="0.3">
      <c r="A106" s="20" t="s">
        <v>39</v>
      </c>
      <c r="B106" s="28"/>
      <c r="C106" s="29" t="s">
        <v>93</v>
      </c>
      <c r="D106" s="30"/>
      <c r="E106" s="16">
        <v>0</v>
      </c>
      <c r="F106" s="16">
        <v>0</v>
      </c>
      <c r="G106" s="16">
        <v>0</v>
      </c>
      <c r="H106" s="16">
        <v>0</v>
      </c>
      <c r="I106" s="16">
        <v>1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1</v>
      </c>
      <c r="R106" s="16">
        <v>1</v>
      </c>
      <c r="S106" s="16">
        <v>0</v>
      </c>
      <c r="T106" s="16">
        <v>0</v>
      </c>
      <c r="U106" s="16">
        <v>1</v>
      </c>
      <c r="V106" s="13">
        <f t="shared" si="23"/>
        <v>4</v>
      </c>
    </row>
    <row r="107" spans="1:22" ht="12.75" customHeight="1" x14ac:dyDescent="0.3">
      <c r="A107" s="15"/>
      <c r="B107" s="28"/>
      <c r="C107" s="29" t="s">
        <v>94</v>
      </c>
      <c r="D107" s="30"/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1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3">
        <f t="shared" si="23"/>
        <v>1</v>
      </c>
    </row>
    <row r="108" spans="1:22" ht="12.75" customHeight="1" x14ac:dyDescent="0.3">
      <c r="A108" s="15"/>
      <c r="B108" s="36"/>
      <c r="C108" s="37"/>
      <c r="D108" s="38"/>
      <c r="E108" s="52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3">
        <f t="shared" si="23"/>
        <v>0</v>
      </c>
    </row>
    <row r="109" spans="1:22" ht="12.75" customHeight="1" x14ac:dyDescent="0.3">
      <c r="A109" s="15"/>
      <c r="B109" s="36"/>
      <c r="C109" s="37"/>
      <c r="D109" s="38"/>
      <c r="E109" s="52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3">
        <f t="shared" si="23"/>
        <v>0</v>
      </c>
    </row>
    <row r="110" spans="1:22" ht="12.75" customHeight="1" x14ac:dyDescent="0.3">
      <c r="A110" s="15"/>
      <c r="B110" s="36"/>
      <c r="C110" s="37"/>
      <c r="D110" s="38"/>
      <c r="E110" s="52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3">
        <f t="shared" si="23"/>
        <v>0</v>
      </c>
    </row>
    <row r="111" spans="1:22" ht="12.75" customHeight="1" x14ac:dyDescent="0.3">
      <c r="A111" s="15"/>
      <c r="B111" s="36"/>
      <c r="C111" s="37"/>
      <c r="D111" s="38"/>
      <c r="E111" s="52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3">
        <f t="shared" si="23"/>
        <v>0</v>
      </c>
    </row>
    <row r="112" spans="1:22" ht="12.75" customHeight="1" x14ac:dyDescent="0.3">
      <c r="A112" s="15"/>
      <c r="B112" s="36"/>
      <c r="C112" s="37"/>
      <c r="D112" s="38"/>
      <c r="E112" s="52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3">
        <f t="shared" si="23"/>
        <v>0</v>
      </c>
    </row>
    <row r="113" spans="1:22" ht="12.75" customHeight="1" x14ac:dyDescent="0.3">
      <c r="A113" s="15"/>
      <c r="B113" s="36"/>
      <c r="C113" s="37"/>
      <c r="D113" s="38"/>
      <c r="E113" s="52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3">
        <f t="shared" si="23"/>
        <v>0</v>
      </c>
    </row>
    <row r="114" spans="1:22" ht="12.75" customHeight="1" x14ac:dyDescent="0.3">
      <c r="A114" s="15"/>
      <c r="B114" s="36"/>
      <c r="C114" s="37"/>
      <c r="D114" s="38"/>
      <c r="E114" s="52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3">
        <f t="shared" si="23"/>
        <v>0</v>
      </c>
    </row>
    <row r="115" spans="1:22" ht="12.75" customHeight="1" x14ac:dyDescent="0.3">
      <c r="A115" s="16" t="s">
        <v>15</v>
      </c>
      <c r="B115" s="59" t="s">
        <v>49</v>
      </c>
      <c r="C115" s="60"/>
      <c r="D115" s="58"/>
      <c r="E115" s="13">
        <f t="shared" ref="E115:V115" si="24">SUM(E105:E114)</f>
        <v>1</v>
      </c>
      <c r="F115" s="13">
        <f t="shared" si="24"/>
        <v>1</v>
      </c>
      <c r="G115" s="13">
        <f t="shared" si="24"/>
        <v>0</v>
      </c>
      <c r="H115" s="13">
        <f t="shared" si="24"/>
        <v>0</v>
      </c>
      <c r="I115" s="13">
        <f t="shared" si="24"/>
        <v>1</v>
      </c>
      <c r="J115" s="13">
        <f t="shared" si="24"/>
        <v>1</v>
      </c>
      <c r="K115" s="13">
        <f t="shared" si="24"/>
        <v>0</v>
      </c>
      <c r="L115" s="13">
        <f t="shared" si="24"/>
        <v>0</v>
      </c>
      <c r="M115" s="13">
        <f t="shared" si="24"/>
        <v>1</v>
      </c>
      <c r="N115" s="13">
        <f t="shared" si="24"/>
        <v>0</v>
      </c>
      <c r="O115" s="13">
        <f t="shared" si="24"/>
        <v>0</v>
      </c>
      <c r="P115" s="13">
        <f t="shared" si="24"/>
        <v>0</v>
      </c>
      <c r="Q115" s="13">
        <f t="shared" si="24"/>
        <v>1</v>
      </c>
      <c r="R115" s="13">
        <f t="shared" si="24"/>
        <v>1</v>
      </c>
      <c r="S115" s="13">
        <f t="shared" si="24"/>
        <v>1</v>
      </c>
      <c r="T115" s="13">
        <f t="shared" si="24"/>
        <v>0</v>
      </c>
      <c r="U115" s="13">
        <f t="shared" si="24"/>
        <v>1</v>
      </c>
      <c r="V115" s="13">
        <f t="shared" si="24"/>
        <v>9</v>
      </c>
    </row>
    <row r="116" spans="1:22" ht="12.75" customHeight="1" x14ac:dyDescent="0.3">
      <c r="A116" s="61"/>
      <c r="B116" s="60"/>
      <c r="C116" s="60"/>
      <c r="D116" s="60"/>
      <c r="E116" s="58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13"/>
    </row>
    <row r="117" spans="1:22" ht="12.75" customHeight="1" x14ac:dyDescent="0.3">
      <c r="A117" s="20" t="s">
        <v>37</v>
      </c>
      <c r="B117" s="27" t="s">
        <v>95</v>
      </c>
      <c r="C117" s="57" t="s">
        <v>96</v>
      </c>
      <c r="D117" s="58"/>
      <c r="E117" s="16">
        <v>0</v>
      </c>
      <c r="F117" s="16">
        <v>2</v>
      </c>
      <c r="G117" s="16">
        <v>1</v>
      </c>
      <c r="H117" s="16">
        <v>0</v>
      </c>
      <c r="I117" s="16">
        <v>0</v>
      </c>
      <c r="J117" s="16">
        <v>1</v>
      </c>
      <c r="K117" s="16">
        <v>2</v>
      </c>
      <c r="L117" s="16">
        <v>1</v>
      </c>
      <c r="M117" s="16">
        <v>2</v>
      </c>
      <c r="N117" s="16">
        <v>2</v>
      </c>
      <c r="O117" s="16">
        <v>1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1</v>
      </c>
      <c r="V117" s="13">
        <f t="shared" ref="V117:V126" si="25">SUM(E117:U117)</f>
        <v>13</v>
      </c>
    </row>
    <row r="118" spans="1:22" ht="12.75" customHeight="1" x14ac:dyDescent="0.3">
      <c r="A118" s="20" t="s">
        <v>39</v>
      </c>
      <c r="B118" s="28"/>
      <c r="C118" s="29" t="s">
        <v>97</v>
      </c>
      <c r="D118" s="30"/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1</v>
      </c>
      <c r="T118" s="16">
        <v>0</v>
      </c>
      <c r="U118" s="16">
        <v>0</v>
      </c>
      <c r="V118" s="13">
        <f t="shared" si="25"/>
        <v>1</v>
      </c>
    </row>
    <row r="119" spans="1:22" ht="12.75" customHeight="1" x14ac:dyDescent="0.3">
      <c r="A119" s="15"/>
      <c r="B119" s="28"/>
      <c r="C119" s="29" t="s">
        <v>98</v>
      </c>
      <c r="D119" s="30"/>
      <c r="E119" s="16">
        <v>0</v>
      </c>
      <c r="F119" s="16">
        <v>0</v>
      </c>
      <c r="G119" s="16">
        <v>0</v>
      </c>
      <c r="H119" s="16">
        <v>0</v>
      </c>
      <c r="I119" s="16">
        <v>1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3">
        <f t="shared" si="25"/>
        <v>1</v>
      </c>
    </row>
    <row r="120" spans="1:22" ht="12.75" customHeight="1" x14ac:dyDescent="0.3">
      <c r="A120" s="15"/>
      <c r="B120" s="28"/>
      <c r="C120" s="29" t="s">
        <v>99</v>
      </c>
      <c r="D120" s="30"/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1</v>
      </c>
      <c r="L120" s="16">
        <v>0</v>
      </c>
      <c r="M120" s="16">
        <v>0</v>
      </c>
      <c r="N120" s="16">
        <v>1</v>
      </c>
      <c r="O120" s="16">
        <v>0</v>
      </c>
      <c r="P120" s="16">
        <v>0</v>
      </c>
      <c r="Q120" s="16">
        <v>0</v>
      </c>
      <c r="R120" s="16">
        <v>1</v>
      </c>
      <c r="S120" s="16">
        <v>0</v>
      </c>
      <c r="T120" s="16">
        <v>0</v>
      </c>
      <c r="U120" s="16">
        <v>0</v>
      </c>
      <c r="V120" s="13">
        <f t="shared" si="25"/>
        <v>3</v>
      </c>
    </row>
    <row r="121" spans="1:22" ht="12.75" customHeight="1" x14ac:dyDescent="0.3">
      <c r="A121" s="15"/>
      <c r="B121" s="28"/>
      <c r="C121" s="29" t="s">
        <v>100</v>
      </c>
      <c r="D121" s="30"/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3">
        <f t="shared" si="25"/>
        <v>0</v>
      </c>
    </row>
    <row r="122" spans="1:22" ht="12.75" customHeight="1" x14ac:dyDescent="0.3">
      <c r="A122" s="15"/>
      <c r="B122" s="28"/>
      <c r="C122" s="29" t="s">
        <v>101</v>
      </c>
      <c r="D122" s="30"/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1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3">
        <f t="shared" si="25"/>
        <v>1</v>
      </c>
    </row>
    <row r="123" spans="1:22" ht="12.75" customHeight="1" x14ac:dyDescent="0.3">
      <c r="A123" s="15"/>
      <c r="B123" s="36"/>
      <c r="C123" s="37"/>
      <c r="D123" s="40"/>
      <c r="E123" s="41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13">
        <f t="shared" si="25"/>
        <v>0</v>
      </c>
    </row>
    <row r="124" spans="1:22" ht="12.75" customHeight="1" x14ac:dyDescent="0.3">
      <c r="A124" s="15"/>
      <c r="B124" s="36"/>
      <c r="C124" s="37"/>
      <c r="D124" s="38"/>
      <c r="E124" s="41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13">
        <f t="shared" si="25"/>
        <v>0</v>
      </c>
    </row>
    <row r="125" spans="1:22" ht="12.75" customHeight="1" x14ac:dyDescent="0.3">
      <c r="A125" s="15"/>
      <c r="B125" s="36"/>
      <c r="C125" s="37"/>
      <c r="D125" s="38"/>
      <c r="E125" s="41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13">
        <f t="shared" si="25"/>
        <v>0</v>
      </c>
    </row>
    <row r="126" spans="1:22" ht="12.75" customHeight="1" x14ac:dyDescent="0.3">
      <c r="A126" s="15"/>
      <c r="B126" s="36"/>
      <c r="C126" s="37"/>
      <c r="D126" s="38"/>
      <c r="E126" s="41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13">
        <f t="shared" si="25"/>
        <v>0</v>
      </c>
    </row>
    <row r="127" spans="1:22" ht="12.75" customHeight="1" x14ac:dyDescent="0.3">
      <c r="A127" s="16" t="s">
        <v>15</v>
      </c>
      <c r="B127" s="59" t="s">
        <v>49</v>
      </c>
      <c r="C127" s="60"/>
      <c r="D127" s="58"/>
      <c r="E127" s="13">
        <f t="shared" ref="E127:V127" si="26">SUM(E117:E126)</f>
        <v>0</v>
      </c>
      <c r="F127" s="13">
        <f t="shared" si="26"/>
        <v>2</v>
      </c>
      <c r="G127" s="13">
        <f t="shared" si="26"/>
        <v>1</v>
      </c>
      <c r="H127" s="13">
        <f t="shared" si="26"/>
        <v>0</v>
      </c>
      <c r="I127" s="13">
        <f t="shared" si="26"/>
        <v>1</v>
      </c>
      <c r="J127" s="13">
        <f t="shared" si="26"/>
        <v>1</v>
      </c>
      <c r="K127" s="13">
        <f t="shared" si="26"/>
        <v>3</v>
      </c>
      <c r="L127" s="13">
        <f t="shared" si="26"/>
        <v>1</v>
      </c>
      <c r="M127" s="13">
        <f t="shared" si="26"/>
        <v>3</v>
      </c>
      <c r="N127" s="13">
        <f t="shared" si="26"/>
        <v>3</v>
      </c>
      <c r="O127" s="13">
        <f t="shared" si="26"/>
        <v>1</v>
      </c>
      <c r="P127" s="13">
        <f t="shared" si="26"/>
        <v>0</v>
      </c>
      <c r="Q127" s="13">
        <f t="shared" si="26"/>
        <v>0</v>
      </c>
      <c r="R127" s="13">
        <f t="shared" si="26"/>
        <v>1</v>
      </c>
      <c r="S127" s="13">
        <f t="shared" si="26"/>
        <v>1</v>
      </c>
      <c r="T127" s="13">
        <f t="shared" si="26"/>
        <v>0</v>
      </c>
      <c r="U127" s="13">
        <f t="shared" si="26"/>
        <v>1</v>
      </c>
      <c r="V127" s="13">
        <f t="shared" si="26"/>
        <v>19</v>
      </c>
    </row>
    <row r="128" spans="1:22" ht="12.75" customHeight="1" x14ac:dyDescent="0.3">
      <c r="A128" s="61"/>
      <c r="B128" s="60"/>
      <c r="C128" s="60"/>
      <c r="D128" s="60"/>
      <c r="E128" s="58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</row>
    <row r="129" spans="1:22" ht="12.75" customHeight="1" x14ac:dyDescent="0.3">
      <c r="A129" s="20" t="s">
        <v>37</v>
      </c>
      <c r="B129" s="27" t="s">
        <v>102</v>
      </c>
      <c r="C129" s="57" t="s">
        <v>103</v>
      </c>
      <c r="D129" s="58"/>
      <c r="E129" s="16">
        <v>0</v>
      </c>
      <c r="F129" s="16">
        <v>1</v>
      </c>
      <c r="G129" s="16">
        <v>0</v>
      </c>
      <c r="H129" s="16">
        <v>1</v>
      </c>
      <c r="I129" s="16">
        <v>3</v>
      </c>
      <c r="J129" s="16">
        <v>0</v>
      </c>
      <c r="K129" s="16">
        <v>0</v>
      </c>
      <c r="L129" s="16">
        <v>0</v>
      </c>
      <c r="M129" s="16">
        <v>0</v>
      </c>
      <c r="N129" s="16">
        <v>2</v>
      </c>
      <c r="O129" s="16">
        <v>0</v>
      </c>
      <c r="P129" s="16">
        <v>1</v>
      </c>
      <c r="Q129" s="16">
        <v>0</v>
      </c>
      <c r="R129" s="16">
        <v>0</v>
      </c>
      <c r="S129" s="16">
        <v>0</v>
      </c>
      <c r="T129" s="16">
        <v>0</v>
      </c>
      <c r="U129" s="16">
        <v>1</v>
      </c>
      <c r="V129" s="13">
        <f t="shared" ref="V129:V138" si="27">SUM(E129:U129)</f>
        <v>9</v>
      </c>
    </row>
    <row r="130" spans="1:22" ht="12.75" customHeight="1" x14ac:dyDescent="0.3">
      <c r="A130" s="20" t="s">
        <v>39</v>
      </c>
      <c r="B130" s="28"/>
      <c r="C130" s="29" t="s">
        <v>104</v>
      </c>
      <c r="D130" s="30"/>
      <c r="E130" s="16">
        <v>0</v>
      </c>
      <c r="F130" s="16">
        <v>0</v>
      </c>
      <c r="G130" s="16">
        <v>0</v>
      </c>
      <c r="H130" s="16">
        <v>1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1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3">
        <f t="shared" si="27"/>
        <v>2</v>
      </c>
    </row>
    <row r="131" spans="1:22" ht="12.75" customHeight="1" x14ac:dyDescent="0.3">
      <c r="A131" s="15"/>
      <c r="B131" s="28"/>
      <c r="C131" s="29" t="s">
        <v>105</v>
      </c>
      <c r="D131" s="30"/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1</v>
      </c>
      <c r="M131" s="16">
        <v>0</v>
      </c>
      <c r="N131" s="16">
        <v>0</v>
      </c>
      <c r="O131" s="16">
        <v>0</v>
      </c>
      <c r="P131" s="16">
        <v>0</v>
      </c>
      <c r="Q131" s="16">
        <v>1</v>
      </c>
      <c r="R131" s="16">
        <v>0</v>
      </c>
      <c r="S131" s="16">
        <v>0</v>
      </c>
      <c r="T131" s="16">
        <v>0</v>
      </c>
      <c r="U131" s="16">
        <v>0</v>
      </c>
      <c r="V131" s="13">
        <f t="shared" si="27"/>
        <v>2</v>
      </c>
    </row>
    <row r="132" spans="1:22" ht="12.75" customHeight="1" x14ac:dyDescent="0.3">
      <c r="A132" s="15"/>
      <c r="B132" s="28"/>
      <c r="C132" s="29" t="s">
        <v>106</v>
      </c>
      <c r="D132" s="30"/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1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3">
        <f t="shared" si="27"/>
        <v>1</v>
      </c>
    </row>
    <row r="133" spans="1:22" ht="12.75" customHeight="1" x14ac:dyDescent="0.3">
      <c r="A133" s="15"/>
      <c r="B133" s="28"/>
      <c r="C133" s="29" t="s">
        <v>107</v>
      </c>
      <c r="D133" s="30"/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1</v>
      </c>
      <c r="V133" s="13">
        <f t="shared" si="27"/>
        <v>1</v>
      </c>
    </row>
    <row r="134" spans="1:22" ht="12.75" customHeight="1" x14ac:dyDescent="0.3">
      <c r="A134" s="15"/>
      <c r="B134" s="28"/>
      <c r="C134" s="29" t="s">
        <v>108</v>
      </c>
      <c r="D134" s="30"/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3">
        <f t="shared" si="27"/>
        <v>0</v>
      </c>
    </row>
    <row r="135" spans="1:22" ht="12.75" customHeight="1" x14ac:dyDescent="0.3">
      <c r="A135" s="15"/>
      <c r="B135" s="28"/>
      <c r="C135" s="29" t="s">
        <v>109</v>
      </c>
      <c r="D135" s="30"/>
      <c r="E135" s="16">
        <v>0</v>
      </c>
      <c r="F135" s="16">
        <v>0</v>
      </c>
      <c r="G135" s="16">
        <v>0</v>
      </c>
      <c r="H135" s="16">
        <v>1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1</v>
      </c>
      <c r="V135" s="13">
        <f t="shared" si="27"/>
        <v>2</v>
      </c>
    </row>
    <row r="136" spans="1:22" ht="12.75" customHeight="1" x14ac:dyDescent="0.3">
      <c r="A136" s="15"/>
      <c r="B136" s="28"/>
      <c r="C136" s="29" t="s">
        <v>110</v>
      </c>
      <c r="D136" s="30"/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3">
        <f t="shared" si="27"/>
        <v>0</v>
      </c>
    </row>
    <row r="137" spans="1:22" ht="12.75" customHeight="1" x14ac:dyDescent="0.3">
      <c r="A137" s="15"/>
      <c r="B137" s="28"/>
      <c r="C137" s="29" t="s">
        <v>111</v>
      </c>
      <c r="D137" s="30"/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3">
        <f t="shared" si="27"/>
        <v>0</v>
      </c>
    </row>
    <row r="138" spans="1:22" ht="12.75" customHeight="1" x14ac:dyDescent="0.3">
      <c r="A138" s="15"/>
      <c r="B138" s="28"/>
      <c r="C138" s="29" t="s">
        <v>112</v>
      </c>
      <c r="D138" s="30"/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3">
        <f t="shared" si="27"/>
        <v>0</v>
      </c>
    </row>
    <row r="139" spans="1:22" ht="12.75" customHeight="1" x14ac:dyDescent="0.3">
      <c r="A139" s="16" t="s">
        <v>15</v>
      </c>
      <c r="B139" s="59" t="s">
        <v>49</v>
      </c>
      <c r="C139" s="60"/>
      <c r="D139" s="58"/>
      <c r="E139" s="13">
        <f t="shared" ref="E139:V139" si="28">SUM(E129:E138)</f>
        <v>0</v>
      </c>
      <c r="F139" s="13">
        <f t="shared" si="28"/>
        <v>1</v>
      </c>
      <c r="G139" s="13">
        <f t="shared" si="28"/>
        <v>0</v>
      </c>
      <c r="H139" s="13">
        <f t="shared" si="28"/>
        <v>3</v>
      </c>
      <c r="I139" s="13">
        <f t="shared" si="28"/>
        <v>3</v>
      </c>
      <c r="J139" s="13">
        <f t="shared" si="28"/>
        <v>0</v>
      </c>
      <c r="K139" s="13">
        <f t="shared" si="28"/>
        <v>1</v>
      </c>
      <c r="L139" s="13">
        <f t="shared" si="28"/>
        <v>1</v>
      </c>
      <c r="M139" s="13">
        <f t="shared" si="28"/>
        <v>0</v>
      </c>
      <c r="N139" s="13">
        <f t="shared" si="28"/>
        <v>3</v>
      </c>
      <c r="O139" s="13">
        <f t="shared" si="28"/>
        <v>0</v>
      </c>
      <c r="P139" s="13">
        <f t="shared" si="28"/>
        <v>1</v>
      </c>
      <c r="Q139" s="13">
        <f t="shared" si="28"/>
        <v>1</v>
      </c>
      <c r="R139" s="13">
        <f t="shared" si="28"/>
        <v>0</v>
      </c>
      <c r="S139" s="13">
        <f t="shared" si="28"/>
        <v>0</v>
      </c>
      <c r="T139" s="13">
        <f t="shared" si="28"/>
        <v>0</v>
      </c>
      <c r="U139" s="13">
        <f t="shared" si="28"/>
        <v>3</v>
      </c>
      <c r="V139" s="13">
        <f t="shared" si="28"/>
        <v>17</v>
      </c>
    </row>
    <row r="140" spans="1:22" ht="12.75" customHeight="1" x14ac:dyDescent="0.3">
      <c r="A140" s="61"/>
      <c r="B140" s="60"/>
      <c r="C140" s="60"/>
      <c r="D140" s="60"/>
      <c r="E140" s="58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</row>
    <row r="141" spans="1:22" ht="12.75" customHeight="1" x14ac:dyDescent="0.3">
      <c r="A141" s="20" t="s">
        <v>37</v>
      </c>
      <c r="B141" s="27" t="s">
        <v>113</v>
      </c>
      <c r="C141" s="57" t="s">
        <v>114</v>
      </c>
      <c r="D141" s="58"/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3">
        <f t="shared" ref="V141:V150" si="29">SUM(E141:U141)</f>
        <v>0</v>
      </c>
    </row>
    <row r="142" spans="1:22" ht="12.75" customHeight="1" x14ac:dyDescent="0.3">
      <c r="A142" s="20" t="s">
        <v>39</v>
      </c>
      <c r="B142" s="28"/>
      <c r="C142" s="29" t="s">
        <v>115</v>
      </c>
      <c r="D142" s="30"/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3">
        <f t="shared" si="29"/>
        <v>0</v>
      </c>
    </row>
    <row r="143" spans="1:22" ht="12.75" customHeight="1" x14ac:dyDescent="0.3">
      <c r="A143" s="15"/>
      <c r="B143" s="28"/>
      <c r="C143" s="29" t="s">
        <v>116</v>
      </c>
      <c r="D143" s="30"/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3">
        <f t="shared" si="29"/>
        <v>0</v>
      </c>
    </row>
    <row r="144" spans="1:22" ht="12.75" customHeight="1" x14ac:dyDescent="0.3">
      <c r="A144" s="15"/>
      <c r="B144" s="28"/>
      <c r="C144" s="29" t="s">
        <v>117</v>
      </c>
      <c r="D144" s="30"/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3">
        <f t="shared" si="29"/>
        <v>0</v>
      </c>
    </row>
    <row r="145" spans="1:22" ht="12.75" customHeight="1" x14ac:dyDescent="0.3">
      <c r="A145" s="15"/>
      <c r="B145" s="36"/>
      <c r="C145" s="37"/>
      <c r="D145" s="40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3">
        <f t="shared" si="29"/>
        <v>0</v>
      </c>
    </row>
    <row r="146" spans="1:22" ht="12.75" customHeight="1" x14ac:dyDescent="0.3">
      <c r="A146" s="15"/>
      <c r="B146" s="36"/>
      <c r="C146" s="37"/>
      <c r="D146" s="40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3">
        <f t="shared" si="29"/>
        <v>0</v>
      </c>
    </row>
    <row r="147" spans="1:22" ht="12.75" customHeight="1" x14ac:dyDescent="0.3">
      <c r="A147" s="15"/>
      <c r="B147" s="36"/>
      <c r="C147" s="37"/>
      <c r="D147" s="40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3">
        <f t="shared" si="29"/>
        <v>0</v>
      </c>
    </row>
    <row r="148" spans="1:22" ht="12.75" customHeight="1" x14ac:dyDescent="0.3">
      <c r="A148" s="15"/>
      <c r="B148" s="36"/>
      <c r="C148" s="37"/>
      <c r="D148" s="38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3">
        <f t="shared" si="29"/>
        <v>0</v>
      </c>
    </row>
    <row r="149" spans="1:22" ht="12.75" customHeight="1" x14ac:dyDescent="0.3">
      <c r="A149" s="15"/>
      <c r="B149" s="36"/>
      <c r="C149" s="37"/>
      <c r="D149" s="38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3">
        <f t="shared" si="29"/>
        <v>0</v>
      </c>
    </row>
    <row r="150" spans="1:22" ht="12.75" customHeight="1" x14ac:dyDescent="0.3">
      <c r="A150" s="15"/>
      <c r="B150" s="36"/>
      <c r="C150" s="37"/>
      <c r="D150" s="38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3">
        <f t="shared" si="29"/>
        <v>0</v>
      </c>
    </row>
    <row r="151" spans="1:22" ht="12.75" customHeight="1" x14ac:dyDescent="0.3">
      <c r="A151" s="16" t="s">
        <v>15</v>
      </c>
      <c r="B151" s="59" t="s">
        <v>49</v>
      </c>
      <c r="C151" s="60"/>
      <c r="D151" s="58"/>
      <c r="E151" s="13">
        <f t="shared" ref="E151:V151" si="30">SUM(E141:E150)</f>
        <v>0</v>
      </c>
      <c r="F151" s="13">
        <f t="shared" si="30"/>
        <v>0</v>
      </c>
      <c r="G151" s="13">
        <f t="shared" si="30"/>
        <v>0</v>
      </c>
      <c r="H151" s="13">
        <f t="shared" si="30"/>
        <v>0</v>
      </c>
      <c r="I151" s="13">
        <f t="shared" si="30"/>
        <v>0</v>
      </c>
      <c r="J151" s="13">
        <f t="shared" si="30"/>
        <v>0</v>
      </c>
      <c r="K151" s="13">
        <f t="shared" si="30"/>
        <v>0</v>
      </c>
      <c r="L151" s="13">
        <f t="shared" si="30"/>
        <v>0</v>
      </c>
      <c r="M151" s="13">
        <f t="shared" si="30"/>
        <v>0</v>
      </c>
      <c r="N151" s="13">
        <f t="shared" si="30"/>
        <v>0</v>
      </c>
      <c r="O151" s="13">
        <f t="shared" si="30"/>
        <v>0</v>
      </c>
      <c r="P151" s="13">
        <f t="shared" si="30"/>
        <v>0</v>
      </c>
      <c r="Q151" s="13">
        <f t="shared" si="30"/>
        <v>0</v>
      </c>
      <c r="R151" s="13">
        <f t="shared" si="30"/>
        <v>0</v>
      </c>
      <c r="S151" s="13">
        <f t="shared" si="30"/>
        <v>0</v>
      </c>
      <c r="T151" s="13">
        <f t="shared" si="30"/>
        <v>0</v>
      </c>
      <c r="U151" s="13">
        <f t="shared" si="30"/>
        <v>0</v>
      </c>
      <c r="V151" s="13">
        <f t="shared" si="30"/>
        <v>0</v>
      </c>
    </row>
    <row r="152" spans="1:22" ht="12.75" customHeight="1" x14ac:dyDescent="0.3">
      <c r="A152" s="61"/>
      <c r="B152" s="60"/>
      <c r="C152" s="60"/>
      <c r="D152" s="60"/>
      <c r="E152" s="58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13"/>
    </row>
    <row r="153" spans="1:22" ht="12.75" customHeight="1" x14ac:dyDescent="0.3">
      <c r="A153" s="20" t="s">
        <v>37</v>
      </c>
      <c r="B153" s="14" t="s">
        <v>118</v>
      </c>
      <c r="C153" s="62" t="s">
        <v>119</v>
      </c>
      <c r="D153" s="63"/>
      <c r="E153" s="16">
        <v>2</v>
      </c>
      <c r="F153" s="16">
        <v>2</v>
      </c>
      <c r="G153" s="16">
        <v>1</v>
      </c>
      <c r="H153" s="16">
        <v>0</v>
      </c>
      <c r="I153" s="16">
        <v>0</v>
      </c>
      <c r="J153" s="16">
        <v>0</v>
      </c>
      <c r="K153" s="16">
        <v>1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2</v>
      </c>
      <c r="T153" s="16">
        <v>1</v>
      </c>
      <c r="U153" s="16">
        <v>0</v>
      </c>
      <c r="V153" s="13">
        <f t="shared" ref="V153:V156" si="31">SUM(E154:U154)</f>
        <v>8</v>
      </c>
    </row>
    <row r="154" spans="1:22" ht="12.75" customHeight="1" x14ac:dyDescent="0.3">
      <c r="A154" s="42" t="s">
        <v>39</v>
      </c>
      <c r="B154" s="28"/>
      <c r="C154" s="29" t="s">
        <v>120</v>
      </c>
      <c r="D154" s="30"/>
      <c r="E154" s="53">
        <v>0</v>
      </c>
      <c r="F154" s="16">
        <v>2</v>
      </c>
      <c r="G154" s="16">
        <v>0</v>
      </c>
      <c r="H154" s="16">
        <v>0</v>
      </c>
      <c r="I154" s="16">
        <v>0</v>
      </c>
      <c r="J154" s="16">
        <v>1</v>
      </c>
      <c r="K154" s="16">
        <v>0</v>
      </c>
      <c r="L154" s="16">
        <v>0</v>
      </c>
      <c r="M154" s="16">
        <v>1</v>
      </c>
      <c r="N154" s="16">
        <v>1</v>
      </c>
      <c r="O154" s="16">
        <v>0</v>
      </c>
      <c r="P154" s="16">
        <v>1</v>
      </c>
      <c r="Q154" s="16">
        <v>0</v>
      </c>
      <c r="R154" s="16">
        <v>0</v>
      </c>
      <c r="S154" s="16">
        <v>1</v>
      </c>
      <c r="T154" s="16">
        <v>0</v>
      </c>
      <c r="U154" s="16">
        <v>1</v>
      </c>
      <c r="V154" s="13">
        <f t="shared" si="31"/>
        <v>15</v>
      </c>
    </row>
    <row r="155" spans="1:22" ht="12.75" customHeight="1" x14ac:dyDescent="0.3">
      <c r="A155" s="15"/>
      <c r="B155" s="28"/>
      <c r="C155" s="29" t="s">
        <v>121</v>
      </c>
      <c r="D155" s="30"/>
      <c r="E155" s="53">
        <v>0</v>
      </c>
      <c r="F155" s="16">
        <v>6</v>
      </c>
      <c r="G155" s="16">
        <v>1</v>
      </c>
      <c r="H155" s="16">
        <v>0</v>
      </c>
      <c r="I155" s="16">
        <v>0</v>
      </c>
      <c r="J155" s="16">
        <v>2</v>
      </c>
      <c r="K155" s="16">
        <v>5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1</v>
      </c>
      <c r="S155" s="16">
        <v>0</v>
      </c>
      <c r="T155" s="16">
        <v>0</v>
      </c>
      <c r="U155" s="16">
        <v>0</v>
      </c>
      <c r="V155" s="13">
        <f t="shared" si="31"/>
        <v>4</v>
      </c>
    </row>
    <row r="156" spans="1:22" ht="12.75" customHeight="1" x14ac:dyDescent="0.3">
      <c r="A156" s="15"/>
      <c r="B156" s="28"/>
      <c r="C156" s="29" t="s">
        <v>122</v>
      </c>
      <c r="D156" s="30"/>
      <c r="E156" s="53">
        <v>0</v>
      </c>
      <c r="F156" s="16">
        <v>1</v>
      </c>
      <c r="G156" s="16">
        <v>0</v>
      </c>
      <c r="H156" s="16">
        <v>0</v>
      </c>
      <c r="I156" s="16">
        <v>0</v>
      </c>
      <c r="J156" s="16">
        <v>2</v>
      </c>
      <c r="K156" s="16">
        <v>1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3">
        <f t="shared" si="31"/>
        <v>2</v>
      </c>
    </row>
    <row r="157" spans="1:22" ht="12.75" customHeight="1" x14ac:dyDescent="0.3">
      <c r="A157" s="15"/>
      <c r="B157" s="28"/>
      <c r="C157" s="29" t="s">
        <v>123</v>
      </c>
      <c r="D157" s="30"/>
      <c r="E157" s="53">
        <v>0</v>
      </c>
      <c r="F157" s="16">
        <v>1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1</v>
      </c>
      <c r="T157" s="16">
        <v>0</v>
      </c>
      <c r="U157" s="16">
        <v>0</v>
      </c>
      <c r="V157" s="13">
        <f t="shared" ref="V157:V162" si="32">SUM(E163:U163)</f>
        <v>39</v>
      </c>
    </row>
    <row r="158" spans="1:22" ht="12.75" customHeight="1" x14ac:dyDescent="0.3">
      <c r="A158" s="15"/>
      <c r="B158" s="28"/>
      <c r="C158" s="29" t="s">
        <v>124</v>
      </c>
      <c r="D158" s="30"/>
      <c r="E158" s="53">
        <v>0</v>
      </c>
      <c r="F158" s="16">
        <v>0</v>
      </c>
      <c r="G158" s="16">
        <v>0</v>
      </c>
      <c r="H158" s="16">
        <v>0</v>
      </c>
      <c r="I158" s="16">
        <v>1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3">
        <f t="shared" si="32"/>
        <v>0</v>
      </c>
    </row>
    <row r="159" spans="1:22" ht="12.75" customHeight="1" x14ac:dyDescent="0.3">
      <c r="A159" s="15"/>
      <c r="B159" s="28"/>
      <c r="C159" s="29" t="s">
        <v>125</v>
      </c>
      <c r="D159" s="30"/>
      <c r="E159" s="53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3">
        <f t="shared" si="32"/>
        <v>4</v>
      </c>
    </row>
    <row r="160" spans="1:22" ht="12.75" customHeight="1" x14ac:dyDescent="0.3">
      <c r="A160" s="15"/>
      <c r="B160" s="28"/>
      <c r="C160" s="29" t="s">
        <v>126</v>
      </c>
      <c r="D160" s="30"/>
      <c r="E160" s="53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3">
        <f t="shared" si="32"/>
        <v>5</v>
      </c>
    </row>
    <row r="161" spans="1:22" ht="12.75" customHeight="1" x14ac:dyDescent="0.3">
      <c r="A161" s="15"/>
      <c r="B161" s="36"/>
      <c r="C161" s="43"/>
      <c r="D161" s="38"/>
      <c r="E161" s="53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3">
        <f t="shared" si="32"/>
        <v>0</v>
      </c>
    </row>
    <row r="162" spans="1:22" ht="12.75" customHeight="1" x14ac:dyDescent="0.3">
      <c r="A162" s="15"/>
      <c r="B162" s="36"/>
      <c r="C162" s="43"/>
      <c r="D162" s="38"/>
      <c r="E162" s="53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3">
        <f t="shared" si="32"/>
        <v>0</v>
      </c>
    </row>
    <row r="163" spans="1:22" ht="12.75" customHeight="1" x14ac:dyDescent="0.3">
      <c r="A163" s="16" t="s">
        <v>15</v>
      </c>
      <c r="B163" s="64" t="s">
        <v>49</v>
      </c>
      <c r="C163" s="56"/>
      <c r="D163" s="65"/>
      <c r="E163" s="13">
        <f t="shared" ref="E163:V163" si="33">SUM(E153:E162)</f>
        <v>2</v>
      </c>
      <c r="F163" s="13">
        <f t="shared" si="33"/>
        <v>12</v>
      </c>
      <c r="G163" s="13">
        <f t="shared" si="33"/>
        <v>2</v>
      </c>
      <c r="H163" s="13">
        <f t="shared" si="33"/>
        <v>0</v>
      </c>
      <c r="I163" s="13">
        <f t="shared" si="33"/>
        <v>1</v>
      </c>
      <c r="J163" s="13">
        <f t="shared" si="33"/>
        <v>5</v>
      </c>
      <c r="K163" s="13">
        <f t="shared" si="33"/>
        <v>7</v>
      </c>
      <c r="L163" s="13">
        <f t="shared" si="33"/>
        <v>0</v>
      </c>
      <c r="M163" s="13">
        <f t="shared" si="33"/>
        <v>1</v>
      </c>
      <c r="N163" s="13">
        <f t="shared" si="33"/>
        <v>1</v>
      </c>
      <c r="O163" s="13">
        <f t="shared" si="33"/>
        <v>0</v>
      </c>
      <c r="P163" s="13">
        <f t="shared" si="33"/>
        <v>1</v>
      </c>
      <c r="Q163" s="13">
        <f t="shared" si="33"/>
        <v>0</v>
      </c>
      <c r="R163" s="13">
        <f t="shared" si="33"/>
        <v>1</v>
      </c>
      <c r="S163" s="13">
        <f t="shared" si="33"/>
        <v>4</v>
      </c>
      <c r="T163" s="13">
        <f t="shared" si="33"/>
        <v>1</v>
      </c>
      <c r="U163" s="13">
        <f t="shared" si="33"/>
        <v>1</v>
      </c>
      <c r="V163" s="13">
        <f t="shared" si="33"/>
        <v>77</v>
      </c>
    </row>
    <row r="164" spans="1:22" ht="12.75" customHeight="1" x14ac:dyDescent="0.3">
      <c r="A164" s="61"/>
      <c r="B164" s="60"/>
      <c r="C164" s="60"/>
      <c r="D164" s="60"/>
      <c r="E164" s="58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</row>
    <row r="165" spans="1:22" ht="12.75" customHeight="1" x14ac:dyDescent="0.3">
      <c r="A165" s="20" t="s">
        <v>37</v>
      </c>
      <c r="B165" s="27" t="s">
        <v>127</v>
      </c>
      <c r="C165" s="57" t="s">
        <v>128</v>
      </c>
      <c r="D165" s="58"/>
      <c r="E165" s="16">
        <v>0</v>
      </c>
      <c r="F165" s="16">
        <v>0</v>
      </c>
      <c r="G165" s="16">
        <v>0</v>
      </c>
      <c r="H165" s="16">
        <v>1</v>
      </c>
      <c r="I165" s="16">
        <v>0</v>
      </c>
      <c r="J165" s="16">
        <v>1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1</v>
      </c>
      <c r="S165" s="16">
        <v>0</v>
      </c>
      <c r="T165" s="16">
        <v>0</v>
      </c>
      <c r="U165" s="16">
        <v>1</v>
      </c>
      <c r="V165" s="13">
        <f t="shared" ref="V165:V174" si="34">SUM(E165:U165)</f>
        <v>4</v>
      </c>
    </row>
    <row r="166" spans="1:22" ht="12.75" customHeight="1" x14ac:dyDescent="0.3">
      <c r="A166" s="20" t="s">
        <v>39</v>
      </c>
      <c r="B166" s="28"/>
      <c r="C166" s="29" t="s">
        <v>129</v>
      </c>
      <c r="D166" s="30"/>
      <c r="E166" s="16">
        <v>0</v>
      </c>
      <c r="F166" s="16">
        <v>1</v>
      </c>
      <c r="G166" s="16">
        <v>0</v>
      </c>
      <c r="H166" s="16">
        <v>0</v>
      </c>
      <c r="I166" s="16">
        <v>1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1</v>
      </c>
      <c r="R166" s="16">
        <v>0</v>
      </c>
      <c r="S166" s="16">
        <v>0</v>
      </c>
      <c r="T166" s="16">
        <v>1</v>
      </c>
      <c r="U166" s="16">
        <v>1</v>
      </c>
      <c r="V166" s="13">
        <f t="shared" si="34"/>
        <v>5</v>
      </c>
    </row>
    <row r="167" spans="1:22" ht="12.75" customHeight="1" x14ac:dyDescent="0.3">
      <c r="A167" s="15"/>
      <c r="B167" s="36"/>
      <c r="C167" s="37"/>
      <c r="D167" s="38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3">
        <f t="shared" si="34"/>
        <v>0</v>
      </c>
    </row>
    <row r="168" spans="1:22" ht="12.75" customHeight="1" x14ac:dyDescent="0.3">
      <c r="A168" s="15"/>
      <c r="B168" s="36"/>
      <c r="C168" s="37"/>
      <c r="D168" s="38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3">
        <f t="shared" si="34"/>
        <v>0</v>
      </c>
    </row>
    <row r="169" spans="1:22" ht="12.75" customHeight="1" x14ac:dyDescent="0.3">
      <c r="A169" s="15"/>
      <c r="B169" s="36"/>
      <c r="C169" s="37"/>
      <c r="D169" s="38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3">
        <f t="shared" si="34"/>
        <v>0</v>
      </c>
    </row>
    <row r="170" spans="1:22" ht="12.75" customHeight="1" x14ac:dyDescent="0.3">
      <c r="A170" s="15"/>
      <c r="B170" s="36"/>
      <c r="C170" s="37"/>
      <c r="D170" s="38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3">
        <f t="shared" si="34"/>
        <v>0</v>
      </c>
    </row>
    <row r="171" spans="1:22" ht="12.75" customHeight="1" x14ac:dyDescent="0.3">
      <c r="A171" s="15"/>
      <c r="B171" s="36"/>
      <c r="C171" s="37"/>
      <c r="D171" s="38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3">
        <f t="shared" si="34"/>
        <v>0</v>
      </c>
    </row>
    <row r="172" spans="1:22" ht="12.75" customHeight="1" x14ac:dyDescent="0.3">
      <c r="A172" s="15"/>
      <c r="B172" s="36"/>
      <c r="C172" s="37"/>
      <c r="D172" s="38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3">
        <f t="shared" si="34"/>
        <v>0</v>
      </c>
    </row>
    <row r="173" spans="1:22" ht="12.75" customHeight="1" x14ac:dyDescent="0.3">
      <c r="A173" s="15"/>
      <c r="B173" s="36"/>
      <c r="C173" s="37"/>
      <c r="D173" s="38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3">
        <f t="shared" si="34"/>
        <v>0</v>
      </c>
    </row>
    <row r="174" spans="1:22" ht="12.75" customHeight="1" x14ac:dyDescent="0.3">
      <c r="A174" s="15"/>
      <c r="B174" s="36"/>
      <c r="C174" s="37"/>
      <c r="D174" s="38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3">
        <f t="shared" si="34"/>
        <v>0</v>
      </c>
    </row>
    <row r="175" spans="1:22" ht="12.75" customHeight="1" x14ac:dyDescent="0.3">
      <c r="A175" s="16" t="s">
        <v>15</v>
      </c>
      <c r="B175" s="59" t="s">
        <v>49</v>
      </c>
      <c r="C175" s="60"/>
      <c r="D175" s="58"/>
      <c r="E175" s="13">
        <f t="shared" ref="E175:V175" si="35">SUM(E165:E174)</f>
        <v>0</v>
      </c>
      <c r="F175" s="13">
        <f t="shared" si="35"/>
        <v>1</v>
      </c>
      <c r="G175" s="13">
        <f t="shared" si="35"/>
        <v>0</v>
      </c>
      <c r="H175" s="13">
        <f t="shared" si="35"/>
        <v>1</v>
      </c>
      <c r="I175" s="13">
        <f t="shared" si="35"/>
        <v>1</v>
      </c>
      <c r="J175" s="13">
        <f t="shared" si="35"/>
        <v>1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1</v>
      </c>
      <c r="R175" s="13">
        <f t="shared" si="35"/>
        <v>1</v>
      </c>
      <c r="S175" s="13">
        <f t="shared" si="35"/>
        <v>0</v>
      </c>
      <c r="T175" s="13">
        <f t="shared" si="35"/>
        <v>1</v>
      </c>
      <c r="U175" s="13">
        <f t="shared" si="35"/>
        <v>2</v>
      </c>
      <c r="V175" s="13">
        <f t="shared" si="35"/>
        <v>9</v>
      </c>
    </row>
    <row r="176" spans="1:22" ht="12.75" customHeight="1" x14ac:dyDescent="0.3">
      <c r="A176" s="61"/>
      <c r="B176" s="60"/>
      <c r="C176" s="60"/>
      <c r="D176" s="60"/>
      <c r="E176" s="58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</row>
    <row r="177" spans="1:22" ht="12.75" customHeight="1" x14ac:dyDescent="0.3">
      <c r="A177" s="20" t="s">
        <v>37</v>
      </c>
      <c r="B177" s="27" t="s">
        <v>130</v>
      </c>
      <c r="C177" s="57" t="s">
        <v>131</v>
      </c>
      <c r="D177" s="58"/>
      <c r="E177" s="16">
        <v>0</v>
      </c>
      <c r="F177" s="16">
        <v>0</v>
      </c>
      <c r="G177" s="16">
        <v>0</v>
      </c>
      <c r="H177" s="16">
        <v>2</v>
      </c>
      <c r="I177" s="16">
        <v>1</v>
      </c>
      <c r="J177" s="16">
        <v>1</v>
      </c>
      <c r="K177" s="16">
        <v>1</v>
      </c>
      <c r="L177" s="16">
        <v>0</v>
      </c>
      <c r="M177" s="16">
        <v>0</v>
      </c>
      <c r="N177" s="16">
        <v>0</v>
      </c>
      <c r="O177" s="16">
        <v>1</v>
      </c>
      <c r="P177" s="16">
        <v>2</v>
      </c>
      <c r="Q177" s="16">
        <v>2</v>
      </c>
      <c r="R177" s="16">
        <v>0</v>
      </c>
      <c r="S177" s="16">
        <v>0</v>
      </c>
      <c r="T177" s="16">
        <v>1</v>
      </c>
      <c r="U177" s="16">
        <v>1</v>
      </c>
      <c r="V177" s="13">
        <f t="shared" ref="V177:V186" si="36">SUM(E177:U177)</f>
        <v>12</v>
      </c>
    </row>
    <row r="178" spans="1:22" ht="12.75" customHeight="1" x14ac:dyDescent="0.3">
      <c r="A178" s="20" t="s">
        <v>39</v>
      </c>
      <c r="B178" s="28"/>
      <c r="C178" s="29" t="s">
        <v>132</v>
      </c>
      <c r="D178" s="30"/>
      <c r="E178" s="16">
        <v>0</v>
      </c>
      <c r="F178" s="16">
        <v>0</v>
      </c>
      <c r="G178" s="16">
        <v>0</v>
      </c>
      <c r="H178" s="16">
        <v>1</v>
      </c>
      <c r="I178" s="16">
        <v>1</v>
      </c>
      <c r="J178" s="16">
        <v>0</v>
      </c>
      <c r="K178" s="16">
        <v>0</v>
      </c>
      <c r="L178" s="16">
        <v>0</v>
      </c>
      <c r="M178" s="16">
        <v>0</v>
      </c>
      <c r="N178" s="16">
        <v>1</v>
      </c>
      <c r="O178" s="16">
        <v>0</v>
      </c>
      <c r="P178" s="16">
        <v>1</v>
      </c>
      <c r="Q178" s="16">
        <v>0</v>
      </c>
      <c r="R178" s="16">
        <v>1</v>
      </c>
      <c r="S178" s="16">
        <v>0</v>
      </c>
      <c r="T178" s="16">
        <v>1</v>
      </c>
      <c r="U178" s="16">
        <v>0</v>
      </c>
      <c r="V178" s="13">
        <f t="shared" si="36"/>
        <v>6</v>
      </c>
    </row>
    <row r="179" spans="1:22" ht="12.75" customHeight="1" x14ac:dyDescent="0.3">
      <c r="A179" s="15"/>
      <c r="B179" s="28"/>
      <c r="C179" s="29" t="s">
        <v>133</v>
      </c>
      <c r="D179" s="30"/>
      <c r="E179" s="16">
        <v>0</v>
      </c>
      <c r="F179" s="16">
        <v>1</v>
      </c>
      <c r="G179" s="16">
        <v>0</v>
      </c>
      <c r="H179" s="16">
        <v>1</v>
      </c>
      <c r="I179" s="16">
        <v>1</v>
      </c>
      <c r="J179" s="16">
        <v>1</v>
      </c>
      <c r="K179" s="16">
        <v>1</v>
      </c>
      <c r="L179" s="16">
        <v>2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3">
        <f t="shared" si="36"/>
        <v>7</v>
      </c>
    </row>
    <row r="180" spans="1:22" ht="12.75" customHeight="1" x14ac:dyDescent="0.3">
      <c r="A180" s="15"/>
      <c r="B180" s="28"/>
      <c r="C180" s="29" t="s">
        <v>134</v>
      </c>
      <c r="D180" s="30"/>
      <c r="E180" s="16">
        <v>0</v>
      </c>
      <c r="F180" s="16">
        <v>0</v>
      </c>
      <c r="G180" s="16">
        <v>0</v>
      </c>
      <c r="H180" s="16">
        <v>2</v>
      </c>
      <c r="I180" s="16">
        <v>0</v>
      </c>
      <c r="J180" s="16">
        <v>0</v>
      </c>
      <c r="K180" s="16">
        <v>0</v>
      </c>
      <c r="L180" s="16">
        <v>0</v>
      </c>
      <c r="M180" s="16">
        <v>2</v>
      </c>
      <c r="N180" s="16">
        <v>0</v>
      </c>
      <c r="O180" s="16">
        <v>0</v>
      </c>
      <c r="P180" s="16">
        <v>1</v>
      </c>
      <c r="Q180" s="16">
        <v>0</v>
      </c>
      <c r="R180" s="16">
        <v>0</v>
      </c>
      <c r="S180" s="16">
        <v>0</v>
      </c>
      <c r="T180" s="16">
        <v>0</v>
      </c>
      <c r="U180" s="16">
        <v>1</v>
      </c>
      <c r="V180" s="13">
        <f t="shared" si="36"/>
        <v>6</v>
      </c>
    </row>
    <row r="181" spans="1:22" ht="12.75" customHeight="1" x14ac:dyDescent="0.3">
      <c r="A181" s="15"/>
      <c r="B181" s="28"/>
      <c r="C181" s="29" t="s">
        <v>135</v>
      </c>
      <c r="D181" s="30"/>
      <c r="E181" s="16">
        <v>0</v>
      </c>
      <c r="F181" s="16">
        <v>0</v>
      </c>
      <c r="G181" s="16">
        <v>0</v>
      </c>
      <c r="H181" s="16">
        <v>0</v>
      </c>
      <c r="I181" s="16">
        <v>1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3">
        <f t="shared" si="36"/>
        <v>1</v>
      </c>
    </row>
    <row r="182" spans="1:22" ht="12.75" customHeight="1" x14ac:dyDescent="0.3">
      <c r="A182" s="15"/>
      <c r="B182" s="28"/>
      <c r="C182" s="29" t="s">
        <v>136</v>
      </c>
      <c r="D182" s="30"/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1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3">
        <f t="shared" si="36"/>
        <v>1</v>
      </c>
    </row>
    <row r="183" spans="1:22" ht="12.75" customHeight="1" x14ac:dyDescent="0.3">
      <c r="A183" s="15"/>
      <c r="B183" s="28"/>
      <c r="C183" s="29" t="s">
        <v>137</v>
      </c>
      <c r="D183" s="30"/>
      <c r="E183" s="16">
        <v>0</v>
      </c>
      <c r="F183" s="16">
        <v>1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3">
        <f t="shared" si="36"/>
        <v>1</v>
      </c>
    </row>
    <row r="184" spans="1:22" ht="12.75" customHeight="1" x14ac:dyDescent="0.3">
      <c r="A184" s="15"/>
      <c r="B184" s="28"/>
      <c r="C184" s="29" t="s">
        <v>138</v>
      </c>
      <c r="D184" s="30"/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3">
        <f t="shared" si="36"/>
        <v>0</v>
      </c>
    </row>
    <row r="185" spans="1:22" ht="12.75" customHeight="1" x14ac:dyDescent="0.3">
      <c r="A185" s="15"/>
      <c r="B185" s="28"/>
      <c r="C185" s="29" t="s">
        <v>139</v>
      </c>
      <c r="D185" s="30"/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1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3">
        <f t="shared" si="36"/>
        <v>1</v>
      </c>
    </row>
    <row r="186" spans="1:22" ht="12.75" customHeight="1" x14ac:dyDescent="0.3">
      <c r="A186" s="15"/>
      <c r="B186" s="28"/>
      <c r="C186" s="29" t="s">
        <v>140</v>
      </c>
      <c r="D186" s="30"/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3">
        <f t="shared" si="36"/>
        <v>0</v>
      </c>
    </row>
    <row r="187" spans="1:22" ht="12.75" customHeight="1" x14ac:dyDescent="0.3">
      <c r="A187" s="16" t="s">
        <v>15</v>
      </c>
      <c r="B187" s="59" t="s">
        <v>49</v>
      </c>
      <c r="C187" s="60"/>
      <c r="D187" s="58"/>
      <c r="E187" s="13">
        <f t="shared" ref="E187:V187" si="37">SUM(E177:E186)</f>
        <v>0</v>
      </c>
      <c r="F187" s="13">
        <f t="shared" si="37"/>
        <v>2</v>
      </c>
      <c r="G187" s="13">
        <f t="shared" si="37"/>
        <v>0</v>
      </c>
      <c r="H187" s="13">
        <f t="shared" si="37"/>
        <v>6</v>
      </c>
      <c r="I187" s="13">
        <f t="shared" si="37"/>
        <v>4</v>
      </c>
      <c r="J187" s="13">
        <f t="shared" si="37"/>
        <v>2</v>
      </c>
      <c r="K187" s="13">
        <f t="shared" si="37"/>
        <v>2</v>
      </c>
      <c r="L187" s="13">
        <f t="shared" si="37"/>
        <v>2</v>
      </c>
      <c r="M187" s="13">
        <f t="shared" si="37"/>
        <v>2</v>
      </c>
      <c r="N187" s="13">
        <f t="shared" si="37"/>
        <v>1</v>
      </c>
      <c r="O187" s="13">
        <f t="shared" si="37"/>
        <v>2</v>
      </c>
      <c r="P187" s="13">
        <f t="shared" si="37"/>
        <v>5</v>
      </c>
      <c r="Q187" s="13">
        <f t="shared" si="37"/>
        <v>2</v>
      </c>
      <c r="R187" s="13">
        <f t="shared" si="37"/>
        <v>1</v>
      </c>
      <c r="S187" s="13">
        <f t="shared" si="37"/>
        <v>0</v>
      </c>
      <c r="T187" s="13">
        <f t="shared" si="37"/>
        <v>2</v>
      </c>
      <c r="U187" s="13">
        <f t="shared" si="37"/>
        <v>2</v>
      </c>
      <c r="V187" s="13">
        <f t="shared" si="37"/>
        <v>35</v>
      </c>
    </row>
    <row r="188" spans="1:22" ht="12.75" customHeight="1" x14ac:dyDescent="0.3">
      <c r="A188" s="61"/>
      <c r="B188" s="60"/>
      <c r="C188" s="60"/>
      <c r="D188" s="60"/>
      <c r="E188" s="58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13"/>
    </row>
    <row r="189" spans="1:22" ht="12.75" customHeight="1" x14ac:dyDescent="0.3">
      <c r="A189" s="20" t="s">
        <v>37</v>
      </c>
      <c r="B189" s="27" t="s">
        <v>141</v>
      </c>
      <c r="C189" s="57" t="s">
        <v>142</v>
      </c>
      <c r="D189" s="58"/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1</v>
      </c>
      <c r="Q189" s="16">
        <v>0</v>
      </c>
      <c r="R189" s="16">
        <v>0</v>
      </c>
      <c r="S189" s="16">
        <v>0</v>
      </c>
      <c r="T189" s="16">
        <v>1</v>
      </c>
      <c r="U189" s="16">
        <v>0</v>
      </c>
      <c r="V189" s="13">
        <f t="shared" ref="V189:V198" si="38">SUM(E189:U189)</f>
        <v>2</v>
      </c>
    </row>
    <row r="190" spans="1:22" ht="12.75" customHeight="1" x14ac:dyDescent="0.3">
      <c r="A190" s="20" t="s">
        <v>39</v>
      </c>
      <c r="B190" s="28"/>
      <c r="C190" s="29" t="s">
        <v>143</v>
      </c>
      <c r="D190" s="30"/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1</v>
      </c>
      <c r="T190" s="16">
        <v>0</v>
      </c>
      <c r="U190" s="16">
        <v>0</v>
      </c>
      <c r="V190" s="13">
        <f t="shared" si="38"/>
        <v>1</v>
      </c>
    </row>
    <row r="191" spans="1:22" ht="12.75" customHeight="1" x14ac:dyDescent="0.3">
      <c r="A191" s="15"/>
      <c r="B191" s="28"/>
      <c r="C191" s="29" t="s">
        <v>144</v>
      </c>
      <c r="D191" s="30"/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3">
        <f t="shared" si="38"/>
        <v>0</v>
      </c>
    </row>
    <row r="192" spans="1:22" ht="12.75" customHeight="1" x14ac:dyDescent="0.3">
      <c r="A192" s="15"/>
      <c r="B192" s="28"/>
      <c r="C192" s="29" t="s">
        <v>145</v>
      </c>
      <c r="D192" s="30"/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1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3">
        <f t="shared" si="38"/>
        <v>1</v>
      </c>
    </row>
    <row r="193" spans="1:22" ht="12.75" customHeight="1" x14ac:dyDescent="0.3">
      <c r="A193" s="15"/>
      <c r="B193" s="28"/>
      <c r="C193" s="29" t="s">
        <v>146</v>
      </c>
      <c r="D193" s="30"/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3">
        <f t="shared" si="38"/>
        <v>0</v>
      </c>
    </row>
    <row r="194" spans="1:22" ht="12.75" customHeight="1" x14ac:dyDescent="0.3">
      <c r="A194" s="15"/>
      <c r="B194" s="28"/>
      <c r="C194" s="29" t="s">
        <v>147</v>
      </c>
      <c r="D194" s="30"/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3">
        <f t="shared" si="38"/>
        <v>0</v>
      </c>
    </row>
    <row r="195" spans="1:22" ht="12.75" customHeight="1" x14ac:dyDescent="0.3">
      <c r="A195" s="15"/>
      <c r="B195" s="28"/>
      <c r="C195" s="29" t="s">
        <v>148</v>
      </c>
      <c r="D195" s="30"/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3">
        <f t="shared" si="38"/>
        <v>0</v>
      </c>
    </row>
    <row r="196" spans="1:22" ht="12.75" customHeight="1" x14ac:dyDescent="0.3">
      <c r="A196" s="15"/>
      <c r="B196" s="28"/>
      <c r="C196" s="29" t="s">
        <v>149</v>
      </c>
      <c r="D196" s="30"/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3">
        <f t="shared" si="38"/>
        <v>0</v>
      </c>
    </row>
    <row r="197" spans="1:22" ht="12.75" customHeight="1" x14ac:dyDescent="0.3">
      <c r="A197" s="15"/>
      <c r="B197" s="28"/>
      <c r="C197" s="29" t="s">
        <v>150</v>
      </c>
      <c r="D197" s="30"/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3">
        <f t="shared" si="38"/>
        <v>0</v>
      </c>
    </row>
    <row r="198" spans="1:22" ht="12.75" customHeight="1" x14ac:dyDescent="0.3">
      <c r="A198" s="15"/>
      <c r="B198" s="28"/>
      <c r="C198" s="29" t="s">
        <v>151</v>
      </c>
      <c r="D198" s="30"/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3">
        <f t="shared" si="38"/>
        <v>0</v>
      </c>
    </row>
    <row r="199" spans="1:22" ht="12.75" customHeight="1" x14ac:dyDescent="0.3">
      <c r="A199" s="16" t="s">
        <v>15</v>
      </c>
      <c r="B199" s="59" t="s">
        <v>49</v>
      </c>
      <c r="C199" s="60"/>
      <c r="D199" s="58"/>
      <c r="E199" s="13">
        <f t="shared" ref="E199:V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1</v>
      </c>
      <c r="N199" s="13">
        <f t="shared" si="39"/>
        <v>0</v>
      </c>
      <c r="O199" s="13">
        <f t="shared" si="39"/>
        <v>0</v>
      </c>
      <c r="P199" s="13">
        <f t="shared" si="39"/>
        <v>1</v>
      </c>
      <c r="Q199" s="13">
        <f t="shared" si="39"/>
        <v>0</v>
      </c>
      <c r="R199" s="13">
        <f t="shared" si="39"/>
        <v>0</v>
      </c>
      <c r="S199" s="13">
        <f t="shared" si="39"/>
        <v>1</v>
      </c>
      <c r="T199" s="13">
        <f t="shared" si="39"/>
        <v>1</v>
      </c>
      <c r="U199" s="13">
        <f t="shared" si="39"/>
        <v>0</v>
      </c>
      <c r="V199" s="13">
        <f t="shared" si="39"/>
        <v>4</v>
      </c>
    </row>
    <row r="200" spans="1:22" ht="12.75" customHeight="1" x14ac:dyDescent="0.3">
      <c r="A200" s="61"/>
      <c r="B200" s="60"/>
      <c r="C200" s="60"/>
      <c r="D200" s="60"/>
      <c r="E200" s="58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</row>
    <row r="201" spans="1:22" ht="12.75" customHeight="1" x14ac:dyDescent="0.3">
      <c r="A201" s="20" t="s">
        <v>37</v>
      </c>
      <c r="B201" s="27" t="s">
        <v>152</v>
      </c>
      <c r="C201" s="57" t="s">
        <v>153</v>
      </c>
      <c r="D201" s="58"/>
      <c r="E201" s="16">
        <v>4</v>
      </c>
      <c r="F201" s="16">
        <v>5</v>
      </c>
      <c r="G201" s="16">
        <v>4</v>
      </c>
      <c r="H201" s="16">
        <v>5</v>
      </c>
      <c r="I201" s="16">
        <v>8</v>
      </c>
      <c r="J201" s="16">
        <v>4</v>
      </c>
      <c r="K201" s="16">
        <v>3</v>
      </c>
      <c r="L201" s="16">
        <v>2</v>
      </c>
      <c r="M201" s="16">
        <v>7</v>
      </c>
      <c r="N201" s="16">
        <v>3</v>
      </c>
      <c r="O201" s="16">
        <v>0</v>
      </c>
      <c r="P201" s="16">
        <v>1</v>
      </c>
      <c r="Q201" s="16">
        <v>1</v>
      </c>
      <c r="R201" s="16">
        <v>1</v>
      </c>
      <c r="S201" s="16">
        <v>1</v>
      </c>
      <c r="T201" s="16">
        <v>0</v>
      </c>
      <c r="U201" s="16">
        <v>1</v>
      </c>
      <c r="V201" s="13">
        <f t="shared" ref="V201:V210" si="40">SUM(E201:U201)</f>
        <v>50</v>
      </c>
    </row>
    <row r="202" spans="1:22" ht="12.75" customHeight="1" x14ac:dyDescent="0.3">
      <c r="A202" s="20" t="s">
        <v>39</v>
      </c>
      <c r="B202" s="28"/>
      <c r="C202" s="29" t="s">
        <v>154</v>
      </c>
      <c r="D202" s="30"/>
      <c r="E202" s="16">
        <v>1</v>
      </c>
      <c r="F202" s="16">
        <v>1</v>
      </c>
      <c r="G202" s="16">
        <v>1</v>
      </c>
      <c r="H202" s="16">
        <v>2</v>
      </c>
      <c r="I202" s="16">
        <v>4</v>
      </c>
      <c r="J202" s="16">
        <v>1</v>
      </c>
      <c r="K202" s="16">
        <v>2</v>
      </c>
      <c r="L202" s="16">
        <v>0</v>
      </c>
      <c r="M202" s="16">
        <v>3</v>
      </c>
      <c r="N202" s="16">
        <v>4</v>
      </c>
      <c r="O202" s="16">
        <v>3</v>
      </c>
      <c r="P202" s="16">
        <v>1</v>
      </c>
      <c r="Q202" s="16">
        <v>1</v>
      </c>
      <c r="R202" s="16">
        <v>0</v>
      </c>
      <c r="S202" s="16">
        <v>4</v>
      </c>
      <c r="T202" s="16">
        <v>1</v>
      </c>
      <c r="U202" s="16">
        <v>3</v>
      </c>
      <c r="V202" s="13">
        <f t="shared" si="40"/>
        <v>32</v>
      </c>
    </row>
    <row r="203" spans="1:22" ht="12.75" customHeight="1" x14ac:dyDescent="0.3">
      <c r="A203" s="15"/>
      <c r="B203" s="28"/>
      <c r="C203" s="29" t="s">
        <v>155</v>
      </c>
      <c r="D203" s="30"/>
      <c r="E203" s="16">
        <v>13</v>
      </c>
      <c r="F203" s="16">
        <v>2</v>
      </c>
      <c r="G203" s="16">
        <v>6</v>
      </c>
      <c r="H203" s="16">
        <v>24</v>
      </c>
      <c r="I203" s="16">
        <v>15</v>
      </c>
      <c r="J203" s="16">
        <v>10</v>
      </c>
      <c r="K203" s="16">
        <v>13</v>
      </c>
      <c r="L203" s="16">
        <v>3</v>
      </c>
      <c r="M203" s="16">
        <v>19</v>
      </c>
      <c r="N203" s="16">
        <v>18</v>
      </c>
      <c r="O203" s="16">
        <v>9</v>
      </c>
      <c r="P203" s="16">
        <v>5</v>
      </c>
      <c r="Q203" s="16">
        <v>2</v>
      </c>
      <c r="R203" s="16">
        <v>0</v>
      </c>
      <c r="S203" s="16">
        <v>0</v>
      </c>
      <c r="T203" s="16">
        <v>1</v>
      </c>
      <c r="U203" s="16">
        <v>2</v>
      </c>
      <c r="V203" s="13">
        <f t="shared" si="40"/>
        <v>142</v>
      </c>
    </row>
    <row r="204" spans="1:22" ht="12.75" customHeight="1" x14ac:dyDescent="0.3">
      <c r="A204" s="15"/>
      <c r="B204" s="28"/>
      <c r="C204" s="29" t="s">
        <v>156</v>
      </c>
      <c r="D204" s="30"/>
      <c r="E204" s="16">
        <v>0</v>
      </c>
      <c r="F204" s="16">
        <v>0</v>
      </c>
      <c r="G204" s="16">
        <v>0</v>
      </c>
      <c r="H204" s="16">
        <v>2</v>
      </c>
      <c r="I204" s="16">
        <v>1</v>
      </c>
      <c r="J204" s="16">
        <v>1</v>
      </c>
      <c r="K204" s="16">
        <v>1</v>
      </c>
      <c r="L204" s="16">
        <v>1</v>
      </c>
      <c r="M204" s="16">
        <v>1</v>
      </c>
      <c r="N204" s="16">
        <v>0</v>
      </c>
      <c r="O204" s="16">
        <v>0</v>
      </c>
      <c r="P204" s="16">
        <v>0</v>
      </c>
      <c r="Q204" s="16">
        <v>0</v>
      </c>
      <c r="R204" s="16">
        <v>2</v>
      </c>
      <c r="S204" s="16">
        <v>0</v>
      </c>
      <c r="T204" s="16">
        <v>0</v>
      </c>
      <c r="U204" s="16">
        <v>2</v>
      </c>
      <c r="V204" s="13">
        <f t="shared" si="40"/>
        <v>11</v>
      </c>
    </row>
    <row r="205" spans="1:22" ht="12.75" customHeight="1" x14ac:dyDescent="0.3">
      <c r="A205" s="15"/>
      <c r="B205" s="28"/>
      <c r="C205" s="29" t="s">
        <v>157</v>
      </c>
      <c r="D205" s="30"/>
      <c r="E205" s="16">
        <v>0</v>
      </c>
      <c r="F205" s="16">
        <v>0</v>
      </c>
      <c r="G205" s="16">
        <v>1</v>
      </c>
      <c r="H205" s="16">
        <v>1</v>
      </c>
      <c r="I205" s="16">
        <v>0</v>
      </c>
      <c r="J205" s="16">
        <v>1</v>
      </c>
      <c r="K205" s="16">
        <v>1</v>
      </c>
      <c r="L205" s="16">
        <v>0</v>
      </c>
      <c r="M205" s="16">
        <v>0</v>
      </c>
      <c r="N205" s="16">
        <v>0</v>
      </c>
      <c r="O205" s="16">
        <v>0</v>
      </c>
      <c r="P205" s="16">
        <v>1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3">
        <f t="shared" si="40"/>
        <v>5</v>
      </c>
    </row>
    <row r="206" spans="1:22" ht="12.75" customHeight="1" x14ac:dyDescent="0.3">
      <c r="A206" s="15"/>
      <c r="B206" s="28"/>
      <c r="C206" s="29" t="s">
        <v>158</v>
      </c>
      <c r="D206" s="30"/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3">
        <f t="shared" si="40"/>
        <v>0</v>
      </c>
    </row>
    <row r="207" spans="1:22" ht="12.75" customHeight="1" x14ac:dyDescent="0.3">
      <c r="A207" s="15"/>
      <c r="B207" s="28"/>
      <c r="C207" s="29" t="s">
        <v>159</v>
      </c>
      <c r="D207" s="30"/>
      <c r="E207" s="16">
        <v>2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3">
        <f t="shared" si="40"/>
        <v>2</v>
      </c>
    </row>
    <row r="208" spans="1:22" ht="12.75" customHeight="1" x14ac:dyDescent="0.3">
      <c r="A208" s="15"/>
      <c r="B208" s="28"/>
      <c r="C208" s="29" t="s">
        <v>160</v>
      </c>
      <c r="D208" s="30"/>
      <c r="E208" s="16">
        <v>1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1</v>
      </c>
      <c r="L208" s="16">
        <v>0</v>
      </c>
      <c r="M208" s="16">
        <v>0</v>
      </c>
      <c r="N208" s="16">
        <v>0</v>
      </c>
      <c r="O208" s="16">
        <v>0</v>
      </c>
      <c r="P208" s="16">
        <v>1</v>
      </c>
      <c r="Q208" s="16">
        <v>0</v>
      </c>
      <c r="R208" s="16">
        <v>0</v>
      </c>
      <c r="S208" s="16">
        <v>0</v>
      </c>
      <c r="T208" s="16">
        <v>1</v>
      </c>
      <c r="U208" s="16">
        <v>0</v>
      </c>
      <c r="V208" s="13">
        <f t="shared" si="40"/>
        <v>4</v>
      </c>
    </row>
    <row r="209" spans="1:22" ht="12.75" customHeight="1" x14ac:dyDescent="0.3">
      <c r="A209" s="15"/>
      <c r="B209" s="28"/>
      <c r="C209" s="29" t="s">
        <v>161</v>
      </c>
      <c r="D209" s="30"/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1</v>
      </c>
      <c r="R209" s="16">
        <v>0</v>
      </c>
      <c r="S209" s="16">
        <v>0</v>
      </c>
      <c r="T209" s="16">
        <v>0</v>
      </c>
      <c r="U209" s="16">
        <v>0</v>
      </c>
      <c r="V209" s="13">
        <f t="shared" si="40"/>
        <v>1</v>
      </c>
    </row>
    <row r="210" spans="1:22" ht="12.75" customHeight="1" x14ac:dyDescent="0.3">
      <c r="A210" s="15"/>
      <c r="B210" s="28"/>
      <c r="C210" s="29" t="s">
        <v>162</v>
      </c>
      <c r="D210" s="30"/>
      <c r="E210" s="16">
        <v>0</v>
      </c>
      <c r="F210" s="16">
        <v>0</v>
      </c>
      <c r="G210" s="16">
        <v>0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6">
        <v>0</v>
      </c>
      <c r="P210" s="16">
        <v>0</v>
      </c>
      <c r="Q210" s="16">
        <v>0</v>
      </c>
      <c r="R210" s="16">
        <v>0</v>
      </c>
      <c r="S210" s="16">
        <v>0</v>
      </c>
      <c r="T210" s="16">
        <v>0</v>
      </c>
      <c r="U210" s="16">
        <v>1</v>
      </c>
      <c r="V210" s="13">
        <f t="shared" si="40"/>
        <v>1</v>
      </c>
    </row>
    <row r="211" spans="1:22" ht="12.75" customHeight="1" x14ac:dyDescent="0.3">
      <c r="A211" s="16" t="s">
        <v>15</v>
      </c>
      <c r="B211" s="59" t="s">
        <v>49</v>
      </c>
      <c r="C211" s="60"/>
      <c r="D211" s="58"/>
      <c r="E211" s="13">
        <f t="shared" ref="E211:V211" si="41">SUM(E201:E210)</f>
        <v>21</v>
      </c>
      <c r="F211" s="13">
        <f t="shared" si="41"/>
        <v>8</v>
      </c>
      <c r="G211" s="13">
        <f t="shared" si="41"/>
        <v>12</v>
      </c>
      <c r="H211" s="13">
        <f t="shared" si="41"/>
        <v>34</v>
      </c>
      <c r="I211" s="13">
        <f t="shared" si="41"/>
        <v>28</v>
      </c>
      <c r="J211" s="13">
        <f t="shared" si="41"/>
        <v>17</v>
      </c>
      <c r="K211" s="13">
        <f t="shared" si="41"/>
        <v>21</v>
      </c>
      <c r="L211" s="13">
        <f t="shared" si="41"/>
        <v>6</v>
      </c>
      <c r="M211" s="13">
        <f t="shared" si="41"/>
        <v>30</v>
      </c>
      <c r="N211" s="13">
        <f t="shared" si="41"/>
        <v>25</v>
      </c>
      <c r="O211" s="13">
        <f t="shared" si="41"/>
        <v>12</v>
      </c>
      <c r="P211" s="13">
        <f t="shared" si="41"/>
        <v>9</v>
      </c>
      <c r="Q211" s="13">
        <f t="shared" si="41"/>
        <v>5</v>
      </c>
      <c r="R211" s="13">
        <f t="shared" si="41"/>
        <v>3</v>
      </c>
      <c r="S211" s="13">
        <f t="shared" si="41"/>
        <v>5</v>
      </c>
      <c r="T211" s="13">
        <f t="shared" si="41"/>
        <v>3</v>
      </c>
      <c r="U211" s="13">
        <f t="shared" si="41"/>
        <v>9</v>
      </c>
      <c r="V211" s="13">
        <f t="shared" si="41"/>
        <v>248</v>
      </c>
    </row>
    <row r="212" spans="1:22" ht="12.75" customHeight="1" x14ac:dyDescent="0.3">
      <c r="A212" s="61"/>
      <c r="B212" s="60"/>
      <c r="C212" s="60"/>
      <c r="D212" s="60"/>
      <c r="E212" s="58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</row>
    <row r="213" spans="1:22" ht="12.75" customHeight="1" x14ac:dyDescent="0.3">
      <c r="A213" s="20" t="s">
        <v>37</v>
      </c>
      <c r="B213" s="27" t="s">
        <v>163</v>
      </c>
      <c r="C213" s="57" t="s">
        <v>164</v>
      </c>
      <c r="D213" s="58"/>
      <c r="E213" s="16">
        <v>0</v>
      </c>
      <c r="F213" s="16">
        <v>0</v>
      </c>
      <c r="G213" s="16">
        <v>0</v>
      </c>
      <c r="H213" s="16">
        <v>1</v>
      </c>
      <c r="I213" s="16">
        <v>1</v>
      </c>
      <c r="J213" s="16">
        <v>0</v>
      </c>
      <c r="K213" s="16">
        <v>0</v>
      </c>
      <c r="L213" s="16">
        <v>0</v>
      </c>
      <c r="M213" s="16">
        <v>3</v>
      </c>
      <c r="N213" s="16">
        <v>0</v>
      </c>
      <c r="O213" s="16">
        <v>0</v>
      </c>
      <c r="P213" s="16">
        <v>0</v>
      </c>
      <c r="Q213" s="16">
        <v>0</v>
      </c>
      <c r="R213" s="16">
        <v>2</v>
      </c>
      <c r="S213" s="16">
        <v>0</v>
      </c>
      <c r="T213" s="16">
        <v>0</v>
      </c>
      <c r="U213" s="16">
        <v>3</v>
      </c>
      <c r="V213" s="13">
        <f t="shared" ref="V213:V222" si="42">SUM(E213:U213)</f>
        <v>10</v>
      </c>
    </row>
    <row r="214" spans="1:22" ht="12.75" customHeight="1" x14ac:dyDescent="0.3">
      <c r="A214" s="20" t="s">
        <v>39</v>
      </c>
      <c r="B214" s="28"/>
      <c r="C214" s="29" t="s">
        <v>165</v>
      </c>
      <c r="D214" s="30"/>
      <c r="E214" s="16">
        <v>0</v>
      </c>
      <c r="F214" s="16">
        <v>1</v>
      </c>
      <c r="G214" s="16">
        <v>0</v>
      </c>
      <c r="H214" s="16">
        <v>1</v>
      </c>
      <c r="I214" s="16">
        <v>0</v>
      </c>
      <c r="J214" s="16">
        <v>0</v>
      </c>
      <c r="K214" s="16">
        <v>1</v>
      </c>
      <c r="L214" s="16">
        <v>1</v>
      </c>
      <c r="M214" s="16">
        <v>1</v>
      </c>
      <c r="N214" s="16">
        <v>2</v>
      </c>
      <c r="O214" s="16">
        <v>0</v>
      </c>
      <c r="P214" s="16">
        <v>0</v>
      </c>
      <c r="Q214" s="16">
        <v>0</v>
      </c>
      <c r="R214" s="16">
        <v>3</v>
      </c>
      <c r="S214" s="16">
        <v>1</v>
      </c>
      <c r="T214" s="16">
        <v>0</v>
      </c>
      <c r="U214" s="16">
        <v>2</v>
      </c>
      <c r="V214" s="13">
        <f t="shared" si="42"/>
        <v>13</v>
      </c>
    </row>
    <row r="215" spans="1:22" ht="12.75" customHeight="1" x14ac:dyDescent="0.3">
      <c r="A215" s="15"/>
      <c r="B215" s="28"/>
      <c r="C215" s="29" t="s">
        <v>166</v>
      </c>
      <c r="D215" s="30"/>
      <c r="E215" s="16">
        <v>1</v>
      </c>
      <c r="F215" s="16">
        <v>0</v>
      </c>
      <c r="G215" s="16">
        <v>1</v>
      </c>
      <c r="H215" s="16">
        <v>2</v>
      </c>
      <c r="I215" s="16">
        <v>0</v>
      </c>
      <c r="J215" s="16">
        <v>0</v>
      </c>
      <c r="K215" s="16">
        <v>0</v>
      </c>
      <c r="L215" s="16">
        <v>0</v>
      </c>
      <c r="M215" s="16">
        <v>0</v>
      </c>
      <c r="N215" s="16">
        <v>3</v>
      </c>
      <c r="O215" s="16">
        <v>0</v>
      </c>
      <c r="P215" s="16">
        <v>0</v>
      </c>
      <c r="Q215" s="16">
        <v>1</v>
      </c>
      <c r="R215" s="16">
        <v>0</v>
      </c>
      <c r="S215" s="16">
        <v>1</v>
      </c>
      <c r="T215" s="16">
        <v>1</v>
      </c>
      <c r="U215" s="16">
        <v>0</v>
      </c>
      <c r="V215" s="13">
        <f t="shared" si="42"/>
        <v>10</v>
      </c>
    </row>
    <row r="216" spans="1:22" ht="12.75" customHeight="1" x14ac:dyDescent="0.3">
      <c r="A216" s="15"/>
      <c r="B216" s="28"/>
      <c r="C216" s="29" t="s">
        <v>167</v>
      </c>
      <c r="D216" s="30"/>
      <c r="E216" s="16">
        <v>0</v>
      </c>
      <c r="F216" s="16">
        <v>0</v>
      </c>
      <c r="G216" s="16">
        <v>0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0</v>
      </c>
      <c r="N216" s="16">
        <v>1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3">
        <f t="shared" si="42"/>
        <v>1</v>
      </c>
    </row>
    <row r="217" spans="1:22" ht="12.75" customHeight="1" x14ac:dyDescent="0.3">
      <c r="A217" s="15"/>
      <c r="B217" s="36"/>
      <c r="C217" s="37"/>
      <c r="D217" s="40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3">
        <f t="shared" si="42"/>
        <v>0</v>
      </c>
    </row>
    <row r="218" spans="1:22" ht="12.75" customHeight="1" x14ac:dyDescent="0.3">
      <c r="A218" s="15"/>
      <c r="B218" s="36"/>
      <c r="C218" s="37"/>
      <c r="D218" s="40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3">
        <f t="shared" si="42"/>
        <v>0</v>
      </c>
    </row>
    <row r="219" spans="1:22" ht="12.75" customHeight="1" x14ac:dyDescent="0.3">
      <c r="A219" s="15"/>
      <c r="B219" s="36"/>
      <c r="C219" s="37"/>
      <c r="D219" s="40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3">
        <f t="shared" si="42"/>
        <v>0</v>
      </c>
    </row>
    <row r="220" spans="1:22" ht="12.75" customHeight="1" x14ac:dyDescent="0.3">
      <c r="A220" s="15"/>
      <c r="B220" s="36"/>
      <c r="C220" s="37"/>
      <c r="D220" s="40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3">
        <f t="shared" si="42"/>
        <v>0</v>
      </c>
    </row>
    <row r="221" spans="1:22" ht="12.75" customHeight="1" x14ac:dyDescent="0.3">
      <c r="A221" s="15"/>
      <c r="B221" s="36"/>
      <c r="C221" s="37"/>
      <c r="D221" s="40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3">
        <f t="shared" si="42"/>
        <v>0</v>
      </c>
    </row>
    <row r="222" spans="1:22" ht="12.75" customHeight="1" x14ac:dyDescent="0.3">
      <c r="A222" s="15"/>
      <c r="B222" s="36"/>
      <c r="C222" s="37"/>
      <c r="D222" s="40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3">
        <f t="shared" si="42"/>
        <v>0</v>
      </c>
    </row>
    <row r="223" spans="1:22" ht="12.75" customHeight="1" x14ac:dyDescent="0.3">
      <c r="A223" s="16" t="s">
        <v>15</v>
      </c>
      <c r="B223" s="59" t="s">
        <v>49</v>
      </c>
      <c r="C223" s="60"/>
      <c r="D223" s="58"/>
      <c r="E223" s="13">
        <f t="shared" ref="E223:V223" si="43">SUM(E213:E222)</f>
        <v>1</v>
      </c>
      <c r="F223" s="13">
        <f t="shared" si="43"/>
        <v>1</v>
      </c>
      <c r="G223" s="13">
        <f t="shared" si="43"/>
        <v>1</v>
      </c>
      <c r="H223" s="13">
        <f t="shared" si="43"/>
        <v>4</v>
      </c>
      <c r="I223" s="13">
        <f t="shared" si="43"/>
        <v>1</v>
      </c>
      <c r="J223" s="13">
        <f t="shared" si="43"/>
        <v>0</v>
      </c>
      <c r="K223" s="13">
        <f t="shared" si="43"/>
        <v>1</v>
      </c>
      <c r="L223" s="13">
        <f t="shared" si="43"/>
        <v>1</v>
      </c>
      <c r="M223" s="13">
        <f t="shared" si="43"/>
        <v>4</v>
      </c>
      <c r="N223" s="13">
        <f t="shared" si="43"/>
        <v>6</v>
      </c>
      <c r="O223" s="13">
        <f t="shared" si="43"/>
        <v>0</v>
      </c>
      <c r="P223" s="13">
        <f t="shared" si="43"/>
        <v>0</v>
      </c>
      <c r="Q223" s="13">
        <f t="shared" si="43"/>
        <v>1</v>
      </c>
      <c r="R223" s="13">
        <f t="shared" si="43"/>
        <v>5</v>
      </c>
      <c r="S223" s="13">
        <f t="shared" si="43"/>
        <v>2</v>
      </c>
      <c r="T223" s="13">
        <f t="shared" si="43"/>
        <v>1</v>
      </c>
      <c r="U223" s="13">
        <f t="shared" si="43"/>
        <v>5</v>
      </c>
      <c r="V223" s="13">
        <f t="shared" si="43"/>
        <v>34</v>
      </c>
    </row>
    <row r="224" spans="1:22" ht="12.75" customHeight="1" x14ac:dyDescent="0.3">
      <c r="A224" s="61"/>
      <c r="B224" s="60"/>
      <c r="C224" s="60"/>
      <c r="D224" s="60"/>
      <c r="E224" s="58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</row>
    <row r="225" spans="1:22" ht="12.75" customHeight="1" x14ac:dyDescent="0.3">
      <c r="A225" s="20" t="s">
        <v>37</v>
      </c>
      <c r="B225" s="27" t="s">
        <v>168</v>
      </c>
      <c r="C225" s="57" t="s">
        <v>169</v>
      </c>
      <c r="D225" s="58"/>
      <c r="E225" s="16">
        <v>0</v>
      </c>
      <c r="F225" s="16">
        <v>1</v>
      </c>
      <c r="G225" s="16">
        <v>0</v>
      </c>
      <c r="H225" s="16">
        <v>0</v>
      </c>
      <c r="I225" s="16">
        <v>0</v>
      </c>
      <c r="J225" s="16">
        <v>0</v>
      </c>
      <c r="K225" s="16">
        <v>0</v>
      </c>
      <c r="L225" s="16">
        <v>0</v>
      </c>
      <c r="M225" s="16">
        <v>0</v>
      </c>
      <c r="N225" s="16">
        <v>0</v>
      </c>
      <c r="O225" s="16">
        <v>0</v>
      </c>
      <c r="P225" s="16">
        <v>0</v>
      </c>
      <c r="Q225" s="16">
        <v>0</v>
      </c>
      <c r="R225" s="16">
        <v>0</v>
      </c>
      <c r="S225" s="16">
        <v>0</v>
      </c>
      <c r="T225" s="16">
        <v>0</v>
      </c>
      <c r="U225" s="16">
        <v>0</v>
      </c>
      <c r="V225" s="13">
        <f t="shared" ref="V225:V234" si="44">SUM(E225:U225)</f>
        <v>1</v>
      </c>
    </row>
    <row r="226" spans="1:22" ht="12.75" customHeight="1" x14ac:dyDescent="0.3">
      <c r="A226" s="20" t="s">
        <v>39</v>
      </c>
      <c r="B226" s="28"/>
      <c r="C226" s="29" t="s">
        <v>170</v>
      </c>
      <c r="D226" s="30"/>
      <c r="E226" s="16">
        <v>0</v>
      </c>
      <c r="F226" s="16">
        <v>0</v>
      </c>
      <c r="G226" s="16">
        <v>0</v>
      </c>
      <c r="H226" s="16">
        <v>0</v>
      </c>
      <c r="I226" s="16">
        <v>0</v>
      </c>
      <c r="J226" s="16">
        <v>0</v>
      </c>
      <c r="K226" s="16">
        <v>0</v>
      </c>
      <c r="L226" s="16">
        <v>0</v>
      </c>
      <c r="M226" s="16">
        <v>0</v>
      </c>
      <c r="N226" s="16">
        <v>0</v>
      </c>
      <c r="O226" s="16">
        <v>0</v>
      </c>
      <c r="P226" s="16">
        <v>0</v>
      </c>
      <c r="Q226" s="16">
        <v>0</v>
      </c>
      <c r="R226" s="16">
        <v>0</v>
      </c>
      <c r="S226" s="16">
        <v>0</v>
      </c>
      <c r="T226" s="16">
        <v>0</v>
      </c>
      <c r="U226" s="16">
        <v>0</v>
      </c>
      <c r="V226" s="13">
        <f t="shared" si="44"/>
        <v>0</v>
      </c>
    </row>
    <row r="227" spans="1:22" ht="12.75" customHeight="1" x14ac:dyDescent="0.3">
      <c r="A227" s="15"/>
      <c r="B227" s="28"/>
      <c r="C227" s="29" t="s">
        <v>171</v>
      </c>
      <c r="D227" s="30"/>
      <c r="E227" s="16">
        <v>0</v>
      </c>
      <c r="F227" s="16">
        <v>0</v>
      </c>
      <c r="G227" s="16">
        <v>0</v>
      </c>
      <c r="H227" s="16">
        <v>0</v>
      </c>
      <c r="I227" s="16">
        <v>0</v>
      </c>
      <c r="J227" s="16">
        <v>0</v>
      </c>
      <c r="K227" s="16">
        <v>0</v>
      </c>
      <c r="L227" s="16">
        <v>0</v>
      </c>
      <c r="M227" s="16">
        <v>0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1</v>
      </c>
      <c r="U227" s="16">
        <v>0</v>
      </c>
      <c r="V227" s="13">
        <f t="shared" si="44"/>
        <v>1</v>
      </c>
    </row>
    <row r="228" spans="1:22" ht="12.75" customHeight="1" x14ac:dyDescent="0.3">
      <c r="A228" s="15"/>
      <c r="B228" s="28"/>
      <c r="C228" s="29" t="s">
        <v>172</v>
      </c>
      <c r="D228" s="30"/>
      <c r="E228" s="16">
        <v>1</v>
      </c>
      <c r="F228" s="16">
        <v>0</v>
      </c>
      <c r="G228" s="16">
        <v>0</v>
      </c>
      <c r="H228" s="16">
        <v>0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N228" s="16">
        <v>0</v>
      </c>
      <c r="O228" s="16">
        <v>0</v>
      </c>
      <c r="P228" s="16">
        <v>0</v>
      </c>
      <c r="Q228" s="16">
        <v>0</v>
      </c>
      <c r="R228" s="16">
        <v>0</v>
      </c>
      <c r="S228" s="16">
        <v>0</v>
      </c>
      <c r="T228" s="16">
        <v>0</v>
      </c>
      <c r="U228" s="16">
        <v>0</v>
      </c>
      <c r="V228" s="13">
        <f t="shared" si="44"/>
        <v>1</v>
      </c>
    </row>
    <row r="229" spans="1:22" ht="12.75" customHeight="1" x14ac:dyDescent="0.3">
      <c r="A229" s="15"/>
      <c r="B229" s="28"/>
      <c r="C229" s="29" t="s">
        <v>173</v>
      </c>
      <c r="D229" s="30"/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0</v>
      </c>
      <c r="M229" s="16">
        <v>0</v>
      </c>
      <c r="N229" s="16">
        <v>0</v>
      </c>
      <c r="O229" s="16">
        <v>0</v>
      </c>
      <c r="P229" s="16">
        <v>0</v>
      </c>
      <c r="Q229" s="16">
        <v>1</v>
      </c>
      <c r="R229" s="16">
        <v>0</v>
      </c>
      <c r="S229" s="16">
        <v>0</v>
      </c>
      <c r="T229" s="16">
        <v>0</v>
      </c>
      <c r="U229" s="16">
        <v>0</v>
      </c>
      <c r="V229" s="13">
        <f t="shared" si="44"/>
        <v>1</v>
      </c>
    </row>
    <row r="230" spans="1:22" ht="12.75" customHeight="1" x14ac:dyDescent="0.3">
      <c r="A230" s="15"/>
      <c r="B230" s="36"/>
      <c r="C230" s="37"/>
      <c r="D230" s="40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3">
        <f t="shared" si="44"/>
        <v>0</v>
      </c>
    </row>
    <row r="231" spans="1:22" ht="12.75" customHeight="1" x14ac:dyDescent="0.3">
      <c r="A231" s="15"/>
      <c r="B231" s="36"/>
      <c r="C231" s="37"/>
      <c r="D231" s="40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3">
        <f t="shared" si="44"/>
        <v>0</v>
      </c>
    </row>
    <row r="232" spans="1:22" ht="12.75" customHeight="1" x14ac:dyDescent="0.3">
      <c r="A232" s="15"/>
      <c r="B232" s="36"/>
      <c r="C232" s="37"/>
      <c r="D232" s="38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3">
        <f t="shared" si="44"/>
        <v>0</v>
      </c>
    </row>
    <row r="233" spans="1:22" ht="12.75" customHeight="1" x14ac:dyDescent="0.3">
      <c r="A233" s="15"/>
      <c r="B233" s="36"/>
      <c r="C233" s="37"/>
      <c r="D233" s="38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3">
        <f t="shared" si="44"/>
        <v>0</v>
      </c>
    </row>
    <row r="234" spans="1:22" ht="12.75" customHeight="1" x14ac:dyDescent="0.3">
      <c r="A234" s="15"/>
      <c r="B234" s="36"/>
      <c r="C234" s="37"/>
      <c r="D234" s="38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3">
        <f t="shared" si="44"/>
        <v>0</v>
      </c>
    </row>
    <row r="235" spans="1:22" ht="12.75" customHeight="1" x14ac:dyDescent="0.3">
      <c r="A235" s="16" t="s">
        <v>15</v>
      </c>
      <c r="B235" s="59" t="s">
        <v>49</v>
      </c>
      <c r="C235" s="60"/>
      <c r="D235" s="58"/>
      <c r="E235" s="13">
        <f t="shared" ref="E235:V235" si="45">SUM(E225:E234)</f>
        <v>1</v>
      </c>
      <c r="F235" s="13">
        <f t="shared" si="45"/>
        <v>1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1</v>
      </c>
      <c r="R235" s="13">
        <f t="shared" si="45"/>
        <v>0</v>
      </c>
      <c r="S235" s="13">
        <f t="shared" si="45"/>
        <v>0</v>
      </c>
      <c r="T235" s="13">
        <f t="shared" si="45"/>
        <v>1</v>
      </c>
      <c r="U235" s="13">
        <f t="shared" si="45"/>
        <v>0</v>
      </c>
      <c r="V235" s="13">
        <f t="shared" si="45"/>
        <v>4</v>
      </c>
    </row>
    <row r="236" spans="1:22" ht="12.75" customHeight="1" x14ac:dyDescent="0.3">
      <c r="A236" s="61"/>
      <c r="B236" s="60"/>
      <c r="C236" s="60"/>
      <c r="D236" s="60"/>
      <c r="E236" s="58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</row>
    <row r="237" spans="1:22" ht="12.75" customHeight="1" x14ac:dyDescent="0.3">
      <c r="A237" s="20" t="s">
        <v>37</v>
      </c>
      <c r="B237" s="27" t="s">
        <v>174</v>
      </c>
      <c r="C237" s="57" t="s">
        <v>175</v>
      </c>
      <c r="D237" s="58"/>
      <c r="E237" s="16">
        <v>1</v>
      </c>
      <c r="F237" s="16">
        <v>0</v>
      </c>
      <c r="G237" s="16">
        <v>0</v>
      </c>
      <c r="H237" s="16">
        <v>0</v>
      </c>
      <c r="I237" s="16">
        <v>0</v>
      </c>
      <c r="J237" s="16">
        <v>0</v>
      </c>
      <c r="K237" s="16">
        <v>0</v>
      </c>
      <c r="L237" s="16">
        <v>0</v>
      </c>
      <c r="M237" s="16">
        <v>1</v>
      </c>
      <c r="N237" s="16">
        <v>0</v>
      </c>
      <c r="O237" s="16">
        <v>0</v>
      </c>
      <c r="P237" s="16">
        <v>0</v>
      </c>
      <c r="Q237" s="16">
        <v>0</v>
      </c>
      <c r="R237" s="16">
        <v>0</v>
      </c>
      <c r="S237" s="16">
        <v>0</v>
      </c>
      <c r="T237" s="16">
        <v>0</v>
      </c>
      <c r="U237" s="16">
        <v>0</v>
      </c>
      <c r="V237" s="13">
        <f t="shared" ref="V237:V246" si="46">SUM(E237:U237)</f>
        <v>2</v>
      </c>
    </row>
    <row r="238" spans="1:22" ht="12.75" customHeight="1" x14ac:dyDescent="0.3">
      <c r="A238" s="20" t="s">
        <v>39</v>
      </c>
      <c r="B238" s="28"/>
      <c r="C238" s="29" t="s">
        <v>176</v>
      </c>
      <c r="D238" s="30"/>
      <c r="E238" s="16">
        <v>1</v>
      </c>
      <c r="F238" s="16">
        <v>0</v>
      </c>
      <c r="G238" s="16">
        <v>0</v>
      </c>
      <c r="H238" s="16">
        <v>0</v>
      </c>
      <c r="I238" s="16">
        <v>0</v>
      </c>
      <c r="J238" s="16">
        <v>0</v>
      </c>
      <c r="K238" s="16">
        <v>0</v>
      </c>
      <c r="L238" s="16">
        <v>0</v>
      </c>
      <c r="M238" s="16">
        <v>0</v>
      </c>
      <c r="N238" s="16">
        <v>0</v>
      </c>
      <c r="O238" s="16">
        <v>0</v>
      </c>
      <c r="P238" s="16">
        <v>0</v>
      </c>
      <c r="Q238" s="16">
        <v>0</v>
      </c>
      <c r="R238" s="16">
        <v>1</v>
      </c>
      <c r="S238" s="16">
        <v>0</v>
      </c>
      <c r="T238" s="16">
        <v>0</v>
      </c>
      <c r="U238" s="16">
        <v>0</v>
      </c>
      <c r="V238" s="13">
        <f t="shared" si="46"/>
        <v>2</v>
      </c>
    </row>
    <row r="239" spans="1:22" ht="12.75" customHeight="1" x14ac:dyDescent="0.3">
      <c r="A239" s="15"/>
      <c r="B239" s="28"/>
      <c r="C239" s="29" t="s">
        <v>177</v>
      </c>
      <c r="D239" s="30"/>
      <c r="E239" s="16">
        <v>1</v>
      </c>
      <c r="F239" s="16">
        <v>1</v>
      </c>
      <c r="G239" s="16">
        <v>0</v>
      </c>
      <c r="H239" s="16">
        <v>0</v>
      </c>
      <c r="I239" s="16">
        <v>0</v>
      </c>
      <c r="J239" s="16">
        <v>1</v>
      </c>
      <c r="K239" s="16">
        <v>0</v>
      </c>
      <c r="L239" s="16">
        <v>5</v>
      </c>
      <c r="M239" s="16">
        <v>0</v>
      </c>
      <c r="N239" s="16">
        <v>0</v>
      </c>
      <c r="O239" s="16">
        <v>0</v>
      </c>
      <c r="P239" s="16">
        <v>0</v>
      </c>
      <c r="Q239" s="16">
        <v>1</v>
      </c>
      <c r="R239" s="16">
        <v>0</v>
      </c>
      <c r="S239" s="16">
        <v>0</v>
      </c>
      <c r="T239" s="16">
        <v>0</v>
      </c>
      <c r="U239" s="16">
        <v>2</v>
      </c>
      <c r="V239" s="13">
        <f t="shared" si="46"/>
        <v>11</v>
      </c>
    </row>
    <row r="240" spans="1:22" ht="12.75" customHeight="1" x14ac:dyDescent="0.3">
      <c r="A240" s="15"/>
      <c r="B240" s="28"/>
      <c r="C240" s="29" t="s">
        <v>178</v>
      </c>
      <c r="D240" s="30"/>
      <c r="E240" s="16">
        <v>0</v>
      </c>
      <c r="F240" s="16">
        <v>0</v>
      </c>
      <c r="G240" s="16">
        <v>0</v>
      </c>
      <c r="H240" s="16">
        <v>0</v>
      </c>
      <c r="I240" s="16">
        <v>0</v>
      </c>
      <c r="J240" s="16">
        <v>0</v>
      </c>
      <c r="K240" s="16">
        <v>0</v>
      </c>
      <c r="L240" s="16">
        <v>0</v>
      </c>
      <c r="M240" s="16">
        <v>0</v>
      </c>
      <c r="N240" s="16">
        <v>0</v>
      </c>
      <c r="O240" s="16">
        <v>0</v>
      </c>
      <c r="P240" s="16">
        <v>0</v>
      </c>
      <c r="Q240" s="16">
        <v>0</v>
      </c>
      <c r="R240" s="16">
        <v>0</v>
      </c>
      <c r="S240" s="16">
        <v>0</v>
      </c>
      <c r="T240" s="16">
        <v>0</v>
      </c>
      <c r="U240" s="16">
        <v>0</v>
      </c>
      <c r="V240" s="13">
        <f t="shared" si="46"/>
        <v>0</v>
      </c>
    </row>
    <row r="241" spans="1:22" ht="12.75" customHeight="1" x14ac:dyDescent="0.3">
      <c r="A241" s="15"/>
      <c r="B241" s="28"/>
      <c r="C241" s="29" t="s">
        <v>179</v>
      </c>
      <c r="D241" s="30"/>
      <c r="E241" s="16">
        <v>0</v>
      </c>
      <c r="F241" s="16">
        <v>0</v>
      </c>
      <c r="G241" s="16">
        <v>0</v>
      </c>
      <c r="H241" s="16">
        <v>0</v>
      </c>
      <c r="I241" s="16">
        <v>0</v>
      </c>
      <c r="J241" s="16">
        <v>0</v>
      </c>
      <c r="K241" s="16">
        <v>0</v>
      </c>
      <c r="L241" s="16">
        <v>0</v>
      </c>
      <c r="M241" s="16">
        <v>0</v>
      </c>
      <c r="N241" s="16">
        <v>0</v>
      </c>
      <c r="O241" s="16">
        <v>0</v>
      </c>
      <c r="P241" s="16">
        <v>0</v>
      </c>
      <c r="Q241" s="16">
        <v>0</v>
      </c>
      <c r="R241" s="16">
        <v>0</v>
      </c>
      <c r="S241" s="16">
        <v>0</v>
      </c>
      <c r="T241" s="16">
        <v>0</v>
      </c>
      <c r="U241" s="16">
        <v>0</v>
      </c>
      <c r="V241" s="13">
        <f t="shared" si="46"/>
        <v>0</v>
      </c>
    </row>
    <row r="242" spans="1:22" ht="12.75" customHeight="1" x14ac:dyDescent="0.3">
      <c r="A242" s="15"/>
      <c r="B242" s="28"/>
      <c r="C242" s="29" t="s">
        <v>180</v>
      </c>
      <c r="D242" s="30"/>
      <c r="E242" s="16">
        <v>0</v>
      </c>
      <c r="F242" s="16">
        <v>0</v>
      </c>
      <c r="G242" s="16">
        <v>0</v>
      </c>
      <c r="H242" s="16">
        <v>0</v>
      </c>
      <c r="I242" s="16">
        <v>0</v>
      </c>
      <c r="J242" s="16">
        <v>0</v>
      </c>
      <c r="K242" s="16">
        <v>1</v>
      </c>
      <c r="L242" s="16">
        <v>0</v>
      </c>
      <c r="M242" s="16">
        <v>0</v>
      </c>
      <c r="N242" s="16">
        <v>0</v>
      </c>
      <c r="O242" s="16">
        <v>0</v>
      </c>
      <c r="P242" s="16">
        <v>1</v>
      </c>
      <c r="Q242" s="16">
        <v>1</v>
      </c>
      <c r="R242" s="16">
        <v>0</v>
      </c>
      <c r="S242" s="16">
        <v>0</v>
      </c>
      <c r="T242" s="16">
        <v>0</v>
      </c>
      <c r="U242" s="16">
        <v>0</v>
      </c>
      <c r="V242" s="13">
        <f t="shared" si="46"/>
        <v>3</v>
      </c>
    </row>
    <row r="243" spans="1:22" ht="12.75" customHeight="1" x14ac:dyDescent="0.3">
      <c r="A243" s="15"/>
      <c r="B243" s="28"/>
      <c r="C243" s="29" t="s">
        <v>181</v>
      </c>
      <c r="D243" s="30"/>
      <c r="E243" s="16">
        <v>0</v>
      </c>
      <c r="F243" s="16">
        <v>0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0</v>
      </c>
      <c r="M243" s="16">
        <v>0</v>
      </c>
      <c r="N243" s="16">
        <v>0</v>
      </c>
      <c r="O243" s="16">
        <v>0</v>
      </c>
      <c r="P243" s="16">
        <v>0</v>
      </c>
      <c r="Q243" s="16">
        <v>1</v>
      </c>
      <c r="R243" s="16">
        <v>0</v>
      </c>
      <c r="S243" s="16">
        <v>0</v>
      </c>
      <c r="T243" s="16">
        <v>1</v>
      </c>
      <c r="U243" s="16">
        <v>0</v>
      </c>
      <c r="V243" s="13">
        <f t="shared" si="46"/>
        <v>2</v>
      </c>
    </row>
    <row r="244" spans="1:22" ht="12.75" customHeight="1" x14ac:dyDescent="0.3">
      <c r="A244" s="15"/>
      <c r="B244" s="28"/>
      <c r="C244" s="29" t="s">
        <v>182</v>
      </c>
      <c r="D244" s="30"/>
      <c r="E244" s="16">
        <v>0</v>
      </c>
      <c r="F244" s="16">
        <v>0</v>
      </c>
      <c r="G244" s="16">
        <v>0</v>
      </c>
      <c r="H244" s="16">
        <v>0</v>
      </c>
      <c r="I244" s="16">
        <v>0</v>
      </c>
      <c r="J244" s="16">
        <v>0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>
        <v>0</v>
      </c>
      <c r="Q244" s="16">
        <v>0</v>
      </c>
      <c r="R244" s="16">
        <v>0</v>
      </c>
      <c r="S244" s="16">
        <v>0</v>
      </c>
      <c r="T244" s="16">
        <v>0</v>
      </c>
      <c r="U244" s="16">
        <v>0</v>
      </c>
      <c r="V244" s="13">
        <f t="shared" si="46"/>
        <v>0</v>
      </c>
    </row>
    <row r="245" spans="1:22" ht="12.75" customHeight="1" x14ac:dyDescent="0.3">
      <c r="A245" s="15"/>
      <c r="B245" s="28"/>
      <c r="C245" s="29" t="s">
        <v>183</v>
      </c>
      <c r="D245" s="30"/>
      <c r="E245" s="16">
        <v>0</v>
      </c>
      <c r="F245" s="16">
        <v>0</v>
      </c>
      <c r="G245" s="16">
        <v>0</v>
      </c>
      <c r="H245" s="16">
        <v>0</v>
      </c>
      <c r="I245" s="16">
        <v>0</v>
      </c>
      <c r="J245" s="16">
        <v>0</v>
      </c>
      <c r="K245" s="16">
        <v>0</v>
      </c>
      <c r="L245" s="16">
        <v>1</v>
      </c>
      <c r="M245" s="16">
        <v>1</v>
      </c>
      <c r="N245" s="16">
        <v>0</v>
      </c>
      <c r="O245" s="16">
        <v>0</v>
      </c>
      <c r="P245" s="16">
        <v>0</v>
      </c>
      <c r="Q245" s="16">
        <v>0</v>
      </c>
      <c r="R245" s="16">
        <v>0</v>
      </c>
      <c r="S245" s="16">
        <v>0</v>
      </c>
      <c r="T245" s="16">
        <v>0</v>
      </c>
      <c r="U245" s="16">
        <v>0</v>
      </c>
      <c r="V245" s="13">
        <f t="shared" si="46"/>
        <v>2</v>
      </c>
    </row>
    <row r="246" spans="1:22" ht="12.75" customHeight="1" x14ac:dyDescent="0.3">
      <c r="A246" s="15"/>
      <c r="B246" s="28"/>
      <c r="C246" s="29" t="s">
        <v>184</v>
      </c>
      <c r="D246" s="30"/>
      <c r="E246" s="16">
        <v>0</v>
      </c>
      <c r="F246" s="16">
        <v>0</v>
      </c>
      <c r="G246" s="16">
        <v>0</v>
      </c>
      <c r="H246" s="16">
        <v>0</v>
      </c>
      <c r="I246" s="16">
        <v>0</v>
      </c>
      <c r="J246" s="16">
        <v>0</v>
      </c>
      <c r="K246" s="16">
        <v>0</v>
      </c>
      <c r="L246" s="16">
        <v>0</v>
      </c>
      <c r="M246" s="16">
        <v>0</v>
      </c>
      <c r="N246" s="16">
        <v>0</v>
      </c>
      <c r="O246" s="16">
        <v>0</v>
      </c>
      <c r="P246" s="16">
        <v>1</v>
      </c>
      <c r="Q246" s="16">
        <v>0</v>
      </c>
      <c r="R246" s="16">
        <v>0</v>
      </c>
      <c r="S246" s="16">
        <v>0</v>
      </c>
      <c r="T246" s="16">
        <v>0</v>
      </c>
      <c r="U246" s="16">
        <v>0</v>
      </c>
      <c r="V246" s="13">
        <f t="shared" si="46"/>
        <v>1</v>
      </c>
    </row>
    <row r="247" spans="1:22" ht="12.75" customHeight="1" x14ac:dyDescent="0.3">
      <c r="A247" s="16" t="s">
        <v>15</v>
      </c>
      <c r="B247" s="59" t="s">
        <v>49</v>
      </c>
      <c r="C247" s="60"/>
      <c r="D247" s="58"/>
      <c r="E247" s="13">
        <f t="shared" ref="E247:V247" si="47">SUM(E237:E246)</f>
        <v>3</v>
      </c>
      <c r="F247" s="13">
        <f t="shared" si="47"/>
        <v>1</v>
      </c>
      <c r="G247" s="13">
        <f t="shared" si="47"/>
        <v>0</v>
      </c>
      <c r="H247" s="13">
        <f t="shared" si="47"/>
        <v>0</v>
      </c>
      <c r="I247" s="13">
        <f t="shared" si="47"/>
        <v>0</v>
      </c>
      <c r="J247" s="13">
        <f t="shared" si="47"/>
        <v>1</v>
      </c>
      <c r="K247" s="13">
        <f t="shared" si="47"/>
        <v>1</v>
      </c>
      <c r="L247" s="13">
        <f t="shared" si="47"/>
        <v>6</v>
      </c>
      <c r="M247" s="13">
        <f t="shared" si="47"/>
        <v>2</v>
      </c>
      <c r="N247" s="13">
        <f t="shared" si="47"/>
        <v>0</v>
      </c>
      <c r="O247" s="13">
        <f t="shared" si="47"/>
        <v>0</v>
      </c>
      <c r="P247" s="13">
        <f t="shared" si="47"/>
        <v>2</v>
      </c>
      <c r="Q247" s="13">
        <f t="shared" si="47"/>
        <v>3</v>
      </c>
      <c r="R247" s="13">
        <f t="shared" si="47"/>
        <v>1</v>
      </c>
      <c r="S247" s="13">
        <f t="shared" si="47"/>
        <v>0</v>
      </c>
      <c r="T247" s="13">
        <f t="shared" si="47"/>
        <v>1</v>
      </c>
      <c r="U247" s="13">
        <f t="shared" si="47"/>
        <v>2</v>
      </c>
      <c r="V247" s="13">
        <f t="shared" si="47"/>
        <v>23</v>
      </c>
    </row>
    <row r="248" spans="1:22" ht="12.75" customHeight="1" x14ac:dyDescent="0.3">
      <c r="A248" s="61"/>
      <c r="B248" s="60"/>
      <c r="C248" s="60"/>
      <c r="D248" s="60"/>
      <c r="E248" s="58"/>
    </row>
    <row r="249" spans="1:22" ht="12.75" customHeight="1" x14ac:dyDescent="0.3">
      <c r="A249" s="20" t="s">
        <v>37</v>
      </c>
      <c r="B249" s="27" t="s">
        <v>185</v>
      </c>
      <c r="C249" s="57" t="s">
        <v>186</v>
      </c>
      <c r="D249" s="58"/>
      <c r="E249" s="16">
        <v>1</v>
      </c>
      <c r="F249" s="16">
        <v>0</v>
      </c>
      <c r="G249" s="16">
        <v>0</v>
      </c>
      <c r="H249" s="16">
        <v>0</v>
      </c>
      <c r="I249" s="16">
        <v>0</v>
      </c>
      <c r="J249" s="16">
        <v>0</v>
      </c>
      <c r="K249" s="16">
        <v>0</v>
      </c>
      <c r="L249" s="16">
        <v>0</v>
      </c>
      <c r="M249" s="16">
        <v>0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3">
        <f t="shared" ref="V249:V258" si="48">SUM(E249:U249)</f>
        <v>1</v>
      </c>
    </row>
    <row r="250" spans="1:22" ht="12.75" customHeight="1" x14ac:dyDescent="0.3">
      <c r="A250" s="20" t="s">
        <v>39</v>
      </c>
      <c r="B250" s="28"/>
      <c r="C250" s="29" t="s">
        <v>187</v>
      </c>
      <c r="D250" s="30"/>
      <c r="E250" s="16">
        <v>0</v>
      </c>
      <c r="F250" s="16">
        <v>0</v>
      </c>
      <c r="G250" s="16">
        <v>0</v>
      </c>
      <c r="H250" s="16">
        <v>0</v>
      </c>
      <c r="I250" s="16">
        <v>0</v>
      </c>
      <c r="J250" s="16">
        <v>2</v>
      </c>
      <c r="K250" s="16">
        <v>0</v>
      </c>
      <c r="L250" s="16">
        <v>0</v>
      </c>
      <c r="M250" s="16">
        <v>0</v>
      </c>
      <c r="N250" s="16">
        <v>0</v>
      </c>
      <c r="O250" s="16">
        <v>0</v>
      </c>
      <c r="P250" s="16">
        <v>0</v>
      </c>
      <c r="Q250" s="16">
        <v>0</v>
      </c>
      <c r="R250" s="16">
        <v>0</v>
      </c>
      <c r="S250" s="16">
        <v>0</v>
      </c>
      <c r="T250" s="16">
        <v>0</v>
      </c>
      <c r="U250" s="16">
        <v>0</v>
      </c>
      <c r="V250" s="13">
        <f t="shared" si="48"/>
        <v>2</v>
      </c>
    </row>
    <row r="251" spans="1:22" ht="12.75" customHeight="1" x14ac:dyDescent="0.3">
      <c r="A251" s="15"/>
      <c r="B251" s="28"/>
      <c r="C251" s="29" t="s">
        <v>188</v>
      </c>
      <c r="D251" s="30"/>
      <c r="E251" s="16">
        <v>0</v>
      </c>
      <c r="F251" s="16">
        <v>0</v>
      </c>
      <c r="G251" s="16">
        <v>0</v>
      </c>
      <c r="H251" s="16">
        <v>0</v>
      </c>
      <c r="I251" s="16">
        <v>0</v>
      </c>
      <c r="J251" s="16">
        <v>0</v>
      </c>
      <c r="K251" s="16">
        <v>0</v>
      </c>
      <c r="L251" s="16">
        <v>0</v>
      </c>
      <c r="M251" s="16">
        <v>0</v>
      </c>
      <c r="N251" s="16">
        <v>0</v>
      </c>
      <c r="O251" s="16">
        <v>0</v>
      </c>
      <c r="P251" s="16">
        <v>0</v>
      </c>
      <c r="Q251" s="16">
        <v>0</v>
      </c>
      <c r="R251" s="16">
        <v>0</v>
      </c>
      <c r="S251" s="16">
        <v>0</v>
      </c>
      <c r="T251" s="16">
        <v>0</v>
      </c>
      <c r="U251" s="16">
        <v>0</v>
      </c>
      <c r="V251" s="13">
        <f t="shared" si="48"/>
        <v>0</v>
      </c>
    </row>
    <row r="252" spans="1:22" ht="12.75" customHeight="1" x14ac:dyDescent="0.3">
      <c r="A252" s="15"/>
      <c r="B252" s="28"/>
      <c r="C252" s="29" t="s">
        <v>189</v>
      </c>
      <c r="D252" s="30"/>
      <c r="E252" s="16">
        <v>0</v>
      </c>
      <c r="F252" s="16">
        <v>0</v>
      </c>
      <c r="G252" s="16">
        <v>0</v>
      </c>
      <c r="H252" s="16">
        <v>0</v>
      </c>
      <c r="I252" s="16">
        <v>0</v>
      </c>
      <c r="J252" s="16">
        <v>0</v>
      </c>
      <c r="K252" s="16">
        <v>0</v>
      </c>
      <c r="L252" s="16">
        <v>0</v>
      </c>
      <c r="M252" s="16">
        <v>0</v>
      </c>
      <c r="N252" s="16">
        <v>0</v>
      </c>
      <c r="O252" s="16">
        <v>0</v>
      </c>
      <c r="P252" s="16">
        <v>0</v>
      </c>
      <c r="Q252" s="16">
        <v>0</v>
      </c>
      <c r="R252" s="16">
        <v>0</v>
      </c>
      <c r="S252" s="16">
        <v>0</v>
      </c>
      <c r="T252" s="16">
        <v>0</v>
      </c>
      <c r="U252" s="16">
        <v>0</v>
      </c>
      <c r="V252" s="13">
        <f t="shared" si="48"/>
        <v>0</v>
      </c>
    </row>
    <row r="253" spans="1:22" ht="12.75" customHeight="1" x14ac:dyDescent="0.3">
      <c r="A253" s="15"/>
      <c r="B253" s="36"/>
      <c r="C253" s="44"/>
      <c r="D253" s="38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3">
        <f t="shared" si="48"/>
        <v>0</v>
      </c>
    </row>
    <row r="254" spans="1:22" ht="12.75" customHeight="1" x14ac:dyDescent="0.3">
      <c r="A254" s="15"/>
      <c r="B254" s="36"/>
      <c r="C254" s="44"/>
      <c r="D254" s="38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3">
        <f t="shared" si="48"/>
        <v>0</v>
      </c>
    </row>
    <row r="255" spans="1:22" ht="12.75" customHeight="1" x14ac:dyDescent="0.3">
      <c r="A255" s="15"/>
      <c r="B255" s="36"/>
      <c r="C255" s="44"/>
      <c r="D255" s="38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3">
        <f t="shared" si="48"/>
        <v>0</v>
      </c>
    </row>
    <row r="256" spans="1:22" ht="12.75" customHeight="1" x14ac:dyDescent="0.3">
      <c r="A256" s="15"/>
      <c r="B256" s="36"/>
      <c r="C256" s="43"/>
      <c r="D256" s="38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3">
        <f t="shared" si="48"/>
        <v>0</v>
      </c>
    </row>
    <row r="257" spans="1:22" ht="12.75" customHeight="1" x14ac:dyDescent="0.3">
      <c r="A257" s="15"/>
      <c r="B257" s="36"/>
      <c r="C257" s="43"/>
      <c r="D257" s="38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3">
        <f t="shared" si="48"/>
        <v>0</v>
      </c>
    </row>
    <row r="258" spans="1:22" ht="12.75" customHeight="1" x14ac:dyDescent="0.3">
      <c r="A258" s="15"/>
      <c r="B258" s="36"/>
      <c r="C258" s="43"/>
      <c r="D258" s="38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3">
        <f t="shared" si="48"/>
        <v>0</v>
      </c>
    </row>
    <row r="259" spans="1:22" ht="12.75" customHeight="1" x14ac:dyDescent="0.3">
      <c r="A259" s="16" t="s">
        <v>15</v>
      </c>
      <c r="B259" s="59" t="s">
        <v>49</v>
      </c>
      <c r="C259" s="60"/>
      <c r="D259" s="58"/>
      <c r="E259" s="13">
        <f t="shared" ref="E259:V259" si="49">SUM(E249:E258)</f>
        <v>1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2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3</v>
      </c>
    </row>
    <row r="260" spans="1:22" ht="12.75" customHeight="1" x14ac:dyDescent="0.3"/>
    <row r="261" spans="1:22" ht="12.75" customHeight="1" x14ac:dyDescent="0.3">
      <c r="A261" s="26" t="s">
        <v>190</v>
      </c>
      <c r="B261" s="66" t="s">
        <v>191</v>
      </c>
      <c r="C261" s="60"/>
      <c r="D261" s="58"/>
      <c r="E261" s="13"/>
      <c r="F261" s="13"/>
      <c r="G261" s="13"/>
      <c r="H261" s="13"/>
      <c r="I261" s="13"/>
      <c r="J261" s="13"/>
      <c r="K261" s="13"/>
      <c r="L261" s="13"/>
      <c r="M261" s="13"/>
      <c r="N261" s="50"/>
      <c r="O261" s="13"/>
      <c r="P261" s="13"/>
      <c r="Q261" s="13"/>
      <c r="R261" s="13"/>
      <c r="S261" s="13"/>
      <c r="T261" s="13"/>
      <c r="U261" s="13"/>
      <c r="V261" s="13"/>
    </row>
    <row r="262" spans="1:22" ht="12.75" customHeight="1" x14ac:dyDescent="0.3">
      <c r="A262" s="26"/>
      <c r="B262" s="45" t="s">
        <v>192</v>
      </c>
      <c r="C262" s="67" t="s">
        <v>193</v>
      </c>
      <c r="D262" s="58"/>
      <c r="E262" s="16">
        <f t="shared" ref="E262:U262" si="50">E55+E67+E79+E91+E103+E115+E127+E139+E151+E163+E175+E187+E199+E211+E223+E235+E247+E259</f>
        <v>108</v>
      </c>
      <c r="F262" s="16">
        <f t="shared" si="50"/>
        <v>151</v>
      </c>
      <c r="G262" s="16">
        <f t="shared" si="50"/>
        <v>104</v>
      </c>
      <c r="H262" s="16">
        <f t="shared" si="50"/>
        <v>198</v>
      </c>
      <c r="I262" s="16">
        <f t="shared" si="50"/>
        <v>186</v>
      </c>
      <c r="J262" s="16">
        <f t="shared" si="50"/>
        <v>143</v>
      </c>
      <c r="K262" s="16">
        <f t="shared" si="50"/>
        <v>222</v>
      </c>
      <c r="L262" s="16">
        <f t="shared" si="50"/>
        <v>135</v>
      </c>
      <c r="M262" s="16">
        <f t="shared" si="50"/>
        <v>163</v>
      </c>
      <c r="N262" s="16">
        <f t="shared" si="50"/>
        <v>158</v>
      </c>
      <c r="O262" s="16">
        <f t="shared" si="50"/>
        <v>173</v>
      </c>
      <c r="P262" s="16">
        <f t="shared" si="50"/>
        <v>140</v>
      </c>
      <c r="Q262" s="16">
        <f t="shared" si="50"/>
        <v>174</v>
      </c>
      <c r="R262" s="16">
        <f t="shared" si="50"/>
        <v>192</v>
      </c>
      <c r="S262" s="16">
        <f t="shared" si="50"/>
        <v>160</v>
      </c>
      <c r="T262" s="16">
        <f t="shared" si="50"/>
        <v>163</v>
      </c>
      <c r="U262" s="16">
        <f t="shared" si="50"/>
        <v>182</v>
      </c>
      <c r="V262" s="13">
        <f t="shared" ref="V262:V264" si="51">SUM(E262:U262)</f>
        <v>2752</v>
      </c>
    </row>
    <row r="263" spans="1:22" ht="12.75" customHeight="1" x14ac:dyDescent="0.3">
      <c r="A263" s="22"/>
      <c r="B263" s="45" t="s">
        <v>194</v>
      </c>
      <c r="C263" s="67" t="s">
        <v>195</v>
      </c>
      <c r="D263" s="58"/>
      <c r="E263" s="16">
        <v>22</v>
      </c>
      <c r="F263" s="16">
        <v>23</v>
      </c>
      <c r="G263" s="16">
        <v>12</v>
      </c>
      <c r="H263" s="16">
        <v>32</v>
      </c>
      <c r="I263" s="16">
        <v>24</v>
      </c>
      <c r="J263" s="16">
        <v>43</v>
      </c>
      <c r="K263" s="16">
        <v>33</v>
      </c>
      <c r="L263" s="16">
        <v>50</v>
      </c>
      <c r="M263" s="16">
        <v>32</v>
      </c>
      <c r="N263" s="16">
        <v>48</v>
      </c>
      <c r="O263" s="16">
        <v>65</v>
      </c>
      <c r="P263" s="16">
        <v>65</v>
      </c>
      <c r="Q263" s="16">
        <v>52</v>
      </c>
      <c r="R263" s="16">
        <v>33</v>
      </c>
      <c r="S263" s="16">
        <v>43</v>
      </c>
      <c r="T263" s="16">
        <v>48</v>
      </c>
      <c r="U263" s="16">
        <v>40</v>
      </c>
      <c r="V263" s="13">
        <f t="shared" si="51"/>
        <v>665</v>
      </c>
    </row>
    <row r="264" spans="1:22" ht="12.75" customHeight="1" x14ac:dyDescent="0.3">
      <c r="A264" s="25"/>
      <c r="B264" s="45" t="s">
        <v>196</v>
      </c>
      <c r="C264" s="67" t="s">
        <v>197</v>
      </c>
      <c r="D264" s="58"/>
      <c r="E264" s="13">
        <f t="shared" ref="E264:U264" si="52">SUM(E262:E263)</f>
        <v>130</v>
      </c>
      <c r="F264" s="13">
        <f t="shared" si="52"/>
        <v>174</v>
      </c>
      <c r="G264" s="13">
        <f t="shared" si="52"/>
        <v>116</v>
      </c>
      <c r="H264" s="13">
        <f t="shared" si="52"/>
        <v>230</v>
      </c>
      <c r="I264" s="13">
        <f t="shared" si="52"/>
        <v>210</v>
      </c>
      <c r="J264" s="13">
        <f t="shared" si="52"/>
        <v>186</v>
      </c>
      <c r="K264" s="13">
        <f t="shared" si="52"/>
        <v>255</v>
      </c>
      <c r="L264" s="13">
        <f t="shared" si="52"/>
        <v>185</v>
      </c>
      <c r="M264" s="13">
        <f t="shared" si="52"/>
        <v>195</v>
      </c>
      <c r="N264" s="13">
        <f t="shared" si="52"/>
        <v>206</v>
      </c>
      <c r="O264" s="13">
        <f t="shared" si="52"/>
        <v>238</v>
      </c>
      <c r="P264" s="13">
        <f t="shared" si="52"/>
        <v>205</v>
      </c>
      <c r="Q264" s="13">
        <f t="shared" si="52"/>
        <v>226</v>
      </c>
      <c r="R264" s="13">
        <f t="shared" si="52"/>
        <v>225</v>
      </c>
      <c r="S264" s="13">
        <f t="shared" si="52"/>
        <v>203</v>
      </c>
      <c r="T264" s="13">
        <f t="shared" si="52"/>
        <v>211</v>
      </c>
      <c r="U264" s="13">
        <f t="shared" si="52"/>
        <v>222</v>
      </c>
      <c r="V264" s="13">
        <f t="shared" si="51"/>
        <v>3417</v>
      </c>
    </row>
    <row r="265" spans="1:22" ht="12.75" customHeight="1" x14ac:dyDescent="0.3"/>
    <row r="266" spans="1:22" ht="12.75" customHeight="1" x14ac:dyDescent="0.3"/>
    <row r="267" spans="1:22" ht="12.75" customHeight="1" x14ac:dyDescent="0.3"/>
    <row r="268" spans="1:22" ht="12.75" customHeight="1" x14ac:dyDescent="0.3"/>
    <row r="269" spans="1:22" ht="12.75" customHeight="1" x14ac:dyDescent="0.3"/>
    <row r="270" spans="1:22" ht="12.75" customHeight="1" x14ac:dyDescent="0.3"/>
    <row r="271" spans="1:22" ht="12.75" customHeight="1" x14ac:dyDescent="0.3"/>
    <row r="272" spans="1:2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86">
    <mergeCell ref="C69:D69"/>
    <mergeCell ref="B79:D79"/>
    <mergeCell ref="B139:D139"/>
    <mergeCell ref="A140:E140"/>
    <mergeCell ref="C141:D141"/>
    <mergeCell ref="B55:D55"/>
    <mergeCell ref="A56:E56"/>
    <mergeCell ref="C57:D57"/>
    <mergeCell ref="B67:D67"/>
    <mergeCell ref="A68:E68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U42"/>
    <mergeCell ref="B43:D43"/>
    <mergeCell ref="B25:B27"/>
    <mergeCell ref="C25:C27"/>
    <mergeCell ref="B28:B30"/>
    <mergeCell ref="A37:D37"/>
    <mergeCell ref="E37:U37"/>
    <mergeCell ref="A17:D17"/>
    <mergeCell ref="B18:D18"/>
    <mergeCell ref="B19:B21"/>
    <mergeCell ref="C19:C21"/>
    <mergeCell ref="B22:B24"/>
    <mergeCell ref="C22:C24"/>
    <mergeCell ref="B12:D12"/>
    <mergeCell ref="E12:U12"/>
    <mergeCell ref="V12:V13"/>
    <mergeCell ref="B13:D13"/>
    <mergeCell ref="B14:C16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A212:E212"/>
    <mergeCell ref="C213:D213"/>
    <mergeCell ref="B223:D223"/>
    <mergeCell ref="A224:E224"/>
    <mergeCell ref="C225:D225"/>
    <mergeCell ref="C189:D189"/>
    <mergeCell ref="B199:D199"/>
    <mergeCell ref="A200:E200"/>
    <mergeCell ref="C201:D201"/>
    <mergeCell ref="B211:D211"/>
    <mergeCell ref="B175:D175"/>
    <mergeCell ref="A176:E176"/>
    <mergeCell ref="C177:D177"/>
    <mergeCell ref="B187:D187"/>
    <mergeCell ref="A188:E188"/>
    <mergeCell ref="A152:E152"/>
    <mergeCell ref="C153:D153"/>
    <mergeCell ref="B163:D163"/>
    <mergeCell ref="A164:E164"/>
    <mergeCell ref="C165:D165"/>
    <mergeCell ref="C117:D117"/>
    <mergeCell ref="B127:D127"/>
    <mergeCell ref="A128:E128"/>
    <mergeCell ref="C129:D129"/>
    <mergeCell ref="B151:D151"/>
    <mergeCell ref="B103:D103"/>
    <mergeCell ref="A104:E104"/>
    <mergeCell ref="C105:D105"/>
    <mergeCell ref="B115:D115"/>
    <mergeCell ref="A116:E116"/>
    <mergeCell ref="A80:E80"/>
    <mergeCell ref="C81:D81"/>
    <mergeCell ref="B91:D91"/>
    <mergeCell ref="A92:E92"/>
    <mergeCell ref="C93:D93"/>
  </mergeCells>
  <conditionalFormatting sqref="E14:U15 E19:U20 E22:U23 E25:U26 E33:U33 E35:U35 E39:U40 E45:U54 E57:U66 E69:U78 E81:U90 E93:U102 E105:U114 E117:U126 E129:U138 E141:U150 E153:U162 E165:U174 E177:U186 E189:U198 E201:U210 E213:U222 E225:U234 E237:U246 E249:U258 E262:U263">
    <cfRule type="containsBlanks" dxfId="258" priority="1">
      <formula>LEN(TRIM(E14))=0</formula>
    </cfRule>
  </conditionalFormatting>
  <conditionalFormatting sqref="E30:U30">
    <cfRule type="expression" dxfId="257" priority="2">
      <formula>E30&lt;&gt;E47</formula>
    </cfRule>
    <cfRule type="expression" dxfId="256" priority="3">
      <formula>E30&lt;&gt;E34</formula>
    </cfRule>
  </conditionalFormatting>
  <conditionalFormatting sqref="E34:U34">
    <cfRule type="expression" dxfId="255" priority="4">
      <formula>E30&lt;&gt;E34</formula>
    </cfRule>
    <cfRule type="expression" dxfId="254" priority="5">
      <formula>E30=E34</formula>
    </cfRule>
    <cfRule type="expression" dxfId="253" priority="6">
      <formula>E34&lt;&gt;E30</formula>
    </cfRule>
    <cfRule type="expression" dxfId="252" priority="7">
      <formula>E34&lt;&gt;E64</formula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0"/>
  <sheetViews>
    <sheetView zoomScale="70" zoomScaleNormal="70" workbookViewId="0">
      <selection activeCell="E249" sqref="E249:S252"/>
    </sheetView>
  </sheetViews>
  <sheetFormatPr defaultColWidth="14.3984375" defaultRowHeight="15" customHeight="1" x14ac:dyDescent="0.3"/>
  <cols>
    <col min="1" max="2" width="8.69921875" customWidth="1"/>
    <col min="3" max="3" width="67.09765625" customWidth="1"/>
    <col min="4" max="4" width="5.8984375" customWidth="1"/>
    <col min="5" max="19" width="8.69921875" customWidth="1"/>
    <col min="20" max="20" width="13.296875" customWidth="1"/>
    <col min="21" max="26" width="8.69921875" customWidth="1"/>
  </cols>
  <sheetData>
    <row r="1" spans="1:20" ht="12.75" customHeight="1" x14ac:dyDescent="0.3"/>
    <row r="2" spans="1:20" ht="12.75" customHeight="1" x14ac:dyDescent="0.3">
      <c r="C2" s="8" t="s">
        <v>0</v>
      </c>
      <c r="D2" s="8" t="s">
        <v>1</v>
      </c>
    </row>
    <row r="3" spans="1:20" ht="12.75" customHeight="1" x14ac:dyDescent="0.3">
      <c r="C3" s="8" t="s">
        <v>2</v>
      </c>
      <c r="D3" s="8" t="s">
        <v>3</v>
      </c>
    </row>
    <row r="4" spans="1:20" ht="12.75" customHeight="1" x14ac:dyDescent="0.3">
      <c r="C4" s="8" t="s">
        <v>4</v>
      </c>
      <c r="D4" s="8" t="s">
        <v>5</v>
      </c>
    </row>
    <row r="5" spans="1:20" ht="12.75" customHeight="1" x14ac:dyDescent="0.3">
      <c r="C5" s="8"/>
      <c r="D5" s="8"/>
    </row>
    <row r="6" spans="1:20" ht="12.75" customHeight="1" x14ac:dyDescent="0.3">
      <c r="C6" s="8"/>
      <c r="D6" s="8"/>
    </row>
    <row r="7" spans="1:20" ht="12.75" customHeight="1" x14ac:dyDescent="0.3">
      <c r="C7" s="8"/>
      <c r="D7" s="8"/>
    </row>
    <row r="8" spans="1:20" ht="12.75" customHeight="1" x14ac:dyDescent="0.3">
      <c r="C8" s="8"/>
      <c r="D8" s="8"/>
    </row>
    <row r="9" spans="1:20" ht="12.75" customHeight="1" x14ac:dyDescent="0.3">
      <c r="C9" s="8" t="s">
        <v>198</v>
      </c>
      <c r="D9" s="8" t="s">
        <v>217</v>
      </c>
    </row>
    <row r="10" spans="1:20" ht="12.75" customHeight="1" x14ac:dyDescent="0.3"/>
    <row r="11" spans="1:20" ht="12.75" customHeight="1" x14ac:dyDescent="0.3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20" ht="12.75" customHeight="1" x14ac:dyDescent="0.3">
      <c r="A12" s="13" t="s">
        <v>6</v>
      </c>
      <c r="B12" s="66" t="s">
        <v>7</v>
      </c>
      <c r="C12" s="60"/>
      <c r="D12" s="58"/>
      <c r="E12" s="83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84" t="s">
        <v>8</v>
      </c>
    </row>
    <row r="13" spans="1:20" ht="12.75" customHeight="1" x14ac:dyDescent="0.3">
      <c r="A13" s="16" t="s">
        <v>9</v>
      </c>
      <c r="B13" s="70" t="s">
        <v>10</v>
      </c>
      <c r="C13" s="60"/>
      <c r="D13" s="58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76"/>
    </row>
    <row r="14" spans="1:20" ht="12.75" customHeight="1" x14ac:dyDescent="0.3">
      <c r="A14" s="15"/>
      <c r="B14" s="71" t="s">
        <v>11</v>
      </c>
      <c r="C14" s="63"/>
      <c r="D14" s="16" t="s">
        <v>12</v>
      </c>
      <c r="E14" s="16">
        <v>133</v>
      </c>
      <c r="F14" s="16">
        <v>134</v>
      </c>
      <c r="G14" s="16">
        <v>113</v>
      </c>
      <c r="H14" s="16">
        <v>131</v>
      </c>
      <c r="I14" s="16">
        <v>63</v>
      </c>
      <c r="J14" s="16">
        <v>107</v>
      </c>
      <c r="K14" s="16">
        <v>122</v>
      </c>
      <c r="L14" s="16">
        <v>112</v>
      </c>
      <c r="M14" s="16">
        <v>141</v>
      </c>
      <c r="N14" s="16">
        <v>149</v>
      </c>
      <c r="O14" s="16">
        <v>127</v>
      </c>
      <c r="P14" s="16">
        <v>137</v>
      </c>
      <c r="Q14" s="16">
        <v>132</v>
      </c>
      <c r="R14" s="16">
        <v>107</v>
      </c>
      <c r="S14" s="16">
        <v>144</v>
      </c>
      <c r="T14" s="13">
        <f t="shared" ref="T14:T16" si="0">SUM(E14:S14)</f>
        <v>1852</v>
      </c>
    </row>
    <row r="15" spans="1:20" ht="12.75" customHeight="1" x14ac:dyDescent="0.3">
      <c r="A15" s="15"/>
      <c r="B15" s="72"/>
      <c r="C15" s="73"/>
      <c r="D15" s="16" t="s">
        <v>13</v>
      </c>
      <c r="E15" s="16">
        <v>139</v>
      </c>
      <c r="F15" s="16">
        <v>128</v>
      </c>
      <c r="G15" s="16">
        <v>111</v>
      </c>
      <c r="H15" s="16">
        <v>134</v>
      </c>
      <c r="I15" s="16">
        <v>75</v>
      </c>
      <c r="J15" s="16">
        <v>130</v>
      </c>
      <c r="K15" s="16">
        <v>117</v>
      </c>
      <c r="L15" s="16">
        <v>115</v>
      </c>
      <c r="M15" s="16">
        <v>117</v>
      </c>
      <c r="N15" s="16">
        <v>138</v>
      </c>
      <c r="O15" s="16">
        <v>141</v>
      </c>
      <c r="P15" s="16">
        <v>130</v>
      </c>
      <c r="Q15" s="16">
        <v>136</v>
      </c>
      <c r="R15" s="16">
        <v>99</v>
      </c>
      <c r="S15" s="16">
        <v>129</v>
      </c>
      <c r="T15" s="13">
        <f t="shared" si="0"/>
        <v>1839</v>
      </c>
    </row>
    <row r="16" spans="1:20" ht="12.75" customHeight="1" x14ac:dyDescent="0.3">
      <c r="A16" s="18"/>
      <c r="B16" s="69"/>
      <c r="C16" s="65"/>
      <c r="D16" s="13" t="s">
        <v>14</v>
      </c>
      <c r="E16" s="13">
        <f t="shared" ref="E16:S16" si="1">SUM(E14:E15)</f>
        <v>272</v>
      </c>
      <c r="F16" s="13">
        <f t="shared" si="1"/>
        <v>262</v>
      </c>
      <c r="G16" s="13">
        <f t="shared" si="1"/>
        <v>224</v>
      </c>
      <c r="H16" s="13">
        <f t="shared" si="1"/>
        <v>265</v>
      </c>
      <c r="I16" s="13">
        <f t="shared" si="1"/>
        <v>138</v>
      </c>
      <c r="J16" s="13">
        <f t="shared" si="1"/>
        <v>237</v>
      </c>
      <c r="K16" s="13">
        <f t="shared" si="1"/>
        <v>239</v>
      </c>
      <c r="L16" s="13">
        <f t="shared" si="1"/>
        <v>227</v>
      </c>
      <c r="M16" s="13">
        <f t="shared" si="1"/>
        <v>258</v>
      </c>
      <c r="N16" s="13">
        <f t="shared" si="1"/>
        <v>287</v>
      </c>
      <c r="O16" s="13">
        <f t="shared" si="1"/>
        <v>268</v>
      </c>
      <c r="P16" s="13">
        <f t="shared" si="1"/>
        <v>267</v>
      </c>
      <c r="Q16" s="13">
        <f t="shared" si="1"/>
        <v>268</v>
      </c>
      <c r="R16" s="13">
        <f t="shared" si="1"/>
        <v>206</v>
      </c>
      <c r="S16" s="13">
        <f t="shared" si="1"/>
        <v>273</v>
      </c>
      <c r="T16" s="13">
        <f t="shared" si="0"/>
        <v>3691</v>
      </c>
    </row>
    <row r="17" spans="1:20" ht="12.75" customHeight="1" x14ac:dyDescent="0.3">
      <c r="A17" s="61"/>
      <c r="B17" s="60"/>
      <c r="C17" s="60"/>
      <c r="D17" s="58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49"/>
    </row>
    <row r="18" spans="1:20" ht="12.75" customHeight="1" x14ac:dyDescent="0.3">
      <c r="A18" s="20" t="s">
        <v>15</v>
      </c>
      <c r="B18" s="70" t="s">
        <v>16</v>
      </c>
      <c r="C18" s="60"/>
      <c r="D18" s="58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49"/>
    </row>
    <row r="19" spans="1:20" ht="12.75" customHeight="1" x14ac:dyDescent="0.3">
      <c r="A19" s="20"/>
      <c r="B19" s="77" t="s">
        <v>17</v>
      </c>
      <c r="C19" s="74" t="s">
        <v>18</v>
      </c>
      <c r="D19" s="16" t="s">
        <v>12</v>
      </c>
      <c r="E19" s="16">
        <v>108</v>
      </c>
      <c r="F19" s="16">
        <v>88</v>
      </c>
      <c r="G19" s="16">
        <v>82</v>
      </c>
      <c r="H19" s="16">
        <v>102</v>
      </c>
      <c r="I19" s="16">
        <v>46</v>
      </c>
      <c r="J19" s="16">
        <v>90</v>
      </c>
      <c r="K19" s="16">
        <v>94</v>
      </c>
      <c r="L19" s="16">
        <v>78</v>
      </c>
      <c r="M19" s="16">
        <v>87</v>
      </c>
      <c r="N19" s="16">
        <v>113</v>
      </c>
      <c r="O19" s="16">
        <v>101</v>
      </c>
      <c r="P19" s="16">
        <v>103</v>
      </c>
      <c r="Q19" s="16">
        <v>101</v>
      </c>
      <c r="R19" s="16">
        <v>94</v>
      </c>
      <c r="S19" s="16">
        <v>122</v>
      </c>
      <c r="T19" s="13">
        <f t="shared" ref="T19:T30" si="2">SUM(E19:S19)</f>
        <v>1409</v>
      </c>
    </row>
    <row r="20" spans="1:20" ht="12.75" customHeight="1" x14ac:dyDescent="0.3">
      <c r="A20" s="21"/>
      <c r="B20" s="73"/>
      <c r="C20" s="75"/>
      <c r="D20" s="16" t="s">
        <v>13</v>
      </c>
      <c r="E20" s="16">
        <v>119</v>
      </c>
      <c r="F20" s="16">
        <v>92</v>
      </c>
      <c r="G20" s="16">
        <v>77</v>
      </c>
      <c r="H20" s="16">
        <v>111</v>
      </c>
      <c r="I20" s="16">
        <v>58</v>
      </c>
      <c r="J20" s="16">
        <v>113</v>
      </c>
      <c r="K20" s="16">
        <v>105</v>
      </c>
      <c r="L20" s="16">
        <v>93</v>
      </c>
      <c r="M20" s="16">
        <v>86</v>
      </c>
      <c r="N20" s="16">
        <v>117</v>
      </c>
      <c r="O20" s="16">
        <v>120</v>
      </c>
      <c r="P20" s="16">
        <v>115</v>
      </c>
      <c r="Q20" s="16">
        <v>124</v>
      </c>
      <c r="R20" s="16">
        <v>91</v>
      </c>
      <c r="S20" s="16">
        <v>113</v>
      </c>
      <c r="T20" s="13">
        <f t="shared" si="2"/>
        <v>1534</v>
      </c>
    </row>
    <row r="21" spans="1:20" ht="12.75" customHeight="1" x14ac:dyDescent="0.3">
      <c r="A21" s="22"/>
      <c r="B21" s="65"/>
      <c r="C21" s="76"/>
      <c r="D21" s="13" t="s">
        <v>14</v>
      </c>
      <c r="E21" s="13">
        <f t="shared" ref="E21:S21" si="3">SUM(E19:E20)</f>
        <v>227</v>
      </c>
      <c r="F21" s="13">
        <f t="shared" si="3"/>
        <v>180</v>
      </c>
      <c r="G21" s="13">
        <f t="shared" si="3"/>
        <v>159</v>
      </c>
      <c r="H21" s="13">
        <f t="shared" si="3"/>
        <v>213</v>
      </c>
      <c r="I21" s="13">
        <f t="shared" si="3"/>
        <v>104</v>
      </c>
      <c r="J21" s="13">
        <f t="shared" si="3"/>
        <v>203</v>
      </c>
      <c r="K21" s="13">
        <f t="shared" si="3"/>
        <v>199</v>
      </c>
      <c r="L21" s="13">
        <f t="shared" si="3"/>
        <v>171</v>
      </c>
      <c r="M21" s="13">
        <f t="shared" si="3"/>
        <v>173</v>
      </c>
      <c r="N21" s="13">
        <f t="shared" si="3"/>
        <v>230</v>
      </c>
      <c r="O21" s="13">
        <f t="shared" si="3"/>
        <v>221</v>
      </c>
      <c r="P21" s="13">
        <f t="shared" si="3"/>
        <v>218</v>
      </c>
      <c r="Q21" s="13">
        <f t="shared" si="3"/>
        <v>225</v>
      </c>
      <c r="R21" s="13">
        <f t="shared" si="3"/>
        <v>185</v>
      </c>
      <c r="S21" s="13">
        <f t="shared" si="3"/>
        <v>235</v>
      </c>
      <c r="T21" s="13">
        <f t="shared" si="2"/>
        <v>2943</v>
      </c>
    </row>
    <row r="22" spans="1:20" ht="12.75" customHeight="1" x14ac:dyDescent="0.3">
      <c r="A22" s="21"/>
      <c r="B22" s="77" t="s">
        <v>19</v>
      </c>
      <c r="C22" s="74" t="s">
        <v>20</v>
      </c>
      <c r="D22" s="16" t="s">
        <v>12</v>
      </c>
      <c r="E22" s="16">
        <v>1</v>
      </c>
      <c r="F22" s="16">
        <v>2</v>
      </c>
      <c r="G22" s="16">
        <v>0</v>
      </c>
      <c r="H22" s="16">
        <v>0</v>
      </c>
      <c r="I22" s="16">
        <v>0</v>
      </c>
      <c r="J22" s="16">
        <v>1</v>
      </c>
      <c r="K22" s="16">
        <v>0</v>
      </c>
      <c r="L22" s="16">
        <v>1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1</v>
      </c>
      <c r="S22" s="16">
        <v>0</v>
      </c>
      <c r="T22" s="13">
        <f t="shared" si="2"/>
        <v>6</v>
      </c>
    </row>
    <row r="23" spans="1:20" ht="12.75" customHeight="1" x14ac:dyDescent="0.3">
      <c r="A23" s="21"/>
      <c r="B23" s="73"/>
      <c r="C23" s="75"/>
      <c r="D23" s="16" t="s">
        <v>13</v>
      </c>
      <c r="E23" s="16">
        <v>1</v>
      </c>
      <c r="F23" s="16">
        <v>3</v>
      </c>
      <c r="G23" s="16">
        <v>0</v>
      </c>
      <c r="H23" s="16">
        <v>1</v>
      </c>
      <c r="I23" s="16">
        <v>0</v>
      </c>
      <c r="J23" s="16">
        <v>1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1</v>
      </c>
      <c r="S23" s="16">
        <v>0</v>
      </c>
      <c r="T23" s="13">
        <f t="shared" si="2"/>
        <v>7</v>
      </c>
    </row>
    <row r="24" spans="1:20" ht="12.75" customHeight="1" x14ac:dyDescent="0.3">
      <c r="A24" s="22"/>
      <c r="B24" s="65"/>
      <c r="C24" s="76"/>
      <c r="D24" s="13" t="s">
        <v>14</v>
      </c>
      <c r="E24" s="13">
        <f t="shared" ref="E24:S24" si="4">SUM(E22:E23)</f>
        <v>2</v>
      </c>
      <c r="F24" s="13">
        <f t="shared" si="4"/>
        <v>5</v>
      </c>
      <c r="G24" s="13">
        <f t="shared" si="4"/>
        <v>0</v>
      </c>
      <c r="H24" s="13">
        <f t="shared" si="4"/>
        <v>1</v>
      </c>
      <c r="I24" s="13">
        <f t="shared" si="4"/>
        <v>0</v>
      </c>
      <c r="J24" s="13">
        <f t="shared" si="4"/>
        <v>2</v>
      </c>
      <c r="K24" s="13">
        <f t="shared" si="4"/>
        <v>0</v>
      </c>
      <c r="L24" s="13">
        <f t="shared" si="4"/>
        <v>1</v>
      </c>
      <c r="M24" s="13">
        <f t="shared" si="4"/>
        <v>0</v>
      </c>
      <c r="N24" s="13">
        <f t="shared" si="4"/>
        <v>0</v>
      </c>
      <c r="O24" s="13">
        <f t="shared" si="4"/>
        <v>0</v>
      </c>
      <c r="P24" s="13">
        <f t="shared" si="4"/>
        <v>0</v>
      </c>
      <c r="Q24" s="13">
        <f t="shared" si="4"/>
        <v>0</v>
      </c>
      <c r="R24" s="13">
        <f t="shared" si="4"/>
        <v>2</v>
      </c>
      <c r="S24" s="13">
        <f t="shared" si="4"/>
        <v>0</v>
      </c>
      <c r="T24" s="13">
        <f t="shared" si="2"/>
        <v>13</v>
      </c>
    </row>
    <row r="25" spans="1:20" ht="12.75" customHeight="1" x14ac:dyDescent="0.3">
      <c r="A25" s="21"/>
      <c r="B25" s="77" t="s">
        <v>21</v>
      </c>
      <c r="C25" s="74" t="s">
        <v>22</v>
      </c>
      <c r="D25" s="16" t="s">
        <v>12</v>
      </c>
      <c r="E25" s="16">
        <v>1</v>
      </c>
      <c r="F25" s="16">
        <v>0</v>
      </c>
      <c r="G25" s="16">
        <v>1</v>
      </c>
      <c r="H25" s="16">
        <v>0</v>
      </c>
      <c r="I25" s="16">
        <v>0</v>
      </c>
      <c r="J25" s="16">
        <v>2</v>
      </c>
      <c r="K25" s="16">
        <v>0</v>
      </c>
      <c r="L25" s="16">
        <v>1</v>
      </c>
      <c r="M25" s="16">
        <v>1</v>
      </c>
      <c r="N25" s="16">
        <v>0</v>
      </c>
      <c r="O25" s="16">
        <v>1</v>
      </c>
      <c r="P25" s="16">
        <v>0</v>
      </c>
      <c r="Q25" s="16">
        <v>8</v>
      </c>
      <c r="R25" s="16">
        <v>1</v>
      </c>
      <c r="S25" s="16">
        <v>2</v>
      </c>
      <c r="T25" s="13">
        <f t="shared" si="2"/>
        <v>18</v>
      </c>
    </row>
    <row r="26" spans="1:20" ht="12.75" customHeight="1" x14ac:dyDescent="0.3">
      <c r="A26" s="21"/>
      <c r="B26" s="73"/>
      <c r="C26" s="75"/>
      <c r="D26" s="16" t="s">
        <v>13</v>
      </c>
      <c r="E26" s="16">
        <v>0</v>
      </c>
      <c r="F26" s="16">
        <v>1</v>
      </c>
      <c r="G26" s="16">
        <v>0</v>
      </c>
      <c r="H26" s="16">
        <v>0</v>
      </c>
      <c r="I26" s="16">
        <v>0</v>
      </c>
      <c r="J26" s="16">
        <v>2</v>
      </c>
      <c r="K26" s="16">
        <v>0</v>
      </c>
      <c r="L26" s="16">
        <v>2</v>
      </c>
      <c r="M26" s="16">
        <v>0</v>
      </c>
      <c r="N26" s="16">
        <v>0</v>
      </c>
      <c r="O26" s="16">
        <v>3</v>
      </c>
      <c r="P26" s="16">
        <v>0</v>
      </c>
      <c r="Q26" s="16">
        <v>8</v>
      </c>
      <c r="R26" s="16">
        <v>2</v>
      </c>
      <c r="S26" s="16">
        <v>5</v>
      </c>
      <c r="T26" s="13">
        <f t="shared" si="2"/>
        <v>23</v>
      </c>
    </row>
    <row r="27" spans="1:20" ht="12.75" customHeight="1" x14ac:dyDescent="0.3">
      <c r="A27" s="22"/>
      <c r="B27" s="65"/>
      <c r="C27" s="76"/>
      <c r="D27" s="13" t="s">
        <v>14</v>
      </c>
      <c r="E27" s="13">
        <f t="shared" ref="E27:S27" si="5">SUM(E25:E26)</f>
        <v>1</v>
      </c>
      <c r="F27" s="13">
        <f t="shared" si="5"/>
        <v>1</v>
      </c>
      <c r="G27" s="13">
        <f t="shared" si="5"/>
        <v>1</v>
      </c>
      <c r="H27" s="13">
        <f t="shared" si="5"/>
        <v>0</v>
      </c>
      <c r="I27" s="13">
        <f t="shared" si="5"/>
        <v>0</v>
      </c>
      <c r="J27" s="13">
        <f t="shared" si="5"/>
        <v>4</v>
      </c>
      <c r="K27" s="13">
        <f t="shared" si="5"/>
        <v>0</v>
      </c>
      <c r="L27" s="13">
        <f t="shared" si="5"/>
        <v>3</v>
      </c>
      <c r="M27" s="13">
        <f t="shared" si="5"/>
        <v>1</v>
      </c>
      <c r="N27" s="13">
        <f t="shared" si="5"/>
        <v>0</v>
      </c>
      <c r="O27" s="13">
        <f t="shared" si="5"/>
        <v>4</v>
      </c>
      <c r="P27" s="13">
        <f t="shared" si="5"/>
        <v>0</v>
      </c>
      <c r="Q27" s="13">
        <f t="shared" si="5"/>
        <v>16</v>
      </c>
      <c r="R27" s="13">
        <f t="shared" si="5"/>
        <v>3</v>
      </c>
      <c r="S27" s="13">
        <f t="shared" si="5"/>
        <v>7</v>
      </c>
      <c r="T27" s="13">
        <f t="shared" si="2"/>
        <v>41</v>
      </c>
    </row>
    <row r="28" spans="1:20" ht="12.75" customHeight="1" x14ac:dyDescent="0.3">
      <c r="A28" s="22"/>
      <c r="B28" s="78" t="s">
        <v>23</v>
      </c>
      <c r="C28" s="79" t="s">
        <v>24</v>
      </c>
      <c r="D28" s="13" t="s">
        <v>12</v>
      </c>
      <c r="E28" s="13">
        <f t="shared" ref="E28:S28" si="6">SUM(E19,E22,E25)</f>
        <v>110</v>
      </c>
      <c r="F28" s="13">
        <f t="shared" si="6"/>
        <v>90</v>
      </c>
      <c r="G28" s="13">
        <f t="shared" si="6"/>
        <v>83</v>
      </c>
      <c r="H28" s="13">
        <f t="shared" si="6"/>
        <v>102</v>
      </c>
      <c r="I28" s="13">
        <f t="shared" si="6"/>
        <v>46</v>
      </c>
      <c r="J28" s="13">
        <f t="shared" si="6"/>
        <v>93</v>
      </c>
      <c r="K28" s="13">
        <f t="shared" si="6"/>
        <v>94</v>
      </c>
      <c r="L28" s="13">
        <f t="shared" si="6"/>
        <v>80</v>
      </c>
      <c r="M28" s="13">
        <f t="shared" si="6"/>
        <v>88</v>
      </c>
      <c r="N28" s="13">
        <f t="shared" si="6"/>
        <v>113</v>
      </c>
      <c r="O28" s="13">
        <f t="shared" si="6"/>
        <v>102</v>
      </c>
      <c r="P28" s="13">
        <f t="shared" si="6"/>
        <v>103</v>
      </c>
      <c r="Q28" s="13">
        <f t="shared" si="6"/>
        <v>109</v>
      </c>
      <c r="R28" s="13">
        <f t="shared" si="6"/>
        <v>96</v>
      </c>
      <c r="S28" s="13">
        <f t="shared" si="6"/>
        <v>124</v>
      </c>
      <c r="T28" s="13">
        <f t="shared" si="2"/>
        <v>1433</v>
      </c>
    </row>
    <row r="29" spans="1:20" ht="12.75" customHeight="1" x14ac:dyDescent="0.3">
      <c r="A29" s="22"/>
      <c r="B29" s="73"/>
      <c r="C29" s="75"/>
      <c r="D29" s="13" t="s">
        <v>13</v>
      </c>
      <c r="E29" s="13">
        <f t="shared" ref="E29:S29" si="7">SUM(E20,E23,E26)</f>
        <v>120</v>
      </c>
      <c r="F29" s="13">
        <f t="shared" si="7"/>
        <v>96</v>
      </c>
      <c r="G29" s="13">
        <f t="shared" si="7"/>
        <v>77</v>
      </c>
      <c r="H29" s="13">
        <f t="shared" si="7"/>
        <v>112</v>
      </c>
      <c r="I29" s="13">
        <f t="shared" si="7"/>
        <v>58</v>
      </c>
      <c r="J29" s="13">
        <f t="shared" si="7"/>
        <v>116</v>
      </c>
      <c r="K29" s="13">
        <f t="shared" si="7"/>
        <v>105</v>
      </c>
      <c r="L29" s="13">
        <f t="shared" si="7"/>
        <v>95</v>
      </c>
      <c r="M29" s="13">
        <f t="shared" si="7"/>
        <v>86</v>
      </c>
      <c r="N29" s="13">
        <f t="shared" si="7"/>
        <v>117</v>
      </c>
      <c r="O29" s="13">
        <f t="shared" si="7"/>
        <v>123</v>
      </c>
      <c r="P29" s="13">
        <f t="shared" si="7"/>
        <v>115</v>
      </c>
      <c r="Q29" s="13">
        <f t="shared" si="7"/>
        <v>132</v>
      </c>
      <c r="R29" s="13">
        <f t="shared" si="7"/>
        <v>94</v>
      </c>
      <c r="S29" s="13">
        <f t="shared" si="7"/>
        <v>118</v>
      </c>
      <c r="T29" s="13">
        <f t="shared" si="2"/>
        <v>1564</v>
      </c>
    </row>
    <row r="30" spans="1:20" ht="12.75" customHeight="1" x14ac:dyDescent="0.3">
      <c r="A30" s="22"/>
      <c r="B30" s="65"/>
      <c r="C30" s="76"/>
      <c r="D30" s="13" t="s">
        <v>14</v>
      </c>
      <c r="E30" s="13">
        <f t="shared" ref="E30:S30" si="8">SUM(E28:E29)</f>
        <v>230</v>
      </c>
      <c r="F30" s="13">
        <f t="shared" si="8"/>
        <v>186</v>
      </c>
      <c r="G30" s="13">
        <f t="shared" si="8"/>
        <v>160</v>
      </c>
      <c r="H30" s="13">
        <f t="shared" si="8"/>
        <v>214</v>
      </c>
      <c r="I30" s="13">
        <f t="shared" si="8"/>
        <v>104</v>
      </c>
      <c r="J30" s="13">
        <f t="shared" si="8"/>
        <v>209</v>
      </c>
      <c r="K30" s="13">
        <f t="shared" si="8"/>
        <v>199</v>
      </c>
      <c r="L30" s="13">
        <f t="shared" si="8"/>
        <v>175</v>
      </c>
      <c r="M30" s="13">
        <f t="shared" si="8"/>
        <v>174</v>
      </c>
      <c r="N30" s="13">
        <f t="shared" si="8"/>
        <v>230</v>
      </c>
      <c r="O30" s="13">
        <f t="shared" si="8"/>
        <v>225</v>
      </c>
      <c r="P30" s="13">
        <f t="shared" si="8"/>
        <v>218</v>
      </c>
      <c r="Q30" s="13">
        <f t="shared" si="8"/>
        <v>241</v>
      </c>
      <c r="R30" s="13">
        <f t="shared" si="8"/>
        <v>190</v>
      </c>
      <c r="S30" s="13">
        <f t="shared" si="8"/>
        <v>242</v>
      </c>
      <c r="T30" s="13">
        <f t="shared" si="2"/>
        <v>2997</v>
      </c>
    </row>
    <row r="31" spans="1:20" ht="12.75" customHeight="1" x14ac:dyDescent="0.3">
      <c r="A31" s="61"/>
      <c r="B31" s="60"/>
      <c r="C31" s="60"/>
      <c r="D31" s="58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49"/>
    </row>
    <row r="32" spans="1:20" ht="12.75" customHeight="1" x14ac:dyDescent="0.3">
      <c r="A32" s="25" t="s">
        <v>25</v>
      </c>
      <c r="B32" s="66" t="s">
        <v>26</v>
      </c>
      <c r="C32" s="60"/>
      <c r="D32" s="58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49"/>
    </row>
    <row r="33" spans="1:20" ht="12.75" customHeight="1" x14ac:dyDescent="0.3">
      <c r="A33" s="16">
        <v>1</v>
      </c>
      <c r="B33" s="70" t="s">
        <v>27</v>
      </c>
      <c r="C33" s="60"/>
      <c r="D33" s="58"/>
      <c r="E33" s="16">
        <v>278</v>
      </c>
      <c r="F33" s="16">
        <v>267</v>
      </c>
      <c r="G33" s="16">
        <v>229</v>
      </c>
      <c r="H33" s="16">
        <v>270</v>
      </c>
      <c r="I33" s="16">
        <v>140</v>
      </c>
      <c r="J33" s="16">
        <v>242</v>
      </c>
      <c r="K33" s="16">
        <v>243</v>
      </c>
      <c r="L33" s="16">
        <v>231</v>
      </c>
      <c r="M33" s="16">
        <v>264</v>
      </c>
      <c r="N33" s="16">
        <v>293</v>
      </c>
      <c r="O33" s="16">
        <v>275</v>
      </c>
      <c r="P33" s="16">
        <v>273</v>
      </c>
      <c r="Q33" s="16">
        <v>273</v>
      </c>
      <c r="R33" s="16">
        <v>211</v>
      </c>
      <c r="S33" s="16">
        <v>279</v>
      </c>
      <c r="T33" s="13">
        <f t="shared" ref="T33:T36" si="9">SUM(E33:S33)</f>
        <v>3768</v>
      </c>
    </row>
    <row r="34" spans="1:20" ht="12.75" customHeight="1" x14ac:dyDescent="0.3">
      <c r="A34" s="16">
        <v>2</v>
      </c>
      <c r="B34" s="70" t="s">
        <v>28</v>
      </c>
      <c r="C34" s="60"/>
      <c r="D34" s="58"/>
      <c r="E34" s="13">
        <v>230</v>
      </c>
      <c r="F34" s="13">
        <v>186</v>
      </c>
      <c r="G34" s="13">
        <v>160</v>
      </c>
      <c r="H34" s="13">
        <v>214</v>
      </c>
      <c r="I34" s="13">
        <v>104</v>
      </c>
      <c r="J34" s="13">
        <v>209</v>
      </c>
      <c r="K34" s="13">
        <v>199</v>
      </c>
      <c r="L34" s="13">
        <v>175</v>
      </c>
      <c r="M34" s="13">
        <v>174</v>
      </c>
      <c r="N34" s="13">
        <v>230</v>
      </c>
      <c r="O34" s="13">
        <v>225</v>
      </c>
      <c r="P34" s="13">
        <v>218</v>
      </c>
      <c r="Q34" s="13">
        <v>241</v>
      </c>
      <c r="R34" s="13">
        <v>190</v>
      </c>
      <c r="S34" s="13">
        <v>242</v>
      </c>
      <c r="T34" s="13">
        <f t="shared" si="9"/>
        <v>2997</v>
      </c>
    </row>
    <row r="35" spans="1:20" ht="12.75" customHeight="1" x14ac:dyDescent="0.3">
      <c r="A35" s="16">
        <v>3</v>
      </c>
      <c r="B35" s="70" t="s">
        <v>29</v>
      </c>
      <c r="C35" s="60"/>
      <c r="D35" s="58"/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1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1</v>
      </c>
      <c r="T35" s="13">
        <f t="shared" si="9"/>
        <v>2</v>
      </c>
    </row>
    <row r="36" spans="1:20" ht="12.75" customHeight="1" x14ac:dyDescent="0.3">
      <c r="A36" s="16">
        <v>4</v>
      </c>
      <c r="B36" s="70" t="s">
        <v>30</v>
      </c>
      <c r="C36" s="60"/>
      <c r="D36" s="58"/>
      <c r="E36" s="13">
        <f t="shared" ref="E36:S36" si="10">E33-(E34+E35)</f>
        <v>48</v>
      </c>
      <c r="F36" s="13">
        <f t="shared" si="10"/>
        <v>81</v>
      </c>
      <c r="G36" s="13">
        <f t="shared" si="10"/>
        <v>69</v>
      </c>
      <c r="H36" s="13">
        <f t="shared" si="10"/>
        <v>56</v>
      </c>
      <c r="I36" s="13">
        <f t="shared" si="10"/>
        <v>36</v>
      </c>
      <c r="J36" s="13">
        <f t="shared" si="10"/>
        <v>32</v>
      </c>
      <c r="K36" s="13">
        <f t="shared" si="10"/>
        <v>44</v>
      </c>
      <c r="L36" s="13">
        <f t="shared" si="10"/>
        <v>56</v>
      </c>
      <c r="M36" s="13">
        <f t="shared" si="10"/>
        <v>90</v>
      </c>
      <c r="N36" s="13">
        <f t="shared" si="10"/>
        <v>63</v>
      </c>
      <c r="O36" s="13">
        <f t="shared" si="10"/>
        <v>50</v>
      </c>
      <c r="P36" s="13">
        <f t="shared" si="10"/>
        <v>55</v>
      </c>
      <c r="Q36" s="13">
        <f t="shared" si="10"/>
        <v>32</v>
      </c>
      <c r="R36" s="13">
        <f t="shared" si="10"/>
        <v>21</v>
      </c>
      <c r="S36" s="13">
        <f t="shared" si="10"/>
        <v>36</v>
      </c>
      <c r="T36" s="13">
        <f t="shared" si="9"/>
        <v>769</v>
      </c>
    </row>
    <row r="37" spans="1:20" ht="12.75" customHeight="1" x14ac:dyDescent="0.3">
      <c r="A37" s="61"/>
      <c r="B37" s="60"/>
      <c r="C37" s="60"/>
      <c r="D37" s="60"/>
      <c r="E37" s="61"/>
      <c r="F37" s="60"/>
      <c r="G37" s="60"/>
      <c r="H37" s="60"/>
      <c r="I37" s="60"/>
      <c r="J37" s="60"/>
      <c r="K37" s="60"/>
      <c r="L37" s="60"/>
      <c r="M37" s="60"/>
      <c r="N37" s="60"/>
      <c r="O37" s="58"/>
      <c r="P37" s="16"/>
      <c r="Q37" s="16"/>
      <c r="R37" s="16"/>
      <c r="S37" s="16"/>
      <c r="T37" s="49"/>
    </row>
    <row r="38" spans="1:20" ht="12.75" customHeight="1" x14ac:dyDescent="0.3">
      <c r="A38" s="26" t="s">
        <v>31</v>
      </c>
      <c r="B38" s="66" t="s">
        <v>32</v>
      </c>
      <c r="C38" s="60"/>
      <c r="D38" s="58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49"/>
    </row>
    <row r="39" spans="1:20" ht="12.75" customHeight="1" x14ac:dyDescent="0.3">
      <c r="A39" s="20"/>
      <c r="B39" s="80" t="s">
        <v>33</v>
      </c>
      <c r="C39" s="63"/>
      <c r="D39" s="16" t="s">
        <v>12</v>
      </c>
      <c r="E39" s="16">
        <v>0</v>
      </c>
      <c r="F39" s="16">
        <v>0</v>
      </c>
      <c r="G39" s="16">
        <v>2</v>
      </c>
      <c r="H39" s="16">
        <v>1</v>
      </c>
      <c r="I39" s="16">
        <v>0</v>
      </c>
      <c r="J39" s="16">
        <v>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3">
        <f t="shared" ref="T39:T41" si="11">SUM(E39:S39)</f>
        <v>4</v>
      </c>
    </row>
    <row r="40" spans="1:20" ht="12.75" customHeight="1" x14ac:dyDescent="0.3">
      <c r="A40" s="21"/>
      <c r="B40" s="81"/>
      <c r="C40" s="73"/>
      <c r="D40" s="16" t="s">
        <v>13</v>
      </c>
      <c r="E40" s="16">
        <v>0</v>
      </c>
      <c r="F40" s="16">
        <v>0</v>
      </c>
      <c r="G40" s="16">
        <v>1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1</v>
      </c>
      <c r="T40" s="13">
        <f t="shared" si="11"/>
        <v>2</v>
      </c>
    </row>
    <row r="41" spans="1:20" ht="12.75" customHeight="1" x14ac:dyDescent="0.3">
      <c r="A41" s="25"/>
      <c r="B41" s="56"/>
      <c r="C41" s="65"/>
      <c r="D41" s="13" t="s">
        <v>14</v>
      </c>
      <c r="E41" s="13">
        <f t="shared" ref="E41:S41" si="12">SUM(E39:E40)</f>
        <v>0</v>
      </c>
      <c r="F41" s="13">
        <f t="shared" si="12"/>
        <v>0</v>
      </c>
      <c r="G41" s="13">
        <f t="shared" si="12"/>
        <v>3</v>
      </c>
      <c r="H41" s="13">
        <f t="shared" si="12"/>
        <v>1</v>
      </c>
      <c r="I41" s="13">
        <f t="shared" si="12"/>
        <v>0</v>
      </c>
      <c r="J41" s="13">
        <f t="shared" si="12"/>
        <v>1</v>
      </c>
      <c r="K41" s="13">
        <f t="shared" si="12"/>
        <v>0</v>
      </c>
      <c r="L41" s="13">
        <f t="shared" si="12"/>
        <v>0</v>
      </c>
      <c r="M41" s="13">
        <f t="shared" si="12"/>
        <v>0</v>
      </c>
      <c r="N41" s="13">
        <f t="shared" si="12"/>
        <v>0</v>
      </c>
      <c r="O41" s="13">
        <f t="shared" si="12"/>
        <v>0</v>
      </c>
      <c r="P41" s="13">
        <f t="shared" si="12"/>
        <v>0</v>
      </c>
      <c r="Q41" s="13">
        <f t="shared" si="12"/>
        <v>0</v>
      </c>
      <c r="R41" s="13">
        <f t="shared" si="12"/>
        <v>0</v>
      </c>
      <c r="S41" s="13">
        <f t="shared" si="12"/>
        <v>1</v>
      </c>
      <c r="T41" s="13">
        <f t="shared" si="11"/>
        <v>6</v>
      </c>
    </row>
    <row r="42" spans="1:20" ht="12.75" customHeight="1" x14ac:dyDescent="0.3">
      <c r="A42" s="55"/>
      <c r="B42" s="56"/>
      <c r="C42" s="56"/>
      <c r="D42" s="65"/>
      <c r="E42" s="61"/>
      <c r="F42" s="60"/>
      <c r="G42" s="60"/>
      <c r="H42" s="60"/>
      <c r="I42" s="60"/>
      <c r="J42" s="60"/>
      <c r="K42" s="60"/>
      <c r="L42" s="60"/>
      <c r="M42" s="60"/>
      <c r="N42" s="60"/>
      <c r="O42" s="58"/>
      <c r="P42" s="16"/>
      <c r="Q42" s="16"/>
      <c r="R42" s="16"/>
      <c r="S42" s="16"/>
      <c r="T42" s="13"/>
    </row>
    <row r="43" spans="1:20" ht="12.75" customHeight="1" x14ac:dyDescent="0.3">
      <c r="A43" s="26" t="s">
        <v>34</v>
      </c>
      <c r="B43" s="66" t="s">
        <v>35</v>
      </c>
      <c r="C43" s="60"/>
      <c r="D43" s="58"/>
      <c r="E43" s="1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spans="1:20" ht="12.75" customHeight="1" x14ac:dyDescent="0.3">
      <c r="A44" s="80" t="s">
        <v>36</v>
      </c>
      <c r="B44" s="82"/>
      <c r="C44" s="82"/>
      <c r="D44" s="63"/>
      <c r="E44" s="17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3"/>
    </row>
    <row r="45" spans="1:20" ht="12.75" customHeight="1" x14ac:dyDescent="0.3">
      <c r="A45" s="20" t="s">
        <v>37</v>
      </c>
      <c r="B45" s="27" t="s">
        <v>17</v>
      </c>
      <c r="C45" s="57" t="s">
        <v>38</v>
      </c>
      <c r="D45" s="58"/>
      <c r="E45" s="16">
        <v>4</v>
      </c>
      <c r="F45" s="16">
        <v>7</v>
      </c>
      <c r="G45" s="16">
        <v>0</v>
      </c>
      <c r="H45" s="16">
        <v>2</v>
      </c>
      <c r="I45" s="16">
        <v>0</v>
      </c>
      <c r="J45" s="16">
        <v>4</v>
      </c>
      <c r="K45" s="16">
        <v>4</v>
      </c>
      <c r="L45" s="16">
        <v>8</v>
      </c>
      <c r="M45" s="16">
        <v>7</v>
      </c>
      <c r="N45" s="16">
        <v>10</v>
      </c>
      <c r="O45" s="16">
        <v>6</v>
      </c>
      <c r="P45" s="16">
        <v>3</v>
      </c>
      <c r="Q45" s="16">
        <v>0</v>
      </c>
      <c r="R45" s="16">
        <v>2</v>
      </c>
      <c r="S45" s="16">
        <v>4</v>
      </c>
      <c r="T45" s="13">
        <f t="shared" ref="T45:T54" si="13">SUM(E45:S45)</f>
        <v>61</v>
      </c>
    </row>
    <row r="46" spans="1:20" ht="12.75" customHeight="1" x14ac:dyDescent="0.3">
      <c r="A46" s="20" t="s">
        <v>39</v>
      </c>
      <c r="B46" s="28"/>
      <c r="C46" s="29" t="s">
        <v>40</v>
      </c>
      <c r="D46" s="30"/>
      <c r="E46" s="16">
        <v>19</v>
      </c>
      <c r="F46" s="16">
        <v>5</v>
      </c>
      <c r="G46" s="16">
        <v>2</v>
      </c>
      <c r="H46" s="16">
        <v>7</v>
      </c>
      <c r="I46" s="16">
        <v>0</v>
      </c>
      <c r="J46" s="16">
        <v>6</v>
      </c>
      <c r="K46" s="16">
        <v>10</v>
      </c>
      <c r="L46" s="16">
        <v>8</v>
      </c>
      <c r="M46" s="16">
        <v>4</v>
      </c>
      <c r="N46" s="16">
        <v>9</v>
      </c>
      <c r="O46" s="16">
        <v>14</v>
      </c>
      <c r="P46" s="16">
        <v>10</v>
      </c>
      <c r="Q46" s="16">
        <v>16</v>
      </c>
      <c r="R46" s="16">
        <v>14</v>
      </c>
      <c r="S46" s="16">
        <v>8</v>
      </c>
      <c r="T46" s="13">
        <f t="shared" si="13"/>
        <v>132</v>
      </c>
    </row>
    <row r="47" spans="1:20" ht="12.75" customHeight="1" x14ac:dyDescent="0.3">
      <c r="A47" s="15"/>
      <c r="B47" s="28"/>
      <c r="C47" s="29" t="s">
        <v>41</v>
      </c>
      <c r="D47" s="30"/>
      <c r="E47" s="16">
        <v>1</v>
      </c>
      <c r="F47" s="16">
        <v>0</v>
      </c>
      <c r="G47" s="16">
        <v>1</v>
      </c>
      <c r="H47" s="16">
        <v>0</v>
      </c>
      <c r="I47" s="16">
        <v>0</v>
      </c>
      <c r="J47" s="16">
        <v>1</v>
      </c>
      <c r="K47" s="16">
        <v>0</v>
      </c>
      <c r="L47" s="16">
        <v>1</v>
      </c>
      <c r="M47" s="16">
        <v>1</v>
      </c>
      <c r="N47" s="16">
        <v>0</v>
      </c>
      <c r="O47" s="16">
        <v>8</v>
      </c>
      <c r="P47" s="16">
        <v>16</v>
      </c>
      <c r="Q47" s="16">
        <v>3</v>
      </c>
      <c r="R47" s="16">
        <v>13</v>
      </c>
      <c r="S47" s="16">
        <v>8</v>
      </c>
      <c r="T47" s="13">
        <f t="shared" si="13"/>
        <v>53</v>
      </c>
    </row>
    <row r="48" spans="1:20" ht="12.75" customHeight="1" x14ac:dyDescent="0.3">
      <c r="A48" s="15"/>
      <c r="B48" s="28"/>
      <c r="C48" s="29" t="s">
        <v>42</v>
      </c>
      <c r="D48" s="30"/>
      <c r="E48" s="16">
        <v>1</v>
      </c>
      <c r="F48" s="16">
        <v>0</v>
      </c>
      <c r="G48" s="16">
        <v>0</v>
      </c>
      <c r="H48" s="16">
        <v>0</v>
      </c>
      <c r="I48" s="16">
        <v>0</v>
      </c>
      <c r="J48" s="16">
        <v>1</v>
      </c>
      <c r="K48" s="16">
        <v>0</v>
      </c>
      <c r="L48" s="16">
        <v>0</v>
      </c>
      <c r="M48" s="16">
        <v>0</v>
      </c>
      <c r="N48" s="16">
        <v>7</v>
      </c>
      <c r="O48" s="16">
        <v>0</v>
      </c>
      <c r="P48" s="16">
        <v>0</v>
      </c>
      <c r="Q48" s="16">
        <v>2</v>
      </c>
      <c r="R48" s="16">
        <v>0</v>
      </c>
      <c r="S48" s="16">
        <v>0</v>
      </c>
      <c r="T48" s="13">
        <f t="shared" si="13"/>
        <v>11</v>
      </c>
    </row>
    <row r="49" spans="1:20" ht="12.75" customHeight="1" x14ac:dyDescent="0.3">
      <c r="A49" s="15"/>
      <c r="B49" s="28"/>
      <c r="C49" s="29" t="s">
        <v>43</v>
      </c>
      <c r="D49" s="30"/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2</v>
      </c>
      <c r="L49" s="16">
        <v>0</v>
      </c>
      <c r="M49" s="16">
        <v>2</v>
      </c>
      <c r="N49" s="16">
        <v>0</v>
      </c>
      <c r="O49" s="16">
        <v>2</v>
      </c>
      <c r="P49" s="16">
        <v>1</v>
      </c>
      <c r="Q49" s="16">
        <v>1</v>
      </c>
      <c r="R49" s="16">
        <v>0</v>
      </c>
      <c r="S49" s="16">
        <v>2</v>
      </c>
      <c r="T49" s="13">
        <f t="shared" si="13"/>
        <v>10</v>
      </c>
    </row>
    <row r="50" spans="1:20" ht="12.75" customHeight="1" x14ac:dyDescent="0.3">
      <c r="A50" s="15"/>
      <c r="B50" s="28"/>
      <c r="C50" s="29" t="s">
        <v>44</v>
      </c>
      <c r="D50" s="30"/>
      <c r="E50" s="16">
        <v>2</v>
      </c>
      <c r="F50" s="16">
        <v>1</v>
      </c>
      <c r="G50" s="16">
        <v>1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2</v>
      </c>
      <c r="Q50" s="16">
        <v>0</v>
      </c>
      <c r="R50" s="16">
        <v>0</v>
      </c>
      <c r="S50" s="16">
        <v>0</v>
      </c>
      <c r="T50" s="13">
        <f t="shared" si="13"/>
        <v>6</v>
      </c>
    </row>
    <row r="51" spans="1:20" ht="12.75" customHeight="1" x14ac:dyDescent="0.3">
      <c r="A51" s="15"/>
      <c r="B51" s="28"/>
      <c r="C51" s="29" t="s">
        <v>45</v>
      </c>
      <c r="D51" s="30"/>
      <c r="E51" s="16">
        <v>0</v>
      </c>
      <c r="F51" s="16">
        <v>1</v>
      </c>
      <c r="G51" s="16">
        <v>0</v>
      </c>
      <c r="H51" s="16">
        <v>1</v>
      </c>
      <c r="I51" s="16">
        <v>0</v>
      </c>
      <c r="J51" s="16">
        <v>0</v>
      </c>
      <c r="K51" s="16">
        <v>1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3">
        <f t="shared" si="13"/>
        <v>3</v>
      </c>
    </row>
    <row r="52" spans="1:20" ht="12.75" customHeight="1" x14ac:dyDescent="0.3">
      <c r="A52" s="15"/>
      <c r="B52" s="28"/>
      <c r="C52" s="29" t="s">
        <v>46</v>
      </c>
      <c r="D52" s="30"/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1</v>
      </c>
      <c r="L52" s="16">
        <v>0</v>
      </c>
      <c r="M52" s="16">
        <v>1</v>
      </c>
      <c r="N52" s="16">
        <v>0</v>
      </c>
      <c r="O52" s="16">
        <v>1</v>
      </c>
      <c r="P52" s="16">
        <v>0</v>
      </c>
      <c r="Q52" s="16">
        <v>0</v>
      </c>
      <c r="R52" s="16">
        <v>0</v>
      </c>
      <c r="S52" s="16">
        <v>0</v>
      </c>
      <c r="T52" s="13">
        <f t="shared" si="13"/>
        <v>3</v>
      </c>
    </row>
    <row r="53" spans="1:20" ht="12.75" customHeight="1" x14ac:dyDescent="0.3">
      <c r="A53" s="15"/>
      <c r="B53" s="28"/>
      <c r="C53" s="29" t="s">
        <v>47</v>
      </c>
      <c r="D53" s="35"/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3">
        <f t="shared" si="13"/>
        <v>0</v>
      </c>
    </row>
    <row r="54" spans="1:20" ht="12.75" customHeight="1" x14ac:dyDescent="0.3">
      <c r="A54" s="15"/>
      <c r="B54" s="28"/>
      <c r="C54" s="29" t="s">
        <v>48</v>
      </c>
      <c r="D54" s="30"/>
      <c r="E54" s="16">
        <v>0</v>
      </c>
      <c r="F54" s="16">
        <v>1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1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3">
        <f t="shared" si="13"/>
        <v>2</v>
      </c>
    </row>
    <row r="55" spans="1:20" ht="12.75" customHeight="1" x14ac:dyDescent="0.3">
      <c r="A55" s="16" t="s">
        <v>15</v>
      </c>
      <c r="B55" s="59" t="s">
        <v>49</v>
      </c>
      <c r="C55" s="60"/>
      <c r="D55" s="58"/>
      <c r="E55" s="13">
        <f t="shared" ref="E55:T55" si="14">SUM(E45:E54)</f>
        <v>27</v>
      </c>
      <c r="F55" s="13">
        <f t="shared" si="14"/>
        <v>15</v>
      </c>
      <c r="G55" s="13">
        <f t="shared" si="14"/>
        <v>4</v>
      </c>
      <c r="H55" s="13">
        <f t="shared" si="14"/>
        <v>10</v>
      </c>
      <c r="I55" s="13">
        <f t="shared" si="14"/>
        <v>0</v>
      </c>
      <c r="J55" s="13">
        <f t="shared" si="14"/>
        <v>12</v>
      </c>
      <c r="K55" s="13">
        <f t="shared" si="14"/>
        <v>18</v>
      </c>
      <c r="L55" s="13">
        <f t="shared" si="14"/>
        <v>18</v>
      </c>
      <c r="M55" s="13">
        <f t="shared" si="14"/>
        <v>15</v>
      </c>
      <c r="N55" s="13">
        <f t="shared" si="14"/>
        <v>26</v>
      </c>
      <c r="O55" s="13">
        <f t="shared" si="14"/>
        <v>31</v>
      </c>
      <c r="P55" s="13">
        <f t="shared" si="14"/>
        <v>32</v>
      </c>
      <c r="Q55" s="13">
        <f t="shared" si="14"/>
        <v>22</v>
      </c>
      <c r="R55" s="13">
        <f t="shared" si="14"/>
        <v>29</v>
      </c>
      <c r="S55" s="13">
        <f t="shared" si="14"/>
        <v>22</v>
      </c>
      <c r="T55" s="13">
        <f t="shared" si="14"/>
        <v>281</v>
      </c>
    </row>
    <row r="56" spans="1:20" ht="12.75" customHeight="1" x14ac:dyDescent="0.3">
      <c r="A56" s="55"/>
      <c r="B56" s="56"/>
      <c r="C56" s="56"/>
      <c r="D56" s="56"/>
      <c r="E56" s="56"/>
      <c r="T56" s="13"/>
    </row>
    <row r="57" spans="1:20" ht="12.75" customHeight="1" x14ac:dyDescent="0.3">
      <c r="A57" s="20" t="s">
        <v>37</v>
      </c>
      <c r="B57" s="27" t="s">
        <v>19</v>
      </c>
      <c r="C57" s="57" t="s">
        <v>50</v>
      </c>
      <c r="D57" s="58"/>
      <c r="E57" s="16">
        <v>0</v>
      </c>
      <c r="F57" s="16">
        <v>8</v>
      </c>
      <c r="G57" s="16">
        <v>6</v>
      </c>
      <c r="H57" s="16">
        <v>6</v>
      </c>
      <c r="I57" s="16">
        <v>3</v>
      </c>
      <c r="J57" s="16">
        <v>12</v>
      </c>
      <c r="K57" s="16">
        <v>9</v>
      </c>
      <c r="L57" s="16">
        <v>5</v>
      </c>
      <c r="M57" s="16">
        <v>4</v>
      </c>
      <c r="N57" s="16">
        <v>8</v>
      </c>
      <c r="O57" s="16">
        <v>7</v>
      </c>
      <c r="P57" s="16">
        <v>2</v>
      </c>
      <c r="Q57" s="16">
        <v>6</v>
      </c>
      <c r="R57" s="16">
        <v>7</v>
      </c>
      <c r="S57" s="16">
        <v>13</v>
      </c>
      <c r="T57" s="13">
        <f t="shared" ref="T57:T66" si="15">SUM(E57:S57)</f>
        <v>96</v>
      </c>
    </row>
    <row r="58" spans="1:20" ht="12.75" customHeight="1" x14ac:dyDescent="0.3">
      <c r="A58" s="20" t="s">
        <v>39</v>
      </c>
      <c r="B58" s="28"/>
      <c r="C58" s="29" t="s">
        <v>51</v>
      </c>
      <c r="D58" s="30"/>
      <c r="E58" s="16">
        <v>3</v>
      </c>
      <c r="F58" s="16">
        <v>3</v>
      </c>
      <c r="G58" s="16">
        <v>3</v>
      </c>
      <c r="H58" s="16">
        <v>4</v>
      </c>
      <c r="I58" s="16">
        <v>1</v>
      </c>
      <c r="J58" s="16">
        <v>1</v>
      </c>
      <c r="K58" s="16">
        <v>2</v>
      </c>
      <c r="L58" s="16">
        <v>1</v>
      </c>
      <c r="M58" s="16">
        <v>3</v>
      </c>
      <c r="N58" s="16">
        <v>5</v>
      </c>
      <c r="O58" s="16">
        <v>1</v>
      </c>
      <c r="P58" s="16">
        <v>2</v>
      </c>
      <c r="Q58" s="16">
        <v>4</v>
      </c>
      <c r="R58" s="16">
        <v>3</v>
      </c>
      <c r="S58" s="16">
        <v>3</v>
      </c>
      <c r="T58" s="13">
        <f t="shared" si="15"/>
        <v>39</v>
      </c>
    </row>
    <row r="59" spans="1:20" ht="12.75" customHeight="1" x14ac:dyDescent="0.3">
      <c r="A59" s="15"/>
      <c r="B59" s="28"/>
      <c r="C59" s="29" t="s">
        <v>52</v>
      </c>
      <c r="D59" s="30"/>
      <c r="E59" s="16">
        <v>15</v>
      </c>
      <c r="F59" s="16">
        <v>15</v>
      </c>
      <c r="G59" s="16">
        <v>23</v>
      </c>
      <c r="H59" s="16">
        <v>44</v>
      </c>
      <c r="I59" s="16">
        <v>21</v>
      </c>
      <c r="J59" s="16">
        <v>21</v>
      </c>
      <c r="K59" s="16">
        <v>5</v>
      </c>
      <c r="L59" s="16">
        <v>3</v>
      </c>
      <c r="M59" s="16">
        <v>6</v>
      </c>
      <c r="N59" s="16">
        <v>17</v>
      </c>
      <c r="O59" s="16">
        <v>3</v>
      </c>
      <c r="P59" s="16">
        <v>1</v>
      </c>
      <c r="Q59" s="16">
        <v>7</v>
      </c>
      <c r="R59" s="16">
        <v>3</v>
      </c>
      <c r="S59" s="16">
        <v>4</v>
      </c>
      <c r="T59" s="13">
        <f t="shared" si="15"/>
        <v>188</v>
      </c>
    </row>
    <row r="60" spans="1:20" ht="12.75" customHeight="1" x14ac:dyDescent="0.3">
      <c r="A60" s="15"/>
      <c r="B60" s="28"/>
      <c r="C60" s="29" t="s">
        <v>53</v>
      </c>
      <c r="D60" s="30"/>
      <c r="E60" s="16">
        <v>0</v>
      </c>
      <c r="F60" s="16">
        <v>2</v>
      </c>
      <c r="G60" s="16">
        <v>1</v>
      </c>
      <c r="H60" s="16">
        <v>0</v>
      </c>
      <c r="I60" s="16">
        <v>1</v>
      </c>
      <c r="J60" s="16">
        <v>1</v>
      </c>
      <c r="K60" s="16">
        <v>1</v>
      </c>
      <c r="L60" s="16">
        <v>3</v>
      </c>
      <c r="M60" s="16">
        <v>3</v>
      </c>
      <c r="N60" s="16">
        <v>2</v>
      </c>
      <c r="O60" s="16">
        <v>0</v>
      </c>
      <c r="P60" s="16">
        <v>1</v>
      </c>
      <c r="Q60" s="16">
        <v>2</v>
      </c>
      <c r="R60" s="16">
        <v>0</v>
      </c>
      <c r="S60" s="16">
        <v>0</v>
      </c>
      <c r="T60" s="13">
        <f t="shared" si="15"/>
        <v>17</v>
      </c>
    </row>
    <row r="61" spans="1:20" ht="12.75" customHeight="1" x14ac:dyDescent="0.3">
      <c r="A61" s="15"/>
      <c r="B61" s="28"/>
      <c r="C61" s="29" t="s">
        <v>54</v>
      </c>
      <c r="D61" s="30"/>
      <c r="E61" s="16">
        <v>19</v>
      </c>
      <c r="F61" s="16">
        <v>1</v>
      </c>
      <c r="G61" s="16">
        <v>10</v>
      </c>
      <c r="H61" s="16">
        <v>16</v>
      </c>
      <c r="I61" s="16">
        <v>17</v>
      </c>
      <c r="J61" s="16">
        <v>1</v>
      </c>
      <c r="K61" s="16">
        <v>2</v>
      </c>
      <c r="L61" s="16">
        <v>0</v>
      </c>
      <c r="M61" s="16">
        <v>1</v>
      </c>
      <c r="N61" s="16">
        <v>1</v>
      </c>
      <c r="O61" s="16">
        <v>0</v>
      </c>
      <c r="P61" s="16">
        <v>1</v>
      </c>
      <c r="Q61" s="16">
        <v>3</v>
      </c>
      <c r="R61" s="16">
        <v>0</v>
      </c>
      <c r="S61" s="16">
        <v>0</v>
      </c>
      <c r="T61" s="13">
        <f t="shared" si="15"/>
        <v>72</v>
      </c>
    </row>
    <row r="62" spans="1:20" ht="12.75" customHeight="1" x14ac:dyDescent="0.3">
      <c r="A62" s="15"/>
      <c r="B62" s="28"/>
      <c r="C62" s="29" t="s">
        <v>55</v>
      </c>
      <c r="D62" s="30"/>
      <c r="E62" s="16">
        <v>1</v>
      </c>
      <c r="F62" s="16">
        <v>1</v>
      </c>
      <c r="G62" s="16">
        <v>1</v>
      </c>
      <c r="H62" s="16">
        <v>1</v>
      </c>
      <c r="I62" s="16">
        <v>0</v>
      </c>
      <c r="J62" s="16">
        <v>2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2</v>
      </c>
      <c r="R62" s="16">
        <v>0</v>
      </c>
      <c r="S62" s="16">
        <v>0</v>
      </c>
      <c r="T62" s="13">
        <f t="shared" si="15"/>
        <v>8</v>
      </c>
    </row>
    <row r="63" spans="1:20" ht="12.75" customHeight="1" x14ac:dyDescent="0.3">
      <c r="A63" s="15"/>
      <c r="B63" s="28"/>
      <c r="C63" s="29" t="s">
        <v>56</v>
      </c>
      <c r="D63" s="30"/>
      <c r="E63" s="16">
        <v>1</v>
      </c>
      <c r="F63" s="16">
        <v>0</v>
      </c>
      <c r="G63" s="16">
        <v>0</v>
      </c>
      <c r="H63" s="16">
        <v>0</v>
      </c>
      <c r="I63" s="16">
        <v>0</v>
      </c>
      <c r="J63" s="16">
        <v>1</v>
      </c>
      <c r="K63" s="16">
        <v>0</v>
      </c>
      <c r="L63" s="16">
        <v>0</v>
      </c>
      <c r="M63" s="16">
        <v>2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3">
        <f t="shared" si="15"/>
        <v>4</v>
      </c>
    </row>
    <row r="64" spans="1:20" ht="12.75" customHeight="1" x14ac:dyDescent="0.3">
      <c r="A64" s="15"/>
      <c r="B64" s="28"/>
      <c r="C64" s="29" t="s">
        <v>57</v>
      </c>
      <c r="D64" s="30"/>
      <c r="E64" s="16">
        <v>0</v>
      </c>
      <c r="F64" s="16">
        <v>0</v>
      </c>
      <c r="G64" s="16">
        <v>1</v>
      </c>
      <c r="H64" s="16">
        <v>0</v>
      </c>
      <c r="I64" s="16">
        <v>0</v>
      </c>
      <c r="J64" s="16">
        <v>0</v>
      </c>
      <c r="K64" s="16">
        <v>1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3">
        <f t="shared" si="15"/>
        <v>2</v>
      </c>
    </row>
    <row r="65" spans="1:20" ht="12.75" customHeight="1" x14ac:dyDescent="0.3">
      <c r="A65" s="15"/>
      <c r="B65" s="28"/>
      <c r="C65" s="29" t="s">
        <v>58</v>
      </c>
      <c r="D65" s="30"/>
      <c r="E65" s="16">
        <v>0</v>
      </c>
      <c r="F65" s="16">
        <v>1</v>
      </c>
      <c r="G65" s="16">
        <v>0</v>
      </c>
      <c r="H65" s="16">
        <v>1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3">
        <f t="shared" si="15"/>
        <v>2</v>
      </c>
    </row>
    <row r="66" spans="1:20" ht="12.75" customHeight="1" x14ac:dyDescent="0.3">
      <c r="A66" s="15"/>
      <c r="B66" s="28"/>
      <c r="C66" s="29" t="s">
        <v>59</v>
      </c>
      <c r="D66" s="30"/>
      <c r="E66" s="16">
        <v>0</v>
      </c>
      <c r="F66" s="16">
        <v>0</v>
      </c>
      <c r="G66" s="16">
        <v>0</v>
      </c>
      <c r="H66" s="16">
        <v>1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1</v>
      </c>
      <c r="O66" s="16">
        <v>1</v>
      </c>
      <c r="P66" s="16">
        <v>0</v>
      </c>
      <c r="Q66" s="16">
        <v>0</v>
      </c>
      <c r="R66" s="16">
        <v>0</v>
      </c>
      <c r="S66" s="16">
        <v>1</v>
      </c>
      <c r="T66" s="13">
        <f t="shared" si="15"/>
        <v>4</v>
      </c>
    </row>
    <row r="67" spans="1:20" ht="12.75" customHeight="1" x14ac:dyDescent="0.3">
      <c r="A67" s="16" t="s">
        <v>15</v>
      </c>
      <c r="B67" s="59" t="s">
        <v>49</v>
      </c>
      <c r="C67" s="60"/>
      <c r="D67" s="58"/>
      <c r="E67" s="13">
        <f t="shared" ref="E67:T67" si="16">SUM(E57:E66)</f>
        <v>39</v>
      </c>
      <c r="F67" s="13">
        <f t="shared" si="16"/>
        <v>31</v>
      </c>
      <c r="G67" s="13">
        <f t="shared" si="16"/>
        <v>45</v>
      </c>
      <c r="H67" s="13">
        <f t="shared" si="16"/>
        <v>73</v>
      </c>
      <c r="I67" s="13">
        <f t="shared" si="16"/>
        <v>43</v>
      </c>
      <c r="J67" s="13">
        <f t="shared" si="16"/>
        <v>39</v>
      </c>
      <c r="K67" s="13">
        <f t="shared" si="16"/>
        <v>20</v>
      </c>
      <c r="L67" s="13">
        <f t="shared" si="16"/>
        <v>12</v>
      </c>
      <c r="M67" s="13">
        <f t="shared" si="16"/>
        <v>19</v>
      </c>
      <c r="N67" s="13">
        <f t="shared" si="16"/>
        <v>34</v>
      </c>
      <c r="O67" s="13">
        <f t="shared" si="16"/>
        <v>12</v>
      </c>
      <c r="P67" s="13">
        <f t="shared" si="16"/>
        <v>7</v>
      </c>
      <c r="Q67" s="13">
        <f t="shared" si="16"/>
        <v>24</v>
      </c>
      <c r="R67" s="13">
        <f t="shared" si="16"/>
        <v>13</v>
      </c>
      <c r="S67" s="13">
        <f t="shared" si="16"/>
        <v>21</v>
      </c>
      <c r="T67" s="13">
        <f t="shared" si="16"/>
        <v>432</v>
      </c>
    </row>
    <row r="68" spans="1:20" ht="12.75" customHeight="1" x14ac:dyDescent="0.3">
      <c r="A68" s="55"/>
      <c r="B68" s="56"/>
      <c r="C68" s="56"/>
      <c r="D68" s="56"/>
      <c r="E68" s="56"/>
    </row>
    <row r="69" spans="1:20" ht="12.75" customHeight="1" x14ac:dyDescent="0.3">
      <c r="A69" s="20" t="s">
        <v>37</v>
      </c>
      <c r="B69" s="27" t="s">
        <v>21</v>
      </c>
      <c r="C69" s="57" t="s">
        <v>60</v>
      </c>
      <c r="D69" s="58"/>
      <c r="E69" s="16">
        <v>13</v>
      </c>
      <c r="F69" s="16">
        <v>5</v>
      </c>
      <c r="G69" s="16">
        <v>7</v>
      </c>
      <c r="H69" s="16">
        <v>12</v>
      </c>
      <c r="I69" s="16">
        <v>5</v>
      </c>
      <c r="J69" s="16">
        <v>4</v>
      </c>
      <c r="K69" s="16">
        <v>5</v>
      </c>
      <c r="L69" s="16">
        <v>8</v>
      </c>
      <c r="M69" s="16">
        <v>17</v>
      </c>
      <c r="N69" s="16">
        <v>16</v>
      </c>
      <c r="O69" s="16">
        <v>3</v>
      </c>
      <c r="P69" s="16">
        <v>6</v>
      </c>
      <c r="Q69" s="16">
        <v>3</v>
      </c>
      <c r="R69" s="16">
        <v>5</v>
      </c>
      <c r="S69" s="16">
        <v>3</v>
      </c>
      <c r="T69" s="13">
        <f t="shared" ref="T69:T78" si="17">SUM(E69:S69)</f>
        <v>112</v>
      </c>
    </row>
    <row r="70" spans="1:20" ht="12.75" customHeight="1" x14ac:dyDescent="0.3">
      <c r="A70" s="20" t="s">
        <v>39</v>
      </c>
      <c r="B70" s="28"/>
      <c r="C70" s="29" t="s">
        <v>61</v>
      </c>
      <c r="D70" s="30"/>
      <c r="E70" s="16">
        <v>11</v>
      </c>
      <c r="F70" s="16">
        <v>5</v>
      </c>
      <c r="G70" s="16">
        <v>4</v>
      </c>
      <c r="H70" s="16">
        <v>11</v>
      </c>
      <c r="I70" s="16">
        <v>5</v>
      </c>
      <c r="J70" s="16">
        <v>5</v>
      </c>
      <c r="K70" s="16">
        <v>4</v>
      </c>
      <c r="L70" s="16">
        <v>4</v>
      </c>
      <c r="M70" s="16">
        <v>6</v>
      </c>
      <c r="N70" s="16">
        <v>12</v>
      </c>
      <c r="O70" s="16">
        <v>2</v>
      </c>
      <c r="P70" s="16">
        <v>3</v>
      </c>
      <c r="Q70" s="16">
        <v>3</v>
      </c>
      <c r="R70" s="16">
        <v>4</v>
      </c>
      <c r="S70" s="16">
        <v>6</v>
      </c>
      <c r="T70" s="13">
        <f t="shared" si="17"/>
        <v>85</v>
      </c>
    </row>
    <row r="71" spans="1:20" ht="12.75" customHeight="1" x14ac:dyDescent="0.3">
      <c r="A71" s="15"/>
      <c r="B71" s="28"/>
      <c r="C71" s="29" t="s">
        <v>62</v>
      </c>
      <c r="D71" s="30"/>
      <c r="E71" s="16">
        <v>2</v>
      </c>
      <c r="F71" s="16">
        <v>5</v>
      </c>
      <c r="G71" s="16">
        <v>7</v>
      </c>
      <c r="H71" s="16">
        <v>19</v>
      </c>
      <c r="I71" s="16">
        <v>4</v>
      </c>
      <c r="J71" s="16">
        <v>2</v>
      </c>
      <c r="K71" s="16">
        <v>1</v>
      </c>
      <c r="L71" s="16">
        <v>1</v>
      </c>
      <c r="M71" s="16">
        <v>3</v>
      </c>
      <c r="N71" s="16">
        <v>8</v>
      </c>
      <c r="O71" s="16">
        <v>3</v>
      </c>
      <c r="P71" s="16">
        <v>4</v>
      </c>
      <c r="Q71" s="16">
        <v>9</v>
      </c>
      <c r="R71" s="16">
        <v>5</v>
      </c>
      <c r="S71" s="16">
        <v>4</v>
      </c>
      <c r="T71" s="13">
        <f t="shared" si="17"/>
        <v>77</v>
      </c>
    </row>
    <row r="72" spans="1:20" ht="12.75" customHeight="1" x14ac:dyDescent="0.3">
      <c r="A72" s="15"/>
      <c r="B72" s="28"/>
      <c r="C72" s="29" t="s">
        <v>63</v>
      </c>
      <c r="D72" s="30"/>
      <c r="E72" s="16">
        <v>2</v>
      </c>
      <c r="F72" s="16">
        <v>2</v>
      </c>
      <c r="G72" s="16">
        <v>3</v>
      </c>
      <c r="H72" s="16">
        <v>4</v>
      </c>
      <c r="I72" s="16">
        <v>3</v>
      </c>
      <c r="J72" s="16">
        <v>1</v>
      </c>
      <c r="K72" s="16">
        <v>1</v>
      </c>
      <c r="L72" s="16">
        <v>4</v>
      </c>
      <c r="M72" s="16">
        <v>5</v>
      </c>
      <c r="N72" s="16">
        <v>5</v>
      </c>
      <c r="O72" s="16">
        <v>4</v>
      </c>
      <c r="P72" s="16">
        <v>1</v>
      </c>
      <c r="Q72" s="16">
        <v>1</v>
      </c>
      <c r="R72" s="16">
        <v>2</v>
      </c>
      <c r="S72" s="16">
        <v>1</v>
      </c>
      <c r="T72" s="13">
        <f t="shared" si="17"/>
        <v>39</v>
      </c>
    </row>
    <row r="73" spans="1:20" ht="12.75" customHeight="1" x14ac:dyDescent="0.3">
      <c r="A73" s="15"/>
      <c r="B73" s="28"/>
      <c r="C73" s="29" t="s">
        <v>64</v>
      </c>
      <c r="D73" s="30"/>
      <c r="E73" s="16">
        <v>4</v>
      </c>
      <c r="F73" s="16">
        <v>3</v>
      </c>
      <c r="G73" s="16">
        <v>1</v>
      </c>
      <c r="H73" s="16">
        <v>7</v>
      </c>
      <c r="I73" s="16">
        <v>4</v>
      </c>
      <c r="J73" s="16">
        <v>0</v>
      </c>
      <c r="K73" s="16">
        <v>0</v>
      </c>
      <c r="L73" s="16">
        <v>0</v>
      </c>
      <c r="M73" s="16">
        <v>2</v>
      </c>
      <c r="N73" s="16">
        <v>4</v>
      </c>
      <c r="O73" s="16">
        <v>3</v>
      </c>
      <c r="P73" s="16">
        <v>0</v>
      </c>
      <c r="Q73" s="16">
        <v>4</v>
      </c>
      <c r="R73" s="16">
        <v>4</v>
      </c>
      <c r="S73" s="16">
        <v>2</v>
      </c>
      <c r="T73" s="13">
        <f t="shared" si="17"/>
        <v>38</v>
      </c>
    </row>
    <row r="74" spans="1:20" ht="12.75" customHeight="1" x14ac:dyDescent="0.3">
      <c r="A74" s="15"/>
      <c r="B74" s="28"/>
      <c r="C74" s="29" t="s">
        <v>65</v>
      </c>
      <c r="D74" s="30"/>
      <c r="E74" s="16">
        <v>0</v>
      </c>
      <c r="F74" s="16">
        <v>1</v>
      </c>
      <c r="G74" s="16">
        <v>2</v>
      </c>
      <c r="H74" s="16">
        <v>0</v>
      </c>
      <c r="I74" s="16">
        <v>1</v>
      </c>
      <c r="J74" s="16">
        <v>0</v>
      </c>
      <c r="K74" s="16">
        <v>0</v>
      </c>
      <c r="L74" s="16">
        <v>1</v>
      </c>
      <c r="M74" s="16">
        <v>2</v>
      </c>
      <c r="N74" s="16">
        <v>5</v>
      </c>
      <c r="O74" s="16">
        <v>0</v>
      </c>
      <c r="P74" s="16">
        <v>0</v>
      </c>
      <c r="Q74" s="16">
        <v>0</v>
      </c>
      <c r="R74" s="16">
        <v>2</v>
      </c>
      <c r="S74" s="16">
        <v>0</v>
      </c>
      <c r="T74" s="13">
        <f t="shared" si="17"/>
        <v>14</v>
      </c>
    </row>
    <row r="75" spans="1:20" ht="12.75" customHeight="1" x14ac:dyDescent="0.3">
      <c r="A75" s="15"/>
      <c r="B75" s="28"/>
      <c r="C75" s="29" t="s">
        <v>66</v>
      </c>
      <c r="D75" s="30"/>
      <c r="E75" s="16">
        <v>0</v>
      </c>
      <c r="F75" s="16">
        <v>0</v>
      </c>
      <c r="G75" s="16">
        <v>2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1</v>
      </c>
      <c r="R75" s="16">
        <v>0</v>
      </c>
      <c r="S75" s="16">
        <v>0</v>
      </c>
      <c r="T75" s="13">
        <f t="shared" si="17"/>
        <v>3</v>
      </c>
    </row>
    <row r="76" spans="1:20" ht="12.75" customHeight="1" x14ac:dyDescent="0.3">
      <c r="A76" s="15"/>
      <c r="B76" s="28"/>
      <c r="C76" s="29" t="s">
        <v>67</v>
      </c>
      <c r="D76" s="30"/>
      <c r="E76" s="16">
        <v>0</v>
      </c>
      <c r="F76" s="16">
        <v>0</v>
      </c>
      <c r="G76" s="16">
        <v>1</v>
      </c>
      <c r="H76" s="16">
        <v>0</v>
      </c>
      <c r="I76" s="16">
        <v>1</v>
      </c>
      <c r="J76" s="16">
        <v>1</v>
      </c>
      <c r="K76" s="16">
        <v>1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3">
        <f t="shared" si="17"/>
        <v>4</v>
      </c>
    </row>
    <row r="77" spans="1:20" ht="12.75" customHeight="1" x14ac:dyDescent="0.3">
      <c r="A77" s="15"/>
      <c r="B77" s="28"/>
      <c r="C77" s="29" t="s">
        <v>68</v>
      </c>
      <c r="D77" s="30"/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1</v>
      </c>
      <c r="Q77" s="16">
        <v>1</v>
      </c>
      <c r="R77" s="16">
        <v>0</v>
      </c>
      <c r="S77" s="16">
        <v>0</v>
      </c>
      <c r="T77" s="13">
        <f t="shared" si="17"/>
        <v>2</v>
      </c>
    </row>
    <row r="78" spans="1:20" ht="12.75" customHeight="1" x14ac:dyDescent="0.3">
      <c r="A78" s="15"/>
      <c r="B78" s="28"/>
      <c r="C78" s="29" t="s">
        <v>69</v>
      </c>
      <c r="D78" s="30"/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1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1</v>
      </c>
      <c r="T78" s="13">
        <f t="shared" si="17"/>
        <v>2</v>
      </c>
    </row>
    <row r="79" spans="1:20" ht="12.75" customHeight="1" x14ac:dyDescent="0.3">
      <c r="A79" s="16" t="s">
        <v>15</v>
      </c>
      <c r="B79" s="59" t="s">
        <v>49</v>
      </c>
      <c r="C79" s="60"/>
      <c r="D79" s="58"/>
      <c r="E79" s="13">
        <f t="shared" ref="E79:T79" si="18">SUM(E69:E78)</f>
        <v>32</v>
      </c>
      <c r="F79" s="13">
        <f t="shared" si="18"/>
        <v>21</v>
      </c>
      <c r="G79" s="13">
        <f t="shared" si="18"/>
        <v>27</v>
      </c>
      <c r="H79" s="13">
        <f t="shared" si="18"/>
        <v>53</v>
      </c>
      <c r="I79" s="13">
        <f t="shared" si="18"/>
        <v>23</v>
      </c>
      <c r="J79" s="13">
        <f t="shared" si="18"/>
        <v>13</v>
      </c>
      <c r="K79" s="13">
        <f t="shared" si="18"/>
        <v>12</v>
      </c>
      <c r="L79" s="13">
        <f t="shared" si="18"/>
        <v>18</v>
      </c>
      <c r="M79" s="13">
        <f t="shared" si="18"/>
        <v>36</v>
      </c>
      <c r="N79" s="13">
        <f t="shared" si="18"/>
        <v>50</v>
      </c>
      <c r="O79" s="13">
        <f t="shared" si="18"/>
        <v>15</v>
      </c>
      <c r="P79" s="13">
        <f t="shared" si="18"/>
        <v>15</v>
      </c>
      <c r="Q79" s="13">
        <f t="shared" si="18"/>
        <v>22</v>
      </c>
      <c r="R79" s="13">
        <f t="shared" si="18"/>
        <v>22</v>
      </c>
      <c r="S79" s="13">
        <f t="shared" si="18"/>
        <v>17</v>
      </c>
      <c r="T79" s="13">
        <f t="shared" si="18"/>
        <v>376</v>
      </c>
    </row>
    <row r="80" spans="1:20" ht="12.75" customHeight="1" x14ac:dyDescent="0.3">
      <c r="A80" s="55"/>
      <c r="B80" s="56"/>
      <c r="C80" s="56"/>
      <c r="D80" s="56"/>
      <c r="E80" s="56"/>
    </row>
    <row r="81" spans="1:20" ht="12.75" customHeight="1" x14ac:dyDescent="0.3">
      <c r="A81" s="20" t="s">
        <v>37</v>
      </c>
      <c r="B81" s="27" t="s">
        <v>23</v>
      </c>
      <c r="C81" s="57" t="s">
        <v>70</v>
      </c>
      <c r="D81" s="58"/>
      <c r="E81" s="16">
        <v>3</v>
      </c>
      <c r="F81" s="16">
        <v>7</v>
      </c>
      <c r="G81" s="16">
        <v>1</v>
      </c>
      <c r="H81" s="16">
        <v>4</v>
      </c>
      <c r="I81" s="16">
        <v>1</v>
      </c>
      <c r="J81" s="16">
        <v>0</v>
      </c>
      <c r="K81" s="16">
        <v>3</v>
      </c>
      <c r="L81" s="16">
        <v>2</v>
      </c>
      <c r="M81" s="16">
        <v>3</v>
      </c>
      <c r="N81" s="16">
        <v>1</v>
      </c>
      <c r="O81" s="16">
        <v>0</v>
      </c>
      <c r="P81" s="16">
        <v>3</v>
      </c>
      <c r="Q81" s="16">
        <v>3</v>
      </c>
      <c r="R81" s="16">
        <v>0</v>
      </c>
      <c r="S81" s="16">
        <v>2</v>
      </c>
      <c r="T81" s="13">
        <f t="shared" ref="T81:T90" si="19">SUM(E81:S81)</f>
        <v>33</v>
      </c>
    </row>
    <row r="82" spans="1:20" ht="12.75" customHeight="1" x14ac:dyDescent="0.3">
      <c r="A82" s="20" t="s">
        <v>39</v>
      </c>
      <c r="B82" s="28"/>
      <c r="C82" s="29" t="s">
        <v>71</v>
      </c>
      <c r="D82" s="30"/>
      <c r="E82" s="16">
        <v>13</v>
      </c>
      <c r="F82" s="16">
        <v>3</v>
      </c>
      <c r="G82" s="16">
        <v>2</v>
      </c>
      <c r="H82" s="16">
        <v>0</v>
      </c>
      <c r="I82" s="16">
        <v>0</v>
      </c>
      <c r="J82" s="16">
        <v>11</v>
      </c>
      <c r="K82" s="16">
        <v>3</v>
      </c>
      <c r="L82" s="16">
        <v>14</v>
      </c>
      <c r="M82" s="16">
        <v>4</v>
      </c>
      <c r="N82" s="16">
        <v>6</v>
      </c>
      <c r="O82" s="16">
        <v>0</v>
      </c>
      <c r="P82" s="16">
        <v>5</v>
      </c>
      <c r="Q82" s="16">
        <v>2</v>
      </c>
      <c r="R82" s="16">
        <v>21</v>
      </c>
      <c r="S82" s="16">
        <v>1</v>
      </c>
      <c r="T82" s="13">
        <f t="shared" si="19"/>
        <v>85</v>
      </c>
    </row>
    <row r="83" spans="1:20" ht="12.75" customHeight="1" x14ac:dyDescent="0.3">
      <c r="A83" s="15"/>
      <c r="B83" s="28"/>
      <c r="C83" s="29" t="s">
        <v>72</v>
      </c>
      <c r="D83" s="30"/>
      <c r="E83" s="16">
        <v>3</v>
      </c>
      <c r="F83" s="16">
        <v>0</v>
      </c>
      <c r="G83" s="16">
        <v>0</v>
      </c>
      <c r="H83" s="16">
        <v>0</v>
      </c>
      <c r="I83" s="16">
        <v>0</v>
      </c>
      <c r="J83" s="16">
        <v>1</v>
      </c>
      <c r="K83" s="16">
        <v>1</v>
      </c>
      <c r="L83" s="16">
        <v>1</v>
      </c>
      <c r="M83" s="16">
        <v>2</v>
      </c>
      <c r="N83" s="16">
        <v>0</v>
      </c>
      <c r="O83" s="16">
        <v>2</v>
      </c>
      <c r="P83" s="16">
        <v>1</v>
      </c>
      <c r="Q83" s="16">
        <v>1</v>
      </c>
      <c r="R83" s="16">
        <v>1</v>
      </c>
      <c r="S83" s="16">
        <v>0</v>
      </c>
      <c r="T83" s="13">
        <f t="shared" si="19"/>
        <v>13</v>
      </c>
    </row>
    <row r="84" spans="1:20" ht="12.75" customHeight="1" x14ac:dyDescent="0.3">
      <c r="A84" s="15"/>
      <c r="B84" s="28"/>
      <c r="C84" s="29" t="s">
        <v>73</v>
      </c>
      <c r="D84" s="30"/>
      <c r="E84" s="16">
        <v>0</v>
      </c>
      <c r="F84" s="16">
        <v>0</v>
      </c>
      <c r="G84" s="16">
        <v>0</v>
      </c>
      <c r="H84" s="16">
        <v>3</v>
      </c>
      <c r="I84" s="16">
        <v>0</v>
      </c>
      <c r="J84" s="16">
        <v>2</v>
      </c>
      <c r="K84" s="16">
        <v>0</v>
      </c>
      <c r="L84" s="16">
        <v>0</v>
      </c>
      <c r="M84" s="16">
        <v>0</v>
      </c>
      <c r="N84" s="16">
        <v>1</v>
      </c>
      <c r="O84" s="16">
        <v>1</v>
      </c>
      <c r="P84" s="16">
        <v>0</v>
      </c>
      <c r="Q84" s="16">
        <v>1</v>
      </c>
      <c r="R84" s="16">
        <v>0</v>
      </c>
      <c r="S84" s="16">
        <v>0</v>
      </c>
      <c r="T84" s="13">
        <f t="shared" si="19"/>
        <v>8</v>
      </c>
    </row>
    <row r="85" spans="1:20" ht="12.75" customHeight="1" x14ac:dyDescent="0.3">
      <c r="A85" s="15"/>
      <c r="B85" s="28"/>
      <c r="C85" s="29" t="s">
        <v>74</v>
      </c>
      <c r="D85" s="30"/>
      <c r="E85" s="16">
        <v>2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2</v>
      </c>
      <c r="L85" s="16">
        <v>0</v>
      </c>
      <c r="M85" s="16">
        <v>1</v>
      </c>
      <c r="N85" s="16">
        <v>0</v>
      </c>
      <c r="O85" s="16">
        <v>0</v>
      </c>
      <c r="P85" s="16">
        <v>1</v>
      </c>
      <c r="Q85" s="16">
        <v>0</v>
      </c>
      <c r="R85" s="16">
        <v>0</v>
      </c>
      <c r="S85" s="16">
        <v>0</v>
      </c>
      <c r="T85" s="13">
        <f t="shared" si="19"/>
        <v>6</v>
      </c>
    </row>
    <row r="86" spans="1:20" ht="12.75" customHeight="1" x14ac:dyDescent="0.3">
      <c r="A86" s="15"/>
      <c r="B86" s="28"/>
      <c r="C86" s="29" t="s">
        <v>75</v>
      </c>
      <c r="D86" s="30"/>
      <c r="E86" s="16">
        <v>1</v>
      </c>
      <c r="F86" s="16">
        <v>7</v>
      </c>
      <c r="G86" s="16">
        <v>1</v>
      </c>
      <c r="H86" s="16">
        <v>1</v>
      </c>
      <c r="I86" s="16">
        <v>0</v>
      </c>
      <c r="J86" s="16">
        <v>7</v>
      </c>
      <c r="K86" s="16">
        <v>1</v>
      </c>
      <c r="L86" s="16">
        <v>1</v>
      </c>
      <c r="M86" s="16">
        <v>2</v>
      </c>
      <c r="N86" s="16">
        <v>5</v>
      </c>
      <c r="O86" s="16">
        <v>10</v>
      </c>
      <c r="P86" s="16">
        <v>20</v>
      </c>
      <c r="Q86" s="16">
        <v>8</v>
      </c>
      <c r="R86" s="16">
        <v>9</v>
      </c>
      <c r="S86" s="16">
        <v>6</v>
      </c>
      <c r="T86" s="13">
        <f t="shared" si="19"/>
        <v>79</v>
      </c>
    </row>
    <row r="87" spans="1:20" ht="12.75" customHeight="1" x14ac:dyDescent="0.3">
      <c r="A87" s="15"/>
      <c r="B87" s="28"/>
      <c r="C87" s="29" t="s">
        <v>76</v>
      </c>
      <c r="D87" s="30"/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1</v>
      </c>
      <c r="L87" s="16">
        <v>0</v>
      </c>
      <c r="M87" s="16">
        <v>1</v>
      </c>
      <c r="N87" s="16">
        <v>0</v>
      </c>
      <c r="O87" s="16">
        <v>0</v>
      </c>
      <c r="P87" s="16">
        <v>0</v>
      </c>
      <c r="Q87" s="16">
        <v>1</v>
      </c>
      <c r="R87" s="16">
        <v>0</v>
      </c>
      <c r="S87" s="16">
        <v>0</v>
      </c>
      <c r="T87" s="13">
        <f t="shared" si="19"/>
        <v>3</v>
      </c>
    </row>
    <row r="88" spans="1:20" ht="12.75" customHeight="1" x14ac:dyDescent="0.3">
      <c r="A88" s="15"/>
      <c r="B88" s="28"/>
      <c r="C88" s="29" t="s">
        <v>77</v>
      </c>
      <c r="D88" s="30"/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3">
        <f t="shared" si="19"/>
        <v>0</v>
      </c>
    </row>
    <row r="89" spans="1:20" ht="12.75" customHeight="1" x14ac:dyDescent="0.3">
      <c r="A89" s="15"/>
      <c r="B89" s="28"/>
      <c r="C89" s="29" t="s">
        <v>78</v>
      </c>
      <c r="D89" s="30"/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3">
        <f t="shared" si="19"/>
        <v>0</v>
      </c>
    </row>
    <row r="90" spans="1:20" ht="12.75" customHeight="1" x14ac:dyDescent="0.3">
      <c r="A90" s="15"/>
      <c r="B90" s="28"/>
      <c r="C90" s="29" t="s">
        <v>79</v>
      </c>
      <c r="D90" s="30"/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1</v>
      </c>
      <c r="R90" s="16">
        <v>0</v>
      </c>
      <c r="S90" s="16">
        <v>0</v>
      </c>
      <c r="T90" s="13">
        <f t="shared" si="19"/>
        <v>1</v>
      </c>
    </row>
    <row r="91" spans="1:20" ht="12.75" customHeight="1" x14ac:dyDescent="0.3">
      <c r="A91" s="16" t="s">
        <v>15</v>
      </c>
      <c r="B91" s="59" t="s">
        <v>49</v>
      </c>
      <c r="C91" s="60"/>
      <c r="D91" s="58"/>
      <c r="E91" s="13">
        <f t="shared" ref="E91:T91" si="20">SUM(E81:E90)</f>
        <v>22</v>
      </c>
      <c r="F91" s="13">
        <f t="shared" si="20"/>
        <v>17</v>
      </c>
      <c r="G91" s="13">
        <f t="shared" si="20"/>
        <v>4</v>
      </c>
      <c r="H91" s="13">
        <f t="shared" si="20"/>
        <v>8</v>
      </c>
      <c r="I91" s="13">
        <f t="shared" si="20"/>
        <v>1</v>
      </c>
      <c r="J91" s="13">
        <f t="shared" si="20"/>
        <v>21</v>
      </c>
      <c r="K91" s="13">
        <f t="shared" si="20"/>
        <v>11</v>
      </c>
      <c r="L91" s="13">
        <f t="shared" si="20"/>
        <v>18</v>
      </c>
      <c r="M91" s="13">
        <f t="shared" si="20"/>
        <v>13</v>
      </c>
      <c r="N91" s="13">
        <f t="shared" si="20"/>
        <v>13</v>
      </c>
      <c r="O91" s="13">
        <f t="shared" si="20"/>
        <v>13</v>
      </c>
      <c r="P91" s="13">
        <f t="shared" si="20"/>
        <v>30</v>
      </c>
      <c r="Q91" s="13">
        <f t="shared" si="20"/>
        <v>17</v>
      </c>
      <c r="R91" s="13">
        <f t="shared" si="20"/>
        <v>31</v>
      </c>
      <c r="S91" s="13">
        <f t="shared" si="20"/>
        <v>9</v>
      </c>
      <c r="T91" s="13">
        <f t="shared" si="20"/>
        <v>228</v>
      </c>
    </row>
    <row r="92" spans="1:20" ht="12.75" customHeight="1" x14ac:dyDescent="0.3">
      <c r="A92" s="55"/>
      <c r="B92" s="56"/>
      <c r="C92" s="56"/>
      <c r="D92" s="56"/>
      <c r="E92" s="56"/>
    </row>
    <row r="93" spans="1:20" ht="12.75" customHeight="1" x14ac:dyDescent="0.3">
      <c r="A93" s="20" t="s">
        <v>37</v>
      </c>
      <c r="B93" s="27" t="s">
        <v>80</v>
      </c>
      <c r="C93" s="57" t="s">
        <v>81</v>
      </c>
      <c r="D93" s="58"/>
      <c r="E93" s="16">
        <v>1</v>
      </c>
      <c r="F93" s="16">
        <v>3</v>
      </c>
      <c r="G93" s="16">
        <v>8</v>
      </c>
      <c r="H93" s="16">
        <v>6</v>
      </c>
      <c r="I93" s="16">
        <v>1</v>
      </c>
      <c r="J93" s="16">
        <v>4</v>
      </c>
      <c r="K93" s="16">
        <v>5</v>
      </c>
      <c r="L93" s="16">
        <v>3</v>
      </c>
      <c r="M93" s="16">
        <v>1</v>
      </c>
      <c r="N93" s="16">
        <v>2</v>
      </c>
      <c r="O93" s="16">
        <v>0</v>
      </c>
      <c r="P93" s="16">
        <v>4</v>
      </c>
      <c r="Q93" s="16">
        <v>2</v>
      </c>
      <c r="R93" s="16">
        <v>1</v>
      </c>
      <c r="S93" s="16">
        <v>0</v>
      </c>
      <c r="T93" s="13">
        <f t="shared" ref="T93:T102" si="21">SUM(E93:S93)</f>
        <v>41</v>
      </c>
    </row>
    <row r="94" spans="1:20" ht="12.75" customHeight="1" x14ac:dyDescent="0.3">
      <c r="A94" s="20" t="s">
        <v>39</v>
      </c>
      <c r="B94" s="28"/>
      <c r="C94" s="29" t="s">
        <v>82</v>
      </c>
      <c r="D94" s="35"/>
      <c r="E94" s="16">
        <v>8</v>
      </c>
      <c r="F94" s="16">
        <v>1</v>
      </c>
      <c r="G94" s="16">
        <v>3</v>
      </c>
      <c r="H94" s="16">
        <v>7</v>
      </c>
      <c r="I94" s="16">
        <v>0</v>
      </c>
      <c r="J94" s="16">
        <v>7</v>
      </c>
      <c r="K94" s="16">
        <v>3</v>
      </c>
      <c r="L94" s="16">
        <v>1</v>
      </c>
      <c r="M94" s="16">
        <v>1</v>
      </c>
      <c r="N94" s="16">
        <v>1</v>
      </c>
      <c r="O94" s="16">
        <v>1</v>
      </c>
      <c r="P94" s="16">
        <v>7</v>
      </c>
      <c r="Q94" s="16">
        <v>0</v>
      </c>
      <c r="R94" s="16">
        <v>4</v>
      </c>
      <c r="S94" s="16">
        <v>3</v>
      </c>
      <c r="T94" s="13">
        <f t="shared" si="21"/>
        <v>47</v>
      </c>
    </row>
    <row r="95" spans="1:20" ht="12.75" customHeight="1" x14ac:dyDescent="0.3">
      <c r="A95" s="15"/>
      <c r="B95" s="28"/>
      <c r="C95" s="29" t="s">
        <v>83</v>
      </c>
      <c r="D95" s="35"/>
      <c r="E95" s="16">
        <v>0</v>
      </c>
      <c r="F95" s="16">
        <v>2</v>
      </c>
      <c r="G95" s="16">
        <v>1</v>
      </c>
      <c r="H95" s="16">
        <v>0</v>
      </c>
      <c r="I95" s="16">
        <v>0</v>
      </c>
      <c r="J95" s="16">
        <v>3</v>
      </c>
      <c r="K95" s="16">
        <v>2</v>
      </c>
      <c r="L95" s="16">
        <v>0</v>
      </c>
      <c r="M95" s="16">
        <v>1</v>
      </c>
      <c r="N95" s="16">
        <v>1</v>
      </c>
      <c r="O95" s="16">
        <v>3</v>
      </c>
      <c r="P95" s="16">
        <v>1</v>
      </c>
      <c r="Q95" s="16">
        <v>0</v>
      </c>
      <c r="R95" s="16">
        <v>0</v>
      </c>
      <c r="S95" s="16">
        <v>1</v>
      </c>
      <c r="T95" s="13">
        <f t="shared" si="21"/>
        <v>15</v>
      </c>
    </row>
    <row r="96" spans="1:20" ht="12.75" customHeight="1" x14ac:dyDescent="0.3">
      <c r="A96" s="15"/>
      <c r="B96" s="28"/>
      <c r="C96" s="29" t="s">
        <v>84</v>
      </c>
      <c r="D96" s="35"/>
      <c r="E96" s="16">
        <v>0</v>
      </c>
      <c r="F96" s="16">
        <v>0</v>
      </c>
      <c r="G96" s="16">
        <v>1</v>
      </c>
      <c r="H96" s="16">
        <v>2</v>
      </c>
      <c r="I96" s="16">
        <v>0</v>
      </c>
      <c r="J96" s="16">
        <v>1</v>
      </c>
      <c r="K96" s="16">
        <v>3</v>
      </c>
      <c r="L96" s="16">
        <v>0</v>
      </c>
      <c r="M96" s="16">
        <v>0</v>
      </c>
      <c r="N96" s="16">
        <v>0</v>
      </c>
      <c r="O96" s="16">
        <v>0</v>
      </c>
      <c r="P96" s="16">
        <v>2</v>
      </c>
      <c r="Q96" s="16">
        <v>0</v>
      </c>
      <c r="R96" s="16">
        <v>0</v>
      </c>
      <c r="S96" s="16">
        <v>0</v>
      </c>
      <c r="T96" s="13">
        <f t="shared" si="21"/>
        <v>9</v>
      </c>
    </row>
    <row r="97" spans="1:20" ht="12.75" customHeight="1" x14ac:dyDescent="0.3">
      <c r="A97" s="15"/>
      <c r="B97" s="28"/>
      <c r="C97" s="29" t="s">
        <v>85</v>
      </c>
      <c r="D97" s="35"/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1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3">
        <f t="shared" si="21"/>
        <v>1</v>
      </c>
    </row>
    <row r="98" spans="1:20" ht="12.75" customHeight="1" x14ac:dyDescent="0.3">
      <c r="A98" s="15"/>
      <c r="B98" s="28"/>
      <c r="C98" s="29" t="s">
        <v>86</v>
      </c>
      <c r="D98" s="30"/>
      <c r="E98" s="16">
        <v>0</v>
      </c>
      <c r="F98" s="16">
        <v>1</v>
      </c>
      <c r="G98" s="16">
        <v>0</v>
      </c>
      <c r="H98" s="16">
        <v>0</v>
      </c>
      <c r="I98" s="16">
        <v>0</v>
      </c>
      <c r="J98" s="16">
        <v>1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3">
        <f t="shared" si="21"/>
        <v>2</v>
      </c>
    </row>
    <row r="99" spans="1:20" ht="12.75" customHeight="1" x14ac:dyDescent="0.3">
      <c r="A99" s="15"/>
      <c r="B99" s="28"/>
      <c r="C99" s="29" t="s">
        <v>87</v>
      </c>
      <c r="D99" s="30"/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1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3">
        <f t="shared" si="21"/>
        <v>1</v>
      </c>
    </row>
    <row r="100" spans="1:20" ht="12.75" customHeight="1" x14ac:dyDescent="0.3">
      <c r="A100" s="15"/>
      <c r="B100" s="28"/>
      <c r="C100" s="29" t="s">
        <v>88</v>
      </c>
      <c r="D100" s="35"/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3">
        <f t="shared" si="21"/>
        <v>0</v>
      </c>
    </row>
    <row r="101" spans="1:20" ht="12.75" customHeight="1" x14ac:dyDescent="0.3">
      <c r="A101" s="15"/>
      <c r="B101" s="28"/>
      <c r="C101" s="29" t="s">
        <v>89</v>
      </c>
      <c r="D101" s="35"/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1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1</v>
      </c>
      <c r="S101" s="16">
        <v>0</v>
      </c>
      <c r="T101" s="13">
        <f t="shared" si="21"/>
        <v>2</v>
      </c>
    </row>
    <row r="102" spans="1:20" ht="12.75" customHeight="1" x14ac:dyDescent="0.3">
      <c r="A102" s="15"/>
      <c r="B102" s="28"/>
      <c r="C102" s="29" t="s">
        <v>90</v>
      </c>
      <c r="D102" s="35"/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3">
        <f t="shared" si="21"/>
        <v>0</v>
      </c>
    </row>
    <row r="103" spans="1:20" ht="12.75" customHeight="1" x14ac:dyDescent="0.3">
      <c r="A103" s="16" t="s">
        <v>15</v>
      </c>
      <c r="B103" s="59" t="s">
        <v>49</v>
      </c>
      <c r="C103" s="60"/>
      <c r="D103" s="58"/>
      <c r="E103" s="13">
        <f t="shared" ref="E103:T103" si="22">SUM(E93:E102)</f>
        <v>9</v>
      </c>
      <c r="F103" s="13">
        <f t="shared" si="22"/>
        <v>7</v>
      </c>
      <c r="G103" s="13">
        <f t="shared" si="22"/>
        <v>13</v>
      </c>
      <c r="H103" s="13">
        <f t="shared" si="22"/>
        <v>15</v>
      </c>
      <c r="I103" s="13">
        <f t="shared" si="22"/>
        <v>1</v>
      </c>
      <c r="J103" s="13">
        <f t="shared" si="22"/>
        <v>18</v>
      </c>
      <c r="K103" s="13">
        <f t="shared" si="22"/>
        <v>13</v>
      </c>
      <c r="L103" s="13">
        <f t="shared" si="22"/>
        <v>5</v>
      </c>
      <c r="M103" s="13">
        <f t="shared" si="22"/>
        <v>3</v>
      </c>
      <c r="N103" s="13">
        <f t="shared" si="22"/>
        <v>4</v>
      </c>
      <c r="O103" s="13">
        <f t="shared" si="22"/>
        <v>4</v>
      </c>
      <c r="P103" s="13">
        <f t="shared" si="22"/>
        <v>14</v>
      </c>
      <c r="Q103" s="13">
        <f t="shared" si="22"/>
        <v>2</v>
      </c>
      <c r="R103" s="13">
        <f t="shared" si="22"/>
        <v>6</v>
      </c>
      <c r="S103" s="13">
        <f t="shared" si="22"/>
        <v>4</v>
      </c>
      <c r="T103" s="13">
        <f t="shared" si="22"/>
        <v>118</v>
      </c>
    </row>
    <row r="104" spans="1:20" ht="12.75" customHeight="1" x14ac:dyDescent="0.3">
      <c r="A104" s="55"/>
      <c r="B104" s="56"/>
      <c r="C104" s="56"/>
      <c r="D104" s="56"/>
      <c r="E104" s="56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</row>
    <row r="105" spans="1:20" ht="12.75" customHeight="1" x14ac:dyDescent="0.3">
      <c r="A105" s="20" t="s">
        <v>37</v>
      </c>
      <c r="B105" s="27" t="s">
        <v>91</v>
      </c>
      <c r="C105" s="57" t="s">
        <v>92</v>
      </c>
      <c r="D105" s="58"/>
      <c r="E105" s="16">
        <v>1</v>
      </c>
      <c r="F105" s="16">
        <v>2</v>
      </c>
      <c r="G105" s="16">
        <v>0</v>
      </c>
      <c r="H105" s="16">
        <v>0</v>
      </c>
      <c r="I105" s="16">
        <v>1</v>
      </c>
      <c r="J105" s="16">
        <v>0</v>
      </c>
      <c r="K105" s="16">
        <v>0</v>
      </c>
      <c r="L105" s="16">
        <v>0</v>
      </c>
      <c r="M105" s="16">
        <v>0</v>
      </c>
      <c r="N105" s="16">
        <v>1</v>
      </c>
      <c r="O105" s="16">
        <v>0</v>
      </c>
      <c r="P105" s="16">
        <v>0</v>
      </c>
      <c r="Q105" s="16">
        <v>1</v>
      </c>
      <c r="R105" s="16">
        <v>0</v>
      </c>
      <c r="S105" s="16">
        <v>0</v>
      </c>
      <c r="T105" s="13">
        <f t="shared" ref="T105:T114" si="23">SUM(E105:S105)</f>
        <v>6</v>
      </c>
    </row>
    <row r="106" spans="1:20" ht="12.75" customHeight="1" x14ac:dyDescent="0.3">
      <c r="A106" s="20" t="s">
        <v>39</v>
      </c>
      <c r="B106" s="28"/>
      <c r="C106" s="29" t="s">
        <v>93</v>
      </c>
      <c r="D106" s="30"/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1</v>
      </c>
      <c r="O106" s="16">
        <v>0</v>
      </c>
      <c r="P106" s="16">
        <v>0</v>
      </c>
      <c r="Q106" s="16">
        <v>0</v>
      </c>
      <c r="R106" s="16">
        <v>0</v>
      </c>
      <c r="S106" s="16">
        <v>1</v>
      </c>
      <c r="T106" s="13">
        <f t="shared" si="23"/>
        <v>2</v>
      </c>
    </row>
    <row r="107" spans="1:20" ht="12.75" customHeight="1" x14ac:dyDescent="0.3">
      <c r="A107" s="15"/>
      <c r="B107" s="28"/>
      <c r="C107" s="29" t="s">
        <v>94</v>
      </c>
      <c r="D107" s="30"/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3">
        <f t="shared" si="23"/>
        <v>0</v>
      </c>
    </row>
    <row r="108" spans="1:20" ht="12.75" customHeight="1" x14ac:dyDescent="0.3">
      <c r="A108" s="15"/>
      <c r="B108" s="36"/>
      <c r="C108" s="37"/>
      <c r="D108" s="38"/>
      <c r="E108" s="52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3">
        <f t="shared" si="23"/>
        <v>0</v>
      </c>
    </row>
    <row r="109" spans="1:20" ht="12.75" customHeight="1" x14ac:dyDescent="0.3">
      <c r="A109" s="15"/>
      <c r="B109" s="36"/>
      <c r="C109" s="37"/>
      <c r="D109" s="38"/>
      <c r="E109" s="52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3">
        <f t="shared" si="23"/>
        <v>0</v>
      </c>
    </row>
    <row r="110" spans="1:20" ht="12.75" customHeight="1" x14ac:dyDescent="0.3">
      <c r="A110" s="15"/>
      <c r="B110" s="36"/>
      <c r="C110" s="37"/>
      <c r="D110" s="38"/>
      <c r="E110" s="52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3">
        <f t="shared" si="23"/>
        <v>0</v>
      </c>
    </row>
    <row r="111" spans="1:20" ht="12.75" customHeight="1" x14ac:dyDescent="0.3">
      <c r="A111" s="15"/>
      <c r="B111" s="36"/>
      <c r="C111" s="37"/>
      <c r="D111" s="38"/>
      <c r="E111" s="52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3">
        <f t="shared" si="23"/>
        <v>0</v>
      </c>
    </row>
    <row r="112" spans="1:20" ht="12.75" customHeight="1" x14ac:dyDescent="0.3">
      <c r="A112" s="15"/>
      <c r="B112" s="36"/>
      <c r="C112" s="37"/>
      <c r="D112" s="38"/>
      <c r="E112" s="52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3">
        <f t="shared" si="23"/>
        <v>0</v>
      </c>
    </row>
    <row r="113" spans="1:20" ht="12.75" customHeight="1" x14ac:dyDescent="0.3">
      <c r="A113" s="15"/>
      <c r="B113" s="36"/>
      <c r="C113" s="37"/>
      <c r="D113" s="38"/>
      <c r="E113" s="52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3">
        <f t="shared" si="23"/>
        <v>0</v>
      </c>
    </row>
    <row r="114" spans="1:20" ht="12.75" customHeight="1" x14ac:dyDescent="0.3">
      <c r="A114" s="15"/>
      <c r="B114" s="36"/>
      <c r="C114" s="37"/>
      <c r="D114" s="38"/>
      <c r="E114" s="52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3">
        <f t="shared" si="23"/>
        <v>0</v>
      </c>
    </row>
    <row r="115" spans="1:20" ht="12.75" customHeight="1" x14ac:dyDescent="0.3">
      <c r="A115" s="16" t="s">
        <v>15</v>
      </c>
      <c r="B115" s="59" t="s">
        <v>49</v>
      </c>
      <c r="C115" s="60"/>
      <c r="D115" s="58"/>
      <c r="E115" s="13">
        <f t="shared" ref="E115:T115" si="24">SUM(E105:E114)</f>
        <v>1</v>
      </c>
      <c r="F115" s="13">
        <f t="shared" si="24"/>
        <v>2</v>
      </c>
      <c r="G115" s="13">
        <f t="shared" si="24"/>
        <v>0</v>
      </c>
      <c r="H115" s="13">
        <f t="shared" si="24"/>
        <v>0</v>
      </c>
      <c r="I115" s="13">
        <f t="shared" si="24"/>
        <v>1</v>
      </c>
      <c r="J115" s="13">
        <f t="shared" si="24"/>
        <v>0</v>
      </c>
      <c r="K115" s="13">
        <f t="shared" si="24"/>
        <v>0</v>
      </c>
      <c r="L115" s="13">
        <f t="shared" si="24"/>
        <v>0</v>
      </c>
      <c r="M115" s="13">
        <f t="shared" si="24"/>
        <v>0</v>
      </c>
      <c r="N115" s="13">
        <f t="shared" si="24"/>
        <v>2</v>
      </c>
      <c r="O115" s="13">
        <f t="shared" si="24"/>
        <v>0</v>
      </c>
      <c r="P115" s="13">
        <f t="shared" si="24"/>
        <v>0</v>
      </c>
      <c r="Q115" s="13">
        <f t="shared" si="24"/>
        <v>1</v>
      </c>
      <c r="R115" s="13">
        <f t="shared" si="24"/>
        <v>0</v>
      </c>
      <c r="S115" s="13">
        <f t="shared" si="24"/>
        <v>1</v>
      </c>
      <c r="T115" s="13">
        <f t="shared" si="24"/>
        <v>8</v>
      </c>
    </row>
    <row r="116" spans="1:20" ht="12.75" customHeight="1" x14ac:dyDescent="0.3">
      <c r="A116" s="61"/>
      <c r="B116" s="60"/>
      <c r="C116" s="60"/>
      <c r="D116" s="60"/>
      <c r="E116" s="58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13"/>
    </row>
    <row r="117" spans="1:20" ht="12.75" customHeight="1" x14ac:dyDescent="0.3">
      <c r="A117" s="20" t="s">
        <v>37</v>
      </c>
      <c r="B117" s="27" t="s">
        <v>95</v>
      </c>
      <c r="C117" s="57" t="s">
        <v>96</v>
      </c>
      <c r="D117" s="58"/>
      <c r="E117" s="16">
        <v>1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3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1</v>
      </c>
      <c r="S117" s="16">
        <v>0</v>
      </c>
      <c r="T117" s="13">
        <f t="shared" ref="T117:T126" si="25">SUM(E117:S117)</f>
        <v>5</v>
      </c>
    </row>
    <row r="118" spans="1:20" ht="12.75" customHeight="1" x14ac:dyDescent="0.3">
      <c r="A118" s="20" t="s">
        <v>39</v>
      </c>
      <c r="B118" s="28"/>
      <c r="C118" s="29" t="s">
        <v>97</v>
      </c>
      <c r="D118" s="30"/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1</v>
      </c>
      <c r="L118" s="16">
        <v>0</v>
      </c>
      <c r="M118" s="16">
        <v>1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1</v>
      </c>
      <c r="T118" s="13">
        <f t="shared" si="25"/>
        <v>3</v>
      </c>
    </row>
    <row r="119" spans="1:20" ht="12.75" customHeight="1" x14ac:dyDescent="0.3">
      <c r="A119" s="15"/>
      <c r="B119" s="28"/>
      <c r="C119" s="29" t="s">
        <v>98</v>
      </c>
      <c r="D119" s="30"/>
      <c r="E119" s="16">
        <v>0</v>
      </c>
      <c r="F119" s="16">
        <v>0</v>
      </c>
      <c r="G119" s="16">
        <v>1</v>
      </c>
      <c r="H119" s="16">
        <v>0</v>
      </c>
      <c r="I119" s="16">
        <v>0</v>
      </c>
      <c r="J119" s="16">
        <v>0</v>
      </c>
      <c r="K119" s="16">
        <v>1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3">
        <f t="shared" si="25"/>
        <v>2</v>
      </c>
    </row>
    <row r="120" spans="1:20" ht="12.75" customHeight="1" x14ac:dyDescent="0.3">
      <c r="A120" s="15"/>
      <c r="B120" s="28"/>
      <c r="C120" s="29" t="s">
        <v>99</v>
      </c>
      <c r="D120" s="30"/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3">
        <f t="shared" si="25"/>
        <v>0</v>
      </c>
    </row>
    <row r="121" spans="1:20" ht="12.75" customHeight="1" x14ac:dyDescent="0.3">
      <c r="A121" s="15"/>
      <c r="B121" s="28"/>
      <c r="C121" s="29" t="s">
        <v>100</v>
      </c>
      <c r="D121" s="30"/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3">
        <f t="shared" si="25"/>
        <v>0</v>
      </c>
    </row>
    <row r="122" spans="1:20" ht="12.75" customHeight="1" x14ac:dyDescent="0.3">
      <c r="A122" s="15"/>
      <c r="B122" s="28"/>
      <c r="C122" s="29" t="s">
        <v>101</v>
      </c>
      <c r="D122" s="30"/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3">
        <f t="shared" si="25"/>
        <v>0</v>
      </c>
    </row>
    <row r="123" spans="1:20" ht="12.75" customHeight="1" x14ac:dyDescent="0.3">
      <c r="A123" s="15"/>
      <c r="B123" s="36"/>
      <c r="C123" s="37"/>
      <c r="D123" s="40"/>
      <c r="E123" s="41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13">
        <f t="shared" si="25"/>
        <v>0</v>
      </c>
    </row>
    <row r="124" spans="1:20" ht="12.75" customHeight="1" x14ac:dyDescent="0.3">
      <c r="A124" s="15"/>
      <c r="B124" s="36"/>
      <c r="C124" s="37"/>
      <c r="D124" s="38"/>
      <c r="E124" s="41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13">
        <f t="shared" si="25"/>
        <v>0</v>
      </c>
    </row>
    <row r="125" spans="1:20" ht="12.75" customHeight="1" x14ac:dyDescent="0.3">
      <c r="A125" s="15"/>
      <c r="B125" s="36"/>
      <c r="C125" s="37"/>
      <c r="D125" s="38"/>
      <c r="E125" s="41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13">
        <f t="shared" si="25"/>
        <v>0</v>
      </c>
    </row>
    <row r="126" spans="1:20" ht="12.75" customHeight="1" x14ac:dyDescent="0.3">
      <c r="A126" s="15"/>
      <c r="B126" s="36"/>
      <c r="C126" s="37"/>
      <c r="D126" s="38"/>
      <c r="E126" s="41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13">
        <f t="shared" si="25"/>
        <v>0</v>
      </c>
    </row>
    <row r="127" spans="1:20" ht="12.75" customHeight="1" x14ac:dyDescent="0.3">
      <c r="A127" s="16" t="s">
        <v>15</v>
      </c>
      <c r="B127" s="59" t="s">
        <v>49</v>
      </c>
      <c r="C127" s="60"/>
      <c r="D127" s="58"/>
      <c r="E127" s="13">
        <f t="shared" ref="E127:T127" si="26">SUM(E117:E126)</f>
        <v>1</v>
      </c>
      <c r="F127" s="13">
        <f t="shared" si="26"/>
        <v>0</v>
      </c>
      <c r="G127" s="13">
        <f t="shared" si="26"/>
        <v>1</v>
      </c>
      <c r="H127" s="13">
        <f t="shared" si="26"/>
        <v>0</v>
      </c>
      <c r="I127" s="13">
        <f t="shared" si="26"/>
        <v>0</v>
      </c>
      <c r="J127" s="13">
        <f t="shared" si="26"/>
        <v>0</v>
      </c>
      <c r="K127" s="13">
        <f t="shared" si="26"/>
        <v>5</v>
      </c>
      <c r="L127" s="13">
        <f t="shared" si="26"/>
        <v>0</v>
      </c>
      <c r="M127" s="13">
        <f t="shared" si="26"/>
        <v>1</v>
      </c>
      <c r="N127" s="13">
        <f t="shared" si="26"/>
        <v>0</v>
      </c>
      <c r="O127" s="13">
        <f t="shared" si="26"/>
        <v>0</v>
      </c>
      <c r="P127" s="13">
        <f t="shared" si="26"/>
        <v>0</v>
      </c>
      <c r="Q127" s="13">
        <f t="shared" si="26"/>
        <v>0</v>
      </c>
      <c r="R127" s="13">
        <f t="shared" si="26"/>
        <v>1</v>
      </c>
      <c r="S127" s="13">
        <f t="shared" si="26"/>
        <v>1</v>
      </c>
      <c r="T127" s="13">
        <f t="shared" si="26"/>
        <v>10</v>
      </c>
    </row>
    <row r="128" spans="1:20" ht="12.75" customHeight="1" x14ac:dyDescent="0.3">
      <c r="A128" s="61"/>
      <c r="B128" s="60"/>
      <c r="C128" s="60"/>
      <c r="D128" s="60"/>
      <c r="E128" s="58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</row>
    <row r="129" spans="1:20" ht="12.75" customHeight="1" x14ac:dyDescent="0.3">
      <c r="A129" s="20" t="s">
        <v>37</v>
      </c>
      <c r="B129" s="27" t="s">
        <v>102</v>
      </c>
      <c r="C129" s="57" t="s">
        <v>103</v>
      </c>
      <c r="D129" s="58"/>
      <c r="E129" s="16">
        <v>1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1</v>
      </c>
      <c r="M129" s="16">
        <v>2</v>
      </c>
      <c r="N129" s="16">
        <v>0</v>
      </c>
      <c r="O129" s="16">
        <v>0</v>
      </c>
      <c r="P129" s="16">
        <v>0</v>
      </c>
      <c r="Q129" s="16">
        <v>2</v>
      </c>
      <c r="R129" s="16">
        <v>0</v>
      </c>
      <c r="S129" s="16">
        <v>0</v>
      </c>
      <c r="T129" s="13">
        <f t="shared" ref="T129:T138" si="27">SUM(E129:S129)</f>
        <v>6</v>
      </c>
    </row>
    <row r="130" spans="1:20" ht="12.75" customHeight="1" x14ac:dyDescent="0.3">
      <c r="A130" s="20" t="s">
        <v>39</v>
      </c>
      <c r="B130" s="28"/>
      <c r="C130" s="29" t="s">
        <v>104</v>
      </c>
      <c r="D130" s="30"/>
      <c r="E130" s="16">
        <v>2</v>
      </c>
      <c r="F130" s="16">
        <v>1</v>
      </c>
      <c r="G130" s="16">
        <v>0</v>
      </c>
      <c r="H130" s="16">
        <v>0</v>
      </c>
      <c r="I130" s="16">
        <v>1</v>
      </c>
      <c r="J130" s="16">
        <v>0</v>
      </c>
      <c r="K130" s="16">
        <v>1</v>
      </c>
      <c r="L130" s="16">
        <v>1</v>
      </c>
      <c r="M130" s="16">
        <v>0</v>
      </c>
      <c r="N130" s="16">
        <v>0</v>
      </c>
      <c r="O130" s="16">
        <v>1</v>
      </c>
      <c r="P130" s="16">
        <v>0</v>
      </c>
      <c r="Q130" s="16">
        <v>2</v>
      </c>
      <c r="R130" s="16">
        <v>0</v>
      </c>
      <c r="S130" s="16">
        <v>1</v>
      </c>
      <c r="T130" s="13">
        <f t="shared" si="27"/>
        <v>10</v>
      </c>
    </row>
    <row r="131" spans="1:20" ht="12.75" customHeight="1" x14ac:dyDescent="0.3">
      <c r="A131" s="15"/>
      <c r="B131" s="28"/>
      <c r="C131" s="29" t="s">
        <v>105</v>
      </c>
      <c r="D131" s="30"/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1</v>
      </c>
      <c r="M131" s="16">
        <v>0</v>
      </c>
      <c r="N131" s="16">
        <v>0</v>
      </c>
      <c r="O131" s="16">
        <v>2</v>
      </c>
      <c r="P131" s="16">
        <v>0</v>
      </c>
      <c r="Q131" s="16">
        <v>0</v>
      </c>
      <c r="R131" s="16">
        <v>0</v>
      </c>
      <c r="S131" s="16">
        <v>1</v>
      </c>
      <c r="T131" s="13">
        <f t="shared" si="27"/>
        <v>4</v>
      </c>
    </row>
    <row r="132" spans="1:20" ht="12.75" customHeight="1" x14ac:dyDescent="0.3">
      <c r="A132" s="15"/>
      <c r="B132" s="28"/>
      <c r="C132" s="29" t="s">
        <v>106</v>
      </c>
      <c r="D132" s="30"/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1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1</v>
      </c>
      <c r="Q132" s="16">
        <v>0</v>
      </c>
      <c r="R132" s="16">
        <v>0</v>
      </c>
      <c r="S132" s="16">
        <v>0</v>
      </c>
      <c r="T132" s="13">
        <f t="shared" si="27"/>
        <v>2</v>
      </c>
    </row>
    <row r="133" spans="1:20" ht="12.75" customHeight="1" x14ac:dyDescent="0.3">
      <c r="A133" s="15"/>
      <c r="B133" s="28"/>
      <c r="C133" s="29" t="s">
        <v>107</v>
      </c>
      <c r="D133" s="30"/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1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3">
        <f t="shared" si="27"/>
        <v>1</v>
      </c>
    </row>
    <row r="134" spans="1:20" ht="12.75" customHeight="1" x14ac:dyDescent="0.3">
      <c r="A134" s="15"/>
      <c r="B134" s="28"/>
      <c r="C134" s="29" t="s">
        <v>108</v>
      </c>
      <c r="D134" s="30"/>
      <c r="E134" s="16">
        <v>0</v>
      </c>
      <c r="F134" s="16">
        <v>2</v>
      </c>
      <c r="G134" s="16">
        <v>1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5</v>
      </c>
      <c r="P134" s="16">
        <v>0</v>
      </c>
      <c r="Q134" s="16">
        <v>0</v>
      </c>
      <c r="R134" s="16">
        <v>0</v>
      </c>
      <c r="S134" s="16">
        <v>0</v>
      </c>
      <c r="T134" s="13">
        <f t="shared" si="27"/>
        <v>8</v>
      </c>
    </row>
    <row r="135" spans="1:20" ht="12.75" customHeight="1" x14ac:dyDescent="0.3">
      <c r="A135" s="15"/>
      <c r="B135" s="28"/>
      <c r="C135" s="29" t="s">
        <v>109</v>
      </c>
      <c r="D135" s="30"/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4</v>
      </c>
      <c r="R135" s="16">
        <v>0</v>
      </c>
      <c r="S135" s="16">
        <v>0</v>
      </c>
      <c r="T135" s="13">
        <f t="shared" si="27"/>
        <v>4</v>
      </c>
    </row>
    <row r="136" spans="1:20" ht="12.75" customHeight="1" x14ac:dyDescent="0.3">
      <c r="A136" s="15"/>
      <c r="B136" s="28"/>
      <c r="C136" s="29" t="s">
        <v>110</v>
      </c>
      <c r="D136" s="30"/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3">
        <f t="shared" si="27"/>
        <v>0</v>
      </c>
    </row>
    <row r="137" spans="1:20" ht="12.75" customHeight="1" x14ac:dyDescent="0.3">
      <c r="A137" s="15"/>
      <c r="B137" s="28"/>
      <c r="C137" s="29" t="s">
        <v>111</v>
      </c>
      <c r="D137" s="30"/>
      <c r="E137" s="16">
        <v>0</v>
      </c>
      <c r="F137" s="16">
        <v>0</v>
      </c>
      <c r="G137" s="16">
        <v>0</v>
      </c>
      <c r="H137" s="16">
        <v>0</v>
      </c>
      <c r="I137" s="16">
        <v>1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1</v>
      </c>
      <c r="R137" s="16">
        <v>0</v>
      </c>
      <c r="S137" s="16">
        <v>0</v>
      </c>
      <c r="T137" s="13">
        <f t="shared" si="27"/>
        <v>2</v>
      </c>
    </row>
    <row r="138" spans="1:20" ht="12.75" customHeight="1" x14ac:dyDescent="0.3">
      <c r="A138" s="15"/>
      <c r="B138" s="28"/>
      <c r="C138" s="29" t="s">
        <v>112</v>
      </c>
      <c r="D138" s="30"/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3">
        <f t="shared" si="27"/>
        <v>0</v>
      </c>
    </row>
    <row r="139" spans="1:20" ht="12.75" customHeight="1" x14ac:dyDescent="0.3">
      <c r="A139" s="16" t="s">
        <v>15</v>
      </c>
      <c r="B139" s="59" t="s">
        <v>49</v>
      </c>
      <c r="C139" s="60"/>
      <c r="D139" s="58"/>
      <c r="E139" s="13">
        <f t="shared" ref="E139:T139" si="28">SUM(E129:E138)</f>
        <v>3</v>
      </c>
      <c r="F139" s="13">
        <f t="shared" si="28"/>
        <v>3</v>
      </c>
      <c r="G139" s="13">
        <f t="shared" si="28"/>
        <v>1</v>
      </c>
      <c r="H139" s="13">
        <f t="shared" si="28"/>
        <v>0</v>
      </c>
      <c r="I139" s="13">
        <f t="shared" si="28"/>
        <v>2</v>
      </c>
      <c r="J139" s="13">
        <f t="shared" si="28"/>
        <v>1</v>
      </c>
      <c r="K139" s="13">
        <f t="shared" si="28"/>
        <v>1</v>
      </c>
      <c r="L139" s="13">
        <f t="shared" si="28"/>
        <v>3</v>
      </c>
      <c r="M139" s="13">
        <f t="shared" si="28"/>
        <v>3</v>
      </c>
      <c r="N139" s="13">
        <f t="shared" si="28"/>
        <v>0</v>
      </c>
      <c r="O139" s="13">
        <f t="shared" si="28"/>
        <v>8</v>
      </c>
      <c r="P139" s="13">
        <f t="shared" si="28"/>
        <v>1</v>
      </c>
      <c r="Q139" s="13">
        <f t="shared" si="28"/>
        <v>9</v>
      </c>
      <c r="R139" s="13">
        <f t="shared" si="28"/>
        <v>0</v>
      </c>
      <c r="S139" s="13">
        <f t="shared" si="28"/>
        <v>2</v>
      </c>
      <c r="T139" s="13">
        <f t="shared" si="28"/>
        <v>37</v>
      </c>
    </row>
    <row r="140" spans="1:20" ht="12.75" customHeight="1" x14ac:dyDescent="0.3">
      <c r="A140" s="61"/>
      <c r="B140" s="60"/>
      <c r="C140" s="60"/>
      <c r="D140" s="60"/>
      <c r="E140" s="58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</row>
    <row r="141" spans="1:20" ht="12.75" customHeight="1" x14ac:dyDescent="0.3">
      <c r="A141" s="20" t="s">
        <v>37</v>
      </c>
      <c r="B141" s="27" t="s">
        <v>113</v>
      </c>
      <c r="C141" s="57" t="s">
        <v>114</v>
      </c>
      <c r="D141" s="58"/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1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3">
        <f t="shared" ref="T141:T150" si="29">SUM(E141:S141)</f>
        <v>1</v>
      </c>
    </row>
    <row r="142" spans="1:20" ht="12.75" customHeight="1" x14ac:dyDescent="0.3">
      <c r="A142" s="20" t="s">
        <v>39</v>
      </c>
      <c r="B142" s="28"/>
      <c r="C142" s="29" t="s">
        <v>115</v>
      </c>
      <c r="D142" s="30"/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1</v>
      </c>
      <c r="L142" s="16">
        <v>0</v>
      </c>
      <c r="M142" s="16">
        <v>1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3">
        <f t="shared" si="29"/>
        <v>2</v>
      </c>
    </row>
    <row r="143" spans="1:20" ht="12.75" customHeight="1" x14ac:dyDescent="0.3">
      <c r="A143" s="15"/>
      <c r="B143" s="28"/>
      <c r="C143" s="29" t="s">
        <v>116</v>
      </c>
      <c r="D143" s="30"/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3">
        <f t="shared" si="29"/>
        <v>0</v>
      </c>
    </row>
    <row r="144" spans="1:20" ht="12.75" customHeight="1" x14ac:dyDescent="0.3">
      <c r="A144" s="15"/>
      <c r="B144" s="28"/>
      <c r="C144" s="29" t="s">
        <v>117</v>
      </c>
      <c r="D144" s="30"/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3">
        <f t="shared" si="29"/>
        <v>0</v>
      </c>
    </row>
    <row r="145" spans="1:20" ht="12.75" customHeight="1" x14ac:dyDescent="0.3">
      <c r="A145" s="15"/>
      <c r="B145" s="36"/>
      <c r="C145" s="37"/>
      <c r="D145" s="40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3">
        <f t="shared" si="29"/>
        <v>0</v>
      </c>
    </row>
    <row r="146" spans="1:20" ht="12.75" customHeight="1" x14ac:dyDescent="0.3">
      <c r="A146" s="15"/>
      <c r="B146" s="36"/>
      <c r="C146" s="37"/>
      <c r="D146" s="40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3">
        <f t="shared" si="29"/>
        <v>0</v>
      </c>
    </row>
    <row r="147" spans="1:20" ht="12.75" customHeight="1" x14ac:dyDescent="0.3">
      <c r="A147" s="15"/>
      <c r="B147" s="36"/>
      <c r="C147" s="37"/>
      <c r="D147" s="40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3">
        <f t="shared" si="29"/>
        <v>0</v>
      </c>
    </row>
    <row r="148" spans="1:20" ht="12.75" customHeight="1" x14ac:dyDescent="0.3">
      <c r="A148" s="15"/>
      <c r="B148" s="36"/>
      <c r="C148" s="37"/>
      <c r="D148" s="38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3">
        <f t="shared" si="29"/>
        <v>0</v>
      </c>
    </row>
    <row r="149" spans="1:20" ht="12.75" customHeight="1" x14ac:dyDescent="0.3">
      <c r="A149" s="15"/>
      <c r="B149" s="36"/>
      <c r="C149" s="37"/>
      <c r="D149" s="38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3">
        <f t="shared" si="29"/>
        <v>0</v>
      </c>
    </row>
    <row r="150" spans="1:20" ht="12.75" customHeight="1" x14ac:dyDescent="0.3">
      <c r="A150" s="15"/>
      <c r="B150" s="36"/>
      <c r="C150" s="37"/>
      <c r="D150" s="38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3">
        <f t="shared" si="29"/>
        <v>0</v>
      </c>
    </row>
    <row r="151" spans="1:20" ht="12.75" customHeight="1" x14ac:dyDescent="0.3">
      <c r="A151" s="16" t="s">
        <v>15</v>
      </c>
      <c r="B151" s="59" t="s">
        <v>49</v>
      </c>
      <c r="C151" s="60"/>
      <c r="D151" s="58"/>
      <c r="E151" s="13">
        <f t="shared" ref="E151:T151" si="30">SUM(E141:E150)</f>
        <v>0</v>
      </c>
      <c r="F151" s="13">
        <f t="shared" si="30"/>
        <v>0</v>
      </c>
      <c r="G151" s="13">
        <f t="shared" si="30"/>
        <v>0</v>
      </c>
      <c r="H151" s="13">
        <f t="shared" si="30"/>
        <v>0</v>
      </c>
      <c r="I151" s="13">
        <f t="shared" si="30"/>
        <v>0</v>
      </c>
      <c r="J151" s="13">
        <f t="shared" si="30"/>
        <v>1</v>
      </c>
      <c r="K151" s="13">
        <f t="shared" si="30"/>
        <v>1</v>
      </c>
      <c r="L151" s="13">
        <f t="shared" si="30"/>
        <v>0</v>
      </c>
      <c r="M151" s="13">
        <f t="shared" si="30"/>
        <v>1</v>
      </c>
      <c r="N151" s="13">
        <f t="shared" si="30"/>
        <v>0</v>
      </c>
      <c r="O151" s="13">
        <f t="shared" si="30"/>
        <v>0</v>
      </c>
      <c r="P151" s="13">
        <f t="shared" si="30"/>
        <v>0</v>
      </c>
      <c r="Q151" s="13">
        <f t="shared" si="30"/>
        <v>0</v>
      </c>
      <c r="R151" s="13">
        <f t="shared" si="30"/>
        <v>0</v>
      </c>
      <c r="S151" s="13">
        <f t="shared" si="30"/>
        <v>0</v>
      </c>
      <c r="T151" s="13">
        <f t="shared" si="30"/>
        <v>3</v>
      </c>
    </row>
    <row r="152" spans="1:20" ht="12.75" customHeight="1" x14ac:dyDescent="0.3">
      <c r="A152" s="61"/>
      <c r="B152" s="60"/>
      <c r="C152" s="60"/>
      <c r="D152" s="60"/>
      <c r="E152" s="58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13"/>
    </row>
    <row r="153" spans="1:20" ht="12.75" customHeight="1" x14ac:dyDescent="0.3">
      <c r="A153" s="20" t="s">
        <v>37</v>
      </c>
      <c r="B153" s="14" t="s">
        <v>118</v>
      </c>
      <c r="C153" s="62" t="s">
        <v>119</v>
      </c>
      <c r="D153" s="63"/>
      <c r="E153" s="16">
        <v>1</v>
      </c>
      <c r="F153" s="16">
        <v>0</v>
      </c>
      <c r="G153" s="16">
        <v>1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1</v>
      </c>
      <c r="P153" s="16">
        <v>0</v>
      </c>
      <c r="Q153" s="16">
        <v>0</v>
      </c>
      <c r="R153" s="16">
        <v>0</v>
      </c>
      <c r="S153" s="16">
        <v>1</v>
      </c>
      <c r="T153" s="13">
        <f t="shared" ref="T153:T156" si="31">SUM(E154:S154)</f>
        <v>8</v>
      </c>
    </row>
    <row r="154" spans="1:20" ht="12.75" customHeight="1" x14ac:dyDescent="0.3">
      <c r="A154" s="42" t="s">
        <v>39</v>
      </c>
      <c r="B154" s="28"/>
      <c r="C154" s="29" t="s">
        <v>120</v>
      </c>
      <c r="D154" s="30"/>
      <c r="E154" s="53">
        <v>0</v>
      </c>
      <c r="F154" s="16">
        <v>0</v>
      </c>
      <c r="G154" s="16">
        <v>0</v>
      </c>
      <c r="H154" s="16">
        <v>7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1</v>
      </c>
      <c r="R154" s="16">
        <v>0</v>
      </c>
      <c r="S154" s="16">
        <v>0</v>
      </c>
      <c r="T154" s="13">
        <f t="shared" si="31"/>
        <v>2</v>
      </c>
    </row>
    <row r="155" spans="1:20" ht="12.75" customHeight="1" x14ac:dyDescent="0.3">
      <c r="A155" s="15"/>
      <c r="B155" s="28"/>
      <c r="C155" s="29" t="s">
        <v>121</v>
      </c>
      <c r="D155" s="30"/>
      <c r="E155" s="53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1</v>
      </c>
      <c r="O155" s="16">
        <v>0</v>
      </c>
      <c r="P155" s="16">
        <v>0</v>
      </c>
      <c r="Q155" s="16">
        <v>0</v>
      </c>
      <c r="R155" s="16">
        <v>1</v>
      </c>
      <c r="S155" s="16">
        <v>0</v>
      </c>
      <c r="T155" s="13">
        <f t="shared" si="31"/>
        <v>0</v>
      </c>
    </row>
    <row r="156" spans="1:20" ht="12.75" customHeight="1" x14ac:dyDescent="0.3">
      <c r="A156" s="15"/>
      <c r="B156" s="28"/>
      <c r="C156" s="29" t="s">
        <v>122</v>
      </c>
      <c r="D156" s="30"/>
      <c r="E156" s="53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3">
        <f t="shared" si="31"/>
        <v>0</v>
      </c>
    </row>
    <row r="157" spans="1:20" ht="12.75" customHeight="1" x14ac:dyDescent="0.3">
      <c r="A157" s="15"/>
      <c r="B157" s="28"/>
      <c r="C157" s="29" t="s">
        <v>123</v>
      </c>
      <c r="D157" s="30"/>
      <c r="E157" s="53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3">
        <f t="shared" ref="T157:T162" si="32">SUM(E163:S163)</f>
        <v>16</v>
      </c>
    </row>
    <row r="158" spans="1:20" ht="12.75" customHeight="1" x14ac:dyDescent="0.3">
      <c r="A158" s="15"/>
      <c r="B158" s="28"/>
      <c r="C158" s="29" t="s">
        <v>124</v>
      </c>
      <c r="D158" s="30"/>
      <c r="E158" s="53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3">
        <f t="shared" si="32"/>
        <v>0</v>
      </c>
    </row>
    <row r="159" spans="1:20" ht="12.75" customHeight="1" x14ac:dyDescent="0.3">
      <c r="A159" s="15"/>
      <c r="B159" s="28"/>
      <c r="C159" s="29" t="s">
        <v>125</v>
      </c>
      <c r="D159" s="30"/>
      <c r="E159" s="53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1</v>
      </c>
      <c r="R159" s="16">
        <v>0</v>
      </c>
      <c r="S159" s="16">
        <v>1</v>
      </c>
      <c r="T159" s="13">
        <f t="shared" si="32"/>
        <v>2</v>
      </c>
    </row>
    <row r="160" spans="1:20" ht="12.75" customHeight="1" x14ac:dyDescent="0.3">
      <c r="A160" s="15"/>
      <c r="B160" s="28"/>
      <c r="C160" s="29" t="s">
        <v>126</v>
      </c>
      <c r="D160" s="30"/>
      <c r="E160" s="53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3">
        <f t="shared" si="32"/>
        <v>3</v>
      </c>
    </row>
    <row r="161" spans="1:20" ht="12.75" customHeight="1" x14ac:dyDescent="0.3">
      <c r="A161" s="15"/>
      <c r="B161" s="36"/>
      <c r="C161" s="43"/>
      <c r="D161" s="38"/>
      <c r="E161" s="53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3">
        <f t="shared" si="32"/>
        <v>0</v>
      </c>
    </row>
    <row r="162" spans="1:20" ht="12.75" customHeight="1" x14ac:dyDescent="0.3">
      <c r="A162" s="15"/>
      <c r="B162" s="36"/>
      <c r="C162" s="43"/>
      <c r="D162" s="38"/>
      <c r="E162" s="53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3">
        <f t="shared" si="32"/>
        <v>0</v>
      </c>
    </row>
    <row r="163" spans="1:20" ht="12.75" customHeight="1" x14ac:dyDescent="0.3">
      <c r="A163" s="16" t="s">
        <v>15</v>
      </c>
      <c r="B163" s="64" t="s">
        <v>49</v>
      </c>
      <c r="C163" s="56"/>
      <c r="D163" s="65"/>
      <c r="E163" s="13">
        <f t="shared" ref="E163:T163" si="33">SUM(E153:E162)</f>
        <v>1</v>
      </c>
      <c r="F163" s="13">
        <f t="shared" si="33"/>
        <v>0</v>
      </c>
      <c r="G163" s="13">
        <f t="shared" si="33"/>
        <v>1</v>
      </c>
      <c r="H163" s="13">
        <f t="shared" si="33"/>
        <v>7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1</v>
      </c>
      <c r="O163" s="13">
        <f t="shared" si="33"/>
        <v>1</v>
      </c>
      <c r="P163" s="13">
        <f t="shared" si="33"/>
        <v>0</v>
      </c>
      <c r="Q163" s="13">
        <f t="shared" si="33"/>
        <v>2</v>
      </c>
      <c r="R163" s="13">
        <f t="shared" si="33"/>
        <v>1</v>
      </c>
      <c r="S163" s="13">
        <f t="shared" si="33"/>
        <v>2</v>
      </c>
      <c r="T163" s="13">
        <f t="shared" si="33"/>
        <v>31</v>
      </c>
    </row>
    <row r="164" spans="1:20" ht="12.75" customHeight="1" x14ac:dyDescent="0.3">
      <c r="A164" s="61"/>
      <c r="B164" s="60"/>
      <c r="C164" s="60"/>
      <c r="D164" s="60"/>
      <c r="E164" s="58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</row>
    <row r="165" spans="1:20" ht="12.75" customHeight="1" x14ac:dyDescent="0.3">
      <c r="A165" s="20" t="s">
        <v>37</v>
      </c>
      <c r="B165" s="27" t="s">
        <v>127</v>
      </c>
      <c r="C165" s="57" t="s">
        <v>128</v>
      </c>
      <c r="D165" s="58"/>
      <c r="E165" s="16">
        <v>2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3">
        <f t="shared" ref="T165:T174" si="34">SUM(E165:S165)</f>
        <v>2</v>
      </c>
    </row>
    <row r="166" spans="1:20" ht="12.75" customHeight="1" x14ac:dyDescent="0.3">
      <c r="A166" s="20" t="s">
        <v>39</v>
      </c>
      <c r="B166" s="28"/>
      <c r="C166" s="29" t="s">
        <v>129</v>
      </c>
      <c r="D166" s="30"/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1</v>
      </c>
      <c r="K166" s="16">
        <v>2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3">
        <f t="shared" si="34"/>
        <v>3</v>
      </c>
    </row>
    <row r="167" spans="1:20" ht="12.75" customHeight="1" x14ac:dyDescent="0.3">
      <c r="A167" s="15"/>
      <c r="B167" s="36"/>
      <c r="C167" s="37"/>
      <c r="D167" s="38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3">
        <f t="shared" si="34"/>
        <v>0</v>
      </c>
    </row>
    <row r="168" spans="1:20" ht="12.75" customHeight="1" x14ac:dyDescent="0.3">
      <c r="A168" s="15"/>
      <c r="B168" s="36"/>
      <c r="C168" s="37"/>
      <c r="D168" s="38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3">
        <f t="shared" si="34"/>
        <v>0</v>
      </c>
    </row>
    <row r="169" spans="1:20" ht="12.75" customHeight="1" x14ac:dyDescent="0.3">
      <c r="A169" s="15"/>
      <c r="B169" s="36"/>
      <c r="C169" s="37"/>
      <c r="D169" s="38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3">
        <f t="shared" si="34"/>
        <v>0</v>
      </c>
    </row>
    <row r="170" spans="1:20" ht="12.75" customHeight="1" x14ac:dyDescent="0.3">
      <c r="A170" s="15"/>
      <c r="B170" s="36"/>
      <c r="C170" s="37"/>
      <c r="D170" s="38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3">
        <f t="shared" si="34"/>
        <v>0</v>
      </c>
    </row>
    <row r="171" spans="1:20" ht="12.75" customHeight="1" x14ac:dyDescent="0.3">
      <c r="A171" s="15"/>
      <c r="B171" s="36"/>
      <c r="C171" s="37"/>
      <c r="D171" s="38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3">
        <f t="shared" si="34"/>
        <v>0</v>
      </c>
    </row>
    <row r="172" spans="1:20" ht="12.75" customHeight="1" x14ac:dyDescent="0.3">
      <c r="A172" s="15"/>
      <c r="B172" s="36"/>
      <c r="C172" s="37"/>
      <c r="D172" s="38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3">
        <f t="shared" si="34"/>
        <v>0</v>
      </c>
    </row>
    <row r="173" spans="1:20" ht="12.75" customHeight="1" x14ac:dyDescent="0.3">
      <c r="A173" s="15"/>
      <c r="B173" s="36"/>
      <c r="C173" s="37"/>
      <c r="D173" s="38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3">
        <f t="shared" si="34"/>
        <v>0</v>
      </c>
    </row>
    <row r="174" spans="1:20" ht="12.75" customHeight="1" x14ac:dyDescent="0.3">
      <c r="A174" s="15"/>
      <c r="B174" s="36"/>
      <c r="C174" s="37"/>
      <c r="D174" s="38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3">
        <f t="shared" si="34"/>
        <v>0</v>
      </c>
    </row>
    <row r="175" spans="1:20" ht="12.75" customHeight="1" x14ac:dyDescent="0.3">
      <c r="A175" s="16" t="s">
        <v>15</v>
      </c>
      <c r="B175" s="59" t="s">
        <v>49</v>
      </c>
      <c r="C175" s="60"/>
      <c r="D175" s="58"/>
      <c r="E175" s="13">
        <f t="shared" ref="E175:T175" si="35">SUM(E165:E174)</f>
        <v>2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1</v>
      </c>
      <c r="K175" s="13">
        <f t="shared" si="35"/>
        <v>2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5</v>
      </c>
    </row>
    <row r="176" spans="1:20" ht="12.75" customHeight="1" x14ac:dyDescent="0.3">
      <c r="A176" s="61"/>
      <c r="B176" s="60"/>
      <c r="C176" s="60"/>
      <c r="D176" s="60"/>
      <c r="E176" s="58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</row>
    <row r="177" spans="1:20" ht="12.75" customHeight="1" x14ac:dyDescent="0.3">
      <c r="A177" s="20" t="s">
        <v>37</v>
      </c>
      <c r="B177" s="27" t="s">
        <v>130</v>
      </c>
      <c r="C177" s="57" t="s">
        <v>131</v>
      </c>
      <c r="D177" s="58"/>
      <c r="E177" s="16">
        <v>4</v>
      </c>
      <c r="F177" s="16">
        <v>1</v>
      </c>
      <c r="G177" s="16">
        <v>0</v>
      </c>
      <c r="H177" s="16">
        <v>0</v>
      </c>
      <c r="I177" s="16">
        <v>0</v>
      </c>
      <c r="J177" s="16">
        <v>1</v>
      </c>
      <c r="K177" s="16">
        <v>0</v>
      </c>
      <c r="L177" s="16">
        <v>0</v>
      </c>
      <c r="M177" s="16">
        <v>1</v>
      </c>
      <c r="N177" s="16">
        <v>0</v>
      </c>
      <c r="O177" s="16">
        <v>0</v>
      </c>
      <c r="P177" s="16">
        <v>0</v>
      </c>
      <c r="Q177" s="16">
        <v>1</v>
      </c>
      <c r="R177" s="16">
        <v>0</v>
      </c>
      <c r="S177" s="16">
        <v>0</v>
      </c>
      <c r="T177" s="13">
        <f t="shared" ref="T177:T186" si="36">SUM(E177:S177)</f>
        <v>8</v>
      </c>
    </row>
    <row r="178" spans="1:20" ht="12.75" customHeight="1" x14ac:dyDescent="0.3">
      <c r="A178" s="20" t="s">
        <v>39</v>
      </c>
      <c r="B178" s="28"/>
      <c r="C178" s="29" t="s">
        <v>132</v>
      </c>
      <c r="D178" s="30"/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1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2</v>
      </c>
      <c r="R178" s="16">
        <v>0</v>
      </c>
      <c r="S178" s="16">
        <v>0</v>
      </c>
      <c r="T178" s="13">
        <f t="shared" si="36"/>
        <v>3</v>
      </c>
    </row>
    <row r="179" spans="1:20" ht="12.75" customHeight="1" x14ac:dyDescent="0.3">
      <c r="A179" s="15"/>
      <c r="B179" s="28"/>
      <c r="C179" s="29" t="s">
        <v>133</v>
      </c>
      <c r="D179" s="30"/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1</v>
      </c>
      <c r="N179" s="16">
        <v>0</v>
      </c>
      <c r="O179" s="16">
        <v>0</v>
      </c>
      <c r="P179" s="16">
        <v>0</v>
      </c>
      <c r="Q179" s="16">
        <v>0</v>
      </c>
      <c r="R179" s="16">
        <v>1</v>
      </c>
      <c r="S179" s="16">
        <v>0</v>
      </c>
      <c r="T179" s="13">
        <f t="shared" si="36"/>
        <v>2</v>
      </c>
    </row>
    <row r="180" spans="1:20" ht="12.75" customHeight="1" x14ac:dyDescent="0.3">
      <c r="A180" s="15"/>
      <c r="B180" s="28"/>
      <c r="C180" s="29" t="s">
        <v>134</v>
      </c>
      <c r="D180" s="30"/>
      <c r="E180" s="16">
        <v>2</v>
      </c>
      <c r="F180" s="16">
        <v>7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3">
        <f t="shared" si="36"/>
        <v>9</v>
      </c>
    </row>
    <row r="181" spans="1:20" ht="12.75" customHeight="1" x14ac:dyDescent="0.3">
      <c r="A181" s="15"/>
      <c r="B181" s="28"/>
      <c r="C181" s="29" t="s">
        <v>135</v>
      </c>
      <c r="D181" s="30"/>
      <c r="E181" s="16">
        <v>0</v>
      </c>
      <c r="F181" s="16">
        <v>1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1</v>
      </c>
      <c r="R181" s="16">
        <v>0</v>
      </c>
      <c r="S181" s="16">
        <v>0</v>
      </c>
      <c r="T181" s="13">
        <f t="shared" si="36"/>
        <v>2</v>
      </c>
    </row>
    <row r="182" spans="1:20" ht="12.75" customHeight="1" x14ac:dyDescent="0.3">
      <c r="A182" s="15"/>
      <c r="B182" s="28"/>
      <c r="C182" s="29" t="s">
        <v>136</v>
      </c>
      <c r="D182" s="30"/>
      <c r="E182" s="16">
        <v>1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1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1</v>
      </c>
      <c r="R182" s="16">
        <v>0</v>
      </c>
      <c r="S182" s="16">
        <v>0</v>
      </c>
      <c r="T182" s="13">
        <f t="shared" si="36"/>
        <v>3</v>
      </c>
    </row>
    <row r="183" spans="1:20" ht="12.75" customHeight="1" x14ac:dyDescent="0.3">
      <c r="A183" s="15"/>
      <c r="B183" s="28"/>
      <c r="C183" s="29" t="s">
        <v>137</v>
      </c>
      <c r="D183" s="30"/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1</v>
      </c>
      <c r="S183" s="16">
        <v>0</v>
      </c>
      <c r="T183" s="13">
        <f t="shared" si="36"/>
        <v>1</v>
      </c>
    </row>
    <row r="184" spans="1:20" ht="12.75" customHeight="1" x14ac:dyDescent="0.3">
      <c r="A184" s="15"/>
      <c r="B184" s="28"/>
      <c r="C184" s="29" t="s">
        <v>138</v>
      </c>
      <c r="D184" s="30"/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3">
        <f t="shared" si="36"/>
        <v>0</v>
      </c>
    </row>
    <row r="185" spans="1:20" ht="12.75" customHeight="1" x14ac:dyDescent="0.3">
      <c r="A185" s="15"/>
      <c r="B185" s="28"/>
      <c r="C185" s="29" t="s">
        <v>139</v>
      </c>
      <c r="D185" s="30"/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3">
        <f t="shared" si="36"/>
        <v>0</v>
      </c>
    </row>
    <row r="186" spans="1:20" ht="12.75" customHeight="1" x14ac:dyDescent="0.3">
      <c r="A186" s="15"/>
      <c r="B186" s="28"/>
      <c r="C186" s="29" t="s">
        <v>140</v>
      </c>
      <c r="D186" s="30"/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3">
        <f t="shared" si="36"/>
        <v>0</v>
      </c>
    </row>
    <row r="187" spans="1:20" ht="12.75" customHeight="1" x14ac:dyDescent="0.3">
      <c r="A187" s="16" t="s">
        <v>15</v>
      </c>
      <c r="B187" s="59" t="s">
        <v>49</v>
      </c>
      <c r="C187" s="60"/>
      <c r="D187" s="58"/>
      <c r="E187" s="13">
        <f t="shared" ref="E187:T187" si="37">SUM(E177:E186)</f>
        <v>7</v>
      </c>
      <c r="F187" s="13">
        <f t="shared" si="37"/>
        <v>9</v>
      </c>
      <c r="G187" s="13">
        <f t="shared" si="37"/>
        <v>0</v>
      </c>
      <c r="H187" s="13">
        <f t="shared" si="37"/>
        <v>0</v>
      </c>
      <c r="I187" s="13">
        <f t="shared" si="37"/>
        <v>0</v>
      </c>
      <c r="J187" s="13">
        <f t="shared" si="37"/>
        <v>1</v>
      </c>
      <c r="K187" s="13">
        <f t="shared" si="37"/>
        <v>2</v>
      </c>
      <c r="L187" s="13">
        <f t="shared" si="37"/>
        <v>0</v>
      </c>
      <c r="M187" s="13">
        <f t="shared" si="37"/>
        <v>2</v>
      </c>
      <c r="N187" s="13">
        <f t="shared" si="37"/>
        <v>0</v>
      </c>
      <c r="O187" s="13">
        <f t="shared" si="37"/>
        <v>0</v>
      </c>
      <c r="P187" s="13">
        <f t="shared" si="37"/>
        <v>0</v>
      </c>
      <c r="Q187" s="13">
        <f t="shared" si="37"/>
        <v>5</v>
      </c>
      <c r="R187" s="13">
        <f t="shared" si="37"/>
        <v>2</v>
      </c>
      <c r="S187" s="13">
        <f t="shared" si="37"/>
        <v>0</v>
      </c>
      <c r="T187" s="13">
        <f t="shared" si="37"/>
        <v>28</v>
      </c>
    </row>
    <row r="188" spans="1:20" ht="12.75" customHeight="1" x14ac:dyDescent="0.3">
      <c r="A188" s="61"/>
      <c r="B188" s="60"/>
      <c r="C188" s="60"/>
      <c r="D188" s="60"/>
      <c r="E188" s="58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13"/>
    </row>
    <row r="189" spans="1:20" ht="12.75" customHeight="1" x14ac:dyDescent="0.3">
      <c r="A189" s="20" t="s">
        <v>37</v>
      </c>
      <c r="B189" s="27" t="s">
        <v>141</v>
      </c>
      <c r="C189" s="57" t="s">
        <v>142</v>
      </c>
      <c r="D189" s="58"/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3">
        <f t="shared" ref="T189:T198" si="38">SUM(E189:S189)</f>
        <v>0</v>
      </c>
    </row>
    <row r="190" spans="1:20" ht="12.75" customHeight="1" x14ac:dyDescent="0.3">
      <c r="A190" s="20" t="s">
        <v>39</v>
      </c>
      <c r="B190" s="28"/>
      <c r="C190" s="29" t="s">
        <v>143</v>
      </c>
      <c r="D190" s="30"/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1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3">
        <f t="shared" si="38"/>
        <v>1</v>
      </c>
    </row>
    <row r="191" spans="1:20" ht="12.75" customHeight="1" x14ac:dyDescent="0.3">
      <c r="A191" s="15"/>
      <c r="B191" s="28"/>
      <c r="C191" s="29" t="s">
        <v>144</v>
      </c>
      <c r="D191" s="30"/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2</v>
      </c>
      <c r="L191" s="16">
        <v>1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3">
        <f t="shared" si="38"/>
        <v>3</v>
      </c>
    </row>
    <row r="192" spans="1:20" ht="12.75" customHeight="1" x14ac:dyDescent="0.3">
      <c r="A192" s="15"/>
      <c r="B192" s="28"/>
      <c r="C192" s="29" t="s">
        <v>145</v>
      </c>
      <c r="D192" s="30"/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3">
        <f t="shared" si="38"/>
        <v>0</v>
      </c>
    </row>
    <row r="193" spans="1:20" ht="12.75" customHeight="1" x14ac:dyDescent="0.3">
      <c r="A193" s="15"/>
      <c r="B193" s="28"/>
      <c r="C193" s="29" t="s">
        <v>146</v>
      </c>
      <c r="D193" s="30"/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3">
        <f t="shared" si="38"/>
        <v>0</v>
      </c>
    </row>
    <row r="194" spans="1:20" ht="12.75" customHeight="1" x14ac:dyDescent="0.3">
      <c r="A194" s="15"/>
      <c r="B194" s="28"/>
      <c r="C194" s="29" t="s">
        <v>147</v>
      </c>
      <c r="D194" s="30"/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3">
        <f t="shared" si="38"/>
        <v>0</v>
      </c>
    </row>
    <row r="195" spans="1:20" ht="12.75" customHeight="1" x14ac:dyDescent="0.3">
      <c r="A195" s="15"/>
      <c r="B195" s="28"/>
      <c r="C195" s="29" t="s">
        <v>148</v>
      </c>
      <c r="D195" s="30"/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1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3">
        <f t="shared" si="38"/>
        <v>1</v>
      </c>
    </row>
    <row r="196" spans="1:20" ht="12.75" customHeight="1" x14ac:dyDescent="0.3">
      <c r="A196" s="15"/>
      <c r="B196" s="28"/>
      <c r="C196" s="29" t="s">
        <v>149</v>
      </c>
      <c r="D196" s="30"/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3">
        <f t="shared" si="38"/>
        <v>0</v>
      </c>
    </row>
    <row r="197" spans="1:20" ht="12.75" customHeight="1" x14ac:dyDescent="0.3">
      <c r="A197" s="15"/>
      <c r="B197" s="28"/>
      <c r="C197" s="29" t="s">
        <v>150</v>
      </c>
      <c r="D197" s="30"/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3">
        <f t="shared" si="38"/>
        <v>0</v>
      </c>
    </row>
    <row r="198" spans="1:20" ht="12.75" customHeight="1" x14ac:dyDescent="0.3">
      <c r="A198" s="15"/>
      <c r="B198" s="28"/>
      <c r="C198" s="29" t="s">
        <v>151</v>
      </c>
      <c r="D198" s="30"/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3">
        <f t="shared" si="38"/>
        <v>0</v>
      </c>
    </row>
    <row r="199" spans="1:20" ht="12.75" customHeight="1" x14ac:dyDescent="0.3">
      <c r="A199" s="16" t="s">
        <v>15</v>
      </c>
      <c r="B199" s="59" t="s">
        <v>49</v>
      </c>
      <c r="C199" s="60"/>
      <c r="D199" s="58"/>
      <c r="E199" s="13">
        <f t="shared" ref="E199:T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4</v>
      </c>
      <c r="L199" s="13">
        <f t="shared" si="39"/>
        <v>1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5</v>
      </c>
    </row>
    <row r="200" spans="1:20" ht="12.75" customHeight="1" x14ac:dyDescent="0.3">
      <c r="A200" s="61"/>
      <c r="B200" s="60"/>
      <c r="C200" s="60"/>
      <c r="D200" s="60"/>
      <c r="E200" s="58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</row>
    <row r="201" spans="1:20" ht="12.75" customHeight="1" x14ac:dyDescent="0.3">
      <c r="A201" s="20" t="s">
        <v>37</v>
      </c>
      <c r="B201" s="27" t="s">
        <v>152</v>
      </c>
      <c r="C201" s="57" t="s">
        <v>153</v>
      </c>
      <c r="D201" s="58"/>
      <c r="E201" s="16">
        <v>13</v>
      </c>
      <c r="F201" s="16">
        <v>12</v>
      </c>
      <c r="G201" s="16">
        <v>4</v>
      </c>
      <c r="H201" s="16">
        <v>9</v>
      </c>
      <c r="I201" s="16">
        <v>3</v>
      </c>
      <c r="J201" s="16">
        <v>5</v>
      </c>
      <c r="K201" s="16">
        <v>8</v>
      </c>
      <c r="L201" s="16">
        <v>20</v>
      </c>
      <c r="M201" s="16">
        <v>15</v>
      </c>
      <c r="N201" s="16">
        <v>14</v>
      </c>
      <c r="O201" s="16">
        <v>11</v>
      </c>
      <c r="P201" s="16">
        <v>13</v>
      </c>
      <c r="Q201" s="16">
        <v>19</v>
      </c>
      <c r="R201" s="16">
        <v>10</v>
      </c>
      <c r="S201" s="16">
        <v>20</v>
      </c>
      <c r="T201" s="13">
        <f t="shared" ref="T201:T210" si="40">SUM(E201:S201)</f>
        <v>176</v>
      </c>
    </row>
    <row r="202" spans="1:20" ht="12.75" customHeight="1" x14ac:dyDescent="0.3">
      <c r="A202" s="20" t="s">
        <v>39</v>
      </c>
      <c r="B202" s="28"/>
      <c r="C202" s="29" t="s">
        <v>154</v>
      </c>
      <c r="D202" s="30"/>
      <c r="E202" s="16">
        <v>4</v>
      </c>
      <c r="F202" s="16">
        <v>2</v>
      </c>
      <c r="G202" s="16">
        <v>4</v>
      </c>
      <c r="H202" s="16">
        <v>8</v>
      </c>
      <c r="I202" s="16">
        <v>3</v>
      </c>
      <c r="J202" s="16">
        <v>6</v>
      </c>
      <c r="K202" s="16">
        <v>21</v>
      </c>
      <c r="L202" s="16">
        <v>7</v>
      </c>
      <c r="M202" s="16">
        <v>7</v>
      </c>
      <c r="N202" s="16">
        <v>12</v>
      </c>
      <c r="O202" s="16">
        <v>17</v>
      </c>
      <c r="P202" s="16">
        <v>8</v>
      </c>
      <c r="Q202" s="16">
        <v>9</v>
      </c>
      <c r="R202" s="16">
        <v>3</v>
      </c>
      <c r="S202" s="16">
        <v>11</v>
      </c>
      <c r="T202" s="13">
        <f t="shared" si="40"/>
        <v>122</v>
      </c>
    </row>
    <row r="203" spans="1:20" ht="12.75" customHeight="1" x14ac:dyDescent="0.3">
      <c r="A203" s="15"/>
      <c r="B203" s="28"/>
      <c r="C203" s="29" t="s">
        <v>155</v>
      </c>
      <c r="D203" s="30"/>
      <c r="E203" s="16">
        <v>41</v>
      </c>
      <c r="F203" s="16">
        <v>33</v>
      </c>
      <c r="G203" s="16">
        <v>22</v>
      </c>
      <c r="H203" s="16">
        <v>11</v>
      </c>
      <c r="I203" s="16">
        <v>8</v>
      </c>
      <c r="J203" s="16">
        <v>14</v>
      </c>
      <c r="K203" s="16">
        <v>9</v>
      </c>
      <c r="L203" s="16">
        <v>16</v>
      </c>
      <c r="M203" s="16">
        <v>22</v>
      </c>
      <c r="N203" s="16">
        <v>28</v>
      </c>
      <c r="O203" s="16">
        <v>77</v>
      </c>
      <c r="P203" s="16">
        <v>47</v>
      </c>
      <c r="Q203" s="16">
        <v>69</v>
      </c>
      <c r="R203" s="16">
        <v>45</v>
      </c>
      <c r="S203" s="16">
        <v>96</v>
      </c>
      <c r="T203" s="13">
        <f t="shared" si="40"/>
        <v>538</v>
      </c>
    </row>
    <row r="204" spans="1:20" ht="12.75" customHeight="1" x14ac:dyDescent="0.3">
      <c r="A204" s="15"/>
      <c r="B204" s="28"/>
      <c r="C204" s="29" t="s">
        <v>156</v>
      </c>
      <c r="D204" s="30"/>
      <c r="E204" s="16">
        <v>0</v>
      </c>
      <c r="F204" s="16">
        <v>1</v>
      </c>
      <c r="G204" s="16">
        <v>0</v>
      </c>
      <c r="H204" s="16">
        <v>0</v>
      </c>
      <c r="I204" s="16">
        <v>0</v>
      </c>
      <c r="J204" s="16">
        <v>1</v>
      </c>
      <c r="K204" s="16">
        <v>0</v>
      </c>
      <c r="L204" s="16">
        <v>0</v>
      </c>
      <c r="M204" s="16">
        <v>0</v>
      </c>
      <c r="N204" s="16">
        <v>2</v>
      </c>
      <c r="O204" s="16">
        <v>1</v>
      </c>
      <c r="P204" s="16">
        <v>1</v>
      </c>
      <c r="Q204" s="16">
        <v>1</v>
      </c>
      <c r="R204" s="16">
        <v>0</v>
      </c>
      <c r="S204" s="16">
        <v>2</v>
      </c>
      <c r="T204" s="13">
        <f t="shared" si="40"/>
        <v>9</v>
      </c>
    </row>
    <row r="205" spans="1:20" ht="12.75" customHeight="1" x14ac:dyDescent="0.3">
      <c r="A205" s="15"/>
      <c r="B205" s="28"/>
      <c r="C205" s="29" t="s">
        <v>157</v>
      </c>
      <c r="D205" s="30"/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1</v>
      </c>
      <c r="N205" s="16">
        <v>2</v>
      </c>
      <c r="O205" s="16">
        <v>0</v>
      </c>
      <c r="P205" s="16">
        <v>0</v>
      </c>
      <c r="Q205" s="16">
        <v>0</v>
      </c>
      <c r="R205" s="16">
        <v>0</v>
      </c>
      <c r="S205" s="16">
        <v>1</v>
      </c>
      <c r="T205" s="13">
        <f t="shared" si="40"/>
        <v>4</v>
      </c>
    </row>
    <row r="206" spans="1:20" ht="12.75" customHeight="1" x14ac:dyDescent="0.3">
      <c r="A206" s="15"/>
      <c r="B206" s="28"/>
      <c r="C206" s="29" t="s">
        <v>158</v>
      </c>
      <c r="D206" s="30"/>
      <c r="E206" s="16">
        <v>1</v>
      </c>
      <c r="F206" s="16">
        <v>1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1</v>
      </c>
      <c r="M206" s="16">
        <v>0</v>
      </c>
      <c r="N206" s="16">
        <v>1</v>
      </c>
      <c r="O206" s="16">
        <v>0</v>
      </c>
      <c r="P206" s="16">
        <v>0</v>
      </c>
      <c r="Q206" s="16">
        <v>1</v>
      </c>
      <c r="R206" s="16">
        <v>0</v>
      </c>
      <c r="S206" s="16">
        <v>0</v>
      </c>
      <c r="T206" s="13">
        <f t="shared" si="40"/>
        <v>5</v>
      </c>
    </row>
    <row r="207" spans="1:20" ht="12.75" customHeight="1" x14ac:dyDescent="0.3">
      <c r="A207" s="15"/>
      <c r="B207" s="28"/>
      <c r="C207" s="29" t="s">
        <v>159</v>
      </c>
      <c r="D207" s="30"/>
      <c r="E207" s="16">
        <v>2</v>
      </c>
      <c r="F207" s="16">
        <v>1</v>
      </c>
      <c r="G207" s="16">
        <v>1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1</v>
      </c>
      <c r="N207" s="16">
        <v>1</v>
      </c>
      <c r="O207" s="16">
        <v>1</v>
      </c>
      <c r="P207" s="16">
        <v>1</v>
      </c>
      <c r="Q207" s="16">
        <v>1</v>
      </c>
      <c r="R207" s="16">
        <v>0</v>
      </c>
      <c r="S207" s="16">
        <v>1</v>
      </c>
      <c r="T207" s="13">
        <f t="shared" si="40"/>
        <v>10</v>
      </c>
    </row>
    <row r="208" spans="1:20" ht="12.75" customHeight="1" x14ac:dyDescent="0.3">
      <c r="A208" s="15"/>
      <c r="B208" s="28"/>
      <c r="C208" s="29" t="s">
        <v>160</v>
      </c>
      <c r="D208" s="30"/>
      <c r="E208" s="16">
        <v>0</v>
      </c>
      <c r="F208" s="16">
        <v>0</v>
      </c>
      <c r="G208" s="16">
        <v>1</v>
      </c>
      <c r="H208" s="16">
        <v>0</v>
      </c>
      <c r="I208" s="16">
        <v>1</v>
      </c>
      <c r="J208" s="16">
        <v>0</v>
      </c>
      <c r="K208" s="16">
        <v>0</v>
      </c>
      <c r="L208" s="16">
        <v>0</v>
      </c>
      <c r="M208" s="16">
        <v>2</v>
      </c>
      <c r="N208" s="16">
        <v>2</v>
      </c>
      <c r="O208" s="16">
        <v>1</v>
      </c>
      <c r="P208" s="16">
        <v>0</v>
      </c>
      <c r="Q208" s="16">
        <v>2</v>
      </c>
      <c r="R208" s="16">
        <v>1</v>
      </c>
      <c r="S208" s="16">
        <v>2</v>
      </c>
      <c r="T208" s="13">
        <f t="shared" si="40"/>
        <v>12</v>
      </c>
    </row>
    <row r="209" spans="1:20" ht="12.75" customHeight="1" x14ac:dyDescent="0.3">
      <c r="A209" s="15"/>
      <c r="B209" s="28"/>
      <c r="C209" s="29" t="s">
        <v>161</v>
      </c>
      <c r="D209" s="30"/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1</v>
      </c>
      <c r="T209" s="13">
        <f t="shared" si="40"/>
        <v>1</v>
      </c>
    </row>
    <row r="210" spans="1:20" ht="12.75" customHeight="1" x14ac:dyDescent="0.3">
      <c r="A210" s="15"/>
      <c r="B210" s="28"/>
      <c r="C210" s="29" t="s">
        <v>162</v>
      </c>
      <c r="D210" s="30"/>
      <c r="E210" s="16">
        <v>0</v>
      </c>
      <c r="F210" s="16">
        <v>0</v>
      </c>
      <c r="G210" s="16">
        <v>0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16">
        <v>0</v>
      </c>
      <c r="N210" s="16">
        <v>1</v>
      </c>
      <c r="O210" s="16">
        <v>0</v>
      </c>
      <c r="P210" s="16">
        <v>0</v>
      </c>
      <c r="Q210" s="16">
        <v>2</v>
      </c>
      <c r="R210" s="16">
        <v>1</v>
      </c>
      <c r="S210" s="16">
        <v>1</v>
      </c>
      <c r="T210" s="13">
        <f t="shared" si="40"/>
        <v>5</v>
      </c>
    </row>
    <row r="211" spans="1:20" ht="12.75" customHeight="1" x14ac:dyDescent="0.3">
      <c r="A211" s="16" t="s">
        <v>15</v>
      </c>
      <c r="B211" s="59" t="s">
        <v>49</v>
      </c>
      <c r="C211" s="60"/>
      <c r="D211" s="58"/>
      <c r="E211" s="13">
        <f t="shared" ref="E211:T211" si="41">SUM(E201:E210)</f>
        <v>61</v>
      </c>
      <c r="F211" s="13">
        <f t="shared" si="41"/>
        <v>50</v>
      </c>
      <c r="G211" s="13">
        <f t="shared" si="41"/>
        <v>32</v>
      </c>
      <c r="H211" s="13">
        <f t="shared" si="41"/>
        <v>28</v>
      </c>
      <c r="I211" s="13">
        <f t="shared" si="41"/>
        <v>15</v>
      </c>
      <c r="J211" s="13">
        <f t="shared" si="41"/>
        <v>26</v>
      </c>
      <c r="K211" s="13">
        <f t="shared" si="41"/>
        <v>38</v>
      </c>
      <c r="L211" s="13">
        <f t="shared" si="41"/>
        <v>44</v>
      </c>
      <c r="M211" s="13">
        <f t="shared" si="41"/>
        <v>48</v>
      </c>
      <c r="N211" s="13">
        <f t="shared" si="41"/>
        <v>63</v>
      </c>
      <c r="O211" s="13">
        <f t="shared" si="41"/>
        <v>108</v>
      </c>
      <c r="P211" s="13">
        <f t="shared" si="41"/>
        <v>70</v>
      </c>
      <c r="Q211" s="13">
        <f t="shared" si="41"/>
        <v>104</v>
      </c>
      <c r="R211" s="13">
        <f t="shared" si="41"/>
        <v>60</v>
      </c>
      <c r="S211" s="13">
        <f t="shared" si="41"/>
        <v>135</v>
      </c>
      <c r="T211" s="13">
        <f t="shared" si="41"/>
        <v>882</v>
      </c>
    </row>
    <row r="212" spans="1:20" ht="12.75" customHeight="1" x14ac:dyDescent="0.3">
      <c r="A212" s="61"/>
      <c r="B212" s="60"/>
      <c r="C212" s="60"/>
      <c r="D212" s="60"/>
      <c r="E212" s="58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</row>
    <row r="213" spans="1:20" ht="12.75" customHeight="1" x14ac:dyDescent="0.3">
      <c r="A213" s="20" t="s">
        <v>37</v>
      </c>
      <c r="B213" s="27" t="s">
        <v>163</v>
      </c>
      <c r="C213" s="57" t="s">
        <v>164</v>
      </c>
      <c r="D213" s="58"/>
      <c r="E213" s="16">
        <v>3</v>
      </c>
      <c r="F213" s="16">
        <v>3</v>
      </c>
      <c r="G213" s="16">
        <v>1</v>
      </c>
      <c r="H213" s="16">
        <v>3</v>
      </c>
      <c r="I213" s="16">
        <v>0</v>
      </c>
      <c r="J213" s="16">
        <v>1</v>
      </c>
      <c r="K213" s="16">
        <v>2</v>
      </c>
      <c r="L213" s="16">
        <v>3</v>
      </c>
      <c r="M213" s="16">
        <v>1</v>
      </c>
      <c r="N213" s="16">
        <v>0</v>
      </c>
      <c r="O213" s="16">
        <v>0</v>
      </c>
      <c r="P213" s="16">
        <v>2</v>
      </c>
      <c r="Q213" s="16">
        <v>3</v>
      </c>
      <c r="R213" s="16">
        <v>0</v>
      </c>
      <c r="S213" s="16">
        <v>0</v>
      </c>
      <c r="T213" s="13">
        <f t="shared" ref="T213:T222" si="42">SUM(E213:S213)</f>
        <v>22</v>
      </c>
    </row>
    <row r="214" spans="1:20" ht="12.75" customHeight="1" x14ac:dyDescent="0.3">
      <c r="A214" s="20" t="s">
        <v>39</v>
      </c>
      <c r="B214" s="28"/>
      <c r="C214" s="29" t="s">
        <v>165</v>
      </c>
      <c r="D214" s="30"/>
      <c r="E214" s="16">
        <v>0</v>
      </c>
      <c r="F214" s="16">
        <v>0</v>
      </c>
      <c r="G214" s="16">
        <v>1</v>
      </c>
      <c r="H214" s="16">
        <v>1</v>
      </c>
      <c r="I214" s="16">
        <v>1</v>
      </c>
      <c r="J214" s="16">
        <v>0</v>
      </c>
      <c r="K214" s="16">
        <v>0</v>
      </c>
      <c r="L214" s="16">
        <v>0</v>
      </c>
      <c r="M214" s="16">
        <v>0</v>
      </c>
      <c r="N214" s="16">
        <v>1</v>
      </c>
      <c r="O214" s="16">
        <v>0</v>
      </c>
      <c r="P214" s="16">
        <v>0</v>
      </c>
      <c r="Q214" s="16">
        <v>4</v>
      </c>
      <c r="R214" s="16">
        <v>0</v>
      </c>
      <c r="S214" s="16">
        <v>1</v>
      </c>
      <c r="T214" s="13">
        <f t="shared" si="42"/>
        <v>9</v>
      </c>
    </row>
    <row r="215" spans="1:20" ht="12.75" customHeight="1" x14ac:dyDescent="0.3">
      <c r="A215" s="15"/>
      <c r="B215" s="28"/>
      <c r="C215" s="29" t="s">
        <v>166</v>
      </c>
      <c r="D215" s="30"/>
      <c r="E215" s="16">
        <v>0</v>
      </c>
      <c r="F215" s="16">
        <v>1</v>
      </c>
      <c r="G215" s="16">
        <v>0</v>
      </c>
      <c r="H215" s="16">
        <v>1</v>
      </c>
      <c r="I215" s="16">
        <v>1</v>
      </c>
      <c r="J215" s="16">
        <v>0</v>
      </c>
      <c r="K215" s="16">
        <v>1</v>
      </c>
      <c r="L215" s="16">
        <v>0</v>
      </c>
      <c r="M215" s="16">
        <v>4</v>
      </c>
      <c r="N215" s="16">
        <v>0</v>
      </c>
      <c r="O215" s="16">
        <v>1</v>
      </c>
      <c r="P215" s="16">
        <v>1</v>
      </c>
      <c r="Q215" s="16">
        <v>3</v>
      </c>
      <c r="R215" s="16">
        <v>1</v>
      </c>
      <c r="S215" s="16">
        <v>0</v>
      </c>
      <c r="T215" s="13">
        <f t="shared" si="42"/>
        <v>14</v>
      </c>
    </row>
    <row r="216" spans="1:20" ht="12.75" customHeight="1" x14ac:dyDescent="0.3">
      <c r="A216" s="15"/>
      <c r="B216" s="28"/>
      <c r="C216" s="29" t="s">
        <v>167</v>
      </c>
      <c r="D216" s="30"/>
      <c r="E216" s="16">
        <v>0</v>
      </c>
      <c r="F216" s="16">
        <v>2</v>
      </c>
      <c r="G216" s="16">
        <v>0</v>
      </c>
      <c r="H216" s="16">
        <v>0</v>
      </c>
      <c r="I216" s="16">
        <v>1</v>
      </c>
      <c r="J216" s="16">
        <v>0</v>
      </c>
      <c r="K216" s="16">
        <v>0</v>
      </c>
      <c r="L216" s="16">
        <v>0</v>
      </c>
      <c r="M216" s="16">
        <v>0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3">
        <f t="shared" si="42"/>
        <v>3</v>
      </c>
    </row>
    <row r="217" spans="1:20" ht="12.75" customHeight="1" x14ac:dyDescent="0.3">
      <c r="A217" s="15"/>
      <c r="B217" s="36"/>
      <c r="C217" s="37"/>
      <c r="D217" s="40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3">
        <f t="shared" si="42"/>
        <v>0</v>
      </c>
    </row>
    <row r="218" spans="1:20" ht="12.75" customHeight="1" x14ac:dyDescent="0.3">
      <c r="A218" s="15"/>
      <c r="B218" s="36"/>
      <c r="C218" s="37"/>
      <c r="D218" s="40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3">
        <f t="shared" si="42"/>
        <v>0</v>
      </c>
    </row>
    <row r="219" spans="1:20" ht="12.75" customHeight="1" x14ac:dyDescent="0.3">
      <c r="A219" s="15"/>
      <c r="B219" s="36"/>
      <c r="C219" s="37"/>
      <c r="D219" s="40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3">
        <f t="shared" si="42"/>
        <v>0</v>
      </c>
    </row>
    <row r="220" spans="1:20" ht="12.75" customHeight="1" x14ac:dyDescent="0.3">
      <c r="A220" s="15"/>
      <c r="B220" s="36"/>
      <c r="C220" s="37"/>
      <c r="D220" s="40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3">
        <f t="shared" si="42"/>
        <v>0</v>
      </c>
    </row>
    <row r="221" spans="1:20" ht="12.75" customHeight="1" x14ac:dyDescent="0.3">
      <c r="A221" s="15"/>
      <c r="B221" s="36"/>
      <c r="C221" s="37"/>
      <c r="D221" s="40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3">
        <f t="shared" si="42"/>
        <v>0</v>
      </c>
    </row>
    <row r="222" spans="1:20" ht="12.75" customHeight="1" x14ac:dyDescent="0.3">
      <c r="A222" s="15"/>
      <c r="B222" s="36"/>
      <c r="C222" s="37"/>
      <c r="D222" s="40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3">
        <f t="shared" si="42"/>
        <v>0</v>
      </c>
    </row>
    <row r="223" spans="1:20" ht="12.75" customHeight="1" x14ac:dyDescent="0.3">
      <c r="A223" s="16" t="s">
        <v>15</v>
      </c>
      <c r="B223" s="59" t="s">
        <v>49</v>
      </c>
      <c r="C223" s="60"/>
      <c r="D223" s="58"/>
      <c r="E223" s="13">
        <f t="shared" ref="E223:T223" si="43">SUM(E213:E222)</f>
        <v>3</v>
      </c>
      <c r="F223" s="13">
        <f t="shared" si="43"/>
        <v>6</v>
      </c>
      <c r="G223" s="13">
        <f t="shared" si="43"/>
        <v>2</v>
      </c>
      <c r="H223" s="13">
        <f t="shared" si="43"/>
        <v>5</v>
      </c>
      <c r="I223" s="13">
        <f t="shared" si="43"/>
        <v>3</v>
      </c>
      <c r="J223" s="13">
        <f t="shared" si="43"/>
        <v>1</v>
      </c>
      <c r="K223" s="13">
        <f t="shared" si="43"/>
        <v>3</v>
      </c>
      <c r="L223" s="13">
        <f t="shared" si="43"/>
        <v>3</v>
      </c>
      <c r="M223" s="13">
        <f t="shared" si="43"/>
        <v>5</v>
      </c>
      <c r="N223" s="13">
        <f t="shared" si="43"/>
        <v>1</v>
      </c>
      <c r="O223" s="13">
        <f t="shared" si="43"/>
        <v>1</v>
      </c>
      <c r="P223" s="13">
        <f t="shared" si="43"/>
        <v>3</v>
      </c>
      <c r="Q223" s="13">
        <f t="shared" si="43"/>
        <v>10</v>
      </c>
      <c r="R223" s="13">
        <f t="shared" si="43"/>
        <v>1</v>
      </c>
      <c r="S223" s="13">
        <f t="shared" si="43"/>
        <v>1</v>
      </c>
      <c r="T223" s="13">
        <f t="shared" si="43"/>
        <v>48</v>
      </c>
    </row>
    <row r="224" spans="1:20" ht="12.75" customHeight="1" x14ac:dyDescent="0.3">
      <c r="A224" s="61"/>
      <c r="B224" s="60"/>
      <c r="C224" s="60"/>
      <c r="D224" s="60"/>
      <c r="E224" s="58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</row>
    <row r="225" spans="1:20" ht="12.75" customHeight="1" x14ac:dyDescent="0.3">
      <c r="A225" s="20" t="s">
        <v>37</v>
      </c>
      <c r="B225" s="27" t="s">
        <v>168</v>
      </c>
      <c r="C225" s="57" t="s">
        <v>169</v>
      </c>
      <c r="D225" s="58"/>
      <c r="E225" s="16">
        <v>0</v>
      </c>
      <c r="F225" s="16">
        <v>0</v>
      </c>
      <c r="G225" s="16">
        <v>0</v>
      </c>
      <c r="H225" s="16">
        <v>0</v>
      </c>
      <c r="I225" s="16">
        <v>0</v>
      </c>
      <c r="J225" s="16">
        <v>0</v>
      </c>
      <c r="K225" s="16">
        <v>0</v>
      </c>
      <c r="L225" s="16">
        <v>0</v>
      </c>
      <c r="M225" s="16">
        <v>0</v>
      </c>
      <c r="N225" s="16">
        <v>0</v>
      </c>
      <c r="O225" s="16">
        <v>0</v>
      </c>
      <c r="P225" s="16">
        <v>0</v>
      </c>
      <c r="Q225" s="16">
        <v>0</v>
      </c>
      <c r="R225" s="16">
        <v>0</v>
      </c>
      <c r="S225" s="16">
        <v>0</v>
      </c>
      <c r="T225" s="13">
        <f t="shared" ref="T225:T234" si="44">SUM(E225:S225)</f>
        <v>0</v>
      </c>
    </row>
    <row r="226" spans="1:20" ht="12.75" customHeight="1" x14ac:dyDescent="0.3">
      <c r="A226" s="20" t="s">
        <v>39</v>
      </c>
      <c r="B226" s="28"/>
      <c r="C226" s="29" t="s">
        <v>170</v>
      </c>
      <c r="D226" s="30"/>
      <c r="E226" s="16">
        <v>0</v>
      </c>
      <c r="F226" s="16">
        <v>0</v>
      </c>
      <c r="G226" s="16">
        <v>0</v>
      </c>
      <c r="H226" s="16">
        <v>1</v>
      </c>
      <c r="I226" s="16">
        <v>0</v>
      </c>
      <c r="J226" s="16">
        <v>3</v>
      </c>
      <c r="K226" s="16">
        <v>0</v>
      </c>
      <c r="L226" s="16">
        <v>0</v>
      </c>
      <c r="M226" s="16">
        <v>0</v>
      </c>
      <c r="N226" s="16">
        <v>0</v>
      </c>
      <c r="O226" s="16">
        <v>0</v>
      </c>
      <c r="P226" s="16">
        <v>0</v>
      </c>
      <c r="Q226" s="16">
        <v>0</v>
      </c>
      <c r="R226" s="16">
        <v>0</v>
      </c>
      <c r="S226" s="16">
        <v>0</v>
      </c>
      <c r="T226" s="13">
        <f t="shared" si="44"/>
        <v>4</v>
      </c>
    </row>
    <row r="227" spans="1:20" ht="12.75" customHeight="1" x14ac:dyDescent="0.3">
      <c r="A227" s="15"/>
      <c r="B227" s="28"/>
      <c r="C227" s="29" t="s">
        <v>171</v>
      </c>
      <c r="D227" s="30"/>
      <c r="E227" s="16">
        <v>0</v>
      </c>
      <c r="F227" s="16">
        <v>0</v>
      </c>
      <c r="G227" s="16">
        <v>0</v>
      </c>
      <c r="H227" s="16">
        <v>0</v>
      </c>
      <c r="I227" s="16">
        <v>0</v>
      </c>
      <c r="J227" s="16">
        <v>0</v>
      </c>
      <c r="K227" s="16">
        <v>0</v>
      </c>
      <c r="L227" s="16">
        <v>0</v>
      </c>
      <c r="M227" s="16">
        <v>0</v>
      </c>
      <c r="N227" s="16">
        <v>0</v>
      </c>
      <c r="O227" s="16">
        <v>0</v>
      </c>
      <c r="P227" s="16">
        <v>1</v>
      </c>
      <c r="Q227" s="16">
        <v>0</v>
      </c>
      <c r="R227" s="16">
        <v>0</v>
      </c>
      <c r="S227" s="16">
        <v>0</v>
      </c>
      <c r="T227" s="13">
        <f t="shared" si="44"/>
        <v>1</v>
      </c>
    </row>
    <row r="228" spans="1:20" ht="12.75" customHeight="1" x14ac:dyDescent="0.3">
      <c r="A228" s="15"/>
      <c r="B228" s="28"/>
      <c r="C228" s="29" t="s">
        <v>172</v>
      </c>
      <c r="D228" s="30"/>
      <c r="E228" s="16">
        <v>0</v>
      </c>
      <c r="F228" s="16">
        <v>0</v>
      </c>
      <c r="G228" s="16">
        <v>0</v>
      </c>
      <c r="H228" s="16">
        <v>0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N228" s="16">
        <v>0</v>
      </c>
      <c r="O228" s="16">
        <v>0</v>
      </c>
      <c r="P228" s="16">
        <v>0</v>
      </c>
      <c r="Q228" s="16">
        <v>0</v>
      </c>
      <c r="R228" s="16">
        <v>0</v>
      </c>
      <c r="S228" s="16">
        <v>0</v>
      </c>
      <c r="T228" s="13">
        <f t="shared" si="44"/>
        <v>0</v>
      </c>
    </row>
    <row r="229" spans="1:20" ht="12.75" customHeight="1" x14ac:dyDescent="0.3">
      <c r="A229" s="15"/>
      <c r="B229" s="28"/>
      <c r="C229" s="29" t="s">
        <v>173</v>
      </c>
      <c r="D229" s="30"/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0</v>
      </c>
      <c r="M229" s="16">
        <v>0</v>
      </c>
      <c r="N229" s="16">
        <v>0</v>
      </c>
      <c r="O229" s="16">
        <v>0</v>
      </c>
      <c r="P229" s="16">
        <v>0</v>
      </c>
      <c r="Q229" s="16">
        <v>0</v>
      </c>
      <c r="R229" s="16">
        <v>0</v>
      </c>
      <c r="S229" s="16">
        <v>0</v>
      </c>
      <c r="T229" s="13">
        <f t="shared" si="44"/>
        <v>0</v>
      </c>
    </row>
    <row r="230" spans="1:20" ht="12.75" customHeight="1" x14ac:dyDescent="0.3">
      <c r="A230" s="15"/>
      <c r="B230" s="36"/>
      <c r="C230" s="37"/>
      <c r="D230" s="40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3">
        <f t="shared" si="44"/>
        <v>0</v>
      </c>
    </row>
    <row r="231" spans="1:20" ht="12.75" customHeight="1" x14ac:dyDescent="0.3">
      <c r="A231" s="15"/>
      <c r="B231" s="36"/>
      <c r="C231" s="37"/>
      <c r="D231" s="40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3">
        <f t="shared" si="44"/>
        <v>0</v>
      </c>
    </row>
    <row r="232" spans="1:20" ht="12.75" customHeight="1" x14ac:dyDescent="0.3">
      <c r="A232" s="15"/>
      <c r="B232" s="36"/>
      <c r="C232" s="37"/>
      <c r="D232" s="38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3">
        <f t="shared" si="44"/>
        <v>0</v>
      </c>
    </row>
    <row r="233" spans="1:20" ht="12.75" customHeight="1" x14ac:dyDescent="0.3">
      <c r="A233" s="15"/>
      <c r="B233" s="36"/>
      <c r="C233" s="37"/>
      <c r="D233" s="38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3">
        <f t="shared" si="44"/>
        <v>0</v>
      </c>
    </row>
    <row r="234" spans="1:20" ht="12.75" customHeight="1" x14ac:dyDescent="0.3">
      <c r="A234" s="15"/>
      <c r="B234" s="36"/>
      <c r="C234" s="37"/>
      <c r="D234" s="38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3">
        <f t="shared" si="44"/>
        <v>0</v>
      </c>
    </row>
    <row r="235" spans="1:20" ht="12.75" customHeight="1" x14ac:dyDescent="0.3">
      <c r="A235" s="16" t="s">
        <v>15</v>
      </c>
      <c r="B235" s="59" t="s">
        <v>49</v>
      </c>
      <c r="C235" s="60"/>
      <c r="D235" s="58"/>
      <c r="E235" s="13">
        <f t="shared" ref="E235:T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1</v>
      </c>
      <c r="I235" s="13">
        <f t="shared" si="45"/>
        <v>0</v>
      </c>
      <c r="J235" s="13">
        <f t="shared" si="45"/>
        <v>3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1</v>
      </c>
      <c r="Q235" s="13">
        <f t="shared" si="45"/>
        <v>0</v>
      </c>
      <c r="R235" s="13">
        <f t="shared" si="45"/>
        <v>0</v>
      </c>
      <c r="S235" s="13">
        <f t="shared" si="45"/>
        <v>0</v>
      </c>
      <c r="T235" s="13">
        <f t="shared" si="45"/>
        <v>5</v>
      </c>
    </row>
    <row r="236" spans="1:20" ht="12.75" customHeight="1" x14ac:dyDescent="0.3">
      <c r="A236" s="61"/>
      <c r="B236" s="60"/>
      <c r="C236" s="60"/>
      <c r="D236" s="60"/>
      <c r="E236" s="58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</row>
    <row r="237" spans="1:20" ht="12.75" customHeight="1" x14ac:dyDescent="0.3">
      <c r="A237" s="20" t="s">
        <v>37</v>
      </c>
      <c r="B237" s="27" t="s">
        <v>174</v>
      </c>
      <c r="C237" s="57" t="s">
        <v>175</v>
      </c>
      <c r="D237" s="58"/>
      <c r="E237" s="16">
        <v>1</v>
      </c>
      <c r="F237" s="16">
        <v>1</v>
      </c>
      <c r="G237" s="16">
        <v>0</v>
      </c>
      <c r="H237" s="16">
        <v>1</v>
      </c>
      <c r="I237" s="16">
        <v>0</v>
      </c>
      <c r="J237" s="16">
        <v>1</v>
      </c>
      <c r="K237" s="16">
        <v>1</v>
      </c>
      <c r="L237" s="16">
        <v>0</v>
      </c>
      <c r="M237" s="16">
        <v>1</v>
      </c>
      <c r="N237" s="16">
        <v>2</v>
      </c>
      <c r="O237" s="16">
        <v>2</v>
      </c>
      <c r="P237" s="16">
        <v>0</v>
      </c>
      <c r="Q237" s="16">
        <v>0</v>
      </c>
      <c r="R237" s="16">
        <v>0</v>
      </c>
      <c r="S237" s="16">
        <v>0</v>
      </c>
      <c r="T237" s="13">
        <f t="shared" ref="T237:T246" si="46">SUM(E237:S237)</f>
        <v>10</v>
      </c>
    </row>
    <row r="238" spans="1:20" ht="12.75" customHeight="1" x14ac:dyDescent="0.3">
      <c r="A238" s="20" t="s">
        <v>39</v>
      </c>
      <c r="B238" s="28"/>
      <c r="C238" s="29" t="s">
        <v>176</v>
      </c>
      <c r="D238" s="30"/>
      <c r="E238" s="16">
        <v>0</v>
      </c>
      <c r="F238" s="16">
        <v>0</v>
      </c>
      <c r="G238" s="16">
        <v>1</v>
      </c>
      <c r="H238" s="16">
        <v>0</v>
      </c>
      <c r="I238" s="16">
        <v>0</v>
      </c>
      <c r="J238" s="16">
        <v>1</v>
      </c>
      <c r="K238" s="16">
        <v>0</v>
      </c>
      <c r="L238" s="16">
        <v>1</v>
      </c>
      <c r="M238" s="16">
        <v>1</v>
      </c>
      <c r="N238" s="16">
        <v>1</v>
      </c>
      <c r="O238" s="16">
        <v>0</v>
      </c>
      <c r="P238" s="16">
        <v>0</v>
      </c>
      <c r="Q238" s="16">
        <v>0</v>
      </c>
      <c r="R238" s="16">
        <v>1</v>
      </c>
      <c r="S238" s="16">
        <v>0</v>
      </c>
      <c r="T238" s="13">
        <f t="shared" si="46"/>
        <v>6</v>
      </c>
    </row>
    <row r="239" spans="1:20" ht="12.75" customHeight="1" x14ac:dyDescent="0.3">
      <c r="A239" s="15"/>
      <c r="B239" s="28"/>
      <c r="C239" s="29" t="s">
        <v>177</v>
      </c>
      <c r="D239" s="30"/>
      <c r="E239" s="16">
        <v>1</v>
      </c>
      <c r="F239" s="16">
        <v>2</v>
      </c>
      <c r="G239" s="16">
        <v>3</v>
      </c>
      <c r="H239" s="16">
        <v>0</v>
      </c>
      <c r="I239" s="16">
        <v>1</v>
      </c>
      <c r="J239" s="16">
        <v>10</v>
      </c>
      <c r="K239" s="16">
        <v>12</v>
      </c>
      <c r="L239" s="16">
        <v>0</v>
      </c>
      <c r="M239" s="16">
        <v>1</v>
      </c>
      <c r="N239" s="16">
        <v>0</v>
      </c>
      <c r="O239" s="16">
        <v>0</v>
      </c>
      <c r="P239" s="16">
        <v>0</v>
      </c>
      <c r="Q239" s="16">
        <v>2</v>
      </c>
      <c r="R239" s="16">
        <v>0</v>
      </c>
      <c r="S239" s="16">
        <v>0</v>
      </c>
      <c r="T239" s="13">
        <f t="shared" si="46"/>
        <v>32</v>
      </c>
    </row>
    <row r="240" spans="1:20" ht="12.75" customHeight="1" x14ac:dyDescent="0.3">
      <c r="A240" s="15"/>
      <c r="B240" s="28"/>
      <c r="C240" s="29" t="s">
        <v>178</v>
      </c>
      <c r="D240" s="30"/>
      <c r="E240" s="16">
        <v>0</v>
      </c>
      <c r="F240" s="16">
        <v>0</v>
      </c>
      <c r="G240" s="16">
        <v>0</v>
      </c>
      <c r="H240" s="16">
        <v>3</v>
      </c>
      <c r="I240" s="16">
        <v>1</v>
      </c>
      <c r="J240" s="16">
        <v>0</v>
      </c>
      <c r="K240" s="16">
        <v>0</v>
      </c>
      <c r="L240" s="16">
        <v>0</v>
      </c>
      <c r="M240" s="16">
        <v>0</v>
      </c>
      <c r="N240" s="16">
        <v>0</v>
      </c>
      <c r="O240" s="16">
        <v>0</v>
      </c>
      <c r="P240" s="16">
        <v>0</v>
      </c>
      <c r="Q240" s="16">
        <v>0</v>
      </c>
      <c r="R240" s="16">
        <v>0</v>
      </c>
      <c r="S240" s="16">
        <v>0</v>
      </c>
      <c r="T240" s="13">
        <f t="shared" si="46"/>
        <v>4</v>
      </c>
    </row>
    <row r="241" spans="1:20" ht="12.75" customHeight="1" x14ac:dyDescent="0.3">
      <c r="A241" s="15"/>
      <c r="B241" s="28"/>
      <c r="C241" s="29" t="s">
        <v>179</v>
      </c>
      <c r="D241" s="30"/>
      <c r="E241" s="16">
        <v>0</v>
      </c>
      <c r="F241" s="16">
        <v>0</v>
      </c>
      <c r="G241" s="16">
        <v>0</v>
      </c>
      <c r="H241" s="16">
        <v>0</v>
      </c>
      <c r="I241" s="16">
        <v>0</v>
      </c>
      <c r="J241" s="16">
        <v>1</v>
      </c>
      <c r="K241" s="16">
        <v>0</v>
      </c>
      <c r="L241" s="16">
        <v>0</v>
      </c>
      <c r="M241" s="16">
        <v>0</v>
      </c>
      <c r="N241" s="16">
        <v>0</v>
      </c>
      <c r="O241" s="16">
        <v>0</v>
      </c>
      <c r="P241" s="16">
        <v>0</v>
      </c>
      <c r="Q241" s="16">
        <v>0</v>
      </c>
      <c r="R241" s="16">
        <v>0</v>
      </c>
      <c r="S241" s="16">
        <v>0</v>
      </c>
      <c r="T241" s="13">
        <f t="shared" si="46"/>
        <v>1</v>
      </c>
    </row>
    <row r="242" spans="1:20" ht="12.75" customHeight="1" x14ac:dyDescent="0.3">
      <c r="A242" s="15"/>
      <c r="B242" s="28"/>
      <c r="C242" s="29" t="s">
        <v>180</v>
      </c>
      <c r="D242" s="30"/>
      <c r="E242" s="16">
        <v>0</v>
      </c>
      <c r="F242" s="16">
        <v>0</v>
      </c>
      <c r="G242" s="16">
        <v>0</v>
      </c>
      <c r="H242" s="16">
        <v>0</v>
      </c>
      <c r="I242" s="16">
        <v>0</v>
      </c>
      <c r="J242" s="16">
        <v>0</v>
      </c>
      <c r="K242" s="16">
        <v>2</v>
      </c>
      <c r="L242" s="16">
        <v>0</v>
      </c>
      <c r="M242" s="16">
        <v>0</v>
      </c>
      <c r="N242" s="16">
        <v>0</v>
      </c>
      <c r="O242" s="16">
        <v>0</v>
      </c>
      <c r="P242" s="16">
        <v>0</v>
      </c>
      <c r="Q242" s="16">
        <v>0</v>
      </c>
      <c r="R242" s="16">
        <v>1</v>
      </c>
      <c r="S242" s="16">
        <v>0</v>
      </c>
      <c r="T242" s="13">
        <f t="shared" si="46"/>
        <v>3</v>
      </c>
    </row>
    <row r="243" spans="1:20" ht="12.75" customHeight="1" x14ac:dyDescent="0.3">
      <c r="A243" s="15"/>
      <c r="B243" s="28"/>
      <c r="C243" s="29" t="s">
        <v>181</v>
      </c>
      <c r="D243" s="30"/>
      <c r="E243" s="16">
        <v>0</v>
      </c>
      <c r="F243" s="16">
        <v>0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0</v>
      </c>
      <c r="M243" s="16">
        <v>0</v>
      </c>
      <c r="N243" s="16">
        <v>0</v>
      </c>
      <c r="O243" s="16">
        <v>0</v>
      </c>
      <c r="P243" s="16">
        <v>0</v>
      </c>
      <c r="Q243" s="16">
        <v>0</v>
      </c>
      <c r="R243" s="16">
        <v>0</v>
      </c>
      <c r="S243" s="16">
        <v>0</v>
      </c>
      <c r="T243" s="13">
        <f t="shared" si="46"/>
        <v>0</v>
      </c>
    </row>
    <row r="244" spans="1:20" ht="12.75" customHeight="1" x14ac:dyDescent="0.3">
      <c r="A244" s="15"/>
      <c r="B244" s="28"/>
      <c r="C244" s="29" t="s">
        <v>182</v>
      </c>
      <c r="D244" s="30"/>
      <c r="E244" s="16">
        <v>0</v>
      </c>
      <c r="F244" s="16">
        <v>0</v>
      </c>
      <c r="G244" s="16">
        <v>0</v>
      </c>
      <c r="H244" s="16">
        <v>0</v>
      </c>
      <c r="I244" s="16">
        <v>0</v>
      </c>
      <c r="J244" s="16">
        <v>0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>
        <v>0</v>
      </c>
      <c r="Q244" s="16">
        <v>0</v>
      </c>
      <c r="R244" s="16">
        <v>0</v>
      </c>
      <c r="S244" s="16">
        <v>0</v>
      </c>
      <c r="T244" s="13">
        <f t="shared" si="46"/>
        <v>0</v>
      </c>
    </row>
    <row r="245" spans="1:20" ht="12.75" customHeight="1" x14ac:dyDescent="0.3">
      <c r="A245" s="15"/>
      <c r="B245" s="28"/>
      <c r="C245" s="29" t="s">
        <v>183</v>
      </c>
      <c r="D245" s="30"/>
      <c r="E245" s="16">
        <v>0</v>
      </c>
      <c r="F245" s="16">
        <v>0</v>
      </c>
      <c r="G245" s="16">
        <v>0</v>
      </c>
      <c r="H245" s="16">
        <v>0</v>
      </c>
      <c r="I245" s="16">
        <v>0</v>
      </c>
      <c r="J245" s="16">
        <v>0</v>
      </c>
      <c r="K245" s="16">
        <v>0</v>
      </c>
      <c r="L245" s="16">
        <v>0</v>
      </c>
      <c r="M245" s="16">
        <v>0</v>
      </c>
      <c r="N245" s="16">
        <v>0</v>
      </c>
      <c r="O245" s="16">
        <v>0</v>
      </c>
      <c r="P245" s="16">
        <v>0</v>
      </c>
      <c r="Q245" s="16">
        <v>0</v>
      </c>
      <c r="R245" s="16">
        <v>0</v>
      </c>
      <c r="S245" s="16">
        <v>0</v>
      </c>
      <c r="T245" s="13">
        <f t="shared" si="46"/>
        <v>0</v>
      </c>
    </row>
    <row r="246" spans="1:20" ht="12.75" customHeight="1" x14ac:dyDescent="0.3">
      <c r="A246" s="15"/>
      <c r="B246" s="28"/>
      <c r="C246" s="29" t="s">
        <v>184</v>
      </c>
      <c r="D246" s="30"/>
      <c r="E246" s="16">
        <v>0</v>
      </c>
      <c r="F246" s="16">
        <v>0</v>
      </c>
      <c r="G246" s="16">
        <v>0</v>
      </c>
      <c r="H246" s="16">
        <v>0</v>
      </c>
      <c r="I246" s="16">
        <v>0</v>
      </c>
      <c r="J246" s="16">
        <v>0</v>
      </c>
      <c r="K246" s="16">
        <v>0</v>
      </c>
      <c r="L246" s="16">
        <v>0</v>
      </c>
      <c r="M246" s="16">
        <v>0</v>
      </c>
      <c r="N246" s="16">
        <v>0</v>
      </c>
      <c r="O246" s="16">
        <v>0</v>
      </c>
      <c r="P246" s="16">
        <v>0</v>
      </c>
      <c r="Q246" s="16">
        <v>0</v>
      </c>
      <c r="R246" s="16">
        <v>0</v>
      </c>
      <c r="S246" s="16">
        <v>0</v>
      </c>
      <c r="T246" s="13">
        <f t="shared" si="46"/>
        <v>0</v>
      </c>
    </row>
    <row r="247" spans="1:20" ht="12.75" customHeight="1" x14ac:dyDescent="0.3">
      <c r="A247" s="16" t="s">
        <v>15</v>
      </c>
      <c r="B247" s="59" t="s">
        <v>49</v>
      </c>
      <c r="C247" s="60"/>
      <c r="D247" s="58"/>
      <c r="E247" s="13">
        <f t="shared" ref="E247:T247" si="47">SUM(E237:E246)</f>
        <v>2</v>
      </c>
      <c r="F247" s="13">
        <f t="shared" si="47"/>
        <v>3</v>
      </c>
      <c r="G247" s="13">
        <f t="shared" si="47"/>
        <v>4</v>
      </c>
      <c r="H247" s="13">
        <f t="shared" si="47"/>
        <v>4</v>
      </c>
      <c r="I247" s="13">
        <f t="shared" si="47"/>
        <v>2</v>
      </c>
      <c r="J247" s="13">
        <f t="shared" si="47"/>
        <v>13</v>
      </c>
      <c r="K247" s="13">
        <f t="shared" si="47"/>
        <v>15</v>
      </c>
      <c r="L247" s="13">
        <f t="shared" si="47"/>
        <v>1</v>
      </c>
      <c r="M247" s="13">
        <f t="shared" si="47"/>
        <v>3</v>
      </c>
      <c r="N247" s="13">
        <f t="shared" si="47"/>
        <v>3</v>
      </c>
      <c r="O247" s="13">
        <f t="shared" si="47"/>
        <v>2</v>
      </c>
      <c r="P247" s="13">
        <f t="shared" si="47"/>
        <v>0</v>
      </c>
      <c r="Q247" s="13">
        <f t="shared" si="47"/>
        <v>2</v>
      </c>
      <c r="R247" s="13">
        <f t="shared" si="47"/>
        <v>2</v>
      </c>
      <c r="S247" s="13">
        <f t="shared" si="47"/>
        <v>0</v>
      </c>
      <c r="T247" s="13">
        <f t="shared" si="47"/>
        <v>56</v>
      </c>
    </row>
    <row r="248" spans="1:20" ht="12.75" customHeight="1" x14ac:dyDescent="0.3">
      <c r="A248" s="61"/>
      <c r="B248" s="60"/>
      <c r="C248" s="60"/>
      <c r="D248" s="60"/>
      <c r="E248" s="58"/>
    </row>
    <row r="249" spans="1:20" ht="12.75" customHeight="1" x14ac:dyDescent="0.3">
      <c r="A249" s="20" t="s">
        <v>37</v>
      </c>
      <c r="B249" s="27" t="s">
        <v>185</v>
      </c>
      <c r="C249" s="57" t="s">
        <v>186</v>
      </c>
      <c r="D249" s="58"/>
      <c r="E249" s="16">
        <v>0</v>
      </c>
      <c r="F249" s="16">
        <v>0</v>
      </c>
      <c r="G249" s="16">
        <v>0</v>
      </c>
      <c r="H249" s="16">
        <v>0</v>
      </c>
      <c r="I249" s="16">
        <v>0</v>
      </c>
      <c r="J249" s="16">
        <v>0</v>
      </c>
      <c r="K249" s="16">
        <v>0</v>
      </c>
      <c r="L249" s="16">
        <v>0</v>
      </c>
      <c r="M249" s="16">
        <v>0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3">
        <f t="shared" ref="T249:T258" si="48">SUM(E249:S249)</f>
        <v>0</v>
      </c>
    </row>
    <row r="250" spans="1:20" ht="12.75" customHeight="1" x14ac:dyDescent="0.3">
      <c r="A250" s="20" t="s">
        <v>39</v>
      </c>
      <c r="B250" s="28"/>
      <c r="C250" s="29" t="s">
        <v>187</v>
      </c>
      <c r="D250" s="30"/>
      <c r="E250" s="16">
        <v>0</v>
      </c>
      <c r="F250" s="16">
        <v>0</v>
      </c>
      <c r="G250" s="16">
        <v>0</v>
      </c>
      <c r="H250" s="16">
        <v>0</v>
      </c>
      <c r="I250" s="16">
        <v>0</v>
      </c>
      <c r="J250" s="16">
        <v>0</v>
      </c>
      <c r="K250" s="16">
        <v>0</v>
      </c>
      <c r="L250" s="16">
        <v>0</v>
      </c>
      <c r="M250" s="16">
        <v>0</v>
      </c>
      <c r="N250" s="16">
        <v>0</v>
      </c>
      <c r="O250" s="16">
        <v>0</v>
      </c>
      <c r="P250" s="16">
        <v>0</v>
      </c>
      <c r="Q250" s="16">
        <v>0</v>
      </c>
      <c r="R250" s="16">
        <v>0</v>
      </c>
      <c r="S250" s="16">
        <v>0</v>
      </c>
      <c r="T250" s="13">
        <f t="shared" si="48"/>
        <v>0</v>
      </c>
    </row>
    <row r="251" spans="1:20" ht="12.75" customHeight="1" x14ac:dyDescent="0.3">
      <c r="A251" s="15"/>
      <c r="B251" s="28"/>
      <c r="C251" s="29" t="s">
        <v>188</v>
      </c>
      <c r="D251" s="30"/>
      <c r="E251" s="16">
        <v>0</v>
      </c>
      <c r="F251" s="16">
        <v>1</v>
      </c>
      <c r="G251" s="16">
        <v>0</v>
      </c>
      <c r="H251" s="16">
        <v>0</v>
      </c>
      <c r="I251" s="16">
        <v>0</v>
      </c>
      <c r="J251" s="16">
        <v>0</v>
      </c>
      <c r="K251" s="16">
        <v>0</v>
      </c>
      <c r="L251" s="16">
        <v>0</v>
      </c>
      <c r="M251" s="16">
        <v>0</v>
      </c>
      <c r="N251" s="16">
        <v>0</v>
      </c>
      <c r="O251" s="16">
        <v>0</v>
      </c>
      <c r="P251" s="16">
        <v>0</v>
      </c>
      <c r="Q251" s="16">
        <v>0</v>
      </c>
      <c r="R251" s="16">
        <v>0</v>
      </c>
      <c r="S251" s="16">
        <v>0</v>
      </c>
      <c r="T251" s="13">
        <f t="shared" si="48"/>
        <v>1</v>
      </c>
    </row>
    <row r="252" spans="1:20" ht="12.75" customHeight="1" x14ac:dyDescent="0.3">
      <c r="A252" s="15"/>
      <c r="B252" s="28"/>
      <c r="C252" s="29" t="s">
        <v>189</v>
      </c>
      <c r="D252" s="30"/>
      <c r="E252" s="16">
        <v>0</v>
      </c>
      <c r="F252" s="16">
        <v>0</v>
      </c>
      <c r="G252" s="16">
        <v>0</v>
      </c>
      <c r="H252" s="16">
        <v>0</v>
      </c>
      <c r="I252" s="16">
        <v>0</v>
      </c>
      <c r="J252" s="16">
        <v>0</v>
      </c>
      <c r="K252" s="16">
        <v>0</v>
      </c>
      <c r="L252" s="16">
        <v>1</v>
      </c>
      <c r="M252" s="16">
        <v>0</v>
      </c>
      <c r="N252" s="16">
        <v>0</v>
      </c>
      <c r="O252" s="16">
        <v>0</v>
      </c>
      <c r="P252" s="16">
        <v>0</v>
      </c>
      <c r="Q252" s="16">
        <v>0</v>
      </c>
      <c r="R252" s="16">
        <v>0</v>
      </c>
      <c r="S252" s="16">
        <v>0</v>
      </c>
      <c r="T252" s="13">
        <f t="shared" si="48"/>
        <v>1</v>
      </c>
    </row>
    <row r="253" spans="1:20" ht="12.75" customHeight="1" x14ac:dyDescent="0.3">
      <c r="A253" s="15"/>
      <c r="B253" s="36"/>
      <c r="C253" s="44"/>
      <c r="D253" s="38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3">
        <f t="shared" si="48"/>
        <v>0</v>
      </c>
    </row>
    <row r="254" spans="1:20" ht="12.75" customHeight="1" x14ac:dyDescent="0.3">
      <c r="A254" s="15"/>
      <c r="B254" s="36"/>
      <c r="C254" s="44"/>
      <c r="D254" s="38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3">
        <f t="shared" si="48"/>
        <v>0</v>
      </c>
    </row>
    <row r="255" spans="1:20" ht="12.75" customHeight="1" x14ac:dyDescent="0.3">
      <c r="A255" s="15"/>
      <c r="B255" s="36"/>
      <c r="C255" s="44"/>
      <c r="D255" s="38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3">
        <f t="shared" si="48"/>
        <v>0</v>
      </c>
    </row>
    <row r="256" spans="1:20" ht="12.75" customHeight="1" x14ac:dyDescent="0.3">
      <c r="A256" s="15"/>
      <c r="B256" s="36"/>
      <c r="C256" s="43"/>
      <c r="D256" s="38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3">
        <f t="shared" si="48"/>
        <v>0</v>
      </c>
    </row>
    <row r="257" spans="1:20" ht="12.75" customHeight="1" x14ac:dyDescent="0.3">
      <c r="A257" s="15"/>
      <c r="B257" s="36"/>
      <c r="C257" s="43"/>
      <c r="D257" s="38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3">
        <f t="shared" si="48"/>
        <v>0</v>
      </c>
    </row>
    <row r="258" spans="1:20" ht="12.75" customHeight="1" x14ac:dyDescent="0.3">
      <c r="A258" s="15"/>
      <c r="B258" s="36"/>
      <c r="C258" s="43"/>
      <c r="D258" s="38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3">
        <f t="shared" si="48"/>
        <v>0</v>
      </c>
    </row>
    <row r="259" spans="1:20" ht="12.75" customHeight="1" x14ac:dyDescent="0.3">
      <c r="A259" s="16" t="s">
        <v>15</v>
      </c>
      <c r="B259" s="59" t="s">
        <v>49</v>
      </c>
      <c r="C259" s="60"/>
      <c r="D259" s="58"/>
      <c r="E259" s="13">
        <f t="shared" ref="E259:T259" si="49">SUM(E249:E258)</f>
        <v>0</v>
      </c>
      <c r="F259" s="13">
        <f t="shared" si="49"/>
        <v>1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1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2</v>
      </c>
    </row>
    <row r="260" spans="1:20" ht="12.75" customHeight="1" x14ac:dyDescent="0.3"/>
    <row r="261" spans="1:20" ht="12.75" customHeight="1" x14ac:dyDescent="0.3">
      <c r="A261" s="26" t="s">
        <v>190</v>
      </c>
      <c r="B261" s="66" t="s">
        <v>191</v>
      </c>
      <c r="C261" s="60"/>
      <c r="D261" s="58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</row>
    <row r="262" spans="1:20" ht="12.75" customHeight="1" x14ac:dyDescent="0.3">
      <c r="A262" s="26"/>
      <c r="B262" s="45" t="s">
        <v>192</v>
      </c>
      <c r="C262" s="67" t="s">
        <v>193</v>
      </c>
      <c r="D262" s="58"/>
      <c r="E262" s="16">
        <f t="shared" ref="E262:S262" si="50">E55+E67+E79+E91+E103+E115+E127+E139+E151+E163+E175+E187+E199+E211+E223+E235+E247+E259</f>
        <v>210</v>
      </c>
      <c r="F262" s="16">
        <f t="shared" si="50"/>
        <v>165</v>
      </c>
      <c r="G262" s="16">
        <f t="shared" si="50"/>
        <v>134</v>
      </c>
      <c r="H262" s="16">
        <f t="shared" si="50"/>
        <v>204</v>
      </c>
      <c r="I262" s="16">
        <f t="shared" si="50"/>
        <v>91</v>
      </c>
      <c r="J262" s="16">
        <f t="shared" si="50"/>
        <v>150</v>
      </c>
      <c r="K262" s="16">
        <f t="shared" si="50"/>
        <v>145</v>
      </c>
      <c r="L262" s="16">
        <f t="shared" si="50"/>
        <v>124</v>
      </c>
      <c r="M262" s="16">
        <f t="shared" si="50"/>
        <v>149</v>
      </c>
      <c r="N262" s="16">
        <f t="shared" si="50"/>
        <v>197</v>
      </c>
      <c r="O262" s="16">
        <f t="shared" si="50"/>
        <v>195</v>
      </c>
      <c r="P262" s="16">
        <f t="shared" si="50"/>
        <v>173</v>
      </c>
      <c r="Q262" s="16">
        <f t="shared" si="50"/>
        <v>220</v>
      </c>
      <c r="R262" s="16">
        <f t="shared" si="50"/>
        <v>168</v>
      </c>
      <c r="S262" s="16">
        <f t="shared" si="50"/>
        <v>215</v>
      </c>
      <c r="T262" s="13">
        <f t="shared" ref="T262:T264" si="51">SUM(E262:S262)</f>
        <v>2540</v>
      </c>
    </row>
    <row r="263" spans="1:20" ht="12.75" customHeight="1" x14ac:dyDescent="0.3">
      <c r="A263" s="22"/>
      <c r="B263" s="45" t="s">
        <v>194</v>
      </c>
      <c r="C263" s="67" t="s">
        <v>195</v>
      </c>
      <c r="D263" s="58"/>
      <c r="E263" s="16">
        <v>20</v>
      </c>
      <c r="F263" s="16">
        <v>21</v>
      </c>
      <c r="G263" s="16">
        <v>26</v>
      </c>
      <c r="H263" s="16">
        <v>10</v>
      </c>
      <c r="I263" s="16">
        <v>13</v>
      </c>
      <c r="J263" s="16">
        <v>59</v>
      </c>
      <c r="K263" s="16">
        <v>54</v>
      </c>
      <c r="L263" s="16">
        <v>51</v>
      </c>
      <c r="M263" s="16">
        <v>25</v>
      </c>
      <c r="N263" s="16">
        <v>33</v>
      </c>
      <c r="O263" s="16">
        <v>30</v>
      </c>
      <c r="P263" s="16">
        <v>45</v>
      </c>
      <c r="Q263" s="16">
        <v>21</v>
      </c>
      <c r="R263" s="16">
        <v>22</v>
      </c>
      <c r="S263" s="16">
        <v>27</v>
      </c>
      <c r="T263" s="13">
        <f t="shared" si="51"/>
        <v>457</v>
      </c>
    </row>
    <row r="264" spans="1:20" ht="12.75" customHeight="1" x14ac:dyDescent="0.3">
      <c r="A264" s="25"/>
      <c r="B264" s="45" t="s">
        <v>196</v>
      </c>
      <c r="C264" s="67" t="s">
        <v>197</v>
      </c>
      <c r="D264" s="58"/>
      <c r="E264" s="13">
        <f t="shared" ref="E264:S264" si="52">SUM(E262:E263)</f>
        <v>230</v>
      </c>
      <c r="F264" s="13">
        <f t="shared" si="52"/>
        <v>186</v>
      </c>
      <c r="G264" s="13">
        <f t="shared" si="52"/>
        <v>160</v>
      </c>
      <c r="H264" s="13">
        <f t="shared" si="52"/>
        <v>214</v>
      </c>
      <c r="I264" s="13">
        <f t="shared" si="52"/>
        <v>104</v>
      </c>
      <c r="J264" s="13">
        <f t="shared" si="52"/>
        <v>209</v>
      </c>
      <c r="K264" s="13">
        <f t="shared" si="52"/>
        <v>199</v>
      </c>
      <c r="L264" s="13">
        <f t="shared" si="52"/>
        <v>175</v>
      </c>
      <c r="M264" s="13">
        <f t="shared" si="52"/>
        <v>174</v>
      </c>
      <c r="N264" s="13">
        <f t="shared" si="52"/>
        <v>230</v>
      </c>
      <c r="O264" s="13">
        <f t="shared" si="52"/>
        <v>225</v>
      </c>
      <c r="P264" s="13">
        <f t="shared" si="52"/>
        <v>218</v>
      </c>
      <c r="Q264" s="13">
        <f t="shared" si="52"/>
        <v>241</v>
      </c>
      <c r="R264" s="13">
        <f t="shared" si="52"/>
        <v>190</v>
      </c>
      <c r="S264" s="13">
        <f t="shared" si="52"/>
        <v>242</v>
      </c>
      <c r="T264" s="13">
        <f t="shared" si="51"/>
        <v>2997</v>
      </c>
    </row>
    <row r="265" spans="1:20" ht="12.75" customHeight="1" x14ac:dyDescent="0.3"/>
    <row r="266" spans="1:20" ht="12.75" customHeight="1" x14ac:dyDescent="0.3"/>
    <row r="267" spans="1:20" ht="12.75" customHeight="1" x14ac:dyDescent="0.3"/>
    <row r="268" spans="1:20" ht="12.75" customHeight="1" x14ac:dyDescent="0.3"/>
    <row r="269" spans="1:20" ht="12.75" customHeight="1" x14ac:dyDescent="0.3"/>
    <row r="270" spans="1:20" ht="12.75" customHeight="1" x14ac:dyDescent="0.3"/>
    <row r="271" spans="1:20" ht="12.75" customHeight="1" x14ac:dyDescent="0.3"/>
    <row r="272" spans="1:20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86">
    <mergeCell ref="C69:D69"/>
    <mergeCell ref="B79:D79"/>
    <mergeCell ref="B139:D139"/>
    <mergeCell ref="A140:E140"/>
    <mergeCell ref="C141:D141"/>
    <mergeCell ref="B55:D55"/>
    <mergeCell ref="A56:E56"/>
    <mergeCell ref="C57:D57"/>
    <mergeCell ref="B67:D67"/>
    <mergeCell ref="A68:E68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O42"/>
    <mergeCell ref="B43:D43"/>
    <mergeCell ref="B25:B27"/>
    <mergeCell ref="C25:C27"/>
    <mergeCell ref="B28:B30"/>
    <mergeCell ref="A37:D37"/>
    <mergeCell ref="E37:O37"/>
    <mergeCell ref="A17:D17"/>
    <mergeCell ref="B18:D18"/>
    <mergeCell ref="B19:B21"/>
    <mergeCell ref="C19:C21"/>
    <mergeCell ref="B22:B24"/>
    <mergeCell ref="C22:C24"/>
    <mergeCell ref="B12:D12"/>
    <mergeCell ref="E12:S12"/>
    <mergeCell ref="T12:T13"/>
    <mergeCell ref="B13:D13"/>
    <mergeCell ref="B14:C16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A212:E212"/>
    <mergeCell ref="C213:D213"/>
    <mergeCell ref="B223:D223"/>
    <mergeCell ref="A224:E224"/>
    <mergeCell ref="C225:D225"/>
    <mergeCell ref="C189:D189"/>
    <mergeCell ref="B199:D199"/>
    <mergeCell ref="A200:E200"/>
    <mergeCell ref="C201:D201"/>
    <mergeCell ref="B211:D211"/>
    <mergeCell ref="B175:D175"/>
    <mergeCell ref="A176:E176"/>
    <mergeCell ref="C177:D177"/>
    <mergeCell ref="B187:D187"/>
    <mergeCell ref="A188:E188"/>
    <mergeCell ref="A152:E152"/>
    <mergeCell ref="C153:D153"/>
    <mergeCell ref="B163:D163"/>
    <mergeCell ref="A164:E164"/>
    <mergeCell ref="C165:D165"/>
    <mergeCell ref="C117:D117"/>
    <mergeCell ref="B127:D127"/>
    <mergeCell ref="A128:E128"/>
    <mergeCell ref="C129:D129"/>
    <mergeCell ref="B151:D151"/>
    <mergeCell ref="B103:D103"/>
    <mergeCell ref="A104:E104"/>
    <mergeCell ref="C105:D105"/>
    <mergeCell ref="B115:D115"/>
    <mergeCell ref="A116:E116"/>
    <mergeCell ref="A80:E80"/>
    <mergeCell ref="C81:D81"/>
    <mergeCell ref="B91:D91"/>
    <mergeCell ref="A92:E92"/>
    <mergeCell ref="C93:D93"/>
  </mergeCells>
  <conditionalFormatting sqref="E14:S15">
    <cfRule type="containsBlanks" dxfId="251" priority="1">
      <formula>LEN(TRIM(E14))=0</formula>
    </cfRule>
  </conditionalFormatting>
  <conditionalFormatting sqref="E19:S20">
    <cfRule type="containsBlanks" dxfId="250" priority="2">
      <formula>LEN(TRIM(E19))=0</formula>
    </cfRule>
  </conditionalFormatting>
  <conditionalFormatting sqref="E22:S23 E25:S26 E33:S33 E35:S35 E39:S40">
    <cfRule type="containsBlanks" dxfId="249" priority="3">
      <formula>LEN(TRIM(E22))=0</formula>
    </cfRule>
  </conditionalFormatting>
  <conditionalFormatting sqref="E30:S30">
    <cfRule type="expression" dxfId="248" priority="4">
      <formula>E30&lt;&gt;E47</formula>
    </cfRule>
    <cfRule type="expression" dxfId="247" priority="5">
      <formula>E30&lt;&gt;E34</formula>
    </cfRule>
  </conditionalFormatting>
  <conditionalFormatting sqref="E34:S34">
    <cfRule type="expression" dxfId="246" priority="6">
      <formula>E30&lt;&gt;E34</formula>
    </cfRule>
    <cfRule type="expression" dxfId="245" priority="7">
      <formula>E30=E34</formula>
    </cfRule>
    <cfRule type="expression" dxfId="244" priority="8">
      <formula>E34&lt;&gt;E30</formula>
    </cfRule>
    <cfRule type="expression" dxfId="243" priority="9">
      <formula>E34&lt;&gt;E64</formula>
    </cfRule>
  </conditionalFormatting>
  <conditionalFormatting sqref="E45:S54">
    <cfRule type="containsBlanks" dxfId="242" priority="10">
      <formula>LEN(TRIM(E45))=0</formula>
    </cfRule>
  </conditionalFormatting>
  <conditionalFormatting sqref="E57:S66">
    <cfRule type="containsBlanks" dxfId="241" priority="11">
      <formula>LEN(TRIM(E57))=0</formula>
    </cfRule>
  </conditionalFormatting>
  <conditionalFormatting sqref="E69:S78">
    <cfRule type="containsBlanks" dxfId="240" priority="12">
      <formula>LEN(TRIM(E69))=0</formula>
    </cfRule>
  </conditionalFormatting>
  <conditionalFormatting sqref="E81:S90">
    <cfRule type="containsBlanks" dxfId="239" priority="13">
      <formula>LEN(TRIM(E81))=0</formula>
    </cfRule>
  </conditionalFormatting>
  <conditionalFormatting sqref="E93:S102">
    <cfRule type="containsBlanks" dxfId="238" priority="14">
      <formula>LEN(TRIM(E93))=0</formula>
    </cfRule>
  </conditionalFormatting>
  <conditionalFormatting sqref="E105:S114">
    <cfRule type="containsBlanks" dxfId="237" priority="15">
      <formula>LEN(TRIM(E105))=0</formula>
    </cfRule>
  </conditionalFormatting>
  <conditionalFormatting sqref="E117:S126">
    <cfRule type="containsBlanks" dxfId="236" priority="16">
      <formula>LEN(TRIM(E117))=0</formula>
    </cfRule>
  </conditionalFormatting>
  <conditionalFormatting sqref="E129:S138">
    <cfRule type="containsBlanks" dxfId="235" priority="17">
      <formula>LEN(TRIM(E129))=0</formula>
    </cfRule>
  </conditionalFormatting>
  <conditionalFormatting sqref="E141:S150">
    <cfRule type="containsBlanks" dxfId="234" priority="18">
      <formula>LEN(TRIM(E141))=0</formula>
    </cfRule>
  </conditionalFormatting>
  <conditionalFormatting sqref="E153:S162">
    <cfRule type="containsBlanks" dxfId="233" priority="19">
      <formula>LEN(TRIM(E153))=0</formula>
    </cfRule>
  </conditionalFormatting>
  <conditionalFormatting sqref="E165:S174">
    <cfRule type="containsBlanks" dxfId="232" priority="20">
      <formula>LEN(TRIM(E165))=0</formula>
    </cfRule>
  </conditionalFormatting>
  <conditionalFormatting sqref="E177:S186">
    <cfRule type="containsBlanks" dxfId="231" priority="21">
      <formula>LEN(TRIM(E177))=0</formula>
    </cfRule>
  </conditionalFormatting>
  <conditionalFormatting sqref="E189:S198">
    <cfRule type="containsBlanks" dxfId="230" priority="22">
      <formula>LEN(TRIM(E189))=0</formula>
    </cfRule>
  </conditionalFormatting>
  <conditionalFormatting sqref="E201:S210">
    <cfRule type="containsBlanks" dxfId="229" priority="23">
      <formula>LEN(TRIM(E201))=0</formula>
    </cfRule>
  </conditionalFormatting>
  <conditionalFormatting sqref="E213:S222">
    <cfRule type="containsBlanks" dxfId="228" priority="24">
      <formula>LEN(TRIM(E213))=0</formula>
    </cfRule>
  </conditionalFormatting>
  <conditionalFormatting sqref="E225:S234">
    <cfRule type="containsBlanks" dxfId="227" priority="25">
      <formula>LEN(TRIM(E225))=0</formula>
    </cfRule>
  </conditionalFormatting>
  <conditionalFormatting sqref="E237:S246">
    <cfRule type="containsBlanks" dxfId="226" priority="26">
      <formula>LEN(TRIM(E237))=0</formula>
    </cfRule>
  </conditionalFormatting>
  <conditionalFormatting sqref="E249:S258">
    <cfRule type="containsBlanks" dxfId="225" priority="27">
      <formula>LEN(TRIM(E249))=0</formula>
    </cfRule>
  </conditionalFormatting>
  <conditionalFormatting sqref="E262:S263">
    <cfRule type="containsBlanks" dxfId="224" priority="28">
      <formula>LEN(TRIM(E262))=0</formula>
    </cfRule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zoomScale="85" zoomScaleNormal="85" workbookViewId="0">
      <selection activeCell="E249" sqref="E249:M252"/>
    </sheetView>
  </sheetViews>
  <sheetFormatPr defaultColWidth="14.3984375" defaultRowHeight="15" customHeight="1" x14ac:dyDescent="0.3"/>
  <cols>
    <col min="1" max="2" width="8.69921875" customWidth="1"/>
    <col min="3" max="3" width="67.09765625" customWidth="1"/>
    <col min="4" max="4" width="5.8984375" customWidth="1"/>
    <col min="5" max="13" width="8.69921875" customWidth="1"/>
    <col min="14" max="14" width="13.296875" customWidth="1"/>
    <col min="15" max="26" width="8.69921875" customWidth="1"/>
  </cols>
  <sheetData>
    <row r="1" spans="1:14" ht="12.75" customHeight="1" x14ac:dyDescent="0.3"/>
    <row r="2" spans="1:14" ht="12.75" customHeight="1" x14ac:dyDescent="0.3">
      <c r="C2" s="8" t="s">
        <v>0</v>
      </c>
      <c r="D2" s="8" t="s">
        <v>1</v>
      </c>
    </row>
    <row r="3" spans="1:14" ht="12.75" customHeight="1" x14ac:dyDescent="0.3">
      <c r="C3" s="8" t="s">
        <v>2</v>
      </c>
      <c r="D3" s="8" t="s">
        <v>3</v>
      </c>
    </row>
    <row r="4" spans="1:14" ht="12.75" customHeight="1" x14ac:dyDescent="0.3">
      <c r="C4" s="8" t="s">
        <v>4</v>
      </c>
      <c r="D4" s="8" t="s">
        <v>5</v>
      </c>
    </row>
    <row r="5" spans="1:14" ht="12.75" customHeight="1" x14ac:dyDescent="0.3">
      <c r="C5" s="8"/>
      <c r="D5" s="8"/>
    </row>
    <row r="6" spans="1:14" ht="12.75" customHeight="1" x14ac:dyDescent="0.3">
      <c r="C6" s="8"/>
      <c r="D6" s="8"/>
    </row>
    <row r="7" spans="1:14" ht="12.75" customHeight="1" x14ac:dyDescent="0.3">
      <c r="C7" s="8"/>
      <c r="D7" s="8"/>
    </row>
    <row r="8" spans="1:14" ht="12.75" customHeight="1" x14ac:dyDescent="0.3">
      <c r="C8" s="8"/>
      <c r="D8" s="8"/>
    </row>
    <row r="9" spans="1:14" ht="12.75" customHeight="1" x14ac:dyDescent="0.3">
      <c r="C9" s="8" t="s">
        <v>198</v>
      </c>
      <c r="D9" s="8" t="s">
        <v>218</v>
      </c>
    </row>
    <row r="10" spans="1:14" ht="12.75" customHeight="1" x14ac:dyDescent="0.3"/>
    <row r="11" spans="1:14" ht="12.75" customHeight="1" x14ac:dyDescent="0.3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spans="1:14" ht="12.75" customHeight="1" x14ac:dyDescent="0.3">
      <c r="A12" s="13" t="s">
        <v>6</v>
      </c>
      <c r="B12" s="66" t="s">
        <v>7</v>
      </c>
      <c r="C12" s="60"/>
      <c r="D12" s="58"/>
      <c r="E12" s="83"/>
      <c r="F12" s="60"/>
      <c r="G12" s="60"/>
      <c r="H12" s="60"/>
      <c r="I12" s="60"/>
      <c r="J12" s="60"/>
      <c r="K12" s="60"/>
      <c r="L12" s="60"/>
      <c r="M12" s="60"/>
      <c r="N12" s="84" t="s">
        <v>8</v>
      </c>
    </row>
    <row r="13" spans="1:14" ht="12.75" customHeight="1" x14ac:dyDescent="0.3">
      <c r="A13" s="16" t="s">
        <v>9</v>
      </c>
      <c r="B13" s="70" t="s">
        <v>10</v>
      </c>
      <c r="C13" s="60"/>
      <c r="D13" s="58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76"/>
    </row>
    <row r="14" spans="1:14" ht="12.75" customHeight="1" x14ac:dyDescent="0.3">
      <c r="A14" s="15"/>
      <c r="B14" s="71" t="s">
        <v>11</v>
      </c>
      <c r="C14" s="63"/>
      <c r="D14" s="16" t="s">
        <v>12</v>
      </c>
      <c r="E14" s="16">
        <v>125</v>
      </c>
      <c r="F14" s="16">
        <v>119</v>
      </c>
      <c r="G14" s="16">
        <v>113</v>
      </c>
      <c r="H14" s="16">
        <v>136</v>
      </c>
      <c r="I14" s="16">
        <v>139</v>
      </c>
      <c r="J14" s="16">
        <v>128</v>
      </c>
      <c r="K14" s="16">
        <v>139</v>
      </c>
      <c r="L14" s="16">
        <v>138</v>
      </c>
      <c r="M14" s="16">
        <v>91</v>
      </c>
      <c r="N14" s="13">
        <f t="shared" ref="N14:N16" si="0">SUM(E14:M14)</f>
        <v>1128</v>
      </c>
    </row>
    <row r="15" spans="1:14" ht="12.75" customHeight="1" x14ac:dyDescent="0.3">
      <c r="A15" s="15"/>
      <c r="B15" s="72"/>
      <c r="C15" s="73"/>
      <c r="D15" s="16" t="s">
        <v>13</v>
      </c>
      <c r="E15" s="16">
        <v>115</v>
      </c>
      <c r="F15" s="16">
        <v>118</v>
      </c>
      <c r="G15" s="16">
        <v>131</v>
      </c>
      <c r="H15" s="16">
        <v>138</v>
      </c>
      <c r="I15" s="16">
        <v>149</v>
      </c>
      <c r="J15" s="16">
        <v>144</v>
      </c>
      <c r="K15" s="16">
        <v>143</v>
      </c>
      <c r="L15" s="16">
        <v>140</v>
      </c>
      <c r="M15" s="16">
        <v>92</v>
      </c>
      <c r="N15" s="13">
        <f t="shared" si="0"/>
        <v>1170</v>
      </c>
    </row>
    <row r="16" spans="1:14" ht="12.75" customHeight="1" x14ac:dyDescent="0.3">
      <c r="A16" s="18"/>
      <c r="B16" s="69"/>
      <c r="C16" s="65"/>
      <c r="D16" s="13" t="s">
        <v>14</v>
      </c>
      <c r="E16" s="13">
        <f t="shared" ref="E16:M16" si="1">SUM(E14:E15)</f>
        <v>240</v>
      </c>
      <c r="F16" s="13">
        <f t="shared" si="1"/>
        <v>237</v>
      </c>
      <c r="G16" s="13">
        <f t="shared" si="1"/>
        <v>244</v>
      </c>
      <c r="H16" s="13">
        <f t="shared" si="1"/>
        <v>274</v>
      </c>
      <c r="I16" s="13">
        <f t="shared" si="1"/>
        <v>288</v>
      </c>
      <c r="J16" s="13">
        <f t="shared" si="1"/>
        <v>272</v>
      </c>
      <c r="K16" s="13">
        <f t="shared" si="1"/>
        <v>282</v>
      </c>
      <c r="L16" s="13">
        <f t="shared" si="1"/>
        <v>278</v>
      </c>
      <c r="M16" s="13">
        <f t="shared" si="1"/>
        <v>183</v>
      </c>
      <c r="N16" s="13">
        <f t="shared" si="0"/>
        <v>2298</v>
      </c>
    </row>
    <row r="17" spans="1:14" ht="12.75" customHeight="1" x14ac:dyDescent="0.3">
      <c r="A17" s="61"/>
      <c r="B17" s="60"/>
      <c r="C17" s="60"/>
      <c r="D17" s="58"/>
      <c r="E17" s="16"/>
      <c r="F17" s="16"/>
      <c r="G17" s="16"/>
      <c r="H17" s="16"/>
      <c r="I17" s="16"/>
      <c r="J17" s="16"/>
      <c r="K17" s="16"/>
      <c r="L17" s="16"/>
      <c r="M17" s="16"/>
      <c r="N17" s="49"/>
    </row>
    <row r="18" spans="1:14" ht="12.75" customHeight="1" x14ac:dyDescent="0.3">
      <c r="A18" s="20" t="s">
        <v>15</v>
      </c>
      <c r="B18" s="70" t="s">
        <v>16</v>
      </c>
      <c r="C18" s="60"/>
      <c r="D18" s="58"/>
      <c r="E18" s="16"/>
      <c r="F18" s="16"/>
      <c r="G18" s="16"/>
      <c r="H18" s="16"/>
      <c r="I18" s="16"/>
      <c r="J18" s="16"/>
      <c r="K18" s="16"/>
      <c r="L18" s="16"/>
      <c r="M18" s="16"/>
      <c r="N18" s="49"/>
    </row>
    <row r="19" spans="1:14" ht="12.75" customHeight="1" x14ac:dyDescent="0.3">
      <c r="A19" s="20"/>
      <c r="B19" s="77" t="s">
        <v>17</v>
      </c>
      <c r="C19" s="74" t="s">
        <v>18</v>
      </c>
      <c r="D19" s="16" t="s">
        <v>12</v>
      </c>
      <c r="E19" s="16">
        <v>104</v>
      </c>
      <c r="F19" s="16">
        <v>93</v>
      </c>
      <c r="G19" s="16">
        <v>88</v>
      </c>
      <c r="H19" s="16">
        <v>109</v>
      </c>
      <c r="I19" s="16">
        <v>103</v>
      </c>
      <c r="J19" s="16">
        <v>107</v>
      </c>
      <c r="K19" s="16">
        <v>103</v>
      </c>
      <c r="L19" s="16">
        <v>93</v>
      </c>
      <c r="M19" s="16">
        <v>65</v>
      </c>
      <c r="N19" s="13">
        <f t="shared" ref="N19:N30" si="2">SUM(E19:M19)</f>
        <v>865</v>
      </c>
    </row>
    <row r="20" spans="1:14" ht="12.75" customHeight="1" x14ac:dyDescent="0.3">
      <c r="A20" s="21"/>
      <c r="B20" s="73"/>
      <c r="C20" s="75"/>
      <c r="D20" s="16" t="s">
        <v>13</v>
      </c>
      <c r="E20" s="16">
        <v>103</v>
      </c>
      <c r="F20" s="16">
        <v>96</v>
      </c>
      <c r="G20" s="16">
        <v>109</v>
      </c>
      <c r="H20" s="16">
        <v>117</v>
      </c>
      <c r="I20" s="16">
        <v>114</v>
      </c>
      <c r="J20" s="16">
        <v>119</v>
      </c>
      <c r="K20" s="16">
        <v>111</v>
      </c>
      <c r="L20" s="16">
        <v>101</v>
      </c>
      <c r="M20" s="16">
        <v>74</v>
      </c>
      <c r="N20" s="13">
        <f t="shared" si="2"/>
        <v>944</v>
      </c>
    </row>
    <row r="21" spans="1:14" ht="12.75" customHeight="1" x14ac:dyDescent="0.3">
      <c r="A21" s="22"/>
      <c r="B21" s="65"/>
      <c r="C21" s="76"/>
      <c r="D21" s="13" t="s">
        <v>14</v>
      </c>
      <c r="E21" s="13">
        <f t="shared" ref="E21:M21" si="3">SUM(E19:E20)</f>
        <v>207</v>
      </c>
      <c r="F21" s="13">
        <f t="shared" si="3"/>
        <v>189</v>
      </c>
      <c r="G21" s="13">
        <f t="shared" si="3"/>
        <v>197</v>
      </c>
      <c r="H21" s="13">
        <f t="shared" si="3"/>
        <v>226</v>
      </c>
      <c r="I21" s="13">
        <f t="shared" si="3"/>
        <v>217</v>
      </c>
      <c r="J21" s="13">
        <f t="shared" si="3"/>
        <v>226</v>
      </c>
      <c r="K21" s="13">
        <f t="shared" si="3"/>
        <v>214</v>
      </c>
      <c r="L21" s="13">
        <f t="shared" si="3"/>
        <v>194</v>
      </c>
      <c r="M21" s="13">
        <f t="shared" si="3"/>
        <v>139</v>
      </c>
      <c r="N21" s="13">
        <f t="shared" si="2"/>
        <v>1809</v>
      </c>
    </row>
    <row r="22" spans="1:14" ht="12.75" customHeight="1" x14ac:dyDescent="0.3">
      <c r="A22" s="21"/>
      <c r="B22" s="77" t="s">
        <v>19</v>
      </c>
      <c r="C22" s="74" t="s">
        <v>20</v>
      </c>
      <c r="D22" s="16" t="s">
        <v>12</v>
      </c>
      <c r="E22" s="16">
        <v>0</v>
      </c>
      <c r="F22" s="16">
        <v>0</v>
      </c>
      <c r="G22" s="16">
        <v>1</v>
      </c>
      <c r="H22" s="16">
        <v>0</v>
      </c>
      <c r="I22" s="16">
        <v>0</v>
      </c>
      <c r="J22" s="16">
        <v>1</v>
      </c>
      <c r="K22" s="16">
        <v>0</v>
      </c>
      <c r="L22" s="16">
        <v>0</v>
      </c>
      <c r="M22" s="16">
        <v>0</v>
      </c>
      <c r="N22" s="13">
        <f t="shared" si="2"/>
        <v>2</v>
      </c>
    </row>
    <row r="23" spans="1:14" ht="12.75" customHeight="1" x14ac:dyDescent="0.3">
      <c r="A23" s="21"/>
      <c r="B23" s="73"/>
      <c r="C23" s="75"/>
      <c r="D23" s="16" t="s">
        <v>13</v>
      </c>
      <c r="E23" s="16">
        <v>1</v>
      </c>
      <c r="F23" s="16">
        <v>0</v>
      </c>
      <c r="G23" s="16">
        <v>1</v>
      </c>
      <c r="H23" s="16">
        <v>0</v>
      </c>
      <c r="I23" s="16">
        <v>0</v>
      </c>
      <c r="J23" s="16">
        <v>1</v>
      </c>
      <c r="K23" s="16">
        <v>0</v>
      </c>
      <c r="L23" s="16">
        <v>2</v>
      </c>
      <c r="M23" s="16">
        <v>0</v>
      </c>
      <c r="N23" s="13">
        <f t="shared" si="2"/>
        <v>5</v>
      </c>
    </row>
    <row r="24" spans="1:14" ht="12.75" customHeight="1" x14ac:dyDescent="0.3">
      <c r="A24" s="22"/>
      <c r="B24" s="65"/>
      <c r="C24" s="76"/>
      <c r="D24" s="13" t="s">
        <v>14</v>
      </c>
      <c r="E24" s="13">
        <f t="shared" ref="E24:M24" si="4">SUM(E22:E23)</f>
        <v>1</v>
      </c>
      <c r="F24" s="13">
        <f t="shared" si="4"/>
        <v>0</v>
      </c>
      <c r="G24" s="13">
        <f t="shared" si="4"/>
        <v>2</v>
      </c>
      <c r="H24" s="13">
        <f t="shared" si="4"/>
        <v>0</v>
      </c>
      <c r="I24" s="13">
        <f t="shared" si="4"/>
        <v>0</v>
      </c>
      <c r="J24" s="13">
        <f t="shared" si="4"/>
        <v>2</v>
      </c>
      <c r="K24" s="13">
        <f t="shared" si="4"/>
        <v>0</v>
      </c>
      <c r="L24" s="13">
        <f t="shared" si="4"/>
        <v>2</v>
      </c>
      <c r="M24" s="13">
        <f t="shared" si="4"/>
        <v>0</v>
      </c>
      <c r="N24" s="13">
        <f t="shared" si="2"/>
        <v>7</v>
      </c>
    </row>
    <row r="25" spans="1:14" ht="12.75" customHeight="1" x14ac:dyDescent="0.3">
      <c r="A25" s="21"/>
      <c r="B25" s="77" t="s">
        <v>21</v>
      </c>
      <c r="C25" s="74" t="s">
        <v>22</v>
      </c>
      <c r="D25" s="16" t="s">
        <v>12</v>
      </c>
      <c r="E25" s="16">
        <v>3</v>
      </c>
      <c r="F25" s="16">
        <v>3</v>
      </c>
      <c r="G25" s="16">
        <v>0</v>
      </c>
      <c r="H25" s="16">
        <v>0</v>
      </c>
      <c r="I25" s="16">
        <v>1</v>
      </c>
      <c r="J25" s="16">
        <v>1</v>
      </c>
      <c r="K25" s="16">
        <v>0</v>
      </c>
      <c r="L25" s="16">
        <v>2</v>
      </c>
      <c r="M25" s="16">
        <v>1</v>
      </c>
      <c r="N25" s="13">
        <f t="shared" si="2"/>
        <v>11</v>
      </c>
    </row>
    <row r="26" spans="1:14" ht="12.75" customHeight="1" x14ac:dyDescent="0.3">
      <c r="A26" s="21"/>
      <c r="B26" s="73"/>
      <c r="C26" s="75"/>
      <c r="D26" s="16" t="s">
        <v>13</v>
      </c>
      <c r="E26" s="16">
        <v>0</v>
      </c>
      <c r="F26" s="16">
        <v>4</v>
      </c>
      <c r="G26" s="16">
        <v>0</v>
      </c>
      <c r="H26" s="16">
        <v>0</v>
      </c>
      <c r="I26" s="16">
        <v>1</v>
      </c>
      <c r="J26" s="16">
        <v>4</v>
      </c>
      <c r="K26" s="16">
        <v>0</v>
      </c>
      <c r="L26" s="16">
        <v>0</v>
      </c>
      <c r="M26" s="16">
        <v>1</v>
      </c>
      <c r="N26" s="13">
        <f t="shared" si="2"/>
        <v>10</v>
      </c>
    </row>
    <row r="27" spans="1:14" ht="12.75" customHeight="1" x14ac:dyDescent="0.3">
      <c r="A27" s="22"/>
      <c r="B27" s="65"/>
      <c r="C27" s="76"/>
      <c r="D27" s="13" t="s">
        <v>14</v>
      </c>
      <c r="E27" s="13">
        <f t="shared" ref="E27:M27" si="5">SUM(E25:E26)</f>
        <v>3</v>
      </c>
      <c r="F27" s="13">
        <f t="shared" si="5"/>
        <v>7</v>
      </c>
      <c r="G27" s="13">
        <f t="shared" si="5"/>
        <v>0</v>
      </c>
      <c r="H27" s="13">
        <f t="shared" si="5"/>
        <v>0</v>
      </c>
      <c r="I27" s="13">
        <f t="shared" si="5"/>
        <v>2</v>
      </c>
      <c r="J27" s="13">
        <f t="shared" si="5"/>
        <v>5</v>
      </c>
      <c r="K27" s="13">
        <f t="shared" si="5"/>
        <v>0</v>
      </c>
      <c r="L27" s="13">
        <f t="shared" si="5"/>
        <v>2</v>
      </c>
      <c r="M27" s="13">
        <f t="shared" si="5"/>
        <v>2</v>
      </c>
      <c r="N27" s="13">
        <f t="shared" si="2"/>
        <v>21</v>
      </c>
    </row>
    <row r="28" spans="1:14" ht="12.75" customHeight="1" x14ac:dyDescent="0.3">
      <c r="A28" s="22"/>
      <c r="B28" s="78" t="s">
        <v>23</v>
      </c>
      <c r="C28" s="79" t="s">
        <v>24</v>
      </c>
      <c r="D28" s="13" t="s">
        <v>12</v>
      </c>
      <c r="E28" s="13">
        <f t="shared" ref="E28:M28" si="6">SUM(E19,E22,E25)</f>
        <v>107</v>
      </c>
      <c r="F28" s="13">
        <f t="shared" si="6"/>
        <v>96</v>
      </c>
      <c r="G28" s="13">
        <f t="shared" si="6"/>
        <v>89</v>
      </c>
      <c r="H28" s="13">
        <f t="shared" si="6"/>
        <v>109</v>
      </c>
      <c r="I28" s="13">
        <f t="shared" si="6"/>
        <v>104</v>
      </c>
      <c r="J28" s="13">
        <f t="shared" si="6"/>
        <v>109</v>
      </c>
      <c r="K28" s="13">
        <f t="shared" si="6"/>
        <v>103</v>
      </c>
      <c r="L28" s="13">
        <f t="shared" si="6"/>
        <v>95</v>
      </c>
      <c r="M28" s="13">
        <f t="shared" si="6"/>
        <v>66</v>
      </c>
      <c r="N28" s="13">
        <f t="shared" si="2"/>
        <v>878</v>
      </c>
    </row>
    <row r="29" spans="1:14" ht="12.75" customHeight="1" x14ac:dyDescent="0.3">
      <c r="A29" s="22"/>
      <c r="B29" s="73"/>
      <c r="C29" s="75"/>
      <c r="D29" s="13" t="s">
        <v>13</v>
      </c>
      <c r="E29" s="13">
        <f t="shared" ref="E29:M29" si="7">SUM(E20,E23,E26)</f>
        <v>104</v>
      </c>
      <c r="F29" s="13">
        <f t="shared" si="7"/>
        <v>100</v>
      </c>
      <c r="G29" s="13">
        <f t="shared" si="7"/>
        <v>110</v>
      </c>
      <c r="H29" s="13">
        <f t="shared" si="7"/>
        <v>117</v>
      </c>
      <c r="I29" s="13">
        <f t="shared" si="7"/>
        <v>115</v>
      </c>
      <c r="J29" s="13">
        <f t="shared" si="7"/>
        <v>124</v>
      </c>
      <c r="K29" s="13">
        <f t="shared" si="7"/>
        <v>111</v>
      </c>
      <c r="L29" s="13">
        <f t="shared" si="7"/>
        <v>103</v>
      </c>
      <c r="M29" s="13">
        <f t="shared" si="7"/>
        <v>75</v>
      </c>
      <c r="N29" s="13">
        <f t="shared" si="2"/>
        <v>959</v>
      </c>
    </row>
    <row r="30" spans="1:14" ht="12.75" customHeight="1" x14ac:dyDescent="0.3">
      <c r="A30" s="22"/>
      <c r="B30" s="65"/>
      <c r="C30" s="76"/>
      <c r="D30" s="13" t="s">
        <v>14</v>
      </c>
      <c r="E30" s="13">
        <f t="shared" ref="E30:M30" si="8">SUM(E28:E29)</f>
        <v>211</v>
      </c>
      <c r="F30" s="13">
        <f t="shared" si="8"/>
        <v>196</v>
      </c>
      <c r="G30" s="13">
        <f t="shared" si="8"/>
        <v>199</v>
      </c>
      <c r="H30" s="13">
        <f t="shared" si="8"/>
        <v>226</v>
      </c>
      <c r="I30" s="13">
        <f t="shared" si="8"/>
        <v>219</v>
      </c>
      <c r="J30" s="13">
        <f t="shared" si="8"/>
        <v>233</v>
      </c>
      <c r="K30" s="13">
        <f t="shared" si="8"/>
        <v>214</v>
      </c>
      <c r="L30" s="13">
        <f t="shared" si="8"/>
        <v>198</v>
      </c>
      <c r="M30" s="13">
        <f t="shared" si="8"/>
        <v>141</v>
      </c>
      <c r="N30" s="13">
        <f t="shared" si="2"/>
        <v>1837</v>
      </c>
    </row>
    <row r="31" spans="1:14" ht="12.75" customHeight="1" x14ac:dyDescent="0.3">
      <c r="A31" s="61"/>
      <c r="B31" s="60"/>
      <c r="C31" s="60"/>
      <c r="D31" s="58"/>
      <c r="E31" s="16"/>
      <c r="F31" s="16"/>
      <c r="G31" s="16"/>
      <c r="H31" s="16"/>
      <c r="I31" s="16"/>
      <c r="J31" s="16"/>
      <c r="K31" s="16"/>
      <c r="L31" s="16"/>
      <c r="M31" s="16"/>
      <c r="N31" s="49"/>
    </row>
    <row r="32" spans="1:14" ht="12.75" customHeight="1" x14ac:dyDescent="0.3">
      <c r="A32" s="25" t="s">
        <v>25</v>
      </c>
      <c r="B32" s="66" t="s">
        <v>26</v>
      </c>
      <c r="C32" s="60"/>
      <c r="D32" s="58"/>
      <c r="E32" s="13"/>
      <c r="F32" s="13"/>
      <c r="G32" s="13"/>
      <c r="H32" s="13"/>
      <c r="I32" s="13"/>
      <c r="J32" s="13"/>
      <c r="K32" s="13"/>
      <c r="L32" s="13"/>
      <c r="M32" s="13"/>
      <c r="N32" s="49"/>
    </row>
    <row r="33" spans="1:14" ht="12.75" customHeight="1" x14ac:dyDescent="0.3">
      <c r="A33" s="16">
        <v>1</v>
      </c>
      <c r="B33" s="70" t="s">
        <v>27</v>
      </c>
      <c r="C33" s="60"/>
      <c r="D33" s="58"/>
      <c r="E33" s="16">
        <v>245</v>
      </c>
      <c r="F33" s="16">
        <v>242</v>
      </c>
      <c r="G33" s="16">
        <v>249</v>
      </c>
      <c r="H33" s="16">
        <v>280</v>
      </c>
      <c r="I33" s="16">
        <v>294</v>
      </c>
      <c r="J33" s="16">
        <v>278</v>
      </c>
      <c r="K33" s="16">
        <v>288</v>
      </c>
      <c r="L33" s="16">
        <v>284</v>
      </c>
      <c r="M33" s="16">
        <v>187</v>
      </c>
      <c r="N33" s="13">
        <f t="shared" ref="N33:N36" si="9">SUM(E33:M33)</f>
        <v>2347</v>
      </c>
    </row>
    <row r="34" spans="1:14" ht="12.75" customHeight="1" x14ac:dyDescent="0.3">
      <c r="A34" s="16">
        <v>2</v>
      </c>
      <c r="B34" s="70" t="s">
        <v>28</v>
      </c>
      <c r="C34" s="60"/>
      <c r="D34" s="58"/>
      <c r="E34" s="13">
        <v>211</v>
      </c>
      <c r="F34" s="13">
        <v>196</v>
      </c>
      <c r="G34" s="13">
        <v>199</v>
      </c>
      <c r="H34" s="13">
        <v>226</v>
      </c>
      <c r="I34" s="13">
        <v>219</v>
      </c>
      <c r="J34" s="13">
        <v>233</v>
      </c>
      <c r="K34" s="13">
        <v>214</v>
      </c>
      <c r="L34" s="13">
        <v>198</v>
      </c>
      <c r="M34" s="13">
        <v>141</v>
      </c>
      <c r="N34" s="13">
        <f t="shared" si="9"/>
        <v>1837</v>
      </c>
    </row>
    <row r="35" spans="1:14" ht="12.75" customHeight="1" x14ac:dyDescent="0.3">
      <c r="A35" s="16">
        <v>3</v>
      </c>
      <c r="B35" s="70" t="s">
        <v>29</v>
      </c>
      <c r="C35" s="60"/>
      <c r="D35" s="58"/>
      <c r="E35" s="16">
        <v>1</v>
      </c>
      <c r="F35" s="16">
        <v>1</v>
      </c>
      <c r="G35" s="16">
        <v>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3">
        <f t="shared" si="9"/>
        <v>3</v>
      </c>
    </row>
    <row r="36" spans="1:14" ht="12.75" customHeight="1" x14ac:dyDescent="0.3">
      <c r="A36" s="16">
        <v>4</v>
      </c>
      <c r="B36" s="70" t="s">
        <v>30</v>
      </c>
      <c r="C36" s="60"/>
      <c r="D36" s="58"/>
      <c r="E36" s="13">
        <f t="shared" ref="E36:M36" si="10">E33-(E34+E35)</f>
        <v>33</v>
      </c>
      <c r="F36" s="13">
        <f t="shared" si="10"/>
        <v>45</v>
      </c>
      <c r="G36" s="13">
        <f t="shared" si="10"/>
        <v>49</v>
      </c>
      <c r="H36" s="13">
        <f t="shared" si="10"/>
        <v>54</v>
      </c>
      <c r="I36" s="13">
        <f t="shared" si="10"/>
        <v>75</v>
      </c>
      <c r="J36" s="13">
        <f t="shared" si="10"/>
        <v>45</v>
      </c>
      <c r="K36" s="13">
        <f t="shared" si="10"/>
        <v>74</v>
      </c>
      <c r="L36" s="13">
        <f t="shared" si="10"/>
        <v>86</v>
      </c>
      <c r="M36" s="13">
        <f t="shared" si="10"/>
        <v>46</v>
      </c>
      <c r="N36" s="13">
        <f t="shared" si="9"/>
        <v>507</v>
      </c>
    </row>
    <row r="37" spans="1:14" ht="12.75" customHeight="1" x14ac:dyDescent="0.3">
      <c r="A37" s="61"/>
      <c r="B37" s="60"/>
      <c r="C37" s="60"/>
      <c r="D37" s="60"/>
      <c r="E37" s="61"/>
      <c r="F37" s="60"/>
      <c r="G37" s="60"/>
      <c r="H37" s="60"/>
      <c r="I37" s="58"/>
      <c r="J37" s="16"/>
      <c r="K37" s="16"/>
      <c r="L37" s="16"/>
      <c r="M37" s="16"/>
      <c r="N37" s="49"/>
    </row>
    <row r="38" spans="1:14" ht="12.75" customHeight="1" x14ac:dyDescent="0.3">
      <c r="A38" s="26" t="s">
        <v>31</v>
      </c>
      <c r="B38" s="66" t="s">
        <v>32</v>
      </c>
      <c r="C38" s="60"/>
      <c r="D38" s="58"/>
      <c r="E38" s="13"/>
      <c r="F38" s="13"/>
      <c r="G38" s="13"/>
      <c r="H38" s="13"/>
      <c r="I38" s="13"/>
      <c r="J38" s="13"/>
      <c r="K38" s="13"/>
      <c r="L38" s="13"/>
      <c r="M38" s="13"/>
      <c r="N38" s="49"/>
    </row>
    <row r="39" spans="1:14" ht="12.75" customHeight="1" x14ac:dyDescent="0.3">
      <c r="A39" s="20"/>
      <c r="B39" s="80" t="s">
        <v>33</v>
      </c>
      <c r="C39" s="63"/>
      <c r="D39" s="16" t="s">
        <v>12</v>
      </c>
      <c r="E39" s="16"/>
      <c r="F39" s="16"/>
      <c r="G39" s="16"/>
      <c r="H39" s="16"/>
      <c r="I39" s="16"/>
      <c r="J39" s="16"/>
      <c r="K39" s="16"/>
      <c r="L39" s="16"/>
      <c r="M39" s="16"/>
      <c r="N39" s="13">
        <f t="shared" ref="N39:N41" si="11">SUM(E39:M39)</f>
        <v>0</v>
      </c>
    </row>
    <row r="40" spans="1:14" ht="12.75" customHeight="1" x14ac:dyDescent="0.3">
      <c r="A40" s="21"/>
      <c r="B40" s="81"/>
      <c r="C40" s="73"/>
      <c r="D40" s="16" t="s">
        <v>13</v>
      </c>
      <c r="E40" s="16"/>
      <c r="F40" s="16"/>
      <c r="G40" s="16"/>
      <c r="H40" s="16"/>
      <c r="I40" s="16"/>
      <c r="J40" s="16"/>
      <c r="K40" s="16"/>
      <c r="L40" s="16"/>
      <c r="M40" s="16"/>
      <c r="N40" s="13">
        <f t="shared" si="11"/>
        <v>0</v>
      </c>
    </row>
    <row r="41" spans="1:14" ht="12.75" customHeight="1" x14ac:dyDescent="0.3">
      <c r="A41" s="25"/>
      <c r="B41" s="56"/>
      <c r="C41" s="65"/>
      <c r="D41" s="13" t="s">
        <v>14</v>
      </c>
      <c r="E41" s="13">
        <f t="shared" ref="E41:M41" si="12">SUM(E39:E40)</f>
        <v>0</v>
      </c>
      <c r="F41" s="13">
        <f t="shared" si="12"/>
        <v>0</v>
      </c>
      <c r="G41" s="13">
        <f t="shared" si="12"/>
        <v>0</v>
      </c>
      <c r="H41" s="13">
        <f t="shared" si="12"/>
        <v>0</v>
      </c>
      <c r="I41" s="13">
        <f t="shared" si="12"/>
        <v>0</v>
      </c>
      <c r="J41" s="13">
        <f t="shared" si="12"/>
        <v>0</v>
      </c>
      <c r="K41" s="13">
        <f t="shared" si="12"/>
        <v>0</v>
      </c>
      <c r="L41" s="13">
        <f t="shared" si="12"/>
        <v>0</v>
      </c>
      <c r="M41" s="13">
        <f t="shared" si="12"/>
        <v>0</v>
      </c>
      <c r="N41" s="13">
        <f t="shared" si="11"/>
        <v>0</v>
      </c>
    </row>
    <row r="42" spans="1:14" ht="12.75" customHeight="1" x14ac:dyDescent="0.3">
      <c r="A42" s="55"/>
      <c r="B42" s="56"/>
      <c r="C42" s="56"/>
      <c r="D42" s="65"/>
      <c r="E42" s="61"/>
      <c r="F42" s="60"/>
      <c r="G42" s="60"/>
      <c r="H42" s="60"/>
      <c r="I42" s="58"/>
      <c r="J42" s="16"/>
      <c r="K42" s="16"/>
      <c r="L42" s="16"/>
      <c r="M42" s="16"/>
      <c r="N42" s="13"/>
    </row>
    <row r="43" spans="1:14" ht="12.75" customHeight="1" x14ac:dyDescent="0.3">
      <c r="A43" s="26" t="s">
        <v>34</v>
      </c>
      <c r="B43" s="66" t="s">
        <v>35</v>
      </c>
      <c r="C43" s="60"/>
      <c r="D43" s="58"/>
      <c r="E43" s="19"/>
      <c r="F43" s="13"/>
      <c r="G43" s="13"/>
      <c r="H43" s="13"/>
      <c r="I43" s="13"/>
      <c r="J43" s="13"/>
      <c r="K43" s="13"/>
      <c r="L43" s="13"/>
      <c r="M43" s="13"/>
      <c r="N43" s="13"/>
    </row>
    <row r="44" spans="1:14" ht="12.75" customHeight="1" x14ac:dyDescent="0.3">
      <c r="A44" s="80" t="s">
        <v>36</v>
      </c>
      <c r="B44" s="82"/>
      <c r="C44" s="82"/>
      <c r="D44" s="63"/>
      <c r="E44" s="17"/>
      <c r="F44" s="16"/>
      <c r="G44" s="16"/>
      <c r="H44" s="16"/>
      <c r="I44" s="16"/>
      <c r="J44" s="16"/>
      <c r="K44" s="16"/>
      <c r="L44" s="16"/>
      <c r="M44" s="16"/>
      <c r="N44" s="13"/>
    </row>
    <row r="45" spans="1:14" ht="12.75" customHeight="1" x14ac:dyDescent="0.3">
      <c r="A45" s="20" t="s">
        <v>37</v>
      </c>
      <c r="B45" s="27" t="s">
        <v>17</v>
      </c>
      <c r="C45" s="57" t="s">
        <v>38</v>
      </c>
      <c r="D45" s="58"/>
      <c r="E45" s="16">
        <v>10</v>
      </c>
      <c r="F45" s="16">
        <v>12</v>
      </c>
      <c r="G45" s="16">
        <v>5</v>
      </c>
      <c r="H45" s="16">
        <v>13</v>
      </c>
      <c r="I45" s="16">
        <v>4</v>
      </c>
      <c r="J45" s="16">
        <v>3</v>
      </c>
      <c r="K45" s="16">
        <v>7</v>
      </c>
      <c r="L45" s="16">
        <v>8</v>
      </c>
      <c r="M45" s="16">
        <v>9</v>
      </c>
      <c r="N45" s="13">
        <f t="shared" ref="N45:N54" si="13">SUM(E45:M45)</f>
        <v>71</v>
      </c>
    </row>
    <row r="46" spans="1:14" ht="12.75" customHeight="1" x14ac:dyDescent="0.3">
      <c r="A46" s="20" t="s">
        <v>39</v>
      </c>
      <c r="B46" s="28"/>
      <c r="C46" s="29" t="s">
        <v>40</v>
      </c>
      <c r="D46" s="30"/>
      <c r="E46" s="16">
        <v>22</v>
      </c>
      <c r="F46" s="16">
        <v>24</v>
      </c>
      <c r="G46" s="16">
        <v>6</v>
      </c>
      <c r="H46" s="16">
        <v>4</v>
      </c>
      <c r="I46" s="16">
        <v>5</v>
      </c>
      <c r="J46" s="16">
        <v>18</v>
      </c>
      <c r="K46" s="16">
        <v>10</v>
      </c>
      <c r="L46" s="16">
        <v>11</v>
      </c>
      <c r="M46" s="16">
        <v>10</v>
      </c>
      <c r="N46" s="13">
        <f t="shared" si="13"/>
        <v>110</v>
      </c>
    </row>
    <row r="47" spans="1:14" ht="12.75" customHeight="1" x14ac:dyDescent="0.3">
      <c r="A47" s="15"/>
      <c r="B47" s="28"/>
      <c r="C47" s="29" t="s">
        <v>41</v>
      </c>
      <c r="D47" s="30"/>
      <c r="E47" s="16">
        <v>3</v>
      </c>
      <c r="F47" s="16">
        <v>6</v>
      </c>
      <c r="G47" s="16">
        <v>0</v>
      </c>
      <c r="H47" s="16">
        <v>5</v>
      </c>
      <c r="I47" s="16">
        <v>4</v>
      </c>
      <c r="J47" s="16">
        <v>2</v>
      </c>
      <c r="K47" s="16">
        <v>5</v>
      </c>
      <c r="L47" s="16">
        <v>1</v>
      </c>
      <c r="M47" s="16">
        <v>0</v>
      </c>
      <c r="N47" s="13">
        <f t="shared" si="13"/>
        <v>26</v>
      </c>
    </row>
    <row r="48" spans="1:14" ht="12.75" customHeight="1" x14ac:dyDescent="0.3">
      <c r="A48" s="15"/>
      <c r="B48" s="28"/>
      <c r="C48" s="29" t="s">
        <v>42</v>
      </c>
      <c r="D48" s="30"/>
      <c r="E48" s="16">
        <v>0</v>
      </c>
      <c r="F48" s="16">
        <v>0</v>
      </c>
      <c r="G48" s="16">
        <v>0</v>
      </c>
      <c r="H48" s="16">
        <v>2</v>
      </c>
      <c r="I48" s="16">
        <v>0</v>
      </c>
      <c r="J48" s="16">
        <v>0</v>
      </c>
      <c r="K48" s="16">
        <v>2</v>
      </c>
      <c r="L48" s="16">
        <v>1</v>
      </c>
      <c r="M48" s="16">
        <v>1</v>
      </c>
      <c r="N48" s="13">
        <f t="shared" si="13"/>
        <v>6</v>
      </c>
    </row>
    <row r="49" spans="1:14" ht="12.75" customHeight="1" x14ac:dyDescent="0.3">
      <c r="A49" s="15"/>
      <c r="B49" s="28"/>
      <c r="C49" s="29" t="s">
        <v>43</v>
      </c>
      <c r="D49" s="30"/>
      <c r="E49" s="16">
        <v>1</v>
      </c>
      <c r="F49" s="16">
        <v>0</v>
      </c>
      <c r="G49" s="16">
        <v>3</v>
      </c>
      <c r="H49" s="16">
        <v>1</v>
      </c>
      <c r="I49" s="16">
        <v>1</v>
      </c>
      <c r="J49" s="16">
        <v>2</v>
      </c>
      <c r="K49" s="16">
        <v>0</v>
      </c>
      <c r="L49" s="16">
        <v>1</v>
      </c>
      <c r="M49" s="16">
        <v>0</v>
      </c>
      <c r="N49" s="13">
        <f t="shared" si="13"/>
        <v>9</v>
      </c>
    </row>
    <row r="50" spans="1:14" ht="12.75" customHeight="1" x14ac:dyDescent="0.3">
      <c r="A50" s="15"/>
      <c r="B50" s="28"/>
      <c r="C50" s="29" t="s">
        <v>44</v>
      </c>
      <c r="D50" s="30"/>
      <c r="E50" s="16">
        <v>0</v>
      </c>
      <c r="F50" s="16">
        <v>0</v>
      </c>
      <c r="G50" s="16">
        <v>1</v>
      </c>
      <c r="H50" s="16">
        <v>0</v>
      </c>
      <c r="I50" s="16">
        <v>2</v>
      </c>
      <c r="J50" s="16">
        <v>0</v>
      </c>
      <c r="K50" s="16">
        <v>0</v>
      </c>
      <c r="L50" s="16">
        <v>0</v>
      </c>
      <c r="M50" s="16">
        <v>1</v>
      </c>
      <c r="N50" s="13">
        <f t="shared" si="13"/>
        <v>4</v>
      </c>
    </row>
    <row r="51" spans="1:14" ht="12.75" customHeight="1" x14ac:dyDescent="0.3">
      <c r="A51" s="15"/>
      <c r="B51" s="28"/>
      <c r="C51" s="29" t="s">
        <v>45</v>
      </c>
      <c r="D51" s="30"/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3">
        <f t="shared" si="13"/>
        <v>0</v>
      </c>
    </row>
    <row r="52" spans="1:14" ht="12.75" customHeight="1" x14ac:dyDescent="0.3">
      <c r="A52" s="15"/>
      <c r="B52" s="28"/>
      <c r="C52" s="29" t="s">
        <v>46</v>
      </c>
      <c r="D52" s="30"/>
      <c r="E52" s="16">
        <v>0</v>
      </c>
      <c r="F52" s="16">
        <v>0</v>
      </c>
      <c r="G52" s="16">
        <v>0</v>
      </c>
      <c r="H52" s="16">
        <v>0</v>
      </c>
      <c r="I52" s="16">
        <v>2</v>
      </c>
      <c r="J52" s="16">
        <v>0</v>
      </c>
      <c r="K52" s="16">
        <v>0</v>
      </c>
      <c r="L52" s="16">
        <v>0</v>
      </c>
      <c r="M52" s="16">
        <v>0</v>
      </c>
      <c r="N52" s="13">
        <f t="shared" si="13"/>
        <v>2</v>
      </c>
    </row>
    <row r="53" spans="1:14" ht="12.75" customHeight="1" x14ac:dyDescent="0.3">
      <c r="A53" s="15"/>
      <c r="B53" s="28"/>
      <c r="C53" s="29" t="s">
        <v>47</v>
      </c>
      <c r="D53" s="35"/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1</v>
      </c>
      <c r="K53" s="16">
        <v>0</v>
      </c>
      <c r="L53" s="16">
        <v>0</v>
      </c>
      <c r="M53" s="16">
        <v>0</v>
      </c>
      <c r="N53" s="13">
        <f t="shared" si="13"/>
        <v>1</v>
      </c>
    </row>
    <row r="54" spans="1:14" ht="12.75" customHeight="1" x14ac:dyDescent="0.3">
      <c r="A54" s="15"/>
      <c r="B54" s="28"/>
      <c r="C54" s="29" t="s">
        <v>48</v>
      </c>
      <c r="D54" s="30"/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1</v>
      </c>
      <c r="M54" s="16">
        <v>0</v>
      </c>
      <c r="N54" s="13">
        <f t="shared" si="13"/>
        <v>1</v>
      </c>
    </row>
    <row r="55" spans="1:14" ht="12.75" customHeight="1" x14ac:dyDescent="0.3">
      <c r="A55" s="16" t="s">
        <v>15</v>
      </c>
      <c r="B55" s="59" t="s">
        <v>49</v>
      </c>
      <c r="C55" s="60"/>
      <c r="D55" s="58"/>
      <c r="E55" s="13">
        <f t="shared" ref="E55:N55" si="14">SUM(E45:E54)</f>
        <v>36</v>
      </c>
      <c r="F55" s="13">
        <f t="shared" si="14"/>
        <v>42</v>
      </c>
      <c r="G55" s="13">
        <f t="shared" si="14"/>
        <v>15</v>
      </c>
      <c r="H55" s="13">
        <f t="shared" si="14"/>
        <v>25</v>
      </c>
      <c r="I55" s="13">
        <f t="shared" si="14"/>
        <v>18</v>
      </c>
      <c r="J55" s="13">
        <f t="shared" si="14"/>
        <v>26</v>
      </c>
      <c r="K55" s="13">
        <f t="shared" si="14"/>
        <v>24</v>
      </c>
      <c r="L55" s="13">
        <f t="shared" si="14"/>
        <v>23</v>
      </c>
      <c r="M55" s="13">
        <f t="shared" si="14"/>
        <v>21</v>
      </c>
      <c r="N55" s="13">
        <f t="shared" si="14"/>
        <v>230</v>
      </c>
    </row>
    <row r="56" spans="1:14" ht="12.75" customHeight="1" x14ac:dyDescent="0.3">
      <c r="A56" s="55"/>
      <c r="B56" s="56"/>
      <c r="C56" s="56"/>
      <c r="D56" s="56"/>
      <c r="E56" s="56"/>
      <c r="N56" s="13"/>
    </row>
    <row r="57" spans="1:14" ht="12.75" customHeight="1" x14ac:dyDescent="0.3">
      <c r="A57" s="20" t="s">
        <v>37</v>
      </c>
      <c r="B57" s="27" t="s">
        <v>19</v>
      </c>
      <c r="C57" s="57" t="s">
        <v>50</v>
      </c>
      <c r="D57" s="58"/>
      <c r="E57" s="16">
        <v>11</v>
      </c>
      <c r="F57" s="16">
        <v>8</v>
      </c>
      <c r="G57" s="16">
        <v>6</v>
      </c>
      <c r="H57" s="16">
        <v>20</v>
      </c>
      <c r="I57" s="16">
        <v>14</v>
      </c>
      <c r="J57" s="16">
        <v>16</v>
      </c>
      <c r="K57" s="16">
        <v>12</v>
      </c>
      <c r="L57" s="16">
        <v>10</v>
      </c>
      <c r="M57" s="16">
        <v>4</v>
      </c>
      <c r="N57" s="13">
        <f t="shared" ref="N57:N66" si="15">SUM(E57:M57)</f>
        <v>101</v>
      </c>
    </row>
    <row r="58" spans="1:14" ht="12.75" customHeight="1" x14ac:dyDescent="0.3">
      <c r="A58" s="20" t="s">
        <v>39</v>
      </c>
      <c r="B58" s="28"/>
      <c r="C58" s="29" t="s">
        <v>51</v>
      </c>
      <c r="D58" s="30"/>
      <c r="E58" s="16">
        <v>2</v>
      </c>
      <c r="F58" s="16">
        <v>5</v>
      </c>
      <c r="G58" s="16">
        <v>9</v>
      </c>
      <c r="H58" s="16">
        <v>6</v>
      </c>
      <c r="I58" s="16">
        <v>8</v>
      </c>
      <c r="J58" s="16">
        <v>5</v>
      </c>
      <c r="K58" s="16">
        <v>7</v>
      </c>
      <c r="L58" s="16">
        <v>8</v>
      </c>
      <c r="M58" s="16">
        <v>5</v>
      </c>
      <c r="N58" s="13">
        <f t="shared" si="15"/>
        <v>55</v>
      </c>
    </row>
    <row r="59" spans="1:14" ht="12.75" customHeight="1" x14ac:dyDescent="0.3">
      <c r="A59" s="15"/>
      <c r="B59" s="28"/>
      <c r="C59" s="29" t="s">
        <v>52</v>
      </c>
      <c r="D59" s="30"/>
      <c r="E59" s="16">
        <v>7</v>
      </c>
      <c r="F59" s="16">
        <v>4</v>
      </c>
      <c r="G59" s="16">
        <v>5</v>
      </c>
      <c r="H59" s="16">
        <v>12</v>
      </c>
      <c r="I59" s="16">
        <v>6</v>
      </c>
      <c r="J59" s="16">
        <v>14</v>
      </c>
      <c r="K59" s="16">
        <v>10</v>
      </c>
      <c r="L59" s="16">
        <v>4</v>
      </c>
      <c r="M59" s="16">
        <v>3</v>
      </c>
      <c r="N59" s="13">
        <f t="shared" si="15"/>
        <v>65</v>
      </c>
    </row>
    <row r="60" spans="1:14" ht="12.75" customHeight="1" x14ac:dyDescent="0.3">
      <c r="A60" s="15"/>
      <c r="B60" s="28"/>
      <c r="C60" s="29" t="s">
        <v>53</v>
      </c>
      <c r="D60" s="30"/>
      <c r="E60" s="16">
        <v>1</v>
      </c>
      <c r="F60" s="16">
        <v>2</v>
      </c>
      <c r="G60" s="16">
        <v>1</v>
      </c>
      <c r="H60" s="16">
        <v>2</v>
      </c>
      <c r="I60" s="16">
        <v>1</v>
      </c>
      <c r="J60" s="16">
        <v>1</v>
      </c>
      <c r="K60" s="16">
        <v>0</v>
      </c>
      <c r="L60" s="16">
        <v>1</v>
      </c>
      <c r="M60" s="16">
        <v>1</v>
      </c>
      <c r="N60" s="13">
        <f t="shared" si="15"/>
        <v>10</v>
      </c>
    </row>
    <row r="61" spans="1:14" ht="12.75" customHeight="1" x14ac:dyDescent="0.3">
      <c r="A61" s="15"/>
      <c r="B61" s="28"/>
      <c r="C61" s="29" t="s">
        <v>54</v>
      </c>
      <c r="D61" s="30"/>
      <c r="E61" s="16">
        <v>7</v>
      </c>
      <c r="F61" s="16">
        <v>5</v>
      </c>
      <c r="G61" s="16">
        <v>12</v>
      </c>
      <c r="H61" s="16">
        <v>2</v>
      </c>
      <c r="I61" s="16">
        <v>5</v>
      </c>
      <c r="J61" s="16">
        <v>2</v>
      </c>
      <c r="K61" s="16">
        <v>0</v>
      </c>
      <c r="L61" s="16">
        <v>1</v>
      </c>
      <c r="M61" s="16">
        <v>0</v>
      </c>
      <c r="N61" s="13">
        <f t="shared" si="15"/>
        <v>34</v>
      </c>
    </row>
    <row r="62" spans="1:14" ht="12.75" customHeight="1" x14ac:dyDescent="0.3">
      <c r="A62" s="15"/>
      <c r="B62" s="28"/>
      <c r="C62" s="29" t="s">
        <v>55</v>
      </c>
      <c r="D62" s="30"/>
      <c r="E62" s="16">
        <v>0</v>
      </c>
      <c r="F62" s="16">
        <v>1</v>
      </c>
      <c r="G62" s="16">
        <v>0</v>
      </c>
      <c r="H62" s="16">
        <v>0</v>
      </c>
      <c r="I62" s="16">
        <v>1</v>
      </c>
      <c r="J62" s="16">
        <v>1</v>
      </c>
      <c r="K62" s="16">
        <v>1</v>
      </c>
      <c r="L62" s="16">
        <v>0</v>
      </c>
      <c r="M62" s="16">
        <v>0</v>
      </c>
      <c r="N62" s="13">
        <f t="shared" si="15"/>
        <v>4</v>
      </c>
    </row>
    <row r="63" spans="1:14" ht="12.75" customHeight="1" x14ac:dyDescent="0.3">
      <c r="A63" s="15"/>
      <c r="B63" s="28"/>
      <c r="C63" s="29" t="s">
        <v>56</v>
      </c>
      <c r="D63" s="30"/>
      <c r="E63" s="16">
        <v>0</v>
      </c>
      <c r="F63" s="16">
        <v>0</v>
      </c>
      <c r="G63" s="16">
        <v>2</v>
      </c>
      <c r="H63" s="16">
        <v>0</v>
      </c>
      <c r="I63" s="16">
        <v>1</v>
      </c>
      <c r="J63" s="16">
        <v>0</v>
      </c>
      <c r="K63" s="16">
        <v>0</v>
      </c>
      <c r="L63" s="16">
        <v>2</v>
      </c>
      <c r="M63" s="16">
        <v>0</v>
      </c>
      <c r="N63" s="13">
        <f t="shared" si="15"/>
        <v>5</v>
      </c>
    </row>
    <row r="64" spans="1:14" ht="12.75" customHeight="1" x14ac:dyDescent="0.3">
      <c r="A64" s="15"/>
      <c r="B64" s="28"/>
      <c r="C64" s="29" t="s">
        <v>57</v>
      </c>
      <c r="D64" s="30"/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1</v>
      </c>
      <c r="M64" s="16">
        <v>0</v>
      </c>
      <c r="N64" s="13">
        <f t="shared" si="15"/>
        <v>1</v>
      </c>
    </row>
    <row r="65" spans="1:14" ht="12.75" customHeight="1" x14ac:dyDescent="0.3">
      <c r="A65" s="15"/>
      <c r="B65" s="28"/>
      <c r="C65" s="29" t="s">
        <v>58</v>
      </c>
      <c r="D65" s="30"/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1</v>
      </c>
      <c r="L65" s="16">
        <v>0</v>
      </c>
      <c r="M65" s="16">
        <v>0</v>
      </c>
      <c r="N65" s="13">
        <f t="shared" si="15"/>
        <v>1</v>
      </c>
    </row>
    <row r="66" spans="1:14" ht="12.75" customHeight="1" x14ac:dyDescent="0.3">
      <c r="A66" s="15"/>
      <c r="B66" s="28"/>
      <c r="C66" s="29" t="s">
        <v>59</v>
      </c>
      <c r="D66" s="30"/>
      <c r="E66" s="16">
        <v>1</v>
      </c>
      <c r="F66" s="16">
        <v>0</v>
      </c>
      <c r="G66" s="16">
        <v>2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3">
        <f t="shared" si="15"/>
        <v>3</v>
      </c>
    </row>
    <row r="67" spans="1:14" ht="12.75" customHeight="1" x14ac:dyDescent="0.3">
      <c r="A67" s="16" t="s">
        <v>15</v>
      </c>
      <c r="B67" s="59" t="s">
        <v>49</v>
      </c>
      <c r="C67" s="60"/>
      <c r="D67" s="58"/>
      <c r="E67" s="13">
        <f t="shared" ref="E67:N67" si="16">SUM(E57:E66)</f>
        <v>29</v>
      </c>
      <c r="F67" s="13">
        <f t="shared" si="16"/>
        <v>25</v>
      </c>
      <c r="G67" s="13">
        <f t="shared" si="16"/>
        <v>37</v>
      </c>
      <c r="H67" s="13">
        <f t="shared" si="16"/>
        <v>42</v>
      </c>
      <c r="I67" s="13">
        <f t="shared" si="16"/>
        <v>36</v>
      </c>
      <c r="J67" s="13">
        <f t="shared" si="16"/>
        <v>39</v>
      </c>
      <c r="K67" s="13">
        <f t="shared" si="16"/>
        <v>31</v>
      </c>
      <c r="L67" s="13">
        <f t="shared" si="16"/>
        <v>27</v>
      </c>
      <c r="M67" s="13">
        <f t="shared" si="16"/>
        <v>13</v>
      </c>
      <c r="N67" s="13">
        <f t="shared" si="16"/>
        <v>279</v>
      </c>
    </row>
    <row r="68" spans="1:14" ht="12.75" customHeight="1" x14ac:dyDescent="0.3">
      <c r="A68" s="55"/>
      <c r="B68" s="56"/>
      <c r="C68" s="56"/>
      <c r="D68" s="56"/>
      <c r="E68" s="56"/>
    </row>
    <row r="69" spans="1:14" ht="12.75" customHeight="1" x14ac:dyDescent="0.3">
      <c r="A69" s="20" t="s">
        <v>37</v>
      </c>
      <c r="B69" s="27" t="s">
        <v>21</v>
      </c>
      <c r="C69" s="57" t="s">
        <v>60</v>
      </c>
      <c r="D69" s="58"/>
      <c r="E69" s="16">
        <v>15</v>
      </c>
      <c r="F69" s="16">
        <v>8</v>
      </c>
      <c r="G69" s="16">
        <v>14</v>
      </c>
      <c r="H69" s="16">
        <v>9</v>
      </c>
      <c r="I69" s="16">
        <v>16</v>
      </c>
      <c r="J69" s="16">
        <v>11</v>
      </c>
      <c r="K69" s="16">
        <v>6</v>
      </c>
      <c r="L69" s="16">
        <v>9</v>
      </c>
      <c r="M69" s="16">
        <v>5</v>
      </c>
      <c r="N69" s="13">
        <f t="shared" ref="N69:N78" si="17">SUM(E69:M69)</f>
        <v>93</v>
      </c>
    </row>
    <row r="70" spans="1:14" ht="12.75" customHeight="1" x14ac:dyDescent="0.3">
      <c r="A70" s="20" t="s">
        <v>39</v>
      </c>
      <c r="B70" s="28"/>
      <c r="C70" s="29" t="s">
        <v>61</v>
      </c>
      <c r="D70" s="30"/>
      <c r="E70" s="16">
        <v>10</v>
      </c>
      <c r="F70" s="16">
        <v>6</v>
      </c>
      <c r="G70" s="16">
        <v>3</v>
      </c>
      <c r="H70" s="16">
        <v>5</v>
      </c>
      <c r="I70" s="16">
        <v>53</v>
      </c>
      <c r="J70" s="16">
        <v>52</v>
      </c>
      <c r="K70" s="16">
        <v>2</v>
      </c>
      <c r="L70" s="16">
        <v>7</v>
      </c>
      <c r="M70" s="16">
        <v>8</v>
      </c>
      <c r="N70" s="13">
        <f t="shared" si="17"/>
        <v>146</v>
      </c>
    </row>
    <row r="71" spans="1:14" ht="12.75" customHeight="1" x14ac:dyDescent="0.3">
      <c r="A71" s="15"/>
      <c r="B71" s="28"/>
      <c r="C71" s="29" t="s">
        <v>62</v>
      </c>
      <c r="D71" s="30"/>
      <c r="E71" s="16">
        <v>4</v>
      </c>
      <c r="F71" s="16">
        <v>1</v>
      </c>
      <c r="G71" s="16">
        <v>6</v>
      </c>
      <c r="H71" s="16">
        <v>0</v>
      </c>
      <c r="I71" s="16">
        <v>3</v>
      </c>
      <c r="J71" s="16">
        <v>2</v>
      </c>
      <c r="K71" s="16">
        <v>5</v>
      </c>
      <c r="L71" s="16">
        <v>2</v>
      </c>
      <c r="M71" s="16">
        <v>3</v>
      </c>
      <c r="N71" s="13">
        <f t="shared" si="17"/>
        <v>26</v>
      </c>
    </row>
    <row r="72" spans="1:14" ht="12.75" customHeight="1" x14ac:dyDescent="0.3">
      <c r="A72" s="15"/>
      <c r="B72" s="28"/>
      <c r="C72" s="29" t="s">
        <v>63</v>
      </c>
      <c r="D72" s="30"/>
      <c r="E72" s="16">
        <v>2</v>
      </c>
      <c r="F72" s="16">
        <v>7</v>
      </c>
      <c r="G72" s="16">
        <v>3</v>
      </c>
      <c r="H72" s="16">
        <v>5</v>
      </c>
      <c r="I72" s="16">
        <v>4</v>
      </c>
      <c r="J72" s="16">
        <v>3</v>
      </c>
      <c r="K72" s="16">
        <v>2</v>
      </c>
      <c r="L72" s="16">
        <v>0</v>
      </c>
      <c r="M72" s="16">
        <v>5</v>
      </c>
      <c r="N72" s="13">
        <f t="shared" si="17"/>
        <v>31</v>
      </c>
    </row>
    <row r="73" spans="1:14" ht="12.75" customHeight="1" x14ac:dyDescent="0.3">
      <c r="A73" s="15"/>
      <c r="B73" s="28"/>
      <c r="C73" s="29" t="s">
        <v>64</v>
      </c>
      <c r="D73" s="30"/>
      <c r="E73" s="16">
        <v>2</v>
      </c>
      <c r="F73" s="16">
        <v>0</v>
      </c>
      <c r="G73" s="16">
        <v>2</v>
      </c>
      <c r="H73" s="16">
        <v>2</v>
      </c>
      <c r="I73" s="16">
        <v>3</v>
      </c>
      <c r="J73" s="16">
        <v>2</v>
      </c>
      <c r="K73" s="16">
        <v>1</v>
      </c>
      <c r="L73" s="16">
        <v>0</v>
      </c>
      <c r="M73" s="16">
        <v>5</v>
      </c>
      <c r="N73" s="13">
        <f t="shared" si="17"/>
        <v>17</v>
      </c>
    </row>
    <row r="74" spans="1:14" ht="12.75" customHeight="1" x14ac:dyDescent="0.3">
      <c r="A74" s="15"/>
      <c r="B74" s="28"/>
      <c r="C74" s="29" t="s">
        <v>65</v>
      </c>
      <c r="D74" s="30"/>
      <c r="E74" s="16">
        <v>5</v>
      </c>
      <c r="F74" s="16">
        <v>2</v>
      </c>
      <c r="G74" s="16">
        <v>0</v>
      </c>
      <c r="H74" s="16">
        <v>0</v>
      </c>
      <c r="I74" s="16">
        <v>3</v>
      </c>
      <c r="J74" s="16">
        <v>0</v>
      </c>
      <c r="K74" s="16">
        <v>1</v>
      </c>
      <c r="L74" s="16">
        <v>0</v>
      </c>
      <c r="M74" s="16">
        <v>1</v>
      </c>
      <c r="N74" s="13">
        <f t="shared" si="17"/>
        <v>12</v>
      </c>
    </row>
    <row r="75" spans="1:14" ht="12.75" customHeight="1" x14ac:dyDescent="0.3">
      <c r="A75" s="15"/>
      <c r="B75" s="28"/>
      <c r="C75" s="29" t="s">
        <v>66</v>
      </c>
      <c r="D75" s="30"/>
      <c r="E75" s="16">
        <v>0</v>
      </c>
      <c r="F75" s="16">
        <v>1</v>
      </c>
      <c r="G75" s="16">
        <v>0</v>
      </c>
      <c r="H75" s="16">
        <v>1</v>
      </c>
      <c r="I75" s="16">
        <v>0</v>
      </c>
      <c r="J75" s="16">
        <v>1</v>
      </c>
      <c r="K75" s="16">
        <v>1</v>
      </c>
      <c r="L75" s="16">
        <v>1</v>
      </c>
      <c r="M75" s="16">
        <v>0</v>
      </c>
      <c r="N75" s="13">
        <f t="shared" si="17"/>
        <v>5</v>
      </c>
    </row>
    <row r="76" spans="1:14" ht="12.75" customHeight="1" x14ac:dyDescent="0.3">
      <c r="A76" s="15"/>
      <c r="B76" s="28"/>
      <c r="C76" s="29" t="s">
        <v>67</v>
      </c>
      <c r="D76" s="30"/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1</v>
      </c>
      <c r="K76" s="16">
        <v>0</v>
      </c>
      <c r="L76" s="16">
        <v>0</v>
      </c>
      <c r="M76" s="16">
        <v>0</v>
      </c>
      <c r="N76" s="13">
        <f t="shared" si="17"/>
        <v>1</v>
      </c>
    </row>
    <row r="77" spans="1:14" ht="12.75" customHeight="1" x14ac:dyDescent="0.3">
      <c r="A77" s="15"/>
      <c r="B77" s="28"/>
      <c r="C77" s="29" t="s">
        <v>68</v>
      </c>
      <c r="D77" s="30"/>
      <c r="E77" s="16">
        <v>1</v>
      </c>
      <c r="F77" s="16">
        <v>1</v>
      </c>
      <c r="G77" s="16">
        <v>2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3">
        <f t="shared" si="17"/>
        <v>4</v>
      </c>
    </row>
    <row r="78" spans="1:14" ht="12.75" customHeight="1" x14ac:dyDescent="0.3">
      <c r="A78" s="15"/>
      <c r="B78" s="28"/>
      <c r="C78" s="29" t="s">
        <v>69</v>
      </c>
      <c r="D78" s="30"/>
      <c r="E78" s="16">
        <v>0</v>
      </c>
      <c r="F78" s="16">
        <v>1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3">
        <f t="shared" si="17"/>
        <v>1</v>
      </c>
    </row>
    <row r="79" spans="1:14" ht="12.75" customHeight="1" x14ac:dyDescent="0.3">
      <c r="A79" s="16" t="s">
        <v>15</v>
      </c>
      <c r="B79" s="59" t="s">
        <v>49</v>
      </c>
      <c r="C79" s="60"/>
      <c r="D79" s="58"/>
      <c r="E79" s="13">
        <f t="shared" ref="E79:N79" si="18">SUM(E69:E78)</f>
        <v>39</v>
      </c>
      <c r="F79" s="13">
        <f t="shared" si="18"/>
        <v>27</v>
      </c>
      <c r="G79" s="13">
        <f t="shared" si="18"/>
        <v>30</v>
      </c>
      <c r="H79" s="13">
        <f t="shared" si="18"/>
        <v>22</v>
      </c>
      <c r="I79" s="13">
        <f t="shared" si="18"/>
        <v>82</v>
      </c>
      <c r="J79" s="13">
        <f t="shared" si="18"/>
        <v>72</v>
      </c>
      <c r="K79" s="13">
        <f t="shared" si="18"/>
        <v>18</v>
      </c>
      <c r="L79" s="13">
        <f t="shared" si="18"/>
        <v>19</v>
      </c>
      <c r="M79" s="13">
        <f t="shared" si="18"/>
        <v>27</v>
      </c>
      <c r="N79" s="13">
        <f t="shared" si="18"/>
        <v>336</v>
      </c>
    </row>
    <row r="80" spans="1:14" ht="12.75" customHeight="1" x14ac:dyDescent="0.3">
      <c r="A80" s="55"/>
      <c r="B80" s="56"/>
      <c r="C80" s="56"/>
      <c r="D80" s="56"/>
      <c r="E80" s="56"/>
    </row>
    <row r="81" spans="1:14" ht="12.75" customHeight="1" x14ac:dyDescent="0.3">
      <c r="A81" s="20" t="s">
        <v>37</v>
      </c>
      <c r="B81" s="27" t="s">
        <v>23</v>
      </c>
      <c r="C81" s="57" t="s">
        <v>70</v>
      </c>
      <c r="D81" s="58"/>
      <c r="E81" s="16">
        <v>1</v>
      </c>
      <c r="F81" s="16">
        <v>2</v>
      </c>
      <c r="G81" s="16">
        <v>0</v>
      </c>
      <c r="H81" s="16">
        <v>7</v>
      </c>
      <c r="I81" s="16">
        <v>5</v>
      </c>
      <c r="J81" s="16">
        <v>0</v>
      </c>
      <c r="K81" s="16">
        <v>7</v>
      </c>
      <c r="L81" s="16">
        <v>3</v>
      </c>
      <c r="M81" s="16">
        <v>1</v>
      </c>
      <c r="N81" s="13">
        <f t="shared" ref="N81:N90" si="19">SUM(E81:M81)</f>
        <v>26</v>
      </c>
    </row>
    <row r="82" spans="1:14" ht="12.75" customHeight="1" x14ac:dyDescent="0.3">
      <c r="A82" s="20" t="s">
        <v>39</v>
      </c>
      <c r="B82" s="28"/>
      <c r="C82" s="29" t="s">
        <v>71</v>
      </c>
      <c r="D82" s="30"/>
      <c r="E82" s="16">
        <v>9</v>
      </c>
      <c r="F82" s="16">
        <v>22</v>
      </c>
      <c r="G82" s="16">
        <v>1</v>
      </c>
      <c r="H82" s="16">
        <v>0</v>
      </c>
      <c r="I82" s="16">
        <v>2</v>
      </c>
      <c r="J82" s="16">
        <v>2</v>
      </c>
      <c r="K82" s="16">
        <v>16</v>
      </c>
      <c r="L82" s="16">
        <v>31</v>
      </c>
      <c r="M82" s="16">
        <v>9</v>
      </c>
      <c r="N82" s="13">
        <f t="shared" si="19"/>
        <v>92</v>
      </c>
    </row>
    <row r="83" spans="1:14" ht="12.75" customHeight="1" x14ac:dyDescent="0.3">
      <c r="A83" s="15"/>
      <c r="B83" s="28"/>
      <c r="C83" s="29" t="s">
        <v>72</v>
      </c>
      <c r="D83" s="30"/>
      <c r="E83" s="16">
        <v>1</v>
      </c>
      <c r="F83" s="16">
        <v>1</v>
      </c>
      <c r="G83" s="16">
        <v>0</v>
      </c>
      <c r="H83" s="16">
        <v>3</v>
      </c>
      <c r="I83" s="16">
        <v>1</v>
      </c>
      <c r="J83" s="16">
        <v>0</v>
      </c>
      <c r="K83" s="16">
        <v>0</v>
      </c>
      <c r="L83" s="16">
        <v>0</v>
      </c>
      <c r="M83" s="16">
        <v>2</v>
      </c>
      <c r="N83" s="13">
        <f t="shared" si="19"/>
        <v>8</v>
      </c>
    </row>
    <row r="84" spans="1:14" ht="12.75" customHeight="1" x14ac:dyDescent="0.3">
      <c r="A84" s="15"/>
      <c r="B84" s="28"/>
      <c r="C84" s="29" t="s">
        <v>73</v>
      </c>
      <c r="D84" s="30"/>
      <c r="E84" s="16">
        <v>0</v>
      </c>
      <c r="F84" s="16">
        <v>1</v>
      </c>
      <c r="G84" s="16">
        <v>1</v>
      </c>
      <c r="H84" s="16">
        <v>2</v>
      </c>
      <c r="I84" s="16">
        <v>0</v>
      </c>
      <c r="J84" s="16">
        <v>1</v>
      </c>
      <c r="K84" s="16">
        <v>1</v>
      </c>
      <c r="L84" s="16">
        <v>0</v>
      </c>
      <c r="M84" s="16">
        <v>0</v>
      </c>
      <c r="N84" s="13">
        <f t="shared" si="19"/>
        <v>6</v>
      </c>
    </row>
    <row r="85" spans="1:14" ht="12.75" customHeight="1" x14ac:dyDescent="0.3">
      <c r="A85" s="15"/>
      <c r="B85" s="28"/>
      <c r="C85" s="29" t="s">
        <v>74</v>
      </c>
      <c r="D85" s="30"/>
      <c r="E85" s="16">
        <v>0</v>
      </c>
      <c r="F85" s="16">
        <v>0</v>
      </c>
      <c r="G85" s="16">
        <v>0</v>
      </c>
      <c r="H85" s="16">
        <v>2</v>
      </c>
      <c r="I85" s="16">
        <v>3</v>
      </c>
      <c r="J85" s="16">
        <v>0</v>
      </c>
      <c r="K85" s="16">
        <v>0</v>
      </c>
      <c r="L85" s="16">
        <v>1</v>
      </c>
      <c r="M85" s="16">
        <v>17</v>
      </c>
      <c r="N85" s="13">
        <f t="shared" si="19"/>
        <v>23</v>
      </c>
    </row>
    <row r="86" spans="1:14" ht="12.75" customHeight="1" x14ac:dyDescent="0.3">
      <c r="A86" s="15"/>
      <c r="B86" s="28"/>
      <c r="C86" s="29" t="s">
        <v>75</v>
      </c>
      <c r="D86" s="30"/>
      <c r="E86" s="16">
        <v>18</v>
      </c>
      <c r="F86" s="16">
        <v>20</v>
      </c>
      <c r="G86" s="16">
        <v>11</v>
      </c>
      <c r="H86" s="16">
        <v>7</v>
      </c>
      <c r="I86" s="16">
        <v>9</v>
      </c>
      <c r="J86" s="16">
        <v>12</v>
      </c>
      <c r="K86" s="16">
        <v>14</v>
      </c>
      <c r="L86" s="16">
        <v>8</v>
      </c>
      <c r="M86" s="16">
        <v>6</v>
      </c>
      <c r="N86" s="13">
        <f t="shared" si="19"/>
        <v>105</v>
      </c>
    </row>
    <row r="87" spans="1:14" ht="12.75" customHeight="1" x14ac:dyDescent="0.3">
      <c r="A87" s="15"/>
      <c r="B87" s="28"/>
      <c r="C87" s="29" t="s">
        <v>76</v>
      </c>
      <c r="D87" s="30"/>
      <c r="E87" s="16">
        <v>0</v>
      </c>
      <c r="F87" s="16">
        <v>1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3">
        <f t="shared" si="19"/>
        <v>1</v>
      </c>
    </row>
    <row r="88" spans="1:14" ht="12.75" customHeight="1" x14ac:dyDescent="0.3">
      <c r="A88" s="15"/>
      <c r="B88" s="28"/>
      <c r="C88" s="29" t="s">
        <v>77</v>
      </c>
      <c r="D88" s="30"/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3">
        <f t="shared" si="19"/>
        <v>0</v>
      </c>
    </row>
    <row r="89" spans="1:14" ht="12.75" customHeight="1" x14ac:dyDescent="0.3">
      <c r="A89" s="15"/>
      <c r="B89" s="28"/>
      <c r="C89" s="29" t="s">
        <v>78</v>
      </c>
      <c r="D89" s="30"/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3">
        <f t="shared" si="19"/>
        <v>0</v>
      </c>
    </row>
    <row r="90" spans="1:14" ht="12.75" customHeight="1" x14ac:dyDescent="0.3">
      <c r="A90" s="15"/>
      <c r="B90" s="28"/>
      <c r="C90" s="29" t="s">
        <v>79</v>
      </c>
      <c r="D90" s="30"/>
      <c r="E90" s="16">
        <v>1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3">
        <f t="shared" si="19"/>
        <v>1</v>
      </c>
    </row>
    <row r="91" spans="1:14" ht="12.75" customHeight="1" x14ac:dyDescent="0.3">
      <c r="A91" s="16" t="s">
        <v>15</v>
      </c>
      <c r="B91" s="59" t="s">
        <v>49</v>
      </c>
      <c r="C91" s="60"/>
      <c r="D91" s="58"/>
      <c r="E91" s="13">
        <f t="shared" ref="E91:N91" si="20">SUM(E81:E90)</f>
        <v>30</v>
      </c>
      <c r="F91" s="13">
        <f t="shared" si="20"/>
        <v>47</v>
      </c>
      <c r="G91" s="13">
        <f t="shared" si="20"/>
        <v>13</v>
      </c>
      <c r="H91" s="13">
        <f t="shared" si="20"/>
        <v>21</v>
      </c>
      <c r="I91" s="13">
        <f t="shared" si="20"/>
        <v>20</v>
      </c>
      <c r="J91" s="13">
        <f t="shared" si="20"/>
        <v>15</v>
      </c>
      <c r="K91" s="13">
        <f t="shared" si="20"/>
        <v>38</v>
      </c>
      <c r="L91" s="13">
        <f t="shared" si="20"/>
        <v>43</v>
      </c>
      <c r="M91" s="13">
        <f t="shared" si="20"/>
        <v>35</v>
      </c>
      <c r="N91" s="13">
        <f t="shared" si="20"/>
        <v>262</v>
      </c>
    </row>
    <row r="92" spans="1:14" ht="12.75" customHeight="1" x14ac:dyDescent="0.3">
      <c r="A92" s="55"/>
      <c r="B92" s="56"/>
      <c r="C92" s="56"/>
      <c r="D92" s="56"/>
      <c r="E92" s="56"/>
    </row>
    <row r="93" spans="1:14" ht="12.75" customHeight="1" x14ac:dyDescent="0.3">
      <c r="A93" s="20" t="s">
        <v>37</v>
      </c>
      <c r="B93" s="27" t="s">
        <v>80</v>
      </c>
      <c r="C93" s="57" t="s">
        <v>81</v>
      </c>
      <c r="D93" s="58"/>
      <c r="E93" s="16">
        <v>0</v>
      </c>
      <c r="F93" s="16">
        <v>1</v>
      </c>
      <c r="G93" s="16">
        <v>0</v>
      </c>
      <c r="H93" s="16">
        <v>1</v>
      </c>
      <c r="I93" s="16">
        <v>1</v>
      </c>
      <c r="J93" s="16">
        <v>0</v>
      </c>
      <c r="K93" s="16">
        <v>0</v>
      </c>
      <c r="L93" s="16">
        <v>1</v>
      </c>
      <c r="M93" s="16">
        <v>0</v>
      </c>
      <c r="N93" s="13">
        <f t="shared" ref="N93:N102" si="21">SUM(E93:M93)</f>
        <v>4</v>
      </c>
    </row>
    <row r="94" spans="1:14" ht="12.75" customHeight="1" x14ac:dyDescent="0.3">
      <c r="A94" s="20" t="s">
        <v>39</v>
      </c>
      <c r="B94" s="28"/>
      <c r="C94" s="29" t="s">
        <v>82</v>
      </c>
      <c r="D94" s="35"/>
      <c r="E94" s="16">
        <v>5</v>
      </c>
      <c r="F94" s="16">
        <v>1</v>
      </c>
      <c r="G94" s="16">
        <v>0</v>
      </c>
      <c r="H94" s="16">
        <v>2</v>
      </c>
      <c r="I94" s="16">
        <v>5</v>
      </c>
      <c r="J94" s="16">
        <v>6</v>
      </c>
      <c r="K94" s="16">
        <v>1</v>
      </c>
      <c r="L94" s="16">
        <v>0</v>
      </c>
      <c r="M94" s="16">
        <v>2</v>
      </c>
      <c r="N94" s="13">
        <f t="shared" si="21"/>
        <v>22</v>
      </c>
    </row>
    <row r="95" spans="1:14" ht="12.75" customHeight="1" x14ac:dyDescent="0.3">
      <c r="A95" s="15"/>
      <c r="B95" s="28"/>
      <c r="C95" s="29" t="s">
        <v>83</v>
      </c>
      <c r="D95" s="35"/>
      <c r="E95" s="16">
        <v>2</v>
      </c>
      <c r="F95" s="16">
        <v>1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3">
        <f t="shared" si="21"/>
        <v>3</v>
      </c>
    </row>
    <row r="96" spans="1:14" ht="12.75" customHeight="1" x14ac:dyDescent="0.3">
      <c r="A96" s="15"/>
      <c r="B96" s="28"/>
      <c r="C96" s="29" t="s">
        <v>84</v>
      </c>
      <c r="D96" s="35"/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3">
        <f t="shared" si="21"/>
        <v>0</v>
      </c>
    </row>
    <row r="97" spans="1:14" ht="12.75" customHeight="1" x14ac:dyDescent="0.3">
      <c r="A97" s="15"/>
      <c r="B97" s="28"/>
      <c r="C97" s="29" t="s">
        <v>85</v>
      </c>
      <c r="D97" s="35"/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1</v>
      </c>
      <c r="K97" s="16">
        <v>0</v>
      </c>
      <c r="L97" s="16">
        <v>0</v>
      </c>
      <c r="M97" s="16">
        <v>0</v>
      </c>
      <c r="N97" s="13">
        <f t="shared" si="21"/>
        <v>1</v>
      </c>
    </row>
    <row r="98" spans="1:14" ht="12.75" customHeight="1" x14ac:dyDescent="0.3">
      <c r="A98" s="15"/>
      <c r="B98" s="28"/>
      <c r="C98" s="29" t="s">
        <v>86</v>
      </c>
      <c r="D98" s="30"/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3">
        <f t="shared" si="21"/>
        <v>0</v>
      </c>
    </row>
    <row r="99" spans="1:14" ht="12.75" customHeight="1" x14ac:dyDescent="0.3">
      <c r="A99" s="15"/>
      <c r="B99" s="28"/>
      <c r="C99" s="29" t="s">
        <v>87</v>
      </c>
      <c r="D99" s="30"/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3">
        <f t="shared" si="21"/>
        <v>0</v>
      </c>
    </row>
    <row r="100" spans="1:14" ht="12.75" customHeight="1" x14ac:dyDescent="0.3">
      <c r="A100" s="15"/>
      <c r="B100" s="28"/>
      <c r="C100" s="29" t="s">
        <v>88</v>
      </c>
      <c r="D100" s="35"/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3">
        <f t="shared" si="21"/>
        <v>0</v>
      </c>
    </row>
    <row r="101" spans="1:14" ht="12.75" customHeight="1" x14ac:dyDescent="0.3">
      <c r="A101" s="15"/>
      <c r="B101" s="28"/>
      <c r="C101" s="29" t="s">
        <v>89</v>
      </c>
      <c r="D101" s="35"/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3">
        <f t="shared" si="21"/>
        <v>0</v>
      </c>
    </row>
    <row r="102" spans="1:14" ht="12.75" customHeight="1" x14ac:dyDescent="0.3">
      <c r="A102" s="15"/>
      <c r="B102" s="28"/>
      <c r="C102" s="29" t="s">
        <v>90</v>
      </c>
      <c r="D102" s="35"/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1</v>
      </c>
      <c r="M102" s="16">
        <v>0</v>
      </c>
      <c r="N102" s="13">
        <f t="shared" si="21"/>
        <v>1</v>
      </c>
    </row>
    <row r="103" spans="1:14" ht="12.75" customHeight="1" x14ac:dyDescent="0.3">
      <c r="A103" s="16" t="s">
        <v>15</v>
      </c>
      <c r="B103" s="59" t="s">
        <v>49</v>
      </c>
      <c r="C103" s="60"/>
      <c r="D103" s="58"/>
      <c r="E103" s="13">
        <f t="shared" ref="E103:N103" si="22">SUM(E93:E102)</f>
        <v>7</v>
      </c>
      <c r="F103" s="13">
        <f t="shared" si="22"/>
        <v>3</v>
      </c>
      <c r="G103" s="13">
        <f t="shared" si="22"/>
        <v>0</v>
      </c>
      <c r="H103" s="13">
        <f t="shared" si="22"/>
        <v>3</v>
      </c>
      <c r="I103" s="13">
        <f t="shared" si="22"/>
        <v>6</v>
      </c>
      <c r="J103" s="13">
        <f t="shared" si="22"/>
        <v>7</v>
      </c>
      <c r="K103" s="13">
        <f t="shared" si="22"/>
        <v>1</v>
      </c>
      <c r="L103" s="13">
        <f t="shared" si="22"/>
        <v>2</v>
      </c>
      <c r="M103" s="13">
        <f t="shared" si="22"/>
        <v>2</v>
      </c>
      <c r="N103" s="13">
        <f t="shared" si="22"/>
        <v>31</v>
      </c>
    </row>
    <row r="104" spans="1:14" ht="12.75" customHeight="1" x14ac:dyDescent="0.3">
      <c r="A104" s="55"/>
      <c r="B104" s="56"/>
      <c r="C104" s="56"/>
      <c r="D104" s="56"/>
      <c r="E104" s="56"/>
      <c r="F104" s="51"/>
      <c r="G104" s="51"/>
      <c r="H104" s="51"/>
      <c r="I104" s="51"/>
      <c r="J104" s="51"/>
      <c r="K104" s="51"/>
      <c r="L104" s="51"/>
      <c r="M104" s="51"/>
      <c r="N104" s="51"/>
    </row>
    <row r="105" spans="1:14" ht="12.75" customHeight="1" x14ac:dyDescent="0.3">
      <c r="A105" s="20" t="s">
        <v>37</v>
      </c>
      <c r="B105" s="27" t="s">
        <v>91</v>
      </c>
      <c r="C105" s="57" t="s">
        <v>92</v>
      </c>
      <c r="D105" s="58"/>
      <c r="E105" s="16"/>
      <c r="F105" s="16"/>
      <c r="G105" s="16"/>
      <c r="H105" s="16"/>
      <c r="I105" s="16"/>
      <c r="J105" s="16"/>
      <c r="K105" s="16"/>
      <c r="L105" s="16"/>
      <c r="M105" s="16"/>
      <c r="N105" s="13">
        <f t="shared" ref="N105:N114" si="23">SUM(E105:M105)</f>
        <v>0</v>
      </c>
    </row>
    <row r="106" spans="1:14" ht="12.75" customHeight="1" x14ac:dyDescent="0.3">
      <c r="A106" s="20" t="s">
        <v>39</v>
      </c>
      <c r="B106" s="28"/>
      <c r="C106" s="29" t="s">
        <v>93</v>
      </c>
      <c r="D106" s="30"/>
      <c r="E106" s="16"/>
      <c r="F106" s="16"/>
      <c r="G106" s="16"/>
      <c r="H106" s="16"/>
      <c r="I106" s="16"/>
      <c r="J106" s="16"/>
      <c r="K106" s="16"/>
      <c r="L106" s="16"/>
      <c r="M106" s="16"/>
      <c r="N106" s="13">
        <f t="shared" si="23"/>
        <v>0</v>
      </c>
    </row>
    <row r="107" spans="1:14" ht="12.75" customHeight="1" x14ac:dyDescent="0.3">
      <c r="A107" s="15"/>
      <c r="B107" s="28"/>
      <c r="C107" s="29" t="s">
        <v>94</v>
      </c>
      <c r="D107" s="30"/>
      <c r="E107" s="16"/>
      <c r="F107" s="16"/>
      <c r="G107" s="16"/>
      <c r="H107" s="16"/>
      <c r="I107" s="16"/>
      <c r="J107" s="16"/>
      <c r="K107" s="16"/>
      <c r="L107" s="16"/>
      <c r="M107" s="16"/>
      <c r="N107" s="13">
        <f t="shared" si="23"/>
        <v>0</v>
      </c>
    </row>
    <row r="108" spans="1:14" ht="12.75" customHeight="1" x14ac:dyDescent="0.3">
      <c r="A108" s="15"/>
      <c r="B108" s="36"/>
      <c r="C108" s="37"/>
      <c r="D108" s="38"/>
      <c r="E108" s="52"/>
      <c r="F108" s="16"/>
      <c r="G108" s="16"/>
      <c r="H108" s="16"/>
      <c r="I108" s="16"/>
      <c r="J108" s="16"/>
      <c r="K108" s="16"/>
      <c r="L108" s="16"/>
      <c r="M108" s="16"/>
      <c r="N108" s="13">
        <f t="shared" si="23"/>
        <v>0</v>
      </c>
    </row>
    <row r="109" spans="1:14" ht="12.75" customHeight="1" x14ac:dyDescent="0.3">
      <c r="A109" s="15"/>
      <c r="B109" s="36"/>
      <c r="C109" s="37"/>
      <c r="D109" s="38"/>
      <c r="E109" s="52"/>
      <c r="F109" s="16"/>
      <c r="G109" s="16"/>
      <c r="H109" s="16"/>
      <c r="I109" s="16"/>
      <c r="J109" s="16"/>
      <c r="K109" s="16"/>
      <c r="L109" s="16"/>
      <c r="M109" s="16"/>
      <c r="N109" s="13">
        <f t="shared" si="23"/>
        <v>0</v>
      </c>
    </row>
    <row r="110" spans="1:14" ht="12.75" customHeight="1" x14ac:dyDescent="0.3">
      <c r="A110" s="15"/>
      <c r="B110" s="36"/>
      <c r="C110" s="37"/>
      <c r="D110" s="38"/>
      <c r="E110" s="52"/>
      <c r="F110" s="16"/>
      <c r="G110" s="16"/>
      <c r="H110" s="16"/>
      <c r="I110" s="16"/>
      <c r="J110" s="16"/>
      <c r="K110" s="16"/>
      <c r="L110" s="16"/>
      <c r="M110" s="16"/>
      <c r="N110" s="13">
        <f t="shared" si="23"/>
        <v>0</v>
      </c>
    </row>
    <row r="111" spans="1:14" ht="12.75" customHeight="1" x14ac:dyDescent="0.3">
      <c r="A111" s="15"/>
      <c r="B111" s="36"/>
      <c r="C111" s="37"/>
      <c r="D111" s="38"/>
      <c r="E111" s="52"/>
      <c r="F111" s="16"/>
      <c r="G111" s="16"/>
      <c r="H111" s="16"/>
      <c r="I111" s="16"/>
      <c r="J111" s="16"/>
      <c r="K111" s="16"/>
      <c r="L111" s="16"/>
      <c r="M111" s="16"/>
      <c r="N111" s="13">
        <f t="shared" si="23"/>
        <v>0</v>
      </c>
    </row>
    <row r="112" spans="1:14" ht="12.75" customHeight="1" x14ac:dyDescent="0.3">
      <c r="A112" s="15"/>
      <c r="B112" s="36"/>
      <c r="C112" s="37"/>
      <c r="D112" s="38"/>
      <c r="E112" s="52"/>
      <c r="F112" s="16"/>
      <c r="G112" s="16"/>
      <c r="H112" s="16"/>
      <c r="I112" s="16"/>
      <c r="J112" s="16"/>
      <c r="K112" s="16"/>
      <c r="L112" s="16"/>
      <c r="M112" s="16"/>
      <c r="N112" s="13">
        <f t="shared" si="23"/>
        <v>0</v>
      </c>
    </row>
    <row r="113" spans="1:14" ht="12.75" customHeight="1" x14ac:dyDescent="0.3">
      <c r="A113" s="15"/>
      <c r="B113" s="36"/>
      <c r="C113" s="37"/>
      <c r="D113" s="38"/>
      <c r="E113" s="52"/>
      <c r="F113" s="16"/>
      <c r="G113" s="16"/>
      <c r="H113" s="16"/>
      <c r="I113" s="16"/>
      <c r="J113" s="16"/>
      <c r="K113" s="16"/>
      <c r="L113" s="16"/>
      <c r="M113" s="16"/>
      <c r="N113" s="13">
        <f t="shared" si="23"/>
        <v>0</v>
      </c>
    </row>
    <row r="114" spans="1:14" ht="12.75" customHeight="1" x14ac:dyDescent="0.3">
      <c r="A114" s="15"/>
      <c r="B114" s="36"/>
      <c r="C114" s="37"/>
      <c r="D114" s="38"/>
      <c r="E114" s="52"/>
      <c r="F114" s="16"/>
      <c r="G114" s="16"/>
      <c r="H114" s="16"/>
      <c r="I114" s="16"/>
      <c r="J114" s="16"/>
      <c r="K114" s="16"/>
      <c r="L114" s="16"/>
      <c r="M114" s="16"/>
      <c r="N114" s="13">
        <f t="shared" si="23"/>
        <v>0</v>
      </c>
    </row>
    <row r="115" spans="1:14" ht="12.75" customHeight="1" x14ac:dyDescent="0.3">
      <c r="A115" s="16" t="s">
        <v>15</v>
      </c>
      <c r="B115" s="59" t="s">
        <v>49</v>
      </c>
      <c r="C115" s="60"/>
      <c r="D115" s="58"/>
      <c r="E115" s="13">
        <f t="shared" ref="E115:N115" si="24">SUM(E105:E114)</f>
        <v>0</v>
      </c>
      <c r="F115" s="13">
        <f t="shared" si="24"/>
        <v>0</v>
      </c>
      <c r="G115" s="13">
        <f t="shared" si="24"/>
        <v>0</v>
      </c>
      <c r="H115" s="13">
        <f t="shared" si="24"/>
        <v>0</v>
      </c>
      <c r="I115" s="13">
        <f t="shared" si="24"/>
        <v>0</v>
      </c>
      <c r="J115" s="13">
        <f t="shared" si="24"/>
        <v>0</v>
      </c>
      <c r="K115" s="13">
        <f t="shared" si="24"/>
        <v>0</v>
      </c>
      <c r="L115" s="13">
        <f t="shared" si="24"/>
        <v>0</v>
      </c>
      <c r="M115" s="13">
        <f t="shared" si="24"/>
        <v>0</v>
      </c>
      <c r="N115" s="13">
        <f t="shared" si="24"/>
        <v>0</v>
      </c>
    </row>
    <row r="116" spans="1:14" ht="12.75" customHeight="1" x14ac:dyDescent="0.3">
      <c r="A116" s="61"/>
      <c r="B116" s="60"/>
      <c r="C116" s="60"/>
      <c r="D116" s="60"/>
      <c r="E116" s="58"/>
      <c r="F116" s="51"/>
      <c r="G116" s="51"/>
      <c r="H116" s="51"/>
      <c r="I116" s="51"/>
      <c r="J116" s="51"/>
      <c r="K116" s="51"/>
      <c r="L116" s="51"/>
      <c r="M116" s="51"/>
      <c r="N116" s="13"/>
    </row>
    <row r="117" spans="1:14" ht="12.75" customHeight="1" x14ac:dyDescent="0.3">
      <c r="A117" s="20" t="s">
        <v>37</v>
      </c>
      <c r="B117" s="27" t="s">
        <v>95</v>
      </c>
      <c r="C117" s="57" t="s">
        <v>96</v>
      </c>
      <c r="D117" s="58"/>
      <c r="E117" s="16">
        <v>0</v>
      </c>
      <c r="F117" s="16">
        <v>0</v>
      </c>
      <c r="G117" s="16">
        <v>0</v>
      </c>
      <c r="H117" s="16">
        <v>1</v>
      </c>
      <c r="I117" s="16">
        <v>0</v>
      </c>
      <c r="J117" s="16">
        <v>0</v>
      </c>
      <c r="K117" s="16">
        <v>2</v>
      </c>
      <c r="L117" s="16">
        <v>0</v>
      </c>
      <c r="M117" s="16">
        <v>0</v>
      </c>
      <c r="N117" s="13">
        <f t="shared" ref="N117:N126" si="25">SUM(E117:M117)</f>
        <v>3</v>
      </c>
    </row>
    <row r="118" spans="1:14" ht="12.75" customHeight="1" x14ac:dyDescent="0.3">
      <c r="A118" s="20" t="s">
        <v>39</v>
      </c>
      <c r="B118" s="28"/>
      <c r="C118" s="29" t="s">
        <v>97</v>
      </c>
      <c r="D118" s="30"/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1</v>
      </c>
      <c r="M118" s="16">
        <v>0</v>
      </c>
      <c r="N118" s="13">
        <f t="shared" si="25"/>
        <v>1</v>
      </c>
    </row>
    <row r="119" spans="1:14" ht="12.75" customHeight="1" x14ac:dyDescent="0.3">
      <c r="A119" s="15"/>
      <c r="B119" s="28"/>
      <c r="C119" s="29" t="s">
        <v>98</v>
      </c>
      <c r="D119" s="30"/>
      <c r="E119" s="16">
        <v>2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2</v>
      </c>
      <c r="L119" s="16">
        <v>0</v>
      </c>
      <c r="M119" s="16">
        <v>0</v>
      </c>
      <c r="N119" s="13">
        <f t="shared" si="25"/>
        <v>4</v>
      </c>
    </row>
    <row r="120" spans="1:14" ht="12.75" customHeight="1" x14ac:dyDescent="0.3">
      <c r="A120" s="15"/>
      <c r="B120" s="28"/>
      <c r="C120" s="29" t="s">
        <v>99</v>
      </c>
      <c r="D120" s="30"/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3">
        <f t="shared" si="25"/>
        <v>0</v>
      </c>
    </row>
    <row r="121" spans="1:14" ht="12.75" customHeight="1" x14ac:dyDescent="0.3">
      <c r="A121" s="15"/>
      <c r="B121" s="28"/>
      <c r="C121" s="29" t="s">
        <v>100</v>
      </c>
      <c r="D121" s="30"/>
      <c r="E121" s="16">
        <v>0</v>
      </c>
      <c r="F121" s="16">
        <v>0</v>
      </c>
      <c r="G121" s="16">
        <v>0</v>
      </c>
      <c r="H121" s="16">
        <v>1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3">
        <f t="shared" si="25"/>
        <v>1</v>
      </c>
    </row>
    <row r="122" spans="1:14" ht="12.75" customHeight="1" x14ac:dyDescent="0.3">
      <c r="A122" s="15"/>
      <c r="B122" s="28"/>
      <c r="C122" s="29" t="s">
        <v>101</v>
      </c>
      <c r="D122" s="30"/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3">
        <f t="shared" si="25"/>
        <v>0</v>
      </c>
    </row>
    <row r="123" spans="1:14" ht="12.75" customHeight="1" x14ac:dyDescent="0.3">
      <c r="A123" s="15"/>
      <c r="B123" s="36"/>
      <c r="C123" s="37"/>
      <c r="D123" s="40"/>
      <c r="E123" s="41"/>
      <c r="F123" s="24"/>
      <c r="G123" s="24"/>
      <c r="H123" s="24"/>
      <c r="I123" s="24"/>
      <c r="J123" s="24"/>
      <c r="K123" s="24"/>
      <c r="L123" s="24"/>
      <c r="M123" s="24"/>
      <c r="N123" s="13">
        <f t="shared" si="25"/>
        <v>0</v>
      </c>
    </row>
    <row r="124" spans="1:14" ht="12.75" customHeight="1" x14ac:dyDescent="0.3">
      <c r="A124" s="15"/>
      <c r="B124" s="36"/>
      <c r="C124" s="37"/>
      <c r="D124" s="38"/>
      <c r="E124" s="41"/>
      <c r="F124" s="24"/>
      <c r="G124" s="24"/>
      <c r="H124" s="24"/>
      <c r="I124" s="24"/>
      <c r="J124" s="24"/>
      <c r="K124" s="24"/>
      <c r="L124" s="24"/>
      <c r="M124" s="24"/>
      <c r="N124" s="13">
        <f t="shared" si="25"/>
        <v>0</v>
      </c>
    </row>
    <row r="125" spans="1:14" ht="12.75" customHeight="1" x14ac:dyDescent="0.3">
      <c r="A125" s="15"/>
      <c r="B125" s="36"/>
      <c r="C125" s="37"/>
      <c r="D125" s="38"/>
      <c r="E125" s="41"/>
      <c r="F125" s="24"/>
      <c r="G125" s="24"/>
      <c r="H125" s="24"/>
      <c r="I125" s="24"/>
      <c r="J125" s="24"/>
      <c r="K125" s="24"/>
      <c r="L125" s="24"/>
      <c r="M125" s="24"/>
      <c r="N125" s="13">
        <f t="shared" si="25"/>
        <v>0</v>
      </c>
    </row>
    <row r="126" spans="1:14" ht="12.75" customHeight="1" x14ac:dyDescent="0.3">
      <c r="A126" s="15"/>
      <c r="B126" s="36"/>
      <c r="C126" s="37"/>
      <c r="D126" s="38"/>
      <c r="E126" s="41"/>
      <c r="F126" s="24"/>
      <c r="G126" s="24"/>
      <c r="H126" s="24"/>
      <c r="I126" s="24"/>
      <c r="J126" s="24"/>
      <c r="K126" s="24"/>
      <c r="L126" s="24"/>
      <c r="M126" s="24"/>
      <c r="N126" s="13">
        <f t="shared" si="25"/>
        <v>0</v>
      </c>
    </row>
    <row r="127" spans="1:14" ht="12.75" customHeight="1" x14ac:dyDescent="0.3">
      <c r="A127" s="16" t="s">
        <v>15</v>
      </c>
      <c r="B127" s="59" t="s">
        <v>49</v>
      </c>
      <c r="C127" s="60"/>
      <c r="D127" s="58"/>
      <c r="E127" s="13">
        <f t="shared" ref="E127:N127" si="26">SUM(E117:E126)</f>
        <v>2</v>
      </c>
      <c r="F127" s="13">
        <f t="shared" si="26"/>
        <v>0</v>
      </c>
      <c r="G127" s="13">
        <f t="shared" si="26"/>
        <v>0</v>
      </c>
      <c r="H127" s="13">
        <f t="shared" si="26"/>
        <v>2</v>
      </c>
      <c r="I127" s="13">
        <f t="shared" si="26"/>
        <v>0</v>
      </c>
      <c r="J127" s="13">
        <f t="shared" si="26"/>
        <v>0</v>
      </c>
      <c r="K127" s="13">
        <f t="shared" si="26"/>
        <v>4</v>
      </c>
      <c r="L127" s="13">
        <f t="shared" si="26"/>
        <v>1</v>
      </c>
      <c r="M127" s="13">
        <f t="shared" si="26"/>
        <v>0</v>
      </c>
      <c r="N127" s="13">
        <f t="shared" si="26"/>
        <v>9</v>
      </c>
    </row>
    <row r="128" spans="1:14" ht="12.75" customHeight="1" x14ac:dyDescent="0.3">
      <c r="A128" s="61"/>
      <c r="B128" s="60"/>
      <c r="C128" s="60"/>
      <c r="D128" s="60"/>
      <c r="E128" s="58"/>
      <c r="F128" s="51"/>
      <c r="G128" s="51"/>
      <c r="H128" s="51"/>
      <c r="I128" s="51"/>
      <c r="J128" s="51"/>
      <c r="K128" s="51"/>
      <c r="L128" s="51"/>
      <c r="M128" s="51"/>
      <c r="N128" s="51"/>
    </row>
    <row r="129" spans="1:14" ht="12.75" customHeight="1" x14ac:dyDescent="0.3">
      <c r="A129" s="20" t="s">
        <v>37</v>
      </c>
      <c r="B129" s="27" t="s">
        <v>102</v>
      </c>
      <c r="C129" s="57" t="s">
        <v>103</v>
      </c>
      <c r="D129" s="58"/>
      <c r="E129" s="16">
        <v>0</v>
      </c>
      <c r="F129" s="16">
        <v>0</v>
      </c>
      <c r="G129" s="16">
        <v>1</v>
      </c>
      <c r="H129" s="16">
        <v>3</v>
      </c>
      <c r="I129" s="16">
        <v>0</v>
      </c>
      <c r="J129" s="16">
        <v>3</v>
      </c>
      <c r="K129" s="16">
        <v>5</v>
      </c>
      <c r="L129" s="16">
        <v>0</v>
      </c>
      <c r="M129" s="16">
        <v>0</v>
      </c>
      <c r="N129" s="13">
        <f t="shared" ref="N129:N138" si="27">SUM(E129:M129)</f>
        <v>12</v>
      </c>
    </row>
    <row r="130" spans="1:14" ht="12.75" customHeight="1" x14ac:dyDescent="0.3">
      <c r="A130" s="20" t="s">
        <v>39</v>
      </c>
      <c r="B130" s="28"/>
      <c r="C130" s="29" t="s">
        <v>104</v>
      </c>
      <c r="D130" s="30"/>
      <c r="E130" s="16">
        <v>0</v>
      </c>
      <c r="F130" s="16">
        <v>0</v>
      </c>
      <c r="G130" s="16">
        <v>1</v>
      </c>
      <c r="H130" s="16">
        <v>2</v>
      </c>
      <c r="I130" s="16">
        <v>0</v>
      </c>
      <c r="J130" s="16">
        <v>0</v>
      </c>
      <c r="K130" s="16">
        <v>1</v>
      </c>
      <c r="L130" s="16">
        <v>1</v>
      </c>
      <c r="M130" s="16">
        <v>1</v>
      </c>
      <c r="N130" s="13">
        <f t="shared" si="27"/>
        <v>6</v>
      </c>
    </row>
    <row r="131" spans="1:14" ht="12.75" customHeight="1" x14ac:dyDescent="0.3">
      <c r="A131" s="15"/>
      <c r="B131" s="28"/>
      <c r="C131" s="29" t="s">
        <v>105</v>
      </c>
      <c r="D131" s="30"/>
      <c r="E131" s="16">
        <v>0</v>
      </c>
      <c r="F131" s="16">
        <v>1</v>
      </c>
      <c r="G131" s="16">
        <v>0</v>
      </c>
      <c r="H131" s="16">
        <v>0</v>
      </c>
      <c r="I131" s="16">
        <v>0</v>
      </c>
      <c r="J131" s="16">
        <v>0</v>
      </c>
      <c r="K131" s="16">
        <v>1</v>
      </c>
      <c r="L131" s="16">
        <v>0</v>
      </c>
      <c r="M131" s="16">
        <v>0</v>
      </c>
      <c r="N131" s="13">
        <f t="shared" si="27"/>
        <v>2</v>
      </c>
    </row>
    <row r="132" spans="1:14" ht="12.75" customHeight="1" x14ac:dyDescent="0.3">
      <c r="A132" s="15"/>
      <c r="B132" s="28"/>
      <c r="C132" s="29" t="s">
        <v>106</v>
      </c>
      <c r="D132" s="30"/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3">
        <f t="shared" si="27"/>
        <v>0</v>
      </c>
    </row>
    <row r="133" spans="1:14" ht="12.75" customHeight="1" x14ac:dyDescent="0.3">
      <c r="A133" s="15"/>
      <c r="B133" s="28"/>
      <c r="C133" s="29" t="s">
        <v>107</v>
      </c>
      <c r="D133" s="30"/>
      <c r="E133" s="16">
        <v>0</v>
      </c>
      <c r="F133" s="16">
        <v>0</v>
      </c>
      <c r="G133" s="16">
        <v>1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3">
        <f t="shared" si="27"/>
        <v>1</v>
      </c>
    </row>
    <row r="134" spans="1:14" ht="12.75" customHeight="1" x14ac:dyDescent="0.3">
      <c r="A134" s="15"/>
      <c r="B134" s="28"/>
      <c r="C134" s="29" t="s">
        <v>108</v>
      </c>
      <c r="D134" s="30"/>
      <c r="E134" s="16">
        <v>0</v>
      </c>
      <c r="F134" s="16">
        <v>1</v>
      </c>
      <c r="G134" s="16">
        <v>0</v>
      </c>
      <c r="H134" s="16">
        <v>0</v>
      </c>
      <c r="I134" s="16">
        <v>1</v>
      </c>
      <c r="J134" s="16">
        <v>1</v>
      </c>
      <c r="K134" s="16">
        <v>4</v>
      </c>
      <c r="L134" s="16">
        <v>0</v>
      </c>
      <c r="M134" s="16">
        <v>0</v>
      </c>
      <c r="N134" s="13">
        <f t="shared" si="27"/>
        <v>7</v>
      </c>
    </row>
    <row r="135" spans="1:14" ht="12.75" customHeight="1" x14ac:dyDescent="0.3">
      <c r="A135" s="15"/>
      <c r="B135" s="28"/>
      <c r="C135" s="29" t="s">
        <v>109</v>
      </c>
      <c r="D135" s="30"/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3">
        <f t="shared" si="27"/>
        <v>0</v>
      </c>
    </row>
    <row r="136" spans="1:14" ht="12.75" customHeight="1" x14ac:dyDescent="0.3">
      <c r="A136" s="15"/>
      <c r="B136" s="28"/>
      <c r="C136" s="29" t="s">
        <v>110</v>
      </c>
      <c r="D136" s="30"/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3">
        <f t="shared" si="27"/>
        <v>0</v>
      </c>
    </row>
    <row r="137" spans="1:14" ht="12.75" customHeight="1" x14ac:dyDescent="0.3">
      <c r="A137" s="15"/>
      <c r="B137" s="28"/>
      <c r="C137" s="29" t="s">
        <v>111</v>
      </c>
      <c r="D137" s="30"/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1</v>
      </c>
      <c r="K137" s="16">
        <v>0</v>
      </c>
      <c r="L137" s="16">
        <v>0</v>
      </c>
      <c r="M137" s="16">
        <v>0</v>
      </c>
      <c r="N137" s="13">
        <f t="shared" si="27"/>
        <v>1</v>
      </c>
    </row>
    <row r="138" spans="1:14" ht="12.75" customHeight="1" x14ac:dyDescent="0.3">
      <c r="A138" s="15"/>
      <c r="B138" s="28"/>
      <c r="C138" s="29" t="s">
        <v>112</v>
      </c>
      <c r="D138" s="30"/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3">
        <f t="shared" si="27"/>
        <v>0</v>
      </c>
    </row>
    <row r="139" spans="1:14" ht="12.75" customHeight="1" x14ac:dyDescent="0.3">
      <c r="A139" s="16" t="s">
        <v>15</v>
      </c>
      <c r="B139" s="59" t="s">
        <v>49</v>
      </c>
      <c r="C139" s="60"/>
      <c r="D139" s="58"/>
      <c r="E139" s="13">
        <f t="shared" ref="E139:N139" si="28">SUM(E129:E138)</f>
        <v>0</v>
      </c>
      <c r="F139" s="13">
        <f t="shared" si="28"/>
        <v>2</v>
      </c>
      <c r="G139" s="13">
        <f t="shared" si="28"/>
        <v>3</v>
      </c>
      <c r="H139" s="13">
        <f t="shared" si="28"/>
        <v>5</v>
      </c>
      <c r="I139" s="13">
        <f t="shared" si="28"/>
        <v>1</v>
      </c>
      <c r="J139" s="13">
        <f t="shared" si="28"/>
        <v>5</v>
      </c>
      <c r="K139" s="13">
        <f t="shared" si="28"/>
        <v>11</v>
      </c>
      <c r="L139" s="13">
        <f t="shared" si="28"/>
        <v>1</v>
      </c>
      <c r="M139" s="13">
        <f t="shared" si="28"/>
        <v>1</v>
      </c>
      <c r="N139" s="13">
        <f t="shared" si="28"/>
        <v>29</v>
      </c>
    </row>
    <row r="140" spans="1:14" ht="12.75" customHeight="1" x14ac:dyDescent="0.3">
      <c r="A140" s="61"/>
      <c r="B140" s="60"/>
      <c r="C140" s="60"/>
      <c r="D140" s="60"/>
      <c r="E140" s="58"/>
      <c r="F140" s="51"/>
      <c r="G140" s="51"/>
      <c r="H140" s="51"/>
      <c r="I140" s="51"/>
      <c r="J140" s="51"/>
      <c r="K140" s="51"/>
      <c r="L140" s="51"/>
      <c r="M140" s="51"/>
      <c r="N140" s="51"/>
    </row>
    <row r="141" spans="1:14" ht="12.75" customHeight="1" x14ac:dyDescent="0.3">
      <c r="A141" s="20" t="s">
        <v>37</v>
      </c>
      <c r="B141" s="27" t="s">
        <v>113</v>
      </c>
      <c r="C141" s="57" t="s">
        <v>114</v>
      </c>
      <c r="D141" s="58"/>
      <c r="E141" s="16"/>
      <c r="F141" s="16"/>
      <c r="G141" s="16"/>
      <c r="H141" s="16"/>
      <c r="I141" s="16"/>
      <c r="J141" s="16"/>
      <c r="K141" s="16"/>
      <c r="L141" s="16"/>
      <c r="M141" s="16"/>
      <c r="N141" s="13">
        <f t="shared" ref="N141:N150" si="29">SUM(E141:M141)</f>
        <v>0</v>
      </c>
    </row>
    <row r="142" spans="1:14" ht="12.75" customHeight="1" x14ac:dyDescent="0.3">
      <c r="A142" s="20" t="s">
        <v>39</v>
      </c>
      <c r="B142" s="28"/>
      <c r="C142" s="29" t="s">
        <v>115</v>
      </c>
      <c r="D142" s="30"/>
      <c r="E142" s="16"/>
      <c r="F142" s="16"/>
      <c r="G142" s="16"/>
      <c r="H142" s="16"/>
      <c r="I142" s="16"/>
      <c r="J142" s="16"/>
      <c r="K142" s="16"/>
      <c r="L142" s="16"/>
      <c r="M142" s="16"/>
      <c r="N142" s="13">
        <f t="shared" si="29"/>
        <v>0</v>
      </c>
    </row>
    <row r="143" spans="1:14" ht="12.75" customHeight="1" x14ac:dyDescent="0.3">
      <c r="A143" s="15"/>
      <c r="B143" s="28"/>
      <c r="C143" s="29" t="s">
        <v>116</v>
      </c>
      <c r="D143" s="30"/>
      <c r="E143" s="16"/>
      <c r="F143" s="16"/>
      <c r="G143" s="16"/>
      <c r="H143" s="16"/>
      <c r="I143" s="16"/>
      <c r="J143" s="16"/>
      <c r="K143" s="16"/>
      <c r="L143" s="16"/>
      <c r="M143" s="16"/>
      <c r="N143" s="13">
        <f t="shared" si="29"/>
        <v>0</v>
      </c>
    </row>
    <row r="144" spans="1:14" ht="12.75" customHeight="1" x14ac:dyDescent="0.3">
      <c r="A144" s="15"/>
      <c r="B144" s="28"/>
      <c r="C144" s="29" t="s">
        <v>117</v>
      </c>
      <c r="D144" s="30"/>
      <c r="E144" s="16"/>
      <c r="F144" s="16"/>
      <c r="G144" s="16"/>
      <c r="H144" s="16"/>
      <c r="I144" s="16"/>
      <c r="J144" s="16"/>
      <c r="K144" s="16"/>
      <c r="L144" s="16"/>
      <c r="M144" s="16"/>
      <c r="N144" s="13">
        <f t="shared" si="29"/>
        <v>0</v>
      </c>
    </row>
    <row r="145" spans="1:14" ht="12.75" customHeight="1" x14ac:dyDescent="0.3">
      <c r="A145" s="15"/>
      <c r="B145" s="36"/>
      <c r="C145" s="37"/>
      <c r="D145" s="40"/>
      <c r="E145" s="16"/>
      <c r="F145" s="16"/>
      <c r="G145" s="16"/>
      <c r="H145" s="16"/>
      <c r="I145" s="16"/>
      <c r="J145" s="16"/>
      <c r="K145" s="16"/>
      <c r="L145" s="16"/>
      <c r="M145" s="16"/>
      <c r="N145" s="13">
        <f t="shared" si="29"/>
        <v>0</v>
      </c>
    </row>
    <row r="146" spans="1:14" ht="12.75" customHeight="1" x14ac:dyDescent="0.3">
      <c r="A146" s="15"/>
      <c r="B146" s="36"/>
      <c r="C146" s="37"/>
      <c r="D146" s="40"/>
      <c r="E146" s="16"/>
      <c r="F146" s="16"/>
      <c r="G146" s="16"/>
      <c r="H146" s="16"/>
      <c r="I146" s="16"/>
      <c r="J146" s="16"/>
      <c r="K146" s="16"/>
      <c r="L146" s="16"/>
      <c r="M146" s="16"/>
      <c r="N146" s="13">
        <f t="shared" si="29"/>
        <v>0</v>
      </c>
    </row>
    <row r="147" spans="1:14" ht="12.75" customHeight="1" x14ac:dyDescent="0.3">
      <c r="A147" s="15"/>
      <c r="B147" s="36"/>
      <c r="C147" s="37"/>
      <c r="D147" s="40"/>
      <c r="E147" s="16"/>
      <c r="F147" s="16"/>
      <c r="G147" s="16"/>
      <c r="H147" s="16"/>
      <c r="I147" s="16"/>
      <c r="J147" s="16"/>
      <c r="K147" s="16"/>
      <c r="L147" s="16"/>
      <c r="M147" s="16"/>
      <c r="N147" s="13">
        <f t="shared" si="29"/>
        <v>0</v>
      </c>
    </row>
    <row r="148" spans="1:14" ht="12.75" customHeight="1" x14ac:dyDescent="0.3">
      <c r="A148" s="15"/>
      <c r="B148" s="36"/>
      <c r="C148" s="37"/>
      <c r="D148" s="38"/>
      <c r="E148" s="16"/>
      <c r="F148" s="16"/>
      <c r="G148" s="16"/>
      <c r="H148" s="16"/>
      <c r="I148" s="16"/>
      <c r="J148" s="16"/>
      <c r="K148" s="16"/>
      <c r="L148" s="16"/>
      <c r="M148" s="16"/>
      <c r="N148" s="13">
        <f t="shared" si="29"/>
        <v>0</v>
      </c>
    </row>
    <row r="149" spans="1:14" ht="12.75" customHeight="1" x14ac:dyDescent="0.3">
      <c r="A149" s="15"/>
      <c r="B149" s="36"/>
      <c r="C149" s="37"/>
      <c r="D149" s="38"/>
      <c r="E149" s="16"/>
      <c r="F149" s="16"/>
      <c r="G149" s="16"/>
      <c r="H149" s="16"/>
      <c r="I149" s="16"/>
      <c r="J149" s="16"/>
      <c r="K149" s="16"/>
      <c r="L149" s="16"/>
      <c r="M149" s="16"/>
      <c r="N149" s="13">
        <f t="shared" si="29"/>
        <v>0</v>
      </c>
    </row>
    <row r="150" spans="1:14" ht="12.75" customHeight="1" x14ac:dyDescent="0.3">
      <c r="A150" s="15"/>
      <c r="B150" s="36"/>
      <c r="C150" s="37"/>
      <c r="D150" s="38"/>
      <c r="E150" s="16"/>
      <c r="F150" s="16"/>
      <c r="G150" s="16"/>
      <c r="H150" s="16"/>
      <c r="I150" s="16"/>
      <c r="J150" s="16"/>
      <c r="K150" s="16"/>
      <c r="L150" s="16"/>
      <c r="M150" s="16"/>
      <c r="N150" s="13">
        <f t="shared" si="29"/>
        <v>0</v>
      </c>
    </row>
    <row r="151" spans="1:14" ht="12.75" customHeight="1" x14ac:dyDescent="0.3">
      <c r="A151" s="16" t="s">
        <v>15</v>
      </c>
      <c r="B151" s="59" t="s">
        <v>49</v>
      </c>
      <c r="C151" s="60"/>
      <c r="D151" s="58"/>
      <c r="E151" s="13">
        <f t="shared" ref="E151:N151" si="30">SUM(E141:E150)</f>
        <v>0</v>
      </c>
      <c r="F151" s="13">
        <f t="shared" si="30"/>
        <v>0</v>
      </c>
      <c r="G151" s="13">
        <f t="shared" si="30"/>
        <v>0</v>
      </c>
      <c r="H151" s="13">
        <f t="shared" si="30"/>
        <v>0</v>
      </c>
      <c r="I151" s="13">
        <f t="shared" si="30"/>
        <v>0</v>
      </c>
      <c r="J151" s="13">
        <f t="shared" si="30"/>
        <v>0</v>
      </c>
      <c r="K151" s="13">
        <f t="shared" si="30"/>
        <v>0</v>
      </c>
      <c r="L151" s="13">
        <f t="shared" si="30"/>
        <v>0</v>
      </c>
      <c r="M151" s="13">
        <f t="shared" si="30"/>
        <v>0</v>
      </c>
      <c r="N151" s="13">
        <f t="shared" si="30"/>
        <v>0</v>
      </c>
    </row>
    <row r="152" spans="1:14" ht="12.75" customHeight="1" x14ac:dyDescent="0.3">
      <c r="A152" s="61"/>
      <c r="B152" s="60"/>
      <c r="C152" s="60"/>
      <c r="D152" s="60"/>
      <c r="E152" s="58"/>
      <c r="F152" s="51"/>
      <c r="G152" s="51"/>
      <c r="H152" s="51"/>
      <c r="I152" s="51"/>
      <c r="J152" s="51"/>
      <c r="K152" s="51"/>
      <c r="L152" s="51"/>
      <c r="M152" s="51"/>
      <c r="N152" s="13"/>
    </row>
    <row r="153" spans="1:14" ht="12.75" customHeight="1" x14ac:dyDescent="0.3">
      <c r="A153" s="20" t="s">
        <v>37</v>
      </c>
      <c r="B153" s="14" t="s">
        <v>118</v>
      </c>
      <c r="C153" s="62" t="s">
        <v>119</v>
      </c>
      <c r="D153" s="63"/>
      <c r="E153" s="16">
        <v>0</v>
      </c>
      <c r="F153" s="16">
        <v>0</v>
      </c>
      <c r="G153" s="16">
        <v>1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3">
        <f t="shared" ref="N153:N156" si="31">SUM(E154:M154)</f>
        <v>1</v>
      </c>
    </row>
    <row r="154" spans="1:14" ht="12.75" customHeight="1" x14ac:dyDescent="0.3">
      <c r="A154" s="42" t="s">
        <v>39</v>
      </c>
      <c r="B154" s="28"/>
      <c r="C154" s="29" t="s">
        <v>120</v>
      </c>
      <c r="D154" s="30"/>
      <c r="E154" s="53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1</v>
      </c>
      <c r="N154" s="13">
        <f t="shared" si="31"/>
        <v>2</v>
      </c>
    </row>
    <row r="155" spans="1:14" ht="12.75" customHeight="1" x14ac:dyDescent="0.3">
      <c r="A155" s="15"/>
      <c r="B155" s="28"/>
      <c r="C155" s="29" t="s">
        <v>121</v>
      </c>
      <c r="D155" s="30"/>
      <c r="E155" s="53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2</v>
      </c>
      <c r="L155" s="16">
        <v>0</v>
      </c>
      <c r="M155" s="16">
        <v>0</v>
      </c>
      <c r="N155" s="13">
        <f t="shared" si="31"/>
        <v>0</v>
      </c>
    </row>
    <row r="156" spans="1:14" ht="12.75" customHeight="1" x14ac:dyDescent="0.3">
      <c r="A156" s="15"/>
      <c r="B156" s="28"/>
      <c r="C156" s="29" t="s">
        <v>122</v>
      </c>
      <c r="D156" s="30"/>
      <c r="E156" s="53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3">
        <f t="shared" si="31"/>
        <v>0</v>
      </c>
    </row>
    <row r="157" spans="1:14" ht="12.75" customHeight="1" x14ac:dyDescent="0.3">
      <c r="A157" s="15"/>
      <c r="B157" s="28"/>
      <c r="C157" s="29" t="s">
        <v>123</v>
      </c>
      <c r="D157" s="30"/>
      <c r="E157" s="53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3">
        <f t="shared" ref="N157:N162" si="32">SUM(E163:M163)</f>
        <v>4</v>
      </c>
    </row>
    <row r="158" spans="1:14" ht="12.75" customHeight="1" x14ac:dyDescent="0.3">
      <c r="A158" s="15"/>
      <c r="B158" s="28"/>
      <c r="C158" s="29" t="s">
        <v>124</v>
      </c>
      <c r="D158" s="30"/>
      <c r="E158" s="53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3">
        <f t="shared" si="32"/>
        <v>0</v>
      </c>
    </row>
    <row r="159" spans="1:14" ht="12.75" customHeight="1" x14ac:dyDescent="0.3">
      <c r="A159" s="15"/>
      <c r="B159" s="28"/>
      <c r="C159" s="29" t="s">
        <v>125</v>
      </c>
      <c r="D159" s="30"/>
      <c r="E159" s="53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3">
        <f t="shared" si="32"/>
        <v>1</v>
      </c>
    </row>
    <row r="160" spans="1:14" ht="12.75" customHeight="1" x14ac:dyDescent="0.3">
      <c r="A160" s="15"/>
      <c r="B160" s="28"/>
      <c r="C160" s="29" t="s">
        <v>126</v>
      </c>
      <c r="D160" s="30"/>
      <c r="E160" s="53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3">
        <f t="shared" si="32"/>
        <v>2</v>
      </c>
    </row>
    <row r="161" spans="1:14" ht="12.75" customHeight="1" x14ac:dyDescent="0.3">
      <c r="A161" s="15"/>
      <c r="B161" s="36"/>
      <c r="C161" s="43"/>
      <c r="D161" s="38"/>
      <c r="E161" s="53"/>
      <c r="F161" s="16"/>
      <c r="G161" s="16"/>
      <c r="H161" s="16"/>
      <c r="I161" s="16"/>
      <c r="J161" s="16"/>
      <c r="K161" s="16"/>
      <c r="L161" s="16"/>
      <c r="M161" s="16"/>
      <c r="N161" s="13">
        <f t="shared" si="32"/>
        <v>0</v>
      </c>
    </row>
    <row r="162" spans="1:14" ht="12.75" customHeight="1" x14ac:dyDescent="0.3">
      <c r="A162" s="15"/>
      <c r="B162" s="36"/>
      <c r="C162" s="43"/>
      <c r="D162" s="38"/>
      <c r="E162" s="53"/>
      <c r="F162" s="16"/>
      <c r="G162" s="16"/>
      <c r="H162" s="16"/>
      <c r="I162" s="16"/>
      <c r="J162" s="16"/>
      <c r="K162" s="16"/>
      <c r="L162" s="16"/>
      <c r="M162" s="16"/>
      <c r="N162" s="13">
        <f t="shared" si="32"/>
        <v>0</v>
      </c>
    </row>
    <row r="163" spans="1:14" ht="12.75" customHeight="1" x14ac:dyDescent="0.3">
      <c r="A163" s="16" t="s">
        <v>15</v>
      </c>
      <c r="B163" s="64" t="s">
        <v>49</v>
      </c>
      <c r="C163" s="56"/>
      <c r="D163" s="65"/>
      <c r="E163" s="13">
        <f t="shared" ref="E163:N163" si="33">SUM(E153:E162)</f>
        <v>0</v>
      </c>
      <c r="F163" s="13">
        <f t="shared" si="33"/>
        <v>0</v>
      </c>
      <c r="G163" s="13">
        <f t="shared" si="33"/>
        <v>1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2</v>
      </c>
      <c r="L163" s="13">
        <f t="shared" si="33"/>
        <v>0</v>
      </c>
      <c r="M163" s="13">
        <f t="shared" si="33"/>
        <v>1</v>
      </c>
      <c r="N163" s="13">
        <f t="shared" si="33"/>
        <v>10</v>
      </c>
    </row>
    <row r="164" spans="1:14" ht="12.75" customHeight="1" x14ac:dyDescent="0.3">
      <c r="A164" s="61"/>
      <c r="B164" s="60"/>
      <c r="C164" s="60"/>
      <c r="D164" s="60"/>
      <c r="E164" s="58"/>
      <c r="F164" s="51"/>
      <c r="G164" s="51"/>
      <c r="H164" s="51"/>
      <c r="I164" s="51"/>
      <c r="J164" s="51"/>
      <c r="K164" s="51"/>
      <c r="L164" s="51"/>
      <c r="M164" s="51"/>
      <c r="N164" s="51"/>
    </row>
    <row r="165" spans="1:14" ht="12.75" customHeight="1" x14ac:dyDescent="0.3">
      <c r="A165" s="20" t="s">
        <v>37</v>
      </c>
      <c r="B165" s="27" t="s">
        <v>127</v>
      </c>
      <c r="C165" s="57" t="s">
        <v>128</v>
      </c>
      <c r="D165" s="58"/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1</v>
      </c>
      <c r="M165" s="16">
        <v>0</v>
      </c>
      <c r="N165" s="13">
        <f t="shared" ref="N165:N174" si="34">SUM(E165:M165)</f>
        <v>1</v>
      </c>
    </row>
    <row r="166" spans="1:14" ht="12.75" customHeight="1" x14ac:dyDescent="0.3">
      <c r="A166" s="20" t="s">
        <v>39</v>
      </c>
      <c r="B166" s="28"/>
      <c r="C166" s="29" t="s">
        <v>129</v>
      </c>
      <c r="D166" s="30"/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2</v>
      </c>
      <c r="L166" s="16">
        <v>0</v>
      </c>
      <c r="M166" s="16">
        <v>0</v>
      </c>
      <c r="N166" s="13">
        <f t="shared" si="34"/>
        <v>2</v>
      </c>
    </row>
    <row r="167" spans="1:14" ht="12.75" customHeight="1" x14ac:dyDescent="0.3">
      <c r="A167" s="15"/>
      <c r="B167" s="36"/>
      <c r="C167" s="37"/>
      <c r="D167" s="38"/>
      <c r="E167" s="16"/>
      <c r="F167" s="16"/>
      <c r="G167" s="16"/>
      <c r="H167" s="16"/>
      <c r="I167" s="16"/>
      <c r="J167" s="16"/>
      <c r="K167" s="16"/>
      <c r="L167" s="16"/>
      <c r="M167" s="16"/>
      <c r="N167" s="13">
        <f t="shared" si="34"/>
        <v>0</v>
      </c>
    </row>
    <row r="168" spans="1:14" ht="12.75" customHeight="1" x14ac:dyDescent="0.3">
      <c r="A168" s="15"/>
      <c r="B168" s="36"/>
      <c r="C168" s="37"/>
      <c r="D168" s="38"/>
      <c r="E168" s="16"/>
      <c r="F168" s="16"/>
      <c r="G168" s="16"/>
      <c r="H168" s="16"/>
      <c r="I168" s="16"/>
      <c r="J168" s="16"/>
      <c r="K168" s="16"/>
      <c r="L168" s="16"/>
      <c r="M168" s="16"/>
      <c r="N168" s="13">
        <f t="shared" si="34"/>
        <v>0</v>
      </c>
    </row>
    <row r="169" spans="1:14" ht="12.75" customHeight="1" x14ac:dyDescent="0.3">
      <c r="A169" s="15"/>
      <c r="B169" s="36"/>
      <c r="C169" s="37"/>
      <c r="D169" s="38"/>
      <c r="E169" s="16"/>
      <c r="F169" s="16"/>
      <c r="G169" s="16"/>
      <c r="H169" s="16"/>
      <c r="I169" s="16"/>
      <c r="J169" s="16"/>
      <c r="K169" s="16"/>
      <c r="L169" s="16"/>
      <c r="M169" s="16"/>
      <c r="N169" s="13">
        <f t="shared" si="34"/>
        <v>0</v>
      </c>
    </row>
    <row r="170" spans="1:14" ht="12.75" customHeight="1" x14ac:dyDescent="0.3">
      <c r="A170" s="15"/>
      <c r="B170" s="36"/>
      <c r="C170" s="37"/>
      <c r="D170" s="38"/>
      <c r="E170" s="16"/>
      <c r="F170" s="16"/>
      <c r="G170" s="16"/>
      <c r="H170" s="16"/>
      <c r="I170" s="16"/>
      <c r="J170" s="16"/>
      <c r="K170" s="16"/>
      <c r="L170" s="16"/>
      <c r="M170" s="16"/>
      <c r="N170" s="13">
        <f t="shared" si="34"/>
        <v>0</v>
      </c>
    </row>
    <row r="171" spans="1:14" ht="12.75" customHeight="1" x14ac:dyDescent="0.3">
      <c r="A171" s="15"/>
      <c r="B171" s="36"/>
      <c r="C171" s="37"/>
      <c r="D171" s="38"/>
      <c r="E171" s="16"/>
      <c r="F171" s="16"/>
      <c r="G171" s="16"/>
      <c r="H171" s="16"/>
      <c r="I171" s="16"/>
      <c r="J171" s="16"/>
      <c r="K171" s="16"/>
      <c r="L171" s="16"/>
      <c r="M171" s="16"/>
      <c r="N171" s="13">
        <f t="shared" si="34"/>
        <v>0</v>
      </c>
    </row>
    <row r="172" spans="1:14" ht="12.75" customHeight="1" x14ac:dyDescent="0.3">
      <c r="A172" s="15"/>
      <c r="B172" s="36"/>
      <c r="C172" s="37"/>
      <c r="D172" s="38"/>
      <c r="E172" s="16"/>
      <c r="F172" s="16"/>
      <c r="G172" s="16"/>
      <c r="H172" s="16"/>
      <c r="I172" s="16"/>
      <c r="J172" s="16"/>
      <c r="K172" s="16"/>
      <c r="L172" s="16"/>
      <c r="M172" s="16"/>
      <c r="N172" s="13">
        <f t="shared" si="34"/>
        <v>0</v>
      </c>
    </row>
    <row r="173" spans="1:14" ht="12.75" customHeight="1" x14ac:dyDescent="0.3">
      <c r="A173" s="15"/>
      <c r="B173" s="36"/>
      <c r="C173" s="37"/>
      <c r="D173" s="38"/>
      <c r="E173" s="16"/>
      <c r="F173" s="16"/>
      <c r="G173" s="16"/>
      <c r="H173" s="16"/>
      <c r="I173" s="16"/>
      <c r="J173" s="16"/>
      <c r="K173" s="16"/>
      <c r="L173" s="16"/>
      <c r="M173" s="16"/>
      <c r="N173" s="13">
        <f t="shared" si="34"/>
        <v>0</v>
      </c>
    </row>
    <row r="174" spans="1:14" ht="12.75" customHeight="1" x14ac:dyDescent="0.3">
      <c r="A174" s="15"/>
      <c r="B174" s="36"/>
      <c r="C174" s="37"/>
      <c r="D174" s="38"/>
      <c r="E174" s="16"/>
      <c r="F174" s="16"/>
      <c r="G174" s="16"/>
      <c r="H174" s="16"/>
      <c r="I174" s="16"/>
      <c r="J174" s="16"/>
      <c r="K174" s="16"/>
      <c r="L174" s="16"/>
      <c r="M174" s="16"/>
      <c r="N174" s="13">
        <f t="shared" si="34"/>
        <v>0</v>
      </c>
    </row>
    <row r="175" spans="1:14" ht="12.75" customHeight="1" x14ac:dyDescent="0.3">
      <c r="A175" s="16" t="s">
        <v>15</v>
      </c>
      <c r="B175" s="59" t="s">
        <v>49</v>
      </c>
      <c r="C175" s="60"/>
      <c r="D175" s="58"/>
      <c r="E175" s="13">
        <f t="shared" ref="E175:N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2</v>
      </c>
      <c r="L175" s="13">
        <f t="shared" si="35"/>
        <v>1</v>
      </c>
      <c r="M175" s="13">
        <f t="shared" si="35"/>
        <v>0</v>
      </c>
      <c r="N175" s="13">
        <f t="shared" si="35"/>
        <v>3</v>
      </c>
    </row>
    <row r="176" spans="1:14" ht="12.75" customHeight="1" x14ac:dyDescent="0.3">
      <c r="A176" s="61"/>
      <c r="B176" s="60"/>
      <c r="C176" s="60"/>
      <c r="D176" s="60"/>
      <c r="E176" s="58"/>
      <c r="F176" s="51"/>
      <c r="G176" s="51"/>
      <c r="H176" s="51"/>
      <c r="I176" s="51"/>
      <c r="J176" s="51"/>
      <c r="K176" s="51"/>
      <c r="L176" s="51"/>
      <c r="M176" s="51"/>
      <c r="N176" s="51"/>
    </row>
    <row r="177" spans="1:14" ht="12.75" customHeight="1" x14ac:dyDescent="0.3">
      <c r="A177" s="20" t="s">
        <v>37</v>
      </c>
      <c r="B177" s="27" t="s">
        <v>130</v>
      </c>
      <c r="C177" s="57" t="s">
        <v>131</v>
      </c>
      <c r="D177" s="58"/>
      <c r="E177" s="16">
        <v>0</v>
      </c>
      <c r="F177" s="16">
        <v>0</v>
      </c>
      <c r="G177" s="16">
        <v>1</v>
      </c>
      <c r="H177" s="16">
        <v>2</v>
      </c>
      <c r="I177" s="16">
        <v>2</v>
      </c>
      <c r="J177" s="16">
        <v>1</v>
      </c>
      <c r="K177" s="16">
        <v>1</v>
      </c>
      <c r="L177" s="16">
        <v>0</v>
      </c>
      <c r="M177" s="16">
        <v>0</v>
      </c>
      <c r="N177" s="13">
        <f t="shared" ref="N177:N186" si="36">SUM(E177:M177)</f>
        <v>7</v>
      </c>
    </row>
    <row r="178" spans="1:14" ht="12.75" customHeight="1" x14ac:dyDescent="0.3">
      <c r="A178" s="20" t="s">
        <v>39</v>
      </c>
      <c r="B178" s="28"/>
      <c r="C178" s="29" t="s">
        <v>132</v>
      </c>
      <c r="D178" s="30"/>
      <c r="E178" s="16">
        <v>0</v>
      </c>
      <c r="F178" s="16">
        <v>0</v>
      </c>
      <c r="G178" s="16">
        <v>0</v>
      </c>
      <c r="H178" s="16">
        <v>0</v>
      </c>
      <c r="I178" s="16">
        <v>2</v>
      </c>
      <c r="J178" s="16">
        <v>1</v>
      </c>
      <c r="K178" s="16">
        <v>0</v>
      </c>
      <c r="L178" s="16">
        <v>0</v>
      </c>
      <c r="M178" s="16">
        <v>0</v>
      </c>
      <c r="N178" s="13">
        <f t="shared" si="36"/>
        <v>3</v>
      </c>
    </row>
    <row r="179" spans="1:14" ht="12.75" customHeight="1" x14ac:dyDescent="0.3">
      <c r="A179" s="15"/>
      <c r="B179" s="28"/>
      <c r="C179" s="29" t="s">
        <v>133</v>
      </c>
      <c r="D179" s="30"/>
      <c r="E179" s="16">
        <v>0</v>
      </c>
      <c r="F179" s="16">
        <v>0</v>
      </c>
      <c r="G179" s="16">
        <v>0</v>
      </c>
      <c r="H179" s="16">
        <v>0</v>
      </c>
      <c r="I179" s="16">
        <v>1</v>
      </c>
      <c r="J179" s="16">
        <v>3</v>
      </c>
      <c r="K179" s="16">
        <v>1</v>
      </c>
      <c r="L179" s="16">
        <v>0</v>
      </c>
      <c r="M179" s="16">
        <v>0</v>
      </c>
      <c r="N179" s="13">
        <f t="shared" si="36"/>
        <v>5</v>
      </c>
    </row>
    <row r="180" spans="1:14" ht="12.75" customHeight="1" x14ac:dyDescent="0.3">
      <c r="A180" s="15"/>
      <c r="B180" s="28"/>
      <c r="C180" s="29" t="s">
        <v>134</v>
      </c>
      <c r="D180" s="30"/>
      <c r="E180" s="16">
        <v>1</v>
      </c>
      <c r="F180" s="16">
        <v>1</v>
      </c>
      <c r="G180" s="16">
        <v>0</v>
      </c>
      <c r="H180" s="16">
        <v>1</v>
      </c>
      <c r="I180" s="16">
        <v>0</v>
      </c>
      <c r="J180" s="16">
        <v>2</v>
      </c>
      <c r="K180" s="16">
        <v>0</v>
      </c>
      <c r="L180" s="16">
        <v>0</v>
      </c>
      <c r="M180" s="16">
        <v>0</v>
      </c>
      <c r="N180" s="13">
        <f t="shared" si="36"/>
        <v>5</v>
      </c>
    </row>
    <row r="181" spans="1:14" ht="12.75" customHeight="1" x14ac:dyDescent="0.3">
      <c r="A181" s="15"/>
      <c r="B181" s="28"/>
      <c r="C181" s="29" t="s">
        <v>135</v>
      </c>
      <c r="D181" s="30"/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1</v>
      </c>
      <c r="K181" s="16">
        <v>0</v>
      </c>
      <c r="L181" s="16">
        <v>0</v>
      </c>
      <c r="M181" s="16">
        <v>0</v>
      </c>
      <c r="N181" s="13">
        <f t="shared" si="36"/>
        <v>1</v>
      </c>
    </row>
    <row r="182" spans="1:14" ht="12.75" customHeight="1" x14ac:dyDescent="0.3">
      <c r="A182" s="15"/>
      <c r="B182" s="28"/>
      <c r="C182" s="29" t="s">
        <v>136</v>
      </c>
      <c r="D182" s="30"/>
      <c r="E182" s="16">
        <v>0</v>
      </c>
      <c r="F182" s="16">
        <v>0</v>
      </c>
      <c r="G182" s="16">
        <v>0</v>
      </c>
      <c r="H182" s="16">
        <v>1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3">
        <f t="shared" si="36"/>
        <v>1</v>
      </c>
    </row>
    <row r="183" spans="1:14" ht="12.75" customHeight="1" x14ac:dyDescent="0.3">
      <c r="A183" s="15"/>
      <c r="B183" s="28"/>
      <c r="C183" s="29" t="s">
        <v>137</v>
      </c>
      <c r="D183" s="30"/>
      <c r="E183" s="16">
        <v>0</v>
      </c>
      <c r="F183" s="16">
        <v>0</v>
      </c>
      <c r="G183" s="16">
        <v>0</v>
      </c>
      <c r="H183" s="16">
        <v>0</v>
      </c>
      <c r="I183" s="16">
        <v>1</v>
      </c>
      <c r="J183" s="16">
        <v>0</v>
      </c>
      <c r="K183" s="16">
        <v>0</v>
      </c>
      <c r="L183" s="16">
        <v>0</v>
      </c>
      <c r="M183" s="16">
        <v>0</v>
      </c>
      <c r="N183" s="13">
        <f t="shared" si="36"/>
        <v>1</v>
      </c>
    </row>
    <row r="184" spans="1:14" ht="12.75" customHeight="1" x14ac:dyDescent="0.3">
      <c r="A184" s="15"/>
      <c r="B184" s="28"/>
      <c r="C184" s="29" t="s">
        <v>138</v>
      </c>
      <c r="D184" s="30"/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3">
        <f t="shared" si="36"/>
        <v>0</v>
      </c>
    </row>
    <row r="185" spans="1:14" ht="12.75" customHeight="1" x14ac:dyDescent="0.3">
      <c r="A185" s="15"/>
      <c r="B185" s="28"/>
      <c r="C185" s="29" t="s">
        <v>139</v>
      </c>
      <c r="D185" s="30"/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3">
        <f t="shared" si="36"/>
        <v>0</v>
      </c>
    </row>
    <row r="186" spans="1:14" ht="12.75" customHeight="1" x14ac:dyDescent="0.3">
      <c r="A186" s="15"/>
      <c r="B186" s="28"/>
      <c r="C186" s="29" t="s">
        <v>140</v>
      </c>
      <c r="D186" s="30"/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3">
        <f t="shared" si="36"/>
        <v>0</v>
      </c>
    </row>
    <row r="187" spans="1:14" ht="12.75" customHeight="1" x14ac:dyDescent="0.3">
      <c r="A187" s="16" t="s">
        <v>15</v>
      </c>
      <c r="B187" s="59" t="s">
        <v>49</v>
      </c>
      <c r="C187" s="60"/>
      <c r="D187" s="58"/>
      <c r="E187" s="13">
        <f t="shared" ref="E187:N187" si="37">SUM(E177:E186)</f>
        <v>1</v>
      </c>
      <c r="F187" s="13">
        <f t="shared" si="37"/>
        <v>1</v>
      </c>
      <c r="G187" s="13">
        <f t="shared" si="37"/>
        <v>1</v>
      </c>
      <c r="H187" s="13">
        <f t="shared" si="37"/>
        <v>4</v>
      </c>
      <c r="I187" s="13">
        <f t="shared" si="37"/>
        <v>6</v>
      </c>
      <c r="J187" s="13">
        <f t="shared" si="37"/>
        <v>8</v>
      </c>
      <c r="K187" s="13">
        <f t="shared" si="37"/>
        <v>2</v>
      </c>
      <c r="L187" s="13">
        <f t="shared" si="37"/>
        <v>0</v>
      </c>
      <c r="M187" s="13">
        <f t="shared" si="37"/>
        <v>0</v>
      </c>
      <c r="N187" s="13">
        <f t="shared" si="37"/>
        <v>23</v>
      </c>
    </row>
    <row r="188" spans="1:14" ht="12.75" customHeight="1" x14ac:dyDescent="0.3">
      <c r="A188" s="61"/>
      <c r="B188" s="60"/>
      <c r="C188" s="60"/>
      <c r="D188" s="60"/>
      <c r="E188" s="58"/>
      <c r="F188" s="51"/>
      <c r="G188" s="51"/>
      <c r="H188" s="51"/>
      <c r="I188" s="51"/>
      <c r="J188" s="51"/>
      <c r="K188" s="51"/>
      <c r="L188" s="51"/>
      <c r="M188" s="51"/>
      <c r="N188" s="13"/>
    </row>
    <row r="189" spans="1:14" ht="12.75" customHeight="1" x14ac:dyDescent="0.3">
      <c r="A189" s="20" t="s">
        <v>37</v>
      </c>
      <c r="B189" s="27" t="s">
        <v>141</v>
      </c>
      <c r="C189" s="57" t="s">
        <v>142</v>
      </c>
      <c r="D189" s="58"/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3">
        <f t="shared" ref="N189:N198" si="38">SUM(E189:M189)</f>
        <v>0</v>
      </c>
    </row>
    <row r="190" spans="1:14" ht="12.75" customHeight="1" x14ac:dyDescent="0.3">
      <c r="A190" s="20" t="s">
        <v>39</v>
      </c>
      <c r="B190" s="28"/>
      <c r="C190" s="29" t="s">
        <v>143</v>
      </c>
      <c r="D190" s="30"/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3">
        <f t="shared" si="38"/>
        <v>0</v>
      </c>
    </row>
    <row r="191" spans="1:14" ht="12.75" customHeight="1" x14ac:dyDescent="0.3">
      <c r="A191" s="15"/>
      <c r="B191" s="28"/>
      <c r="C191" s="29" t="s">
        <v>144</v>
      </c>
      <c r="D191" s="30"/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3">
        <f t="shared" si="38"/>
        <v>0</v>
      </c>
    </row>
    <row r="192" spans="1:14" ht="12.75" customHeight="1" x14ac:dyDescent="0.3">
      <c r="A192" s="15"/>
      <c r="B192" s="28"/>
      <c r="C192" s="29" t="s">
        <v>145</v>
      </c>
      <c r="D192" s="30"/>
      <c r="E192" s="16">
        <v>1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3">
        <f t="shared" si="38"/>
        <v>1</v>
      </c>
    </row>
    <row r="193" spans="1:14" ht="12.75" customHeight="1" x14ac:dyDescent="0.3">
      <c r="A193" s="15"/>
      <c r="B193" s="28"/>
      <c r="C193" s="29" t="s">
        <v>146</v>
      </c>
      <c r="D193" s="30"/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3">
        <f t="shared" si="38"/>
        <v>0</v>
      </c>
    </row>
    <row r="194" spans="1:14" ht="12.75" customHeight="1" x14ac:dyDescent="0.3">
      <c r="A194" s="15"/>
      <c r="B194" s="28"/>
      <c r="C194" s="29" t="s">
        <v>147</v>
      </c>
      <c r="D194" s="30"/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3">
        <f t="shared" si="38"/>
        <v>0</v>
      </c>
    </row>
    <row r="195" spans="1:14" ht="12.75" customHeight="1" x14ac:dyDescent="0.3">
      <c r="A195" s="15"/>
      <c r="B195" s="28"/>
      <c r="C195" s="29" t="s">
        <v>148</v>
      </c>
      <c r="D195" s="30"/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3">
        <f t="shared" si="38"/>
        <v>0</v>
      </c>
    </row>
    <row r="196" spans="1:14" ht="12.75" customHeight="1" x14ac:dyDescent="0.3">
      <c r="A196" s="15"/>
      <c r="B196" s="28"/>
      <c r="C196" s="29" t="s">
        <v>149</v>
      </c>
      <c r="D196" s="30"/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3">
        <f t="shared" si="38"/>
        <v>0</v>
      </c>
    </row>
    <row r="197" spans="1:14" ht="12.75" customHeight="1" x14ac:dyDescent="0.3">
      <c r="A197" s="15"/>
      <c r="B197" s="28"/>
      <c r="C197" s="29" t="s">
        <v>150</v>
      </c>
      <c r="D197" s="30"/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3">
        <f t="shared" si="38"/>
        <v>0</v>
      </c>
    </row>
    <row r="198" spans="1:14" ht="12.75" customHeight="1" x14ac:dyDescent="0.3">
      <c r="A198" s="15"/>
      <c r="B198" s="28"/>
      <c r="C198" s="29" t="s">
        <v>151</v>
      </c>
      <c r="D198" s="30"/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3">
        <f t="shared" si="38"/>
        <v>0</v>
      </c>
    </row>
    <row r="199" spans="1:14" ht="12.75" customHeight="1" x14ac:dyDescent="0.3">
      <c r="A199" s="16" t="s">
        <v>15</v>
      </c>
      <c r="B199" s="59" t="s">
        <v>49</v>
      </c>
      <c r="C199" s="60"/>
      <c r="D199" s="58"/>
      <c r="E199" s="13">
        <f t="shared" ref="E199:N199" si="39">SUM(E189:E198)</f>
        <v>1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1</v>
      </c>
    </row>
    <row r="200" spans="1:14" ht="12.75" customHeight="1" x14ac:dyDescent="0.3">
      <c r="A200" s="61"/>
      <c r="B200" s="60"/>
      <c r="C200" s="60"/>
      <c r="D200" s="60"/>
      <c r="E200" s="58"/>
      <c r="F200" s="51"/>
      <c r="G200" s="51"/>
      <c r="H200" s="51"/>
      <c r="I200" s="51"/>
      <c r="J200" s="51"/>
      <c r="K200" s="51"/>
      <c r="L200" s="51"/>
      <c r="M200" s="51"/>
      <c r="N200" s="51"/>
    </row>
    <row r="201" spans="1:14" ht="12.75" customHeight="1" x14ac:dyDescent="0.3">
      <c r="A201" s="20" t="s">
        <v>37</v>
      </c>
      <c r="B201" s="27" t="s">
        <v>152</v>
      </c>
      <c r="C201" s="57" t="s">
        <v>153</v>
      </c>
      <c r="D201" s="58"/>
      <c r="E201" s="16">
        <v>7</v>
      </c>
      <c r="F201" s="16">
        <v>1</v>
      </c>
      <c r="G201" s="16">
        <v>22</v>
      </c>
      <c r="H201" s="16">
        <v>13</v>
      </c>
      <c r="I201" s="16">
        <v>5</v>
      </c>
      <c r="J201" s="16">
        <v>1</v>
      </c>
      <c r="K201" s="16">
        <v>8</v>
      </c>
      <c r="L201" s="16">
        <v>9</v>
      </c>
      <c r="M201" s="16">
        <v>3</v>
      </c>
      <c r="N201" s="13">
        <f t="shared" ref="N201:N210" si="40">SUM(E201:M201)</f>
        <v>69</v>
      </c>
    </row>
    <row r="202" spans="1:14" ht="12.75" customHeight="1" x14ac:dyDescent="0.3">
      <c r="A202" s="20" t="s">
        <v>39</v>
      </c>
      <c r="B202" s="28"/>
      <c r="C202" s="29" t="s">
        <v>154</v>
      </c>
      <c r="D202" s="30"/>
      <c r="E202" s="16">
        <v>1</v>
      </c>
      <c r="F202" s="16">
        <v>1</v>
      </c>
      <c r="G202" s="16">
        <v>6</v>
      </c>
      <c r="H202" s="16">
        <v>4</v>
      </c>
      <c r="I202" s="16">
        <v>7</v>
      </c>
      <c r="J202" s="16">
        <v>10</v>
      </c>
      <c r="K202" s="16">
        <v>9</v>
      </c>
      <c r="L202" s="16">
        <v>6</v>
      </c>
      <c r="M202" s="16">
        <v>3</v>
      </c>
      <c r="N202" s="13">
        <f t="shared" si="40"/>
        <v>47</v>
      </c>
    </row>
    <row r="203" spans="1:14" ht="12.75" customHeight="1" x14ac:dyDescent="0.3">
      <c r="A203" s="15"/>
      <c r="B203" s="28"/>
      <c r="C203" s="29" t="s">
        <v>155</v>
      </c>
      <c r="D203" s="30"/>
      <c r="E203" s="16">
        <v>5</v>
      </c>
      <c r="F203" s="16">
        <v>3</v>
      </c>
      <c r="G203" s="16">
        <v>14</v>
      </c>
      <c r="H203" s="16">
        <v>16</v>
      </c>
      <c r="I203" s="16">
        <v>3</v>
      </c>
      <c r="J203" s="16">
        <v>1</v>
      </c>
      <c r="K203" s="16">
        <v>8</v>
      </c>
      <c r="L203" s="16">
        <v>15</v>
      </c>
      <c r="M203" s="16">
        <v>0</v>
      </c>
      <c r="N203" s="13">
        <f t="shared" si="40"/>
        <v>65</v>
      </c>
    </row>
    <row r="204" spans="1:14" ht="12.75" customHeight="1" x14ac:dyDescent="0.3">
      <c r="A204" s="15"/>
      <c r="B204" s="28"/>
      <c r="C204" s="29" t="s">
        <v>156</v>
      </c>
      <c r="D204" s="30"/>
      <c r="E204" s="16">
        <v>0</v>
      </c>
      <c r="F204" s="16">
        <v>0</v>
      </c>
      <c r="G204" s="16">
        <v>2</v>
      </c>
      <c r="H204" s="16">
        <v>0</v>
      </c>
      <c r="I204" s="16">
        <v>0</v>
      </c>
      <c r="J204" s="16">
        <v>0</v>
      </c>
      <c r="K204" s="16">
        <v>0</v>
      </c>
      <c r="L204" s="16">
        <v>3</v>
      </c>
      <c r="M204" s="16">
        <v>0</v>
      </c>
      <c r="N204" s="13">
        <f t="shared" si="40"/>
        <v>5</v>
      </c>
    </row>
    <row r="205" spans="1:14" ht="12.75" customHeight="1" x14ac:dyDescent="0.3">
      <c r="A205" s="15"/>
      <c r="B205" s="28"/>
      <c r="C205" s="29" t="s">
        <v>157</v>
      </c>
      <c r="D205" s="30"/>
      <c r="E205" s="16">
        <v>0</v>
      </c>
      <c r="F205" s="16">
        <v>0</v>
      </c>
      <c r="G205" s="16">
        <v>2</v>
      </c>
      <c r="H205" s="16">
        <v>2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3">
        <f t="shared" si="40"/>
        <v>4</v>
      </c>
    </row>
    <row r="206" spans="1:14" ht="12.75" customHeight="1" x14ac:dyDescent="0.3">
      <c r="A206" s="15"/>
      <c r="B206" s="28"/>
      <c r="C206" s="29" t="s">
        <v>158</v>
      </c>
      <c r="D206" s="30"/>
      <c r="E206" s="16">
        <v>0</v>
      </c>
      <c r="F206" s="16">
        <v>1</v>
      </c>
      <c r="G206" s="16">
        <v>1</v>
      </c>
      <c r="H206" s="16">
        <v>0</v>
      </c>
      <c r="I206" s="16">
        <v>0</v>
      </c>
      <c r="J206" s="16">
        <v>0</v>
      </c>
      <c r="K206" s="16">
        <v>0</v>
      </c>
      <c r="L206" s="16">
        <v>2</v>
      </c>
      <c r="M206" s="16">
        <v>0</v>
      </c>
      <c r="N206" s="13">
        <f t="shared" si="40"/>
        <v>4</v>
      </c>
    </row>
    <row r="207" spans="1:14" ht="12.75" customHeight="1" x14ac:dyDescent="0.3">
      <c r="A207" s="15"/>
      <c r="B207" s="28"/>
      <c r="C207" s="29" t="s">
        <v>159</v>
      </c>
      <c r="D207" s="30"/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3">
        <f t="shared" si="40"/>
        <v>0</v>
      </c>
    </row>
    <row r="208" spans="1:14" ht="12.75" customHeight="1" x14ac:dyDescent="0.3">
      <c r="A208" s="15"/>
      <c r="B208" s="28"/>
      <c r="C208" s="29" t="s">
        <v>160</v>
      </c>
      <c r="D208" s="30"/>
      <c r="E208" s="16">
        <v>0</v>
      </c>
      <c r="F208" s="16">
        <v>0</v>
      </c>
      <c r="G208" s="16">
        <v>2</v>
      </c>
      <c r="H208" s="16">
        <v>3</v>
      </c>
      <c r="I208" s="16">
        <v>3</v>
      </c>
      <c r="J208" s="16">
        <v>1</v>
      </c>
      <c r="K208" s="16">
        <v>1</v>
      </c>
      <c r="L208" s="16">
        <v>3</v>
      </c>
      <c r="M208" s="16">
        <v>2</v>
      </c>
      <c r="N208" s="13">
        <f t="shared" si="40"/>
        <v>15</v>
      </c>
    </row>
    <row r="209" spans="1:14" ht="12.75" customHeight="1" x14ac:dyDescent="0.3">
      <c r="A209" s="15"/>
      <c r="B209" s="28"/>
      <c r="C209" s="29" t="s">
        <v>161</v>
      </c>
      <c r="D209" s="30"/>
      <c r="E209" s="16">
        <v>1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3">
        <f t="shared" si="40"/>
        <v>1</v>
      </c>
    </row>
    <row r="210" spans="1:14" ht="12.75" customHeight="1" x14ac:dyDescent="0.3">
      <c r="A210" s="15"/>
      <c r="B210" s="28"/>
      <c r="C210" s="29" t="s">
        <v>162</v>
      </c>
      <c r="D210" s="30"/>
      <c r="E210" s="16">
        <v>2</v>
      </c>
      <c r="F210" s="16">
        <v>0</v>
      </c>
      <c r="G210" s="16">
        <v>0</v>
      </c>
      <c r="H210" s="16">
        <v>0</v>
      </c>
      <c r="I210" s="16">
        <v>1</v>
      </c>
      <c r="J210" s="16">
        <v>0</v>
      </c>
      <c r="K210" s="16">
        <v>1</v>
      </c>
      <c r="L210" s="16">
        <v>0</v>
      </c>
      <c r="M210" s="16">
        <v>0</v>
      </c>
      <c r="N210" s="13">
        <f t="shared" si="40"/>
        <v>4</v>
      </c>
    </row>
    <row r="211" spans="1:14" ht="12.75" customHeight="1" x14ac:dyDescent="0.3">
      <c r="A211" s="16" t="s">
        <v>15</v>
      </c>
      <c r="B211" s="59" t="s">
        <v>49</v>
      </c>
      <c r="C211" s="60"/>
      <c r="D211" s="58"/>
      <c r="E211" s="13">
        <f t="shared" ref="E211:N211" si="41">SUM(E201:E210)</f>
        <v>16</v>
      </c>
      <c r="F211" s="13">
        <f t="shared" si="41"/>
        <v>6</v>
      </c>
      <c r="G211" s="13">
        <f t="shared" si="41"/>
        <v>49</v>
      </c>
      <c r="H211" s="13">
        <f t="shared" si="41"/>
        <v>38</v>
      </c>
      <c r="I211" s="13">
        <f t="shared" si="41"/>
        <v>19</v>
      </c>
      <c r="J211" s="13">
        <f t="shared" si="41"/>
        <v>13</v>
      </c>
      <c r="K211" s="13">
        <f t="shared" si="41"/>
        <v>27</v>
      </c>
      <c r="L211" s="13">
        <f t="shared" si="41"/>
        <v>38</v>
      </c>
      <c r="M211" s="13">
        <f t="shared" si="41"/>
        <v>8</v>
      </c>
      <c r="N211" s="13">
        <f t="shared" si="41"/>
        <v>214</v>
      </c>
    </row>
    <row r="212" spans="1:14" ht="12.75" customHeight="1" x14ac:dyDescent="0.3">
      <c r="A212" s="61"/>
      <c r="B212" s="60"/>
      <c r="C212" s="60"/>
      <c r="D212" s="60"/>
      <c r="E212" s="58"/>
      <c r="F212" s="51"/>
      <c r="G212" s="51"/>
      <c r="H212" s="51"/>
      <c r="I212" s="51"/>
      <c r="J212" s="51"/>
      <c r="K212" s="51"/>
      <c r="L212" s="51"/>
      <c r="M212" s="51"/>
      <c r="N212" s="51"/>
    </row>
    <row r="213" spans="1:14" ht="12.75" customHeight="1" x14ac:dyDescent="0.3">
      <c r="A213" s="20" t="s">
        <v>37</v>
      </c>
      <c r="B213" s="27" t="s">
        <v>163</v>
      </c>
      <c r="C213" s="57" t="s">
        <v>164</v>
      </c>
      <c r="D213" s="58"/>
      <c r="E213" s="16">
        <v>4</v>
      </c>
      <c r="F213" s="16">
        <v>0</v>
      </c>
      <c r="G213" s="16">
        <v>3</v>
      </c>
      <c r="H213" s="16">
        <v>3</v>
      </c>
      <c r="I213" s="16">
        <v>3</v>
      </c>
      <c r="J213" s="16">
        <v>1</v>
      </c>
      <c r="K213" s="16">
        <v>5</v>
      </c>
      <c r="L213" s="16">
        <v>5</v>
      </c>
      <c r="M213" s="16">
        <v>1</v>
      </c>
      <c r="N213" s="13">
        <f t="shared" ref="N213:N222" si="42">SUM(E213:M213)</f>
        <v>25</v>
      </c>
    </row>
    <row r="214" spans="1:14" ht="12.75" customHeight="1" x14ac:dyDescent="0.3">
      <c r="A214" s="20" t="s">
        <v>39</v>
      </c>
      <c r="B214" s="28"/>
      <c r="C214" s="29" t="s">
        <v>165</v>
      </c>
      <c r="D214" s="30"/>
      <c r="E214" s="16">
        <v>1</v>
      </c>
      <c r="F214" s="16">
        <v>1</v>
      </c>
      <c r="G214" s="16">
        <v>0</v>
      </c>
      <c r="H214" s="16">
        <v>3</v>
      </c>
      <c r="I214" s="16">
        <v>0</v>
      </c>
      <c r="J214" s="16">
        <v>0</v>
      </c>
      <c r="K214" s="16">
        <v>2</v>
      </c>
      <c r="L214" s="16">
        <v>0</v>
      </c>
      <c r="M214" s="16">
        <v>1</v>
      </c>
      <c r="N214" s="13">
        <f t="shared" si="42"/>
        <v>8</v>
      </c>
    </row>
    <row r="215" spans="1:14" ht="12.75" customHeight="1" x14ac:dyDescent="0.3">
      <c r="A215" s="15"/>
      <c r="B215" s="28"/>
      <c r="C215" s="29" t="s">
        <v>166</v>
      </c>
      <c r="D215" s="30"/>
      <c r="E215" s="16">
        <v>1</v>
      </c>
      <c r="F215" s="16">
        <v>1</v>
      </c>
      <c r="G215" s="16">
        <v>0</v>
      </c>
      <c r="H215" s="16">
        <v>0</v>
      </c>
      <c r="I215" s="16">
        <v>1</v>
      </c>
      <c r="J215" s="16">
        <v>0</v>
      </c>
      <c r="K215" s="16">
        <v>1</v>
      </c>
      <c r="L215" s="16">
        <v>4</v>
      </c>
      <c r="M215" s="16">
        <v>0</v>
      </c>
      <c r="N215" s="13">
        <f t="shared" si="42"/>
        <v>8</v>
      </c>
    </row>
    <row r="216" spans="1:14" ht="12.75" customHeight="1" x14ac:dyDescent="0.3">
      <c r="A216" s="15"/>
      <c r="B216" s="28"/>
      <c r="C216" s="29" t="s">
        <v>167</v>
      </c>
      <c r="D216" s="30"/>
      <c r="E216" s="16">
        <v>2</v>
      </c>
      <c r="F216" s="16">
        <v>0</v>
      </c>
      <c r="G216" s="16">
        <v>0</v>
      </c>
      <c r="H216" s="16">
        <v>0</v>
      </c>
      <c r="I216" s="16">
        <v>1</v>
      </c>
      <c r="J216" s="16">
        <v>0</v>
      </c>
      <c r="K216" s="16">
        <v>0</v>
      </c>
      <c r="L216" s="16">
        <v>0</v>
      </c>
      <c r="M216" s="16">
        <v>0</v>
      </c>
      <c r="N216" s="13">
        <f t="shared" si="42"/>
        <v>3</v>
      </c>
    </row>
    <row r="217" spans="1:14" ht="12.75" customHeight="1" x14ac:dyDescent="0.3">
      <c r="A217" s="15"/>
      <c r="B217" s="36"/>
      <c r="C217" s="37"/>
      <c r="D217" s="40"/>
      <c r="E217" s="16"/>
      <c r="F217" s="16"/>
      <c r="G217" s="16"/>
      <c r="H217" s="16"/>
      <c r="I217" s="16"/>
      <c r="J217" s="16"/>
      <c r="K217" s="16"/>
      <c r="L217" s="16"/>
      <c r="M217" s="16"/>
      <c r="N217" s="13">
        <f t="shared" si="42"/>
        <v>0</v>
      </c>
    </row>
    <row r="218" spans="1:14" ht="12.75" customHeight="1" x14ac:dyDescent="0.3">
      <c r="A218" s="15"/>
      <c r="B218" s="36"/>
      <c r="C218" s="37"/>
      <c r="D218" s="40"/>
      <c r="E218" s="16"/>
      <c r="F218" s="16"/>
      <c r="G218" s="16"/>
      <c r="H218" s="16"/>
      <c r="I218" s="16"/>
      <c r="J218" s="16"/>
      <c r="K218" s="16"/>
      <c r="L218" s="16"/>
      <c r="M218" s="16"/>
      <c r="N218" s="13">
        <f t="shared" si="42"/>
        <v>0</v>
      </c>
    </row>
    <row r="219" spans="1:14" ht="12.75" customHeight="1" x14ac:dyDescent="0.3">
      <c r="A219" s="15"/>
      <c r="B219" s="36"/>
      <c r="C219" s="37"/>
      <c r="D219" s="40"/>
      <c r="E219" s="16"/>
      <c r="F219" s="16"/>
      <c r="G219" s="16"/>
      <c r="H219" s="16"/>
      <c r="I219" s="16"/>
      <c r="J219" s="16"/>
      <c r="K219" s="16"/>
      <c r="L219" s="16"/>
      <c r="M219" s="16"/>
      <c r="N219" s="13">
        <f t="shared" si="42"/>
        <v>0</v>
      </c>
    </row>
    <row r="220" spans="1:14" ht="12.75" customHeight="1" x14ac:dyDescent="0.3">
      <c r="A220" s="15"/>
      <c r="B220" s="36"/>
      <c r="C220" s="37"/>
      <c r="D220" s="40"/>
      <c r="E220" s="16"/>
      <c r="F220" s="16"/>
      <c r="G220" s="16"/>
      <c r="H220" s="16"/>
      <c r="I220" s="16"/>
      <c r="J220" s="16"/>
      <c r="K220" s="16"/>
      <c r="L220" s="16"/>
      <c r="M220" s="16"/>
      <c r="N220" s="13">
        <f t="shared" si="42"/>
        <v>0</v>
      </c>
    </row>
    <row r="221" spans="1:14" ht="12.75" customHeight="1" x14ac:dyDescent="0.3">
      <c r="A221" s="15"/>
      <c r="B221" s="36"/>
      <c r="C221" s="37"/>
      <c r="D221" s="40"/>
      <c r="E221" s="16"/>
      <c r="F221" s="16"/>
      <c r="G221" s="16"/>
      <c r="H221" s="16"/>
      <c r="I221" s="16"/>
      <c r="J221" s="16"/>
      <c r="K221" s="16"/>
      <c r="L221" s="16"/>
      <c r="M221" s="16"/>
      <c r="N221" s="13">
        <f t="shared" si="42"/>
        <v>0</v>
      </c>
    </row>
    <row r="222" spans="1:14" ht="12.75" customHeight="1" x14ac:dyDescent="0.3">
      <c r="A222" s="15"/>
      <c r="B222" s="36"/>
      <c r="C222" s="37"/>
      <c r="D222" s="40"/>
      <c r="E222" s="16"/>
      <c r="F222" s="16"/>
      <c r="G222" s="16"/>
      <c r="H222" s="16"/>
      <c r="I222" s="16"/>
      <c r="J222" s="16"/>
      <c r="K222" s="16"/>
      <c r="L222" s="16"/>
      <c r="M222" s="16"/>
      <c r="N222" s="13">
        <f t="shared" si="42"/>
        <v>0</v>
      </c>
    </row>
    <row r="223" spans="1:14" ht="12.75" customHeight="1" x14ac:dyDescent="0.3">
      <c r="A223" s="16" t="s">
        <v>15</v>
      </c>
      <c r="B223" s="59" t="s">
        <v>49</v>
      </c>
      <c r="C223" s="60"/>
      <c r="D223" s="58"/>
      <c r="E223" s="13">
        <f t="shared" ref="E223:N223" si="43">SUM(E213:E222)</f>
        <v>8</v>
      </c>
      <c r="F223" s="13">
        <f t="shared" si="43"/>
        <v>2</v>
      </c>
      <c r="G223" s="13">
        <f t="shared" si="43"/>
        <v>3</v>
      </c>
      <c r="H223" s="13">
        <f t="shared" si="43"/>
        <v>6</v>
      </c>
      <c r="I223" s="13">
        <f t="shared" si="43"/>
        <v>5</v>
      </c>
      <c r="J223" s="13">
        <f t="shared" si="43"/>
        <v>1</v>
      </c>
      <c r="K223" s="13">
        <f t="shared" si="43"/>
        <v>8</v>
      </c>
      <c r="L223" s="13">
        <f t="shared" si="43"/>
        <v>9</v>
      </c>
      <c r="M223" s="13">
        <f t="shared" si="43"/>
        <v>2</v>
      </c>
      <c r="N223" s="13">
        <f t="shared" si="43"/>
        <v>44</v>
      </c>
    </row>
    <row r="224" spans="1:14" ht="12.75" customHeight="1" x14ac:dyDescent="0.3">
      <c r="A224" s="61"/>
      <c r="B224" s="60"/>
      <c r="C224" s="60"/>
      <c r="D224" s="60"/>
      <c r="E224" s="58"/>
      <c r="F224" s="51"/>
      <c r="G224" s="51"/>
      <c r="H224" s="51"/>
      <c r="I224" s="51"/>
      <c r="J224" s="51"/>
      <c r="K224" s="51"/>
      <c r="L224" s="51"/>
      <c r="M224" s="51"/>
      <c r="N224" s="51"/>
    </row>
    <row r="225" spans="1:14" ht="12.75" customHeight="1" x14ac:dyDescent="0.3">
      <c r="A225" s="20" t="s">
        <v>37</v>
      </c>
      <c r="B225" s="27" t="s">
        <v>168</v>
      </c>
      <c r="C225" s="57" t="s">
        <v>169</v>
      </c>
      <c r="D225" s="58"/>
      <c r="E225" s="16">
        <v>1</v>
      </c>
      <c r="F225" s="16">
        <v>0</v>
      </c>
      <c r="G225" s="16">
        <v>0</v>
      </c>
      <c r="H225" s="16">
        <v>0</v>
      </c>
      <c r="I225" s="16">
        <v>0</v>
      </c>
      <c r="J225" s="16">
        <v>0</v>
      </c>
      <c r="K225" s="16">
        <v>2</v>
      </c>
      <c r="L225" s="16">
        <v>0</v>
      </c>
      <c r="M225" s="16">
        <v>1</v>
      </c>
      <c r="N225" s="13">
        <f t="shared" ref="N225:N234" si="44">SUM(E225:M225)</f>
        <v>4</v>
      </c>
    </row>
    <row r="226" spans="1:14" ht="12.75" customHeight="1" x14ac:dyDescent="0.3">
      <c r="A226" s="20" t="s">
        <v>39</v>
      </c>
      <c r="B226" s="28"/>
      <c r="C226" s="29" t="s">
        <v>170</v>
      </c>
      <c r="D226" s="30"/>
      <c r="E226" s="16">
        <v>1</v>
      </c>
      <c r="F226" s="16">
        <v>0</v>
      </c>
      <c r="G226" s="16">
        <v>1</v>
      </c>
      <c r="H226" s="16">
        <v>0</v>
      </c>
      <c r="I226" s="16">
        <v>0</v>
      </c>
      <c r="J226" s="16">
        <v>0</v>
      </c>
      <c r="K226" s="16">
        <v>0</v>
      </c>
      <c r="L226" s="16">
        <v>0</v>
      </c>
      <c r="M226" s="16">
        <v>0</v>
      </c>
      <c r="N226" s="13">
        <f t="shared" si="44"/>
        <v>2</v>
      </c>
    </row>
    <row r="227" spans="1:14" ht="12.75" customHeight="1" x14ac:dyDescent="0.3">
      <c r="A227" s="15"/>
      <c r="B227" s="28"/>
      <c r="C227" s="29" t="s">
        <v>171</v>
      </c>
      <c r="D227" s="30"/>
      <c r="E227" s="16">
        <v>0</v>
      </c>
      <c r="F227" s="16">
        <v>0</v>
      </c>
      <c r="G227" s="16">
        <v>0</v>
      </c>
      <c r="H227" s="16">
        <v>0</v>
      </c>
      <c r="I227" s="16">
        <v>0</v>
      </c>
      <c r="J227" s="16">
        <v>0</v>
      </c>
      <c r="K227" s="16">
        <v>0</v>
      </c>
      <c r="L227" s="16">
        <v>0</v>
      </c>
      <c r="M227" s="16">
        <v>0</v>
      </c>
      <c r="N227" s="13">
        <f t="shared" si="44"/>
        <v>0</v>
      </c>
    </row>
    <row r="228" spans="1:14" ht="12.75" customHeight="1" x14ac:dyDescent="0.3">
      <c r="A228" s="15"/>
      <c r="B228" s="28"/>
      <c r="C228" s="29" t="s">
        <v>172</v>
      </c>
      <c r="D228" s="30"/>
      <c r="E228" s="16">
        <v>0</v>
      </c>
      <c r="F228" s="16">
        <v>0</v>
      </c>
      <c r="G228" s="16">
        <v>0</v>
      </c>
      <c r="H228" s="16">
        <v>0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N228" s="13">
        <f t="shared" si="44"/>
        <v>0</v>
      </c>
    </row>
    <row r="229" spans="1:14" ht="12.75" customHeight="1" x14ac:dyDescent="0.3">
      <c r="A229" s="15"/>
      <c r="B229" s="28"/>
      <c r="C229" s="29" t="s">
        <v>173</v>
      </c>
      <c r="D229" s="30"/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0</v>
      </c>
      <c r="M229" s="16">
        <v>1</v>
      </c>
      <c r="N229" s="13">
        <f t="shared" si="44"/>
        <v>1</v>
      </c>
    </row>
    <row r="230" spans="1:14" ht="12.75" customHeight="1" x14ac:dyDescent="0.3">
      <c r="A230" s="15"/>
      <c r="B230" s="36"/>
      <c r="C230" s="37"/>
      <c r="D230" s="40"/>
      <c r="E230" s="16"/>
      <c r="F230" s="16"/>
      <c r="G230" s="16"/>
      <c r="H230" s="16"/>
      <c r="I230" s="16"/>
      <c r="J230" s="16"/>
      <c r="K230" s="16"/>
      <c r="L230" s="16"/>
      <c r="M230" s="16"/>
      <c r="N230" s="13">
        <f t="shared" si="44"/>
        <v>0</v>
      </c>
    </row>
    <row r="231" spans="1:14" ht="12.75" customHeight="1" x14ac:dyDescent="0.3">
      <c r="A231" s="15"/>
      <c r="B231" s="36"/>
      <c r="C231" s="37"/>
      <c r="D231" s="40"/>
      <c r="E231" s="16"/>
      <c r="F231" s="16"/>
      <c r="G231" s="16"/>
      <c r="H231" s="16"/>
      <c r="I231" s="16"/>
      <c r="J231" s="16"/>
      <c r="K231" s="16"/>
      <c r="L231" s="16"/>
      <c r="M231" s="16"/>
      <c r="N231" s="13">
        <f t="shared" si="44"/>
        <v>0</v>
      </c>
    </row>
    <row r="232" spans="1:14" ht="12.75" customHeight="1" x14ac:dyDescent="0.3">
      <c r="A232" s="15"/>
      <c r="B232" s="36"/>
      <c r="C232" s="37"/>
      <c r="D232" s="38"/>
      <c r="E232" s="16"/>
      <c r="F232" s="16"/>
      <c r="G232" s="16"/>
      <c r="H232" s="16"/>
      <c r="I232" s="16"/>
      <c r="J232" s="16"/>
      <c r="K232" s="16"/>
      <c r="L232" s="16"/>
      <c r="M232" s="16"/>
      <c r="N232" s="13">
        <f t="shared" si="44"/>
        <v>0</v>
      </c>
    </row>
    <row r="233" spans="1:14" ht="12.75" customHeight="1" x14ac:dyDescent="0.3">
      <c r="A233" s="15"/>
      <c r="B233" s="36"/>
      <c r="C233" s="37"/>
      <c r="D233" s="38"/>
      <c r="E233" s="16"/>
      <c r="F233" s="16"/>
      <c r="G233" s="16"/>
      <c r="H233" s="16"/>
      <c r="I233" s="16"/>
      <c r="J233" s="16"/>
      <c r="K233" s="16"/>
      <c r="L233" s="16"/>
      <c r="M233" s="16"/>
      <c r="N233" s="13">
        <f t="shared" si="44"/>
        <v>0</v>
      </c>
    </row>
    <row r="234" spans="1:14" ht="12.75" customHeight="1" x14ac:dyDescent="0.3">
      <c r="A234" s="15"/>
      <c r="B234" s="36"/>
      <c r="C234" s="37"/>
      <c r="D234" s="38"/>
      <c r="E234" s="16"/>
      <c r="F234" s="16"/>
      <c r="G234" s="16"/>
      <c r="H234" s="16"/>
      <c r="I234" s="16"/>
      <c r="J234" s="16"/>
      <c r="K234" s="16"/>
      <c r="L234" s="16"/>
      <c r="M234" s="16"/>
      <c r="N234" s="13">
        <f t="shared" si="44"/>
        <v>0</v>
      </c>
    </row>
    <row r="235" spans="1:14" ht="12.75" customHeight="1" x14ac:dyDescent="0.3">
      <c r="A235" s="16" t="s">
        <v>15</v>
      </c>
      <c r="B235" s="59" t="s">
        <v>49</v>
      </c>
      <c r="C235" s="60"/>
      <c r="D235" s="58"/>
      <c r="E235" s="13">
        <f t="shared" ref="E235:N235" si="45">SUM(E225:E234)</f>
        <v>2</v>
      </c>
      <c r="F235" s="13">
        <f t="shared" si="45"/>
        <v>0</v>
      </c>
      <c r="G235" s="13">
        <f t="shared" si="45"/>
        <v>1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2</v>
      </c>
      <c r="L235" s="13">
        <f t="shared" si="45"/>
        <v>0</v>
      </c>
      <c r="M235" s="13">
        <f t="shared" si="45"/>
        <v>2</v>
      </c>
      <c r="N235" s="13">
        <f t="shared" si="45"/>
        <v>7</v>
      </c>
    </row>
    <row r="236" spans="1:14" ht="12.75" customHeight="1" x14ac:dyDescent="0.3">
      <c r="A236" s="61"/>
      <c r="B236" s="60"/>
      <c r="C236" s="60"/>
      <c r="D236" s="60"/>
      <c r="E236" s="58"/>
      <c r="F236" s="51"/>
      <c r="G236" s="51"/>
      <c r="H236" s="51"/>
      <c r="I236" s="51"/>
      <c r="J236" s="51"/>
      <c r="K236" s="51"/>
      <c r="L236" s="51"/>
      <c r="M236" s="51"/>
      <c r="N236" s="51"/>
    </row>
    <row r="237" spans="1:14" ht="12.75" customHeight="1" x14ac:dyDescent="0.3">
      <c r="A237" s="20" t="s">
        <v>37</v>
      </c>
      <c r="B237" s="27" t="s">
        <v>174</v>
      </c>
      <c r="C237" s="57" t="s">
        <v>175</v>
      </c>
      <c r="D237" s="58"/>
      <c r="E237" s="16">
        <v>0</v>
      </c>
      <c r="F237" s="16">
        <v>0</v>
      </c>
      <c r="G237" s="16">
        <v>1</v>
      </c>
      <c r="H237" s="16">
        <v>4</v>
      </c>
      <c r="I237" s="16">
        <v>0</v>
      </c>
      <c r="J237" s="16">
        <v>1</v>
      </c>
      <c r="K237" s="16">
        <v>0</v>
      </c>
      <c r="L237" s="16">
        <v>3</v>
      </c>
      <c r="M237" s="16">
        <v>2</v>
      </c>
      <c r="N237" s="13">
        <f t="shared" ref="N237:N246" si="46">SUM(E237:M237)</f>
        <v>11</v>
      </c>
    </row>
    <row r="238" spans="1:14" ht="12.75" customHeight="1" x14ac:dyDescent="0.3">
      <c r="A238" s="20" t="s">
        <v>39</v>
      </c>
      <c r="B238" s="28"/>
      <c r="C238" s="29" t="s">
        <v>176</v>
      </c>
      <c r="D238" s="30"/>
      <c r="E238" s="16">
        <v>0</v>
      </c>
      <c r="F238" s="16">
        <v>1</v>
      </c>
      <c r="G238" s="16">
        <v>1</v>
      </c>
      <c r="H238" s="16">
        <v>0</v>
      </c>
      <c r="I238" s="16">
        <v>0</v>
      </c>
      <c r="J238" s="16">
        <v>0</v>
      </c>
      <c r="K238" s="16">
        <v>4</v>
      </c>
      <c r="L238" s="16">
        <v>2</v>
      </c>
      <c r="M238" s="16">
        <v>0</v>
      </c>
      <c r="N238" s="13">
        <f t="shared" si="46"/>
        <v>8</v>
      </c>
    </row>
    <row r="239" spans="1:14" ht="12.75" customHeight="1" x14ac:dyDescent="0.3">
      <c r="A239" s="15"/>
      <c r="B239" s="28"/>
      <c r="C239" s="29" t="s">
        <v>177</v>
      </c>
      <c r="D239" s="30"/>
      <c r="E239" s="16">
        <v>4</v>
      </c>
      <c r="F239" s="16">
        <v>0</v>
      </c>
      <c r="G239" s="16">
        <v>11</v>
      </c>
      <c r="H239" s="16">
        <v>6</v>
      </c>
      <c r="I239" s="16">
        <v>0</v>
      </c>
      <c r="J239" s="16">
        <v>4</v>
      </c>
      <c r="K239" s="16">
        <v>0</v>
      </c>
      <c r="L239" s="16">
        <v>14</v>
      </c>
      <c r="M239" s="16">
        <v>1</v>
      </c>
      <c r="N239" s="13">
        <f t="shared" si="46"/>
        <v>40</v>
      </c>
    </row>
    <row r="240" spans="1:14" ht="12.75" customHeight="1" x14ac:dyDescent="0.3">
      <c r="A240" s="15"/>
      <c r="B240" s="28"/>
      <c r="C240" s="29" t="s">
        <v>178</v>
      </c>
      <c r="D240" s="30"/>
      <c r="E240" s="16">
        <v>0</v>
      </c>
      <c r="F240" s="16">
        <v>0</v>
      </c>
      <c r="G240" s="16">
        <v>0</v>
      </c>
      <c r="H240" s="16">
        <v>1</v>
      </c>
      <c r="I240" s="16">
        <v>1</v>
      </c>
      <c r="J240" s="16">
        <v>0</v>
      </c>
      <c r="K240" s="16">
        <v>0</v>
      </c>
      <c r="L240" s="16">
        <v>1</v>
      </c>
      <c r="M240" s="16">
        <v>0</v>
      </c>
      <c r="N240" s="13">
        <f t="shared" si="46"/>
        <v>3</v>
      </c>
    </row>
    <row r="241" spans="1:14" ht="12.75" customHeight="1" x14ac:dyDescent="0.3">
      <c r="A241" s="15"/>
      <c r="B241" s="28"/>
      <c r="C241" s="29" t="s">
        <v>179</v>
      </c>
      <c r="D241" s="30"/>
      <c r="E241" s="16">
        <v>0</v>
      </c>
      <c r="F241" s="16">
        <v>0</v>
      </c>
      <c r="G241" s="16">
        <v>0</v>
      </c>
      <c r="H241" s="16">
        <v>1</v>
      </c>
      <c r="I241" s="16">
        <v>1</v>
      </c>
      <c r="J241" s="16">
        <v>0</v>
      </c>
      <c r="K241" s="16">
        <v>1</v>
      </c>
      <c r="L241" s="16">
        <v>0</v>
      </c>
      <c r="M241" s="16">
        <v>0</v>
      </c>
      <c r="N241" s="13">
        <f t="shared" si="46"/>
        <v>3</v>
      </c>
    </row>
    <row r="242" spans="1:14" ht="12.75" customHeight="1" x14ac:dyDescent="0.3">
      <c r="A242" s="15"/>
      <c r="B242" s="28"/>
      <c r="C242" s="29" t="s">
        <v>180</v>
      </c>
      <c r="D242" s="30"/>
      <c r="E242" s="16">
        <v>0</v>
      </c>
      <c r="F242" s="16">
        <v>0</v>
      </c>
      <c r="G242" s="16">
        <v>1</v>
      </c>
      <c r="H242" s="16">
        <v>0</v>
      </c>
      <c r="I242" s="16">
        <v>0</v>
      </c>
      <c r="J242" s="16">
        <v>0</v>
      </c>
      <c r="K242" s="16">
        <v>2</v>
      </c>
      <c r="L242" s="16">
        <v>0</v>
      </c>
      <c r="M242" s="16">
        <v>0</v>
      </c>
      <c r="N242" s="13">
        <f t="shared" si="46"/>
        <v>3</v>
      </c>
    </row>
    <row r="243" spans="1:14" ht="12.75" customHeight="1" x14ac:dyDescent="0.3">
      <c r="A243" s="15"/>
      <c r="B243" s="28"/>
      <c r="C243" s="29" t="s">
        <v>181</v>
      </c>
      <c r="D243" s="30"/>
      <c r="E243" s="16">
        <v>0</v>
      </c>
      <c r="F243" s="16">
        <v>0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1</v>
      </c>
      <c r="M243" s="16">
        <v>0</v>
      </c>
      <c r="N243" s="13">
        <f t="shared" si="46"/>
        <v>1</v>
      </c>
    </row>
    <row r="244" spans="1:14" ht="12.75" customHeight="1" x14ac:dyDescent="0.3">
      <c r="A244" s="15"/>
      <c r="B244" s="28"/>
      <c r="C244" s="29" t="s">
        <v>182</v>
      </c>
      <c r="D244" s="30"/>
      <c r="E244" s="16">
        <v>0</v>
      </c>
      <c r="F244" s="16">
        <v>0</v>
      </c>
      <c r="G244" s="16">
        <v>0</v>
      </c>
      <c r="H244" s="16">
        <v>0</v>
      </c>
      <c r="I244" s="16">
        <v>0</v>
      </c>
      <c r="J244" s="16">
        <v>0</v>
      </c>
      <c r="K244" s="16">
        <v>0</v>
      </c>
      <c r="L244" s="16">
        <v>0</v>
      </c>
      <c r="M244" s="16">
        <v>0</v>
      </c>
      <c r="N244" s="13">
        <f t="shared" si="46"/>
        <v>0</v>
      </c>
    </row>
    <row r="245" spans="1:14" ht="12.75" customHeight="1" x14ac:dyDescent="0.3">
      <c r="A245" s="15"/>
      <c r="B245" s="28"/>
      <c r="C245" s="29" t="s">
        <v>183</v>
      </c>
      <c r="D245" s="30"/>
      <c r="E245" s="16">
        <v>0</v>
      </c>
      <c r="F245" s="16">
        <v>0</v>
      </c>
      <c r="G245" s="16">
        <v>0</v>
      </c>
      <c r="H245" s="16">
        <v>0</v>
      </c>
      <c r="I245" s="16">
        <v>0</v>
      </c>
      <c r="J245" s="16">
        <v>0</v>
      </c>
      <c r="K245" s="16">
        <v>0</v>
      </c>
      <c r="L245" s="16">
        <v>0</v>
      </c>
      <c r="M245" s="16">
        <v>0</v>
      </c>
      <c r="N245" s="13">
        <f t="shared" si="46"/>
        <v>0</v>
      </c>
    </row>
    <row r="246" spans="1:14" ht="12.75" customHeight="1" x14ac:dyDescent="0.3">
      <c r="A246" s="15"/>
      <c r="B246" s="28"/>
      <c r="C246" s="29" t="s">
        <v>184</v>
      </c>
      <c r="D246" s="30"/>
      <c r="E246" s="16">
        <v>0</v>
      </c>
      <c r="F246" s="16">
        <v>1</v>
      </c>
      <c r="G246" s="16">
        <v>0</v>
      </c>
      <c r="H246" s="16">
        <v>0</v>
      </c>
      <c r="I246" s="16">
        <v>0</v>
      </c>
      <c r="J246" s="16">
        <v>0</v>
      </c>
      <c r="K246" s="16">
        <v>0</v>
      </c>
      <c r="L246" s="16">
        <v>0</v>
      </c>
      <c r="M246" s="16">
        <v>0</v>
      </c>
      <c r="N246" s="13">
        <f t="shared" si="46"/>
        <v>1</v>
      </c>
    </row>
    <row r="247" spans="1:14" ht="12.75" customHeight="1" x14ac:dyDescent="0.3">
      <c r="A247" s="16" t="s">
        <v>15</v>
      </c>
      <c r="B247" s="59" t="s">
        <v>49</v>
      </c>
      <c r="C247" s="60"/>
      <c r="D247" s="58"/>
      <c r="E247" s="13">
        <f t="shared" ref="E247:N247" si="47">SUM(E237:E246)</f>
        <v>4</v>
      </c>
      <c r="F247" s="13">
        <f t="shared" si="47"/>
        <v>2</v>
      </c>
      <c r="G247" s="13">
        <f t="shared" si="47"/>
        <v>14</v>
      </c>
      <c r="H247" s="13">
        <f t="shared" si="47"/>
        <v>12</v>
      </c>
      <c r="I247" s="13">
        <f t="shared" si="47"/>
        <v>2</v>
      </c>
      <c r="J247" s="13">
        <f t="shared" si="47"/>
        <v>5</v>
      </c>
      <c r="K247" s="13">
        <f t="shared" si="47"/>
        <v>7</v>
      </c>
      <c r="L247" s="13">
        <f t="shared" si="47"/>
        <v>21</v>
      </c>
      <c r="M247" s="13">
        <f t="shared" si="47"/>
        <v>3</v>
      </c>
      <c r="N247" s="13">
        <f t="shared" si="47"/>
        <v>70</v>
      </c>
    </row>
    <row r="248" spans="1:14" ht="12.75" customHeight="1" x14ac:dyDescent="0.3">
      <c r="A248" s="61"/>
      <c r="B248" s="60"/>
      <c r="C248" s="60"/>
      <c r="D248" s="60"/>
      <c r="E248" s="58"/>
    </row>
    <row r="249" spans="1:14" ht="12.75" customHeight="1" x14ac:dyDescent="0.3">
      <c r="A249" s="20" t="s">
        <v>37</v>
      </c>
      <c r="B249" s="27" t="s">
        <v>185</v>
      </c>
      <c r="C249" s="57" t="s">
        <v>186</v>
      </c>
      <c r="D249" s="58"/>
      <c r="E249" s="16">
        <v>0</v>
      </c>
      <c r="F249" s="16">
        <v>0</v>
      </c>
      <c r="G249" s="16">
        <v>0</v>
      </c>
      <c r="H249" s="16">
        <v>1</v>
      </c>
      <c r="I249" s="16">
        <v>0</v>
      </c>
      <c r="J249" s="16">
        <v>0</v>
      </c>
      <c r="K249" s="16">
        <v>1</v>
      </c>
      <c r="L249" s="16">
        <v>0</v>
      </c>
      <c r="M249" s="16">
        <v>0</v>
      </c>
      <c r="N249" s="13">
        <f t="shared" ref="N249:N258" si="48">SUM(E249:M249)</f>
        <v>2</v>
      </c>
    </row>
    <row r="250" spans="1:14" ht="12.75" customHeight="1" x14ac:dyDescent="0.3">
      <c r="A250" s="20" t="s">
        <v>39</v>
      </c>
      <c r="B250" s="28"/>
      <c r="C250" s="29" t="s">
        <v>187</v>
      </c>
      <c r="D250" s="30"/>
      <c r="E250" s="16">
        <v>0</v>
      </c>
      <c r="F250" s="16">
        <v>0</v>
      </c>
      <c r="G250" s="16">
        <v>0</v>
      </c>
      <c r="H250" s="16">
        <v>0</v>
      </c>
      <c r="I250" s="16">
        <v>1</v>
      </c>
      <c r="J250" s="16">
        <v>0</v>
      </c>
      <c r="K250" s="16">
        <v>1</v>
      </c>
      <c r="L250" s="16">
        <v>0</v>
      </c>
      <c r="M250" s="16">
        <v>0</v>
      </c>
      <c r="N250" s="13">
        <f t="shared" si="48"/>
        <v>2</v>
      </c>
    </row>
    <row r="251" spans="1:14" ht="12.75" customHeight="1" x14ac:dyDescent="0.3">
      <c r="A251" s="15"/>
      <c r="B251" s="28"/>
      <c r="C251" s="29" t="s">
        <v>188</v>
      </c>
      <c r="D251" s="30"/>
      <c r="E251" s="16">
        <v>0</v>
      </c>
      <c r="F251" s="16">
        <v>0</v>
      </c>
      <c r="G251" s="16">
        <v>0</v>
      </c>
      <c r="H251" s="16">
        <v>0</v>
      </c>
      <c r="I251" s="16">
        <v>0</v>
      </c>
      <c r="J251" s="16">
        <v>0</v>
      </c>
      <c r="K251" s="16">
        <v>0</v>
      </c>
      <c r="L251" s="16">
        <v>0</v>
      </c>
      <c r="M251" s="16">
        <v>0</v>
      </c>
      <c r="N251" s="13">
        <f t="shared" si="48"/>
        <v>0</v>
      </c>
    </row>
    <row r="252" spans="1:14" ht="12.75" customHeight="1" x14ac:dyDescent="0.3">
      <c r="A252" s="15"/>
      <c r="B252" s="28"/>
      <c r="C252" s="29" t="s">
        <v>189</v>
      </c>
      <c r="D252" s="30"/>
      <c r="E252" s="16">
        <v>0</v>
      </c>
      <c r="F252" s="16">
        <v>0</v>
      </c>
      <c r="G252" s="16">
        <v>0</v>
      </c>
      <c r="H252" s="16">
        <v>0</v>
      </c>
      <c r="I252" s="16">
        <v>0</v>
      </c>
      <c r="J252" s="16">
        <v>0</v>
      </c>
      <c r="K252" s="16">
        <v>0</v>
      </c>
      <c r="L252" s="16">
        <v>0</v>
      </c>
      <c r="M252" s="16">
        <v>0</v>
      </c>
      <c r="N252" s="13">
        <f t="shared" si="48"/>
        <v>0</v>
      </c>
    </row>
    <row r="253" spans="1:14" ht="12.75" customHeight="1" x14ac:dyDescent="0.3">
      <c r="A253" s="15"/>
      <c r="B253" s="36"/>
      <c r="C253" s="44"/>
      <c r="D253" s="38"/>
      <c r="E253" s="16"/>
      <c r="F253" s="16"/>
      <c r="G253" s="16"/>
      <c r="H253" s="16"/>
      <c r="I253" s="16"/>
      <c r="J253" s="16"/>
      <c r="K253" s="16"/>
      <c r="L253" s="16"/>
      <c r="M253" s="16"/>
      <c r="N253" s="13">
        <f t="shared" si="48"/>
        <v>0</v>
      </c>
    </row>
    <row r="254" spans="1:14" ht="12.75" customHeight="1" x14ac:dyDescent="0.3">
      <c r="A254" s="15"/>
      <c r="B254" s="36"/>
      <c r="C254" s="44"/>
      <c r="D254" s="38"/>
      <c r="E254" s="16"/>
      <c r="F254" s="16"/>
      <c r="G254" s="16"/>
      <c r="H254" s="16"/>
      <c r="I254" s="16"/>
      <c r="J254" s="16"/>
      <c r="K254" s="16"/>
      <c r="L254" s="16"/>
      <c r="M254" s="16"/>
      <c r="N254" s="13">
        <f t="shared" si="48"/>
        <v>0</v>
      </c>
    </row>
    <row r="255" spans="1:14" ht="12.75" customHeight="1" x14ac:dyDescent="0.3">
      <c r="A255" s="15"/>
      <c r="B255" s="36"/>
      <c r="C255" s="44"/>
      <c r="D255" s="38"/>
      <c r="E255" s="16"/>
      <c r="F255" s="16"/>
      <c r="G255" s="16"/>
      <c r="H255" s="16"/>
      <c r="I255" s="16"/>
      <c r="J255" s="16"/>
      <c r="K255" s="16"/>
      <c r="L255" s="16"/>
      <c r="M255" s="16"/>
      <c r="N255" s="13">
        <f t="shared" si="48"/>
        <v>0</v>
      </c>
    </row>
    <row r="256" spans="1:14" ht="12.75" customHeight="1" x14ac:dyDescent="0.3">
      <c r="A256" s="15"/>
      <c r="B256" s="36"/>
      <c r="C256" s="43"/>
      <c r="D256" s="38"/>
      <c r="E256" s="16"/>
      <c r="F256" s="16"/>
      <c r="G256" s="16"/>
      <c r="H256" s="16"/>
      <c r="I256" s="16"/>
      <c r="J256" s="16"/>
      <c r="K256" s="16"/>
      <c r="L256" s="16"/>
      <c r="M256" s="16"/>
      <c r="N256" s="13">
        <f t="shared" si="48"/>
        <v>0</v>
      </c>
    </row>
    <row r="257" spans="1:14" ht="12.75" customHeight="1" x14ac:dyDescent="0.3">
      <c r="A257" s="15"/>
      <c r="B257" s="36"/>
      <c r="C257" s="43"/>
      <c r="D257" s="38"/>
      <c r="E257" s="16"/>
      <c r="F257" s="16"/>
      <c r="G257" s="16"/>
      <c r="H257" s="16"/>
      <c r="I257" s="16"/>
      <c r="J257" s="16"/>
      <c r="K257" s="16"/>
      <c r="L257" s="16"/>
      <c r="M257" s="16"/>
      <c r="N257" s="13">
        <f t="shared" si="48"/>
        <v>0</v>
      </c>
    </row>
    <row r="258" spans="1:14" ht="12.75" customHeight="1" x14ac:dyDescent="0.3">
      <c r="A258" s="15"/>
      <c r="B258" s="36"/>
      <c r="C258" s="43"/>
      <c r="D258" s="38"/>
      <c r="E258" s="16"/>
      <c r="F258" s="16"/>
      <c r="G258" s="16"/>
      <c r="H258" s="16"/>
      <c r="I258" s="16"/>
      <c r="J258" s="16"/>
      <c r="K258" s="16"/>
      <c r="L258" s="16"/>
      <c r="M258" s="16"/>
      <c r="N258" s="13">
        <f t="shared" si="48"/>
        <v>0</v>
      </c>
    </row>
    <row r="259" spans="1:14" ht="12.75" customHeight="1" x14ac:dyDescent="0.3">
      <c r="A259" s="16" t="s">
        <v>15</v>
      </c>
      <c r="B259" s="59" t="s">
        <v>49</v>
      </c>
      <c r="C259" s="60"/>
      <c r="D259" s="58"/>
      <c r="E259" s="13">
        <f t="shared" ref="E259:N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1</v>
      </c>
      <c r="I259" s="13">
        <f t="shared" si="49"/>
        <v>1</v>
      </c>
      <c r="J259" s="13">
        <f t="shared" si="49"/>
        <v>0</v>
      </c>
      <c r="K259" s="13">
        <f t="shared" si="49"/>
        <v>2</v>
      </c>
      <c r="L259" s="13">
        <f t="shared" si="49"/>
        <v>0</v>
      </c>
      <c r="M259" s="13">
        <f t="shared" si="49"/>
        <v>0</v>
      </c>
      <c r="N259" s="13">
        <f t="shared" si="49"/>
        <v>4</v>
      </c>
    </row>
    <row r="260" spans="1:14" ht="12.75" customHeight="1" x14ac:dyDescent="0.3"/>
    <row r="261" spans="1:14" ht="12.75" customHeight="1" x14ac:dyDescent="0.3">
      <c r="A261" s="26" t="s">
        <v>190</v>
      </c>
      <c r="B261" s="66" t="s">
        <v>191</v>
      </c>
      <c r="C261" s="60"/>
      <c r="D261" s="58"/>
      <c r="E261" s="13"/>
      <c r="F261" s="13"/>
      <c r="G261" s="13"/>
      <c r="H261" s="13"/>
      <c r="I261" s="13"/>
      <c r="J261" s="13"/>
      <c r="K261" s="13"/>
      <c r="L261" s="13"/>
      <c r="M261" s="13"/>
      <c r="N261" s="13"/>
    </row>
    <row r="262" spans="1:14" ht="12.75" customHeight="1" x14ac:dyDescent="0.3">
      <c r="A262" s="26"/>
      <c r="B262" s="45" t="s">
        <v>192</v>
      </c>
      <c r="C262" s="67" t="s">
        <v>193</v>
      </c>
      <c r="D262" s="58"/>
      <c r="E262" s="16">
        <f t="shared" ref="E262:M262" si="50">E55+E67+E79+E91+E103+E115+E127+E139+E151+E163+E175+E187+E199+E211+E223+E235+E247+E259</f>
        <v>175</v>
      </c>
      <c r="F262" s="16">
        <f t="shared" si="50"/>
        <v>157</v>
      </c>
      <c r="G262" s="16">
        <f t="shared" si="50"/>
        <v>167</v>
      </c>
      <c r="H262" s="16">
        <f t="shared" si="50"/>
        <v>181</v>
      </c>
      <c r="I262" s="16">
        <f t="shared" si="50"/>
        <v>196</v>
      </c>
      <c r="J262" s="16">
        <f t="shared" si="50"/>
        <v>191</v>
      </c>
      <c r="K262" s="16">
        <f t="shared" si="50"/>
        <v>179</v>
      </c>
      <c r="L262" s="16">
        <f t="shared" si="50"/>
        <v>185</v>
      </c>
      <c r="M262" s="16">
        <f t="shared" si="50"/>
        <v>115</v>
      </c>
      <c r="N262" s="13">
        <f t="shared" ref="N262:N264" si="51">SUM(E262:M262)</f>
        <v>1546</v>
      </c>
    </row>
    <row r="263" spans="1:14" ht="12.75" customHeight="1" x14ac:dyDescent="0.3">
      <c r="A263" s="22"/>
      <c r="B263" s="45" t="s">
        <v>194</v>
      </c>
      <c r="C263" s="67" t="s">
        <v>195</v>
      </c>
      <c r="D263" s="58"/>
      <c r="E263" s="16">
        <v>36</v>
      </c>
      <c r="F263" s="16">
        <v>39</v>
      </c>
      <c r="G263" s="16">
        <v>32</v>
      </c>
      <c r="H263" s="16">
        <v>45</v>
      </c>
      <c r="I263" s="16">
        <v>23</v>
      </c>
      <c r="J263" s="16">
        <v>42</v>
      </c>
      <c r="K263" s="16">
        <v>35</v>
      </c>
      <c r="L263" s="16">
        <v>13</v>
      </c>
      <c r="M263" s="16">
        <v>26</v>
      </c>
      <c r="N263" s="13">
        <f t="shared" si="51"/>
        <v>291</v>
      </c>
    </row>
    <row r="264" spans="1:14" ht="12.75" customHeight="1" x14ac:dyDescent="0.3">
      <c r="A264" s="25"/>
      <c r="B264" s="45" t="s">
        <v>196</v>
      </c>
      <c r="C264" s="67" t="s">
        <v>197</v>
      </c>
      <c r="D264" s="58"/>
      <c r="E264" s="13">
        <f t="shared" ref="E264:M264" si="52">SUM(E262:E263)</f>
        <v>211</v>
      </c>
      <c r="F264" s="13">
        <f t="shared" si="52"/>
        <v>196</v>
      </c>
      <c r="G264" s="13">
        <f t="shared" si="52"/>
        <v>199</v>
      </c>
      <c r="H264" s="13">
        <f t="shared" si="52"/>
        <v>226</v>
      </c>
      <c r="I264" s="13">
        <f t="shared" si="52"/>
        <v>219</v>
      </c>
      <c r="J264" s="13">
        <f t="shared" si="52"/>
        <v>233</v>
      </c>
      <c r="K264" s="13">
        <f t="shared" si="52"/>
        <v>214</v>
      </c>
      <c r="L264" s="13">
        <f t="shared" si="52"/>
        <v>198</v>
      </c>
      <c r="M264" s="13">
        <f t="shared" si="52"/>
        <v>141</v>
      </c>
      <c r="N264" s="13">
        <f t="shared" si="51"/>
        <v>1837</v>
      </c>
    </row>
    <row r="265" spans="1:14" ht="12.75" customHeight="1" x14ac:dyDescent="0.3"/>
    <row r="266" spans="1:14" ht="12.75" customHeight="1" x14ac:dyDescent="0.3"/>
    <row r="267" spans="1:14" ht="12.75" customHeight="1" x14ac:dyDescent="0.3"/>
    <row r="268" spans="1:14" ht="12.75" customHeight="1" x14ac:dyDescent="0.3"/>
    <row r="269" spans="1:14" ht="12.75" customHeight="1" x14ac:dyDescent="0.3"/>
    <row r="270" spans="1:14" ht="12.75" customHeight="1" x14ac:dyDescent="0.3"/>
    <row r="271" spans="1:14" ht="12.75" customHeight="1" x14ac:dyDescent="0.3"/>
    <row r="272" spans="1:14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86">
    <mergeCell ref="C69:D69"/>
    <mergeCell ref="B79:D79"/>
    <mergeCell ref="B139:D139"/>
    <mergeCell ref="A140:E140"/>
    <mergeCell ref="C141:D141"/>
    <mergeCell ref="B55:D55"/>
    <mergeCell ref="A56:E56"/>
    <mergeCell ref="C57:D57"/>
    <mergeCell ref="B67:D67"/>
    <mergeCell ref="A68:E68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B25:B27"/>
    <mergeCell ref="C25:C27"/>
    <mergeCell ref="B28:B30"/>
    <mergeCell ref="A37:D37"/>
    <mergeCell ref="E37:I37"/>
    <mergeCell ref="A17:D17"/>
    <mergeCell ref="B18:D18"/>
    <mergeCell ref="B19:B21"/>
    <mergeCell ref="C19:C21"/>
    <mergeCell ref="B22:B24"/>
    <mergeCell ref="C22:C24"/>
    <mergeCell ref="B12:D12"/>
    <mergeCell ref="E12:M12"/>
    <mergeCell ref="N12:N13"/>
    <mergeCell ref="B13:D13"/>
    <mergeCell ref="B14:C16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A212:E212"/>
    <mergeCell ref="C213:D213"/>
    <mergeCell ref="B223:D223"/>
    <mergeCell ref="A224:E224"/>
    <mergeCell ref="C225:D225"/>
    <mergeCell ref="C189:D189"/>
    <mergeCell ref="B199:D199"/>
    <mergeCell ref="A200:E200"/>
    <mergeCell ref="C201:D201"/>
    <mergeCell ref="B211:D211"/>
    <mergeCell ref="B175:D175"/>
    <mergeCell ref="A176:E176"/>
    <mergeCell ref="C177:D177"/>
    <mergeCell ref="B187:D187"/>
    <mergeCell ref="A188:E188"/>
    <mergeCell ref="A152:E152"/>
    <mergeCell ref="C153:D153"/>
    <mergeCell ref="B163:D163"/>
    <mergeCell ref="A164:E164"/>
    <mergeCell ref="C165:D165"/>
    <mergeCell ref="C117:D117"/>
    <mergeCell ref="B127:D127"/>
    <mergeCell ref="A128:E128"/>
    <mergeCell ref="C129:D129"/>
    <mergeCell ref="B151:D151"/>
    <mergeCell ref="B103:D103"/>
    <mergeCell ref="A104:E104"/>
    <mergeCell ref="C105:D105"/>
    <mergeCell ref="B115:D115"/>
    <mergeCell ref="A116:E116"/>
    <mergeCell ref="A80:E80"/>
    <mergeCell ref="C81:D81"/>
    <mergeCell ref="B91:D91"/>
    <mergeCell ref="A92:E92"/>
    <mergeCell ref="C93:D93"/>
  </mergeCells>
  <conditionalFormatting sqref="E14:M15">
    <cfRule type="containsBlanks" dxfId="223" priority="1">
      <formula>LEN(TRIM(E14))=0</formula>
    </cfRule>
  </conditionalFormatting>
  <conditionalFormatting sqref="E19:M20">
    <cfRule type="containsBlanks" dxfId="222" priority="2">
      <formula>LEN(TRIM(E19))=0</formula>
    </cfRule>
  </conditionalFormatting>
  <conditionalFormatting sqref="E22:M23 E25:M26 E33:M33 E35:M35 E39:M40">
    <cfRule type="containsBlanks" dxfId="221" priority="3">
      <formula>LEN(TRIM(E22))=0</formula>
    </cfRule>
  </conditionalFormatting>
  <conditionalFormatting sqref="E30:M30">
    <cfRule type="expression" dxfId="220" priority="4">
      <formula>E30&lt;&gt;E47</formula>
    </cfRule>
    <cfRule type="expression" dxfId="219" priority="5">
      <formula>E30&lt;&gt;E34</formula>
    </cfRule>
  </conditionalFormatting>
  <conditionalFormatting sqref="E34:M34">
    <cfRule type="expression" dxfId="218" priority="6">
      <formula>E30&lt;&gt;E34</formula>
    </cfRule>
    <cfRule type="expression" dxfId="217" priority="7">
      <formula>E30=E34</formula>
    </cfRule>
    <cfRule type="expression" dxfId="216" priority="8">
      <formula>E34&lt;&gt;E30</formula>
    </cfRule>
    <cfRule type="expression" dxfId="215" priority="9">
      <formula>E34&lt;&gt;E64</formula>
    </cfRule>
  </conditionalFormatting>
  <conditionalFormatting sqref="E45:M54">
    <cfRule type="containsBlanks" dxfId="214" priority="10">
      <formula>LEN(TRIM(E45))=0</formula>
    </cfRule>
  </conditionalFormatting>
  <conditionalFormatting sqref="E57:M66">
    <cfRule type="containsBlanks" dxfId="213" priority="11">
      <formula>LEN(TRIM(E57))=0</formula>
    </cfRule>
  </conditionalFormatting>
  <conditionalFormatting sqref="E69:M78">
    <cfRule type="containsBlanks" dxfId="212" priority="12">
      <formula>LEN(TRIM(E69))=0</formula>
    </cfRule>
  </conditionalFormatting>
  <conditionalFormatting sqref="E81:M90">
    <cfRule type="containsBlanks" dxfId="211" priority="13">
      <formula>LEN(TRIM(E81))=0</formula>
    </cfRule>
  </conditionalFormatting>
  <conditionalFormatting sqref="E93:M102">
    <cfRule type="containsBlanks" dxfId="210" priority="14">
      <formula>LEN(TRIM(E93))=0</formula>
    </cfRule>
  </conditionalFormatting>
  <conditionalFormatting sqref="E105:M114">
    <cfRule type="containsBlanks" dxfId="209" priority="15">
      <formula>LEN(TRIM(E105))=0</formula>
    </cfRule>
  </conditionalFormatting>
  <conditionalFormatting sqref="E117:M126">
    <cfRule type="containsBlanks" dxfId="208" priority="16">
      <formula>LEN(TRIM(E117))=0</formula>
    </cfRule>
  </conditionalFormatting>
  <conditionalFormatting sqref="E129:M138">
    <cfRule type="containsBlanks" dxfId="207" priority="17">
      <formula>LEN(TRIM(E129))=0</formula>
    </cfRule>
  </conditionalFormatting>
  <conditionalFormatting sqref="E141:M150">
    <cfRule type="containsBlanks" dxfId="206" priority="18">
      <formula>LEN(TRIM(E141))=0</formula>
    </cfRule>
  </conditionalFormatting>
  <conditionalFormatting sqref="E153:M162">
    <cfRule type="containsBlanks" dxfId="205" priority="19">
      <formula>LEN(TRIM(E153))=0</formula>
    </cfRule>
  </conditionalFormatting>
  <conditionalFormatting sqref="E165:M174">
    <cfRule type="containsBlanks" dxfId="204" priority="20">
      <formula>LEN(TRIM(E165))=0</formula>
    </cfRule>
  </conditionalFormatting>
  <conditionalFormatting sqref="E177:M186">
    <cfRule type="containsBlanks" dxfId="203" priority="21">
      <formula>LEN(TRIM(E177))=0</formula>
    </cfRule>
  </conditionalFormatting>
  <conditionalFormatting sqref="E189:M198">
    <cfRule type="containsBlanks" dxfId="202" priority="22">
      <formula>LEN(TRIM(E189))=0</formula>
    </cfRule>
  </conditionalFormatting>
  <conditionalFormatting sqref="E201:M210">
    <cfRule type="containsBlanks" dxfId="201" priority="23">
      <formula>LEN(TRIM(E201))=0</formula>
    </cfRule>
  </conditionalFormatting>
  <conditionalFormatting sqref="E213:M222">
    <cfRule type="containsBlanks" dxfId="200" priority="24">
      <formula>LEN(TRIM(E213))=0</formula>
    </cfRule>
  </conditionalFormatting>
  <conditionalFormatting sqref="E225:M234">
    <cfRule type="containsBlanks" dxfId="199" priority="25">
      <formula>LEN(TRIM(E225))=0</formula>
    </cfRule>
  </conditionalFormatting>
  <conditionalFormatting sqref="E237:M246">
    <cfRule type="containsBlanks" dxfId="198" priority="26">
      <formula>LEN(TRIM(E237))=0</formula>
    </cfRule>
  </conditionalFormatting>
  <conditionalFormatting sqref="E249:M258">
    <cfRule type="containsBlanks" dxfId="197" priority="27">
      <formula>LEN(TRIM(E249))=0</formula>
    </cfRule>
  </conditionalFormatting>
  <conditionalFormatting sqref="E262:M263">
    <cfRule type="containsBlanks" dxfId="196" priority="28">
      <formula>LEN(TRIM(E262))=0</formula>
    </cfRule>
  </conditionalFormatting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000"/>
  <sheetViews>
    <sheetView zoomScale="70" zoomScaleNormal="70" workbookViewId="0">
      <selection activeCell="E249" sqref="E249:V252"/>
    </sheetView>
  </sheetViews>
  <sheetFormatPr defaultColWidth="14.3984375" defaultRowHeight="15" customHeight="1" x14ac:dyDescent="0.3"/>
  <cols>
    <col min="1" max="2" width="8.69921875" customWidth="1"/>
    <col min="3" max="3" width="67.09765625" customWidth="1"/>
    <col min="4" max="4" width="5.8984375" customWidth="1"/>
    <col min="5" max="22" width="8.69921875" customWidth="1"/>
    <col min="23" max="23" width="13.296875" customWidth="1"/>
    <col min="24" max="26" width="8.69921875" customWidth="1"/>
  </cols>
  <sheetData>
    <row r="1" spans="1:23" ht="12.75" customHeight="1" x14ac:dyDescent="0.3"/>
    <row r="2" spans="1:23" ht="12.75" customHeight="1" x14ac:dyDescent="0.3">
      <c r="C2" s="8" t="s">
        <v>0</v>
      </c>
      <c r="D2" s="8" t="s">
        <v>1</v>
      </c>
    </row>
    <row r="3" spans="1:23" ht="12.75" customHeight="1" x14ac:dyDescent="0.3">
      <c r="C3" s="8" t="s">
        <v>2</v>
      </c>
      <c r="D3" s="8" t="s">
        <v>3</v>
      </c>
    </row>
    <row r="4" spans="1:23" ht="12.75" customHeight="1" x14ac:dyDescent="0.3">
      <c r="C4" s="8" t="s">
        <v>4</v>
      </c>
      <c r="D4" s="8" t="s">
        <v>5</v>
      </c>
    </row>
    <row r="5" spans="1:23" ht="12.75" customHeight="1" x14ac:dyDescent="0.3">
      <c r="C5" s="8"/>
      <c r="D5" s="8"/>
    </row>
    <row r="6" spans="1:23" ht="12.75" customHeight="1" x14ac:dyDescent="0.3">
      <c r="C6" s="8"/>
      <c r="D6" s="8"/>
    </row>
    <row r="7" spans="1:23" ht="12.75" customHeight="1" x14ac:dyDescent="0.3">
      <c r="C7" s="8"/>
      <c r="D7" s="8"/>
    </row>
    <row r="8" spans="1:23" ht="12.75" customHeight="1" x14ac:dyDescent="0.3">
      <c r="C8" s="8"/>
      <c r="D8" s="8"/>
    </row>
    <row r="9" spans="1:23" ht="12.75" customHeight="1" x14ac:dyDescent="0.3">
      <c r="C9" s="8" t="s">
        <v>198</v>
      </c>
      <c r="D9" s="8" t="s">
        <v>219</v>
      </c>
    </row>
    <row r="10" spans="1:23" ht="12.75" customHeight="1" x14ac:dyDescent="0.3"/>
    <row r="11" spans="1:23" ht="12.75" customHeight="1" x14ac:dyDescent="0.3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3" ht="12.75" customHeight="1" x14ac:dyDescent="0.3">
      <c r="A12" s="13" t="s">
        <v>6</v>
      </c>
      <c r="B12" s="66" t="s">
        <v>7</v>
      </c>
      <c r="C12" s="60"/>
      <c r="D12" s="58"/>
      <c r="E12" s="83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84" t="s">
        <v>8</v>
      </c>
    </row>
    <row r="13" spans="1:23" ht="12.75" customHeight="1" x14ac:dyDescent="0.3">
      <c r="A13" s="16" t="s">
        <v>9</v>
      </c>
      <c r="B13" s="70" t="s">
        <v>10</v>
      </c>
      <c r="C13" s="60"/>
      <c r="D13" s="58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220</v>
      </c>
      <c r="W13" s="76"/>
    </row>
    <row r="14" spans="1:23" ht="12.75" customHeight="1" x14ac:dyDescent="0.3">
      <c r="A14" s="15"/>
      <c r="B14" s="71" t="s">
        <v>11</v>
      </c>
      <c r="C14" s="63"/>
      <c r="D14" s="16" t="s">
        <v>12</v>
      </c>
      <c r="E14" s="16">
        <v>96</v>
      </c>
      <c r="F14" s="16">
        <v>116</v>
      </c>
      <c r="G14" s="16">
        <v>127</v>
      </c>
      <c r="H14" s="16">
        <v>102</v>
      </c>
      <c r="I14" s="16">
        <v>112</v>
      </c>
      <c r="J14" s="16">
        <v>126</v>
      </c>
      <c r="K14" s="16">
        <v>127</v>
      </c>
      <c r="L14" s="16">
        <v>140</v>
      </c>
      <c r="M14" s="16">
        <v>133</v>
      </c>
      <c r="N14" s="16">
        <v>124</v>
      </c>
      <c r="O14" s="16">
        <v>132</v>
      </c>
      <c r="P14" s="16">
        <v>136</v>
      </c>
      <c r="Q14" s="16">
        <v>131</v>
      </c>
      <c r="R14" s="16">
        <v>133</v>
      </c>
      <c r="S14" s="16">
        <v>140</v>
      </c>
      <c r="T14" s="16">
        <v>84</v>
      </c>
      <c r="U14" s="16">
        <v>110</v>
      </c>
      <c r="V14" s="16">
        <v>69</v>
      </c>
      <c r="W14" s="13">
        <f t="shared" ref="W14:W16" si="0">SUM(E14:V14)</f>
        <v>2138</v>
      </c>
    </row>
    <row r="15" spans="1:23" ht="12.75" customHeight="1" x14ac:dyDescent="0.3">
      <c r="A15" s="15"/>
      <c r="B15" s="72"/>
      <c r="C15" s="73"/>
      <c r="D15" s="16" t="s">
        <v>13</v>
      </c>
      <c r="E15" s="16">
        <v>123</v>
      </c>
      <c r="F15" s="16">
        <v>132</v>
      </c>
      <c r="G15" s="16">
        <v>127</v>
      </c>
      <c r="H15" s="16">
        <v>130</v>
      </c>
      <c r="I15" s="16">
        <v>125</v>
      </c>
      <c r="J15" s="16">
        <v>146</v>
      </c>
      <c r="K15" s="16">
        <v>131</v>
      </c>
      <c r="L15" s="16">
        <v>139</v>
      </c>
      <c r="M15" s="16">
        <v>137</v>
      </c>
      <c r="N15" s="16">
        <v>131</v>
      </c>
      <c r="O15" s="16">
        <v>130</v>
      </c>
      <c r="P15" s="16">
        <v>133</v>
      </c>
      <c r="Q15" s="16">
        <v>128</v>
      </c>
      <c r="R15" s="16">
        <v>140</v>
      </c>
      <c r="S15" s="16">
        <v>136</v>
      </c>
      <c r="T15" s="16">
        <v>80</v>
      </c>
      <c r="U15" s="16">
        <v>116</v>
      </c>
      <c r="V15" s="16">
        <v>74</v>
      </c>
      <c r="W15" s="13">
        <f t="shared" si="0"/>
        <v>2258</v>
      </c>
    </row>
    <row r="16" spans="1:23" ht="12.75" customHeight="1" x14ac:dyDescent="0.3">
      <c r="A16" s="18"/>
      <c r="B16" s="69"/>
      <c r="C16" s="65"/>
      <c r="D16" s="13" t="s">
        <v>14</v>
      </c>
      <c r="E16" s="13">
        <f t="shared" ref="E16:V16" si="1">SUM(E14:E15)</f>
        <v>219</v>
      </c>
      <c r="F16" s="13">
        <f t="shared" si="1"/>
        <v>248</v>
      </c>
      <c r="G16" s="13">
        <f t="shared" si="1"/>
        <v>254</v>
      </c>
      <c r="H16" s="13">
        <f t="shared" si="1"/>
        <v>232</v>
      </c>
      <c r="I16" s="13">
        <f t="shared" si="1"/>
        <v>237</v>
      </c>
      <c r="J16" s="13">
        <f t="shared" si="1"/>
        <v>272</v>
      </c>
      <c r="K16" s="13">
        <f t="shared" si="1"/>
        <v>258</v>
      </c>
      <c r="L16" s="13">
        <f t="shared" si="1"/>
        <v>279</v>
      </c>
      <c r="M16" s="13">
        <f t="shared" si="1"/>
        <v>270</v>
      </c>
      <c r="N16" s="13">
        <f t="shared" si="1"/>
        <v>255</v>
      </c>
      <c r="O16" s="13">
        <f t="shared" si="1"/>
        <v>262</v>
      </c>
      <c r="P16" s="13">
        <f t="shared" si="1"/>
        <v>269</v>
      </c>
      <c r="Q16" s="13">
        <f t="shared" si="1"/>
        <v>259</v>
      </c>
      <c r="R16" s="13">
        <f t="shared" si="1"/>
        <v>273</v>
      </c>
      <c r="S16" s="13">
        <f t="shared" si="1"/>
        <v>276</v>
      </c>
      <c r="T16" s="13">
        <f t="shared" si="1"/>
        <v>164</v>
      </c>
      <c r="U16" s="13">
        <f t="shared" si="1"/>
        <v>226</v>
      </c>
      <c r="V16" s="13">
        <f t="shared" si="1"/>
        <v>143</v>
      </c>
      <c r="W16" s="13">
        <f t="shared" si="0"/>
        <v>4396</v>
      </c>
    </row>
    <row r="17" spans="1:23" ht="12.75" customHeight="1" x14ac:dyDescent="0.3">
      <c r="A17" s="61"/>
      <c r="B17" s="60"/>
      <c r="C17" s="60"/>
      <c r="D17" s="58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49"/>
    </row>
    <row r="18" spans="1:23" ht="12.75" customHeight="1" x14ac:dyDescent="0.3">
      <c r="A18" s="20" t="s">
        <v>15</v>
      </c>
      <c r="B18" s="70" t="s">
        <v>16</v>
      </c>
      <c r="C18" s="60"/>
      <c r="D18" s="58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49"/>
    </row>
    <row r="19" spans="1:23" ht="12.75" customHeight="1" x14ac:dyDescent="0.3">
      <c r="A19" s="20"/>
      <c r="B19" s="77" t="s">
        <v>17</v>
      </c>
      <c r="C19" s="74" t="s">
        <v>18</v>
      </c>
      <c r="D19" s="16" t="s">
        <v>12</v>
      </c>
      <c r="E19" s="16">
        <v>75</v>
      </c>
      <c r="F19" s="16">
        <v>91</v>
      </c>
      <c r="G19" s="16">
        <v>90</v>
      </c>
      <c r="H19" s="16">
        <v>87</v>
      </c>
      <c r="I19" s="16">
        <v>89</v>
      </c>
      <c r="J19" s="16">
        <v>93</v>
      </c>
      <c r="K19" s="16">
        <v>92</v>
      </c>
      <c r="L19" s="16">
        <v>111</v>
      </c>
      <c r="M19" s="16">
        <v>102</v>
      </c>
      <c r="N19" s="16">
        <v>83</v>
      </c>
      <c r="O19" s="16">
        <v>89</v>
      </c>
      <c r="P19" s="16">
        <v>94</v>
      </c>
      <c r="Q19" s="16">
        <v>86</v>
      </c>
      <c r="R19" s="16">
        <v>103</v>
      </c>
      <c r="S19" s="16">
        <v>108</v>
      </c>
      <c r="T19" s="16">
        <v>56</v>
      </c>
      <c r="U19" s="16">
        <v>88</v>
      </c>
      <c r="V19" s="16">
        <v>60</v>
      </c>
      <c r="W19" s="13">
        <f t="shared" ref="W19:W30" si="2">SUM(E19:V19)</f>
        <v>1597</v>
      </c>
    </row>
    <row r="20" spans="1:23" ht="12.75" customHeight="1" x14ac:dyDescent="0.3">
      <c r="A20" s="21"/>
      <c r="B20" s="73"/>
      <c r="C20" s="75"/>
      <c r="D20" s="16" t="s">
        <v>13</v>
      </c>
      <c r="E20" s="16">
        <v>104</v>
      </c>
      <c r="F20" s="16">
        <v>115</v>
      </c>
      <c r="G20" s="16">
        <v>107</v>
      </c>
      <c r="H20" s="16">
        <v>115</v>
      </c>
      <c r="I20" s="16">
        <v>108</v>
      </c>
      <c r="J20" s="16">
        <v>127</v>
      </c>
      <c r="K20" s="16">
        <v>105</v>
      </c>
      <c r="L20" s="16">
        <v>120</v>
      </c>
      <c r="M20" s="16">
        <v>111</v>
      </c>
      <c r="N20" s="16">
        <v>104</v>
      </c>
      <c r="O20" s="16">
        <v>113</v>
      </c>
      <c r="P20" s="16">
        <v>114</v>
      </c>
      <c r="Q20" s="16">
        <v>105</v>
      </c>
      <c r="R20" s="16">
        <v>119</v>
      </c>
      <c r="S20" s="16">
        <v>106</v>
      </c>
      <c r="T20" s="16">
        <v>67</v>
      </c>
      <c r="U20" s="16">
        <v>100</v>
      </c>
      <c r="V20" s="16">
        <v>68</v>
      </c>
      <c r="W20" s="13">
        <f t="shared" si="2"/>
        <v>1908</v>
      </c>
    </row>
    <row r="21" spans="1:23" ht="12.75" customHeight="1" x14ac:dyDescent="0.3">
      <c r="A21" s="22"/>
      <c r="B21" s="65"/>
      <c r="C21" s="76"/>
      <c r="D21" s="13" t="s">
        <v>14</v>
      </c>
      <c r="E21" s="13">
        <f t="shared" ref="E21:V21" si="3">SUM(E19:E20)</f>
        <v>179</v>
      </c>
      <c r="F21" s="13">
        <f t="shared" si="3"/>
        <v>206</v>
      </c>
      <c r="G21" s="13">
        <f t="shared" si="3"/>
        <v>197</v>
      </c>
      <c r="H21" s="13">
        <f t="shared" si="3"/>
        <v>202</v>
      </c>
      <c r="I21" s="13">
        <f t="shared" si="3"/>
        <v>197</v>
      </c>
      <c r="J21" s="13">
        <f t="shared" si="3"/>
        <v>220</v>
      </c>
      <c r="K21" s="13">
        <f t="shared" si="3"/>
        <v>197</v>
      </c>
      <c r="L21" s="13">
        <f t="shared" si="3"/>
        <v>231</v>
      </c>
      <c r="M21" s="13">
        <f t="shared" si="3"/>
        <v>213</v>
      </c>
      <c r="N21" s="13">
        <f t="shared" si="3"/>
        <v>187</v>
      </c>
      <c r="O21" s="13">
        <f t="shared" si="3"/>
        <v>202</v>
      </c>
      <c r="P21" s="13">
        <f t="shared" si="3"/>
        <v>208</v>
      </c>
      <c r="Q21" s="13">
        <f t="shared" si="3"/>
        <v>191</v>
      </c>
      <c r="R21" s="13">
        <f t="shared" si="3"/>
        <v>222</v>
      </c>
      <c r="S21" s="13">
        <f t="shared" si="3"/>
        <v>214</v>
      </c>
      <c r="T21" s="13">
        <f t="shared" si="3"/>
        <v>123</v>
      </c>
      <c r="U21" s="13">
        <f t="shared" si="3"/>
        <v>188</v>
      </c>
      <c r="V21" s="13">
        <f t="shared" si="3"/>
        <v>128</v>
      </c>
      <c r="W21" s="13">
        <f t="shared" si="2"/>
        <v>3505</v>
      </c>
    </row>
    <row r="22" spans="1:23" ht="12.75" customHeight="1" x14ac:dyDescent="0.3">
      <c r="A22" s="21"/>
      <c r="B22" s="77" t="s">
        <v>19</v>
      </c>
      <c r="C22" s="74" t="s">
        <v>20</v>
      </c>
      <c r="D22" s="16" t="s">
        <v>12</v>
      </c>
      <c r="E22" s="16">
        <v>3</v>
      </c>
      <c r="F22" s="16">
        <v>0</v>
      </c>
      <c r="G22" s="16">
        <v>0</v>
      </c>
      <c r="H22" s="16">
        <v>0</v>
      </c>
      <c r="I22" s="16">
        <v>0</v>
      </c>
      <c r="J22" s="16">
        <v>1</v>
      </c>
      <c r="K22" s="16">
        <v>0</v>
      </c>
      <c r="L22" s="16">
        <v>0</v>
      </c>
      <c r="M22" s="16">
        <v>1</v>
      </c>
      <c r="N22" s="16">
        <v>0</v>
      </c>
      <c r="O22" s="16">
        <v>0</v>
      </c>
      <c r="P22" s="16">
        <v>2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3">
        <f t="shared" si="2"/>
        <v>7</v>
      </c>
    </row>
    <row r="23" spans="1:23" ht="12.75" customHeight="1" x14ac:dyDescent="0.3">
      <c r="A23" s="21"/>
      <c r="B23" s="73"/>
      <c r="C23" s="75"/>
      <c r="D23" s="16" t="s">
        <v>13</v>
      </c>
      <c r="E23" s="16">
        <v>2</v>
      </c>
      <c r="F23" s="16">
        <v>1</v>
      </c>
      <c r="G23" s="16">
        <v>0</v>
      </c>
      <c r="H23" s="16">
        <v>1</v>
      </c>
      <c r="I23" s="16">
        <v>0</v>
      </c>
      <c r="J23" s="16">
        <v>2</v>
      </c>
      <c r="K23" s="16">
        <v>1</v>
      </c>
      <c r="L23" s="16">
        <v>1</v>
      </c>
      <c r="M23" s="16">
        <v>0</v>
      </c>
      <c r="N23" s="16">
        <v>1</v>
      </c>
      <c r="O23" s="16">
        <v>0</v>
      </c>
      <c r="P23" s="16">
        <v>1</v>
      </c>
      <c r="Q23" s="16">
        <v>1</v>
      </c>
      <c r="R23" s="16">
        <v>0</v>
      </c>
      <c r="S23" s="16">
        <v>0</v>
      </c>
      <c r="T23" s="16">
        <v>0</v>
      </c>
      <c r="U23" s="16">
        <v>2</v>
      </c>
      <c r="V23" s="16">
        <v>0</v>
      </c>
      <c r="W23" s="13">
        <f t="shared" si="2"/>
        <v>13</v>
      </c>
    </row>
    <row r="24" spans="1:23" ht="12.75" customHeight="1" x14ac:dyDescent="0.3">
      <c r="A24" s="22"/>
      <c r="B24" s="65"/>
      <c r="C24" s="76"/>
      <c r="D24" s="13" t="s">
        <v>14</v>
      </c>
      <c r="E24" s="13">
        <f t="shared" ref="E24:V24" si="4">SUM(E22:E23)</f>
        <v>5</v>
      </c>
      <c r="F24" s="13">
        <f t="shared" si="4"/>
        <v>1</v>
      </c>
      <c r="G24" s="13">
        <f t="shared" si="4"/>
        <v>0</v>
      </c>
      <c r="H24" s="13">
        <f t="shared" si="4"/>
        <v>1</v>
      </c>
      <c r="I24" s="13">
        <f t="shared" si="4"/>
        <v>0</v>
      </c>
      <c r="J24" s="13">
        <f t="shared" si="4"/>
        <v>3</v>
      </c>
      <c r="K24" s="13">
        <f t="shared" si="4"/>
        <v>1</v>
      </c>
      <c r="L24" s="13">
        <f t="shared" si="4"/>
        <v>1</v>
      </c>
      <c r="M24" s="13">
        <f t="shared" si="4"/>
        <v>1</v>
      </c>
      <c r="N24" s="13">
        <f t="shared" si="4"/>
        <v>1</v>
      </c>
      <c r="O24" s="13">
        <f t="shared" si="4"/>
        <v>0</v>
      </c>
      <c r="P24" s="13">
        <f t="shared" si="4"/>
        <v>3</v>
      </c>
      <c r="Q24" s="13">
        <f t="shared" si="4"/>
        <v>1</v>
      </c>
      <c r="R24" s="13">
        <f t="shared" si="4"/>
        <v>0</v>
      </c>
      <c r="S24" s="13">
        <f t="shared" si="4"/>
        <v>0</v>
      </c>
      <c r="T24" s="13">
        <f t="shared" si="4"/>
        <v>0</v>
      </c>
      <c r="U24" s="13">
        <f t="shared" si="4"/>
        <v>2</v>
      </c>
      <c r="V24" s="13">
        <f t="shared" si="4"/>
        <v>0</v>
      </c>
      <c r="W24" s="13">
        <f t="shared" si="2"/>
        <v>20</v>
      </c>
    </row>
    <row r="25" spans="1:23" ht="12.75" customHeight="1" x14ac:dyDescent="0.3">
      <c r="A25" s="21"/>
      <c r="B25" s="77" t="s">
        <v>21</v>
      </c>
      <c r="C25" s="74" t="s">
        <v>22</v>
      </c>
      <c r="D25" s="16" t="s">
        <v>12</v>
      </c>
      <c r="E25" s="16">
        <v>4</v>
      </c>
      <c r="F25" s="16">
        <v>2</v>
      </c>
      <c r="G25" s="16">
        <v>0</v>
      </c>
      <c r="H25" s="16">
        <v>1</v>
      </c>
      <c r="I25" s="16">
        <v>2</v>
      </c>
      <c r="J25" s="16">
        <v>2</v>
      </c>
      <c r="K25" s="16">
        <v>1</v>
      </c>
      <c r="L25" s="16">
        <v>1</v>
      </c>
      <c r="M25" s="16">
        <v>0</v>
      </c>
      <c r="N25" s="16">
        <v>0</v>
      </c>
      <c r="O25" s="16">
        <v>0</v>
      </c>
      <c r="P25" s="16">
        <v>2</v>
      </c>
      <c r="Q25" s="16">
        <v>1</v>
      </c>
      <c r="R25" s="16">
        <v>0</v>
      </c>
      <c r="S25" s="16">
        <v>0</v>
      </c>
      <c r="T25" s="16">
        <v>1</v>
      </c>
      <c r="U25" s="16">
        <v>2</v>
      </c>
      <c r="V25" s="16">
        <v>1</v>
      </c>
      <c r="W25" s="13">
        <f t="shared" si="2"/>
        <v>20</v>
      </c>
    </row>
    <row r="26" spans="1:23" ht="12.75" customHeight="1" x14ac:dyDescent="0.3">
      <c r="A26" s="21"/>
      <c r="B26" s="73"/>
      <c r="C26" s="75"/>
      <c r="D26" s="16" t="s">
        <v>13</v>
      </c>
      <c r="E26" s="16">
        <v>0</v>
      </c>
      <c r="F26" s="16">
        <v>0</v>
      </c>
      <c r="G26" s="16">
        <v>1</v>
      </c>
      <c r="H26" s="16">
        <v>1</v>
      </c>
      <c r="I26" s="16">
        <v>0</v>
      </c>
      <c r="J26" s="16">
        <v>0</v>
      </c>
      <c r="K26" s="16">
        <v>2</v>
      </c>
      <c r="L26" s="16">
        <v>2</v>
      </c>
      <c r="M26" s="16">
        <v>0</v>
      </c>
      <c r="N26" s="16">
        <v>3</v>
      </c>
      <c r="O26" s="16">
        <v>0</v>
      </c>
      <c r="P26" s="16">
        <v>1</v>
      </c>
      <c r="Q26" s="16">
        <v>2</v>
      </c>
      <c r="R26" s="16">
        <v>0</v>
      </c>
      <c r="S26" s="16">
        <v>0</v>
      </c>
      <c r="T26" s="16">
        <v>0</v>
      </c>
      <c r="U26" s="16">
        <v>2</v>
      </c>
      <c r="V26" s="16">
        <v>1</v>
      </c>
      <c r="W26" s="13">
        <f t="shared" si="2"/>
        <v>15</v>
      </c>
    </row>
    <row r="27" spans="1:23" ht="12.75" customHeight="1" x14ac:dyDescent="0.3">
      <c r="A27" s="22"/>
      <c r="B27" s="65"/>
      <c r="C27" s="76"/>
      <c r="D27" s="13" t="s">
        <v>14</v>
      </c>
      <c r="E27" s="13">
        <f t="shared" ref="E27:V27" si="5">SUM(E25:E26)</f>
        <v>4</v>
      </c>
      <c r="F27" s="13">
        <f t="shared" si="5"/>
        <v>2</v>
      </c>
      <c r="G27" s="13">
        <f t="shared" si="5"/>
        <v>1</v>
      </c>
      <c r="H27" s="13">
        <f t="shared" si="5"/>
        <v>2</v>
      </c>
      <c r="I27" s="13">
        <f t="shared" si="5"/>
        <v>2</v>
      </c>
      <c r="J27" s="13">
        <f t="shared" si="5"/>
        <v>2</v>
      </c>
      <c r="K27" s="13">
        <f t="shared" si="5"/>
        <v>3</v>
      </c>
      <c r="L27" s="13">
        <f t="shared" si="5"/>
        <v>3</v>
      </c>
      <c r="M27" s="13">
        <f t="shared" si="5"/>
        <v>0</v>
      </c>
      <c r="N27" s="13">
        <f t="shared" si="5"/>
        <v>3</v>
      </c>
      <c r="O27" s="13">
        <f t="shared" si="5"/>
        <v>0</v>
      </c>
      <c r="P27" s="13">
        <f t="shared" si="5"/>
        <v>3</v>
      </c>
      <c r="Q27" s="13">
        <f t="shared" si="5"/>
        <v>3</v>
      </c>
      <c r="R27" s="13">
        <f t="shared" si="5"/>
        <v>0</v>
      </c>
      <c r="S27" s="13">
        <f t="shared" si="5"/>
        <v>0</v>
      </c>
      <c r="T27" s="13">
        <f t="shared" si="5"/>
        <v>1</v>
      </c>
      <c r="U27" s="13">
        <f t="shared" si="5"/>
        <v>4</v>
      </c>
      <c r="V27" s="13">
        <f t="shared" si="5"/>
        <v>2</v>
      </c>
      <c r="W27" s="13">
        <f t="shared" si="2"/>
        <v>35</v>
      </c>
    </row>
    <row r="28" spans="1:23" ht="12.75" customHeight="1" x14ac:dyDescent="0.3">
      <c r="A28" s="22"/>
      <c r="B28" s="78" t="s">
        <v>23</v>
      </c>
      <c r="C28" s="79" t="s">
        <v>24</v>
      </c>
      <c r="D28" s="13" t="s">
        <v>12</v>
      </c>
      <c r="E28" s="13">
        <f t="shared" ref="E28:V28" si="6">SUM(E19,E22,E25)</f>
        <v>82</v>
      </c>
      <c r="F28" s="13">
        <f t="shared" si="6"/>
        <v>93</v>
      </c>
      <c r="G28" s="13">
        <f t="shared" si="6"/>
        <v>90</v>
      </c>
      <c r="H28" s="13">
        <f t="shared" si="6"/>
        <v>88</v>
      </c>
      <c r="I28" s="13">
        <f t="shared" si="6"/>
        <v>91</v>
      </c>
      <c r="J28" s="13">
        <f t="shared" si="6"/>
        <v>96</v>
      </c>
      <c r="K28" s="13">
        <f t="shared" si="6"/>
        <v>93</v>
      </c>
      <c r="L28" s="13">
        <f t="shared" si="6"/>
        <v>112</v>
      </c>
      <c r="M28" s="13">
        <f t="shared" si="6"/>
        <v>103</v>
      </c>
      <c r="N28" s="13">
        <f t="shared" si="6"/>
        <v>83</v>
      </c>
      <c r="O28" s="13">
        <f t="shared" si="6"/>
        <v>89</v>
      </c>
      <c r="P28" s="13">
        <f t="shared" si="6"/>
        <v>98</v>
      </c>
      <c r="Q28" s="13">
        <f t="shared" si="6"/>
        <v>87</v>
      </c>
      <c r="R28" s="13">
        <f t="shared" si="6"/>
        <v>103</v>
      </c>
      <c r="S28" s="13">
        <f t="shared" si="6"/>
        <v>108</v>
      </c>
      <c r="T28" s="13">
        <f t="shared" si="6"/>
        <v>57</v>
      </c>
      <c r="U28" s="13">
        <f t="shared" si="6"/>
        <v>90</v>
      </c>
      <c r="V28" s="13">
        <f t="shared" si="6"/>
        <v>61</v>
      </c>
      <c r="W28" s="13">
        <f t="shared" si="2"/>
        <v>1624</v>
      </c>
    </row>
    <row r="29" spans="1:23" ht="12.75" customHeight="1" x14ac:dyDescent="0.3">
      <c r="A29" s="22"/>
      <c r="B29" s="73"/>
      <c r="C29" s="75"/>
      <c r="D29" s="13" t="s">
        <v>13</v>
      </c>
      <c r="E29" s="13">
        <f t="shared" ref="E29:V29" si="7">SUM(E20,E23,E26)</f>
        <v>106</v>
      </c>
      <c r="F29" s="13">
        <f t="shared" si="7"/>
        <v>116</v>
      </c>
      <c r="G29" s="13">
        <f t="shared" si="7"/>
        <v>108</v>
      </c>
      <c r="H29" s="13">
        <f t="shared" si="7"/>
        <v>117</v>
      </c>
      <c r="I29" s="13">
        <f t="shared" si="7"/>
        <v>108</v>
      </c>
      <c r="J29" s="13">
        <f t="shared" si="7"/>
        <v>129</v>
      </c>
      <c r="K29" s="13">
        <f t="shared" si="7"/>
        <v>108</v>
      </c>
      <c r="L29" s="13">
        <f t="shared" si="7"/>
        <v>123</v>
      </c>
      <c r="M29" s="13">
        <f t="shared" si="7"/>
        <v>111</v>
      </c>
      <c r="N29" s="13">
        <f t="shared" si="7"/>
        <v>108</v>
      </c>
      <c r="O29" s="13">
        <f t="shared" si="7"/>
        <v>113</v>
      </c>
      <c r="P29" s="13">
        <f t="shared" si="7"/>
        <v>116</v>
      </c>
      <c r="Q29" s="13">
        <f t="shared" si="7"/>
        <v>108</v>
      </c>
      <c r="R29" s="13">
        <f t="shared" si="7"/>
        <v>119</v>
      </c>
      <c r="S29" s="13">
        <f t="shared" si="7"/>
        <v>106</v>
      </c>
      <c r="T29" s="13">
        <f t="shared" si="7"/>
        <v>67</v>
      </c>
      <c r="U29" s="13">
        <f t="shared" si="7"/>
        <v>104</v>
      </c>
      <c r="V29" s="13">
        <f t="shared" si="7"/>
        <v>69</v>
      </c>
      <c r="W29" s="13">
        <f t="shared" si="2"/>
        <v>1936</v>
      </c>
    </row>
    <row r="30" spans="1:23" ht="12.75" customHeight="1" x14ac:dyDescent="0.3">
      <c r="A30" s="22"/>
      <c r="B30" s="65"/>
      <c r="C30" s="76"/>
      <c r="D30" s="13" t="s">
        <v>14</v>
      </c>
      <c r="E30" s="13">
        <f t="shared" ref="E30:V30" si="8">SUM(E28:E29)</f>
        <v>188</v>
      </c>
      <c r="F30" s="13">
        <f t="shared" si="8"/>
        <v>209</v>
      </c>
      <c r="G30" s="13">
        <f t="shared" si="8"/>
        <v>198</v>
      </c>
      <c r="H30" s="13">
        <f t="shared" si="8"/>
        <v>205</v>
      </c>
      <c r="I30" s="13">
        <f t="shared" si="8"/>
        <v>199</v>
      </c>
      <c r="J30" s="13">
        <f t="shared" si="8"/>
        <v>225</v>
      </c>
      <c r="K30" s="13">
        <f t="shared" si="8"/>
        <v>201</v>
      </c>
      <c r="L30" s="13">
        <f t="shared" si="8"/>
        <v>235</v>
      </c>
      <c r="M30" s="13">
        <f t="shared" si="8"/>
        <v>214</v>
      </c>
      <c r="N30" s="13">
        <f t="shared" si="8"/>
        <v>191</v>
      </c>
      <c r="O30" s="13">
        <f t="shared" si="8"/>
        <v>202</v>
      </c>
      <c r="P30" s="13">
        <f t="shared" si="8"/>
        <v>214</v>
      </c>
      <c r="Q30" s="13">
        <f t="shared" si="8"/>
        <v>195</v>
      </c>
      <c r="R30" s="13">
        <f t="shared" si="8"/>
        <v>222</v>
      </c>
      <c r="S30" s="13">
        <f t="shared" si="8"/>
        <v>214</v>
      </c>
      <c r="T30" s="13">
        <f t="shared" si="8"/>
        <v>124</v>
      </c>
      <c r="U30" s="13">
        <f t="shared" si="8"/>
        <v>194</v>
      </c>
      <c r="V30" s="13">
        <f t="shared" si="8"/>
        <v>130</v>
      </c>
      <c r="W30" s="13">
        <f t="shared" si="2"/>
        <v>3560</v>
      </c>
    </row>
    <row r="31" spans="1:23" ht="12.75" customHeight="1" x14ac:dyDescent="0.3">
      <c r="A31" s="61"/>
      <c r="B31" s="60"/>
      <c r="C31" s="60"/>
      <c r="D31" s="58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49"/>
    </row>
    <row r="32" spans="1:23" ht="12.75" customHeight="1" x14ac:dyDescent="0.3">
      <c r="A32" s="25" t="s">
        <v>25</v>
      </c>
      <c r="B32" s="66" t="s">
        <v>26</v>
      </c>
      <c r="C32" s="60"/>
      <c r="D32" s="58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49"/>
    </row>
    <row r="33" spans="1:23" ht="12.75" customHeight="1" x14ac:dyDescent="0.3">
      <c r="A33" s="16">
        <v>1</v>
      </c>
      <c r="B33" s="70" t="s">
        <v>27</v>
      </c>
      <c r="C33" s="60"/>
      <c r="D33" s="58"/>
      <c r="E33" s="16">
        <v>224</v>
      </c>
      <c r="F33" s="16">
        <v>253</v>
      </c>
      <c r="G33" s="16">
        <v>260</v>
      </c>
      <c r="H33" s="16">
        <v>237</v>
      </c>
      <c r="I33" s="16">
        <v>242</v>
      </c>
      <c r="J33" s="16">
        <v>278</v>
      </c>
      <c r="K33" s="16">
        <v>264</v>
      </c>
      <c r="L33" s="16">
        <v>285</v>
      </c>
      <c r="M33" s="16">
        <v>276</v>
      </c>
      <c r="N33" s="16">
        <v>261</v>
      </c>
      <c r="O33" s="16">
        <v>268</v>
      </c>
      <c r="P33" s="16">
        <v>275</v>
      </c>
      <c r="Q33" s="16">
        <v>265</v>
      </c>
      <c r="R33" s="16">
        <v>279</v>
      </c>
      <c r="S33" s="16">
        <v>282</v>
      </c>
      <c r="T33" s="16">
        <v>168</v>
      </c>
      <c r="U33" s="16">
        <v>231</v>
      </c>
      <c r="V33" s="16">
        <v>146</v>
      </c>
      <c r="W33" s="13">
        <f t="shared" ref="W33:W36" si="9">SUM(E33:V33)</f>
        <v>4494</v>
      </c>
    </row>
    <row r="34" spans="1:23" ht="12.75" customHeight="1" x14ac:dyDescent="0.3">
      <c r="A34" s="16">
        <v>2</v>
      </c>
      <c r="B34" s="70" t="s">
        <v>28</v>
      </c>
      <c r="C34" s="60"/>
      <c r="D34" s="58"/>
      <c r="E34" s="13">
        <v>188</v>
      </c>
      <c r="F34" s="13">
        <v>209</v>
      </c>
      <c r="G34" s="13">
        <v>198</v>
      </c>
      <c r="H34" s="13">
        <v>205</v>
      </c>
      <c r="I34" s="13">
        <v>199</v>
      </c>
      <c r="J34" s="13">
        <v>225</v>
      </c>
      <c r="K34" s="13">
        <v>201</v>
      </c>
      <c r="L34" s="13">
        <v>235</v>
      </c>
      <c r="M34" s="13">
        <v>214</v>
      </c>
      <c r="N34" s="13">
        <v>191</v>
      </c>
      <c r="O34" s="13">
        <v>202</v>
      </c>
      <c r="P34" s="13">
        <v>214</v>
      </c>
      <c r="Q34" s="13">
        <v>195</v>
      </c>
      <c r="R34" s="13">
        <v>222</v>
      </c>
      <c r="S34" s="13">
        <v>214</v>
      </c>
      <c r="T34" s="13">
        <v>124</v>
      </c>
      <c r="U34" s="13">
        <v>194</v>
      </c>
      <c r="V34" s="13">
        <v>130</v>
      </c>
      <c r="W34" s="13">
        <f t="shared" si="9"/>
        <v>3560</v>
      </c>
    </row>
    <row r="35" spans="1:23" ht="12.75" customHeight="1" x14ac:dyDescent="0.3">
      <c r="A35" s="16">
        <v>3</v>
      </c>
      <c r="B35" s="70" t="s">
        <v>29</v>
      </c>
      <c r="C35" s="60"/>
      <c r="D35" s="58"/>
      <c r="E35" s="16">
        <v>0</v>
      </c>
      <c r="F35" s="16">
        <v>0</v>
      </c>
      <c r="G35" s="16">
        <v>1</v>
      </c>
      <c r="H35" s="16">
        <v>0</v>
      </c>
      <c r="I35" s="16">
        <v>2</v>
      </c>
      <c r="J35" s="16">
        <v>0</v>
      </c>
      <c r="K35" s="16">
        <v>3</v>
      </c>
      <c r="L35" s="16">
        <v>0</v>
      </c>
      <c r="M35" s="16">
        <v>0</v>
      </c>
      <c r="N35" s="16">
        <v>0</v>
      </c>
      <c r="O35" s="16">
        <v>1</v>
      </c>
      <c r="P35" s="16">
        <v>0</v>
      </c>
      <c r="Q35" s="16">
        <v>0</v>
      </c>
      <c r="R35" s="16">
        <v>1</v>
      </c>
      <c r="S35" s="16">
        <v>1</v>
      </c>
      <c r="T35" s="16">
        <v>0</v>
      </c>
      <c r="U35" s="16">
        <v>0</v>
      </c>
      <c r="V35" s="16">
        <v>0</v>
      </c>
      <c r="W35" s="13">
        <f t="shared" si="9"/>
        <v>9</v>
      </c>
    </row>
    <row r="36" spans="1:23" ht="12.75" customHeight="1" x14ac:dyDescent="0.3">
      <c r="A36" s="16">
        <v>4</v>
      </c>
      <c r="B36" s="70" t="s">
        <v>30</v>
      </c>
      <c r="C36" s="60"/>
      <c r="D36" s="58"/>
      <c r="E36" s="13">
        <f t="shared" ref="E36:V36" si="10">E33-(E34+E35)</f>
        <v>36</v>
      </c>
      <c r="F36" s="13">
        <f t="shared" si="10"/>
        <v>44</v>
      </c>
      <c r="G36" s="13">
        <f t="shared" si="10"/>
        <v>61</v>
      </c>
      <c r="H36" s="13">
        <f t="shared" si="10"/>
        <v>32</v>
      </c>
      <c r="I36" s="13">
        <f t="shared" si="10"/>
        <v>41</v>
      </c>
      <c r="J36" s="13">
        <f t="shared" si="10"/>
        <v>53</v>
      </c>
      <c r="K36" s="13">
        <f t="shared" si="10"/>
        <v>60</v>
      </c>
      <c r="L36" s="13">
        <f t="shared" si="10"/>
        <v>50</v>
      </c>
      <c r="M36" s="13">
        <f t="shared" si="10"/>
        <v>62</v>
      </c>
      <c r="N36" s="13">
        <f t="shared" si="10"/>
        <v>70</v>
      </c>
      <c r="O36" s="13">
        <f t="shared" si="10"/>
        <v>65</v>
      </c>
      <c r="P36" s="13">
        <f t="shared" si="10"/>
        <v>61</v>
      </c>
      <c r="Q36" s="13">
        <f t="shared" si="10"/>
        <v>70</v>
      </c>
      <c r="R36" s="13">
        <f t="shared" si="10"/>
        <v>56</v>
      </c>
      <c r="S36" s="13">
        <f t="shared" si="10"/>
        <v>67</v>
      </c>
      <c r="T36" s="13">
        <f t="shared" si="10"/>
        <v>44</v>
      </c>
      <c r="U36" s="13">
        <f t="shared" si="10"/>
        <v>37</v>
      </c>
      <c r="V36" s="13">
        <f t="shared" si="10"/>
        <v>16</v>
      </c>
      <c r="W36" s="13">
        <f t="shared" si="9"/>
        <v>925</v>
      </c>
    </row>
    <row r="37" spans="1:23" ht="12.75" customHeight="1" x14ac:dyDescent="0.3">
      <c r="A37" s="61"/>
      <c r="B37" s="60"/>
      <c r="C37" s="60"/>
      <c r="D37" s="60"/>
      <c r="E37" s="61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58"/>
      <c r="R37" s="16"/>
      <c r="S37" s="16"/>
      <c r="T37" s="16"/>
      <c r="U37" s="16"/>
      <c r="V37" s="16"/>
      <c r="W37" s="49"/>
    </row>
    <row r="38" spans="1:23" ht="12.75" customHeight="1" x14ac:dyDescent="0.3">
      <c r="A38" s="26" t="s">
        <v>31</v>
      </c>
      <c r="B38" s="66" t="s">
        <v>32</v>
      </c>
      <c r="C38" s="60"/>
      <c r="D38" s="58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49"/>
    </row>
    <row r="39" spans="1:23" ht="12.75" customHeight="1" x14ac:dyDescent="0.3">
      <c r="A39" s="20"/>
      <c r="B39" s="80" t="s">
        <v>33</v>
      </c>
      <c r="C39" s="63"/>
      <c r="D39" s="16" t="s">
        <v>12</v>
      </c>
      <c r="E39" s="16">
        <v>0</v>
      </c>
      <c r="F39" s="16">
        <v>1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3</v>
      </c>
      <c r="M39" s="16">
        <v>0</v>
      </c>
      <c r="N39" s="16">
        <v>3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3">
        <f t="shared" ref="W39:W41" si="11">SUM(E39:V39)</f>
        <v>7</v>
      </c>
    </row>
    <row r="40" spans="1:23" ht="12.75" customHeight="1" x14ac:dyDescent="0.3">
      <c r="A40" s="21"/>
      <c r="B40" s="81"/>
      <c r="C40" s="73"/>
      <c r="D40" s="16" t="s">
        <v>13</v>
      </c>
      <c r="E40" s="16">
        <v>0</v>
      </c>
      <c r="F40" s="16">
        <v>1</v>
      </c>
      <c r="G40" s="16">
        <v>0</v>
      </c>
      <c r="H40" s="16">
        <v>0</v>
      </c>
      <c r="I40" s="16">
        <v>0</v>
      </c>
      <c r="J40" s="16">
        <v>5</v>
      </c>
      <c r="K40" s="16">
        <v>1</v>
      </c>
      <c r="L40" s="16">
        <v>1</v>
      </c>
      <c r="M40" s="16">
        <v>0</v>
      </c>
      <c r="N40" s="16">
        <v>4</v>
      </c>
      <c r="O40" s="16">
        <v>3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3">
        <f t="shared" si="11"/>
        <v>15</v>
      </c>
    </row>
    <row r="41" spans="1:23" ht="12.75" customHeight="1" x14ac:dyDescent="0.3">
      <c r="A41" s="25"/>
      <c r="B41" s="56"/>
      <c r="C41" s="65"/>
      <c r="D41" s="13" t="s">
        <v>14</v>
      </c>
      <c r="E41" s="13">
        <f t="shared" ref="E41:V41" si="12">SUM(E39:E40)</f>
        <v>0</v>
      </c>
      <c r="F41" s="13">
        <f t="shared" si="12"/>
        <v>2</v>
      </c>
      <c r="G41" s="13">
        <f t="shared" si="12"/>
        <v>0</v>
      </c>
      <c r="H41" s="13">
        <f t="shared" si="12"/>
        <v>0</v>
      </c>
      <c r="I41" s="13">
        <f t="shared" si="12"/>
        <v>0</v>
      </c>
      <c r="J41" s="13">
        <f t="shared" si="12"/>
        <v>5</v>
      </c>
      <c r="K41" s="13">
        <f t="shared" si="12"/>
        <v>1</v>
      </c>
      <c r="L41" s="13">
        <f t="shared" si="12"/>
        <v>4</v>
      </c>
      <c r="M41" s="13">
        <f t="shared" si="12"/>
        <v>0</v>
      </c>
      <c r="N41" s="13">
        <f t="shared" si="12"/>
        <v>7</v>
      </c>
      <c r="O41" s="13">
        <f t="shared" si="12"/>
        <v>3</v>
      </c>
      <c r="P41" s="13">
        <f t="shared" si="12"/>
        <v>0</v>
      </c>
      <c r="Q41" s="13">
        <f t="shared" si="12"/>
        <v>0</v>
      </c>
      <c r="R41" s="13">
        <f t="shared" si="12"/>
        <v>0</v>
      </c>
      <c r="S41" s="13">
        <f t="shared" si="12"/>
        <v>0</v>
      </c>
      <c r="T41" s="13">
        <f t="shared" si="12"/>
        <v>0</v>
      </c>
      <c r="U41" s="13">
        <f t="shared" si="12"/>
        <v>0</v>
      </c>
      <c r="V41" s="13">
        <f t="shared" si="12"/>
        <v>0</v>
      </c>
      <c r="W41" s="13">
        <f t="shared" si="11"/>
        <v>22</v>
      </c>
    </row>
    <row r="42" spans="1:23" ht="12.75" customHeight="1" x14ac:dyDescent="0.3">
      <c r="A42" s="55"/>
      <c r="B42" s="56"/>
      <c r="C42" s="56"/>
      <c r="D42" s="65"/>
      <c r="E42" s="61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58"/>
      <c r="R42" s="16"/>
      <c r="S42" s="16"/>
      <c r="T42" s="16"/>
      <c r="U42" s="16"/>
      <c r="V42" s="16"/>
      <c r="W42" s="13"/>
    </row>
    <row r="43" spans="1:23" ht="12.75" customHeight="1" x14ac:dyDescent="0.3">
      <c r="A43" s="26" t="s">
        <v>34</v>
      </c>
      <c r="B43" s="66" t="s">
        <v>35</v>
      </c>
      <c r="C43" s="60"/>
      <c r="D43" s="58"/>
      <c r="E43" s="1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spans="1:23" ht="12.75" customHeight="1" x14ac:dyDescent="0.3">
      <c r="A44" s="80" t="s">
        <v>36</v>
      </c>
      <c r="B44" s="82"/>
      <c r="C44" s="82"/>
      <c r="D44" s="63"/>
      <c r="E44" s="17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3"/>
    </row>
    <row r="45" spans="1:23" ht="12.75" customHeight="1" x14ac:dyDescent="0.3">
      <c r="A45" s="20" t="s">
        <v>37</v>
      </c>
      <c r="B45" s="27" t="s">
        <v>17</v>
      </c>
      <c r="C45" s="57" t="s">
        <v>38</v>
      </c>
      <c r="D45" s="58"/>
      <c r="E45" s="16">
        <v>9</v>
      </c>
      <c r="F45" s="16">
        <v>1</v>
      </c>
      <c r="G45" s="16">
        <v>3</v>
      </c>
      <c r="H45" s="16">
        <v>4</v>
      </c>
      <c r="I45" s="16">
        <v>4</v>
      </c>
      <c r="J45" s="16">
        <v>4</v>
      </c>
      <c r="K45" s="16">
        <v>1</v>
      </c>
      <c r="L45" s="16">
        <v>6</v>
      </c>
      <c r="M45" s="16">
        <v>6</v>
      </c>
      <c r="N45" s="16">
        <v>7</v>
      </c>
      <c r="O45" s="16">
        <v>4</v>
      </c>
      <c r="P45" s="16">
        <v>7</v>
      </c>
      <c r="Q45" s="16">
        <v>0</v>
      </c>
      <c r="R45" s="16">
        <v>0</v>
      </c>
      <c r="S45" s="16">
        <v>8</v>
      </c>
      <c r="T45" s="16">
        <v>4</v>
      </c>
      <c r="U45" s="16">
        <v>2</v>
      </c>
      <c r="V45" s="16">
        <v>7</v>
      </c>
      <c r="W45" s="13">
        <f t="shared" ref="W45:W54" si="13">SUM(E45:V45)</f>
        <v>77</v>
      </c>
    </row>
    <row r="46" spans="1:23" ht="12.75" customHeight="1" x14ac:dyDescent="0.3">
      <c r="A46" s="20" t="s">
        <v>39</v>
      </c>
      <c r="B46" s="28"/>
      <c r="C46" s="29" t="s">
        <v>40</v>
      </c>
      <c r="D46" s="30"/>
      <c r="E46" s="16">
        <v>9</v>
      </c>
      <c r="F46" s="16">
        <v>10</v>
      </c>
      <c r="G46" s="16">
        <v>5</v>
      </c>
      <c r="H46" s="16">
        <v>9</v>
      </c>
      <c r="I46" s="16">
        <v>18</v>
      </c>
      <c r="J46" s="16">
        <v>14</v>
      </c>
      <c r="K46" s="16">
        <v>13</v>
      </c>
      <c r="L46" s="16">
        <v>18</v>
      </c>
      <c r="M46" s="16">
        <v>24</v>
      </c>
      <c r="N46" s="16">
        <v>13</v>
      </c>
      <c r="O46" s="16">
        <v>11</v>
      </c>
      <c r="P46" s="16">
        <v>2</v>
      </c>
      <c r="Q46" s="16">
        <v>5</v>
      </c>
      <c r="R46" s="16">
        <v>1</v>
      </c>
      <c r="S46" s="16">
        <v>6</v>
      </c>
      <c r="T46" s="16">
        <v>12</v>
      </c>
      <c r="U46" s="16">
        <v>1</v>
      </c>
      <c r="V46" s="16">
        <v>11</v>
      </c>
      <c r="W46" s="13">
        <f t="shared" si="13"/>
        <v>182</v>
      </c>
    </row>
    <row r="47" spans="1:23" ht="12.75" customHeight="1" x14ac:dyDescent="0.3">
      <c r="A47" s="15"/>
      <c r="B47" s="28"/>
      <c r="C47" s="29" t="s">
        <v>41</v>
      </c>
      <c r="D47" s="30"/>
      <c r="E47" s="16">
        <v>1</v>
      </c>
      <c r="F47" s="16">
        <v>3</v>
      </c>
      <c r="G47" s="16">
        <v>0</v>
      </c>
      <c r="H47" s="16">
        <v>2</v>
      </c>
      <c r="I47" s="16">
        <v>0</v>
      </c>
      <c r="J47" s="16">
        <v>0</v>
      </c>
      <c r="K47" s="16">
        <v>0</v>
      </c>
      <c r="L47" s="16">
        <v>0</v>
      </c>
      <c r="M47" s="16">
        <v>1</v>
      </c>
      <c r="N47" s="16">
        <v>0</v>
      </c>
      <c r="O47" s="16">
        <v>1</v>
      </c>
      <c r="P47" s="16">
        <v>11</v>
      </c>
      <c r="Q47" s="16">
        <v>0</v>
      </c>
      <c r="R47" s="16">
        <v>0</v>
      </c>
      <c r="S47" s="16">
        <v>3</v>
      </c>
      <c r="T47" s="16">
        <v>0</v>
      </c>
      <c r="U47" s="16">
        <v>2</v>
      </c>
      <c r="V47" s="16">
        <v>1</v>
      </c>
      <c r="W47" s="13">
        <f t="shared" si="13"/>
        <v>25</v>
      </c>
    </row>
    <row r="48" spans="1:23" ht="12.75" customHeight="1" x14ac:dyDescent="0.3">
      <c r="A48" s="15"/>
      <c r="B48" s="28"/>
      <c r="C48" s="29" t="s">
        <v>42</v>
      </c>
      <c r="D48" s="30"/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1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3">
        <f t="shared" si="13"/>
        <v>1</v>
      </c>
    </row>
    <row r="49" spans="1:23" ht="12.75" customHeight="1" x14ac:dyDescent="0.3">
      <c r="A49" s="15"/>
      <c r="B49" s="28"/>
      <c r="C49" s="29" t="s">
        <v>43</v>
      </c>
      <c r="D49" s="30"/>
      <c r="E49" s="16">
        <v>0</v>
      </c>
      <c r="F49" s="16">
        <v>0</v>
      </c>
      <c r="G49" s="16">
        <v>2</v>
      </c>
      <c r="H49" s="16">
        <v>0</v>
      </c>
      <c r="I49" s="16">
        <v>1</v>
      </c>
      <c r="J49" s="16">
        <v>1</v>
      </c>
      <c r="K49" s="16">
        <v>1</v>
      </c>
      <c r="L49" s="16">
        <v>0</v>
      </c>
      <c r="M49" s="16">
        <v>2</v>
      </c>
      <c r="N49" s="16">
        <v>0</v>
      </c>
      <c r="O49" s="16">
        <v>2</v>
      </c>
      <c r="P49" s="16">
        <v>1</v>
      </c>
      <c r="Q49" s="16">
        <v>0</v>
      </c>
      <c r="R49" s="16">
        <v>1</v>
      </c>
      <c r="S49" s="16">
        <v>2</v>
      </c>
      <c r="T49" s="16">
        <v>2</v>
      </c>
      <c r="U49" s="16">
        <v>1</v>
      </c>
      <c r="V49" s="16">
        <v>0</v>
      </c>
      <c r="W49" s="13">
        <f t="shared" si="13"/>
        <v>16</v>
      </c>
    </row>
    <row r="50" spans="1:23" ht="12.75" customHeight="1" x14ac:dyDescent="0.3">
      <c r="A50" s="15"/>
      <c r="B50" s="28"/>
      <c r="C50" s="29" t="s">
        <v>44</v>
      </c>
      <c r="D50" s="30"/>
      <c r="E50" s="16">
        <v>1</v>
      </c>
      <c r="F50" s="16">
        <v>0</v>
      </c>
      <c r="G50" s="16">
        <v>0</v>
      </c>
      <c r="H50" s="16">
        <v>1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1</v>
      </c>
      <c r="P50" s="16">
        <v>0</v>
      </c>
      <c r="Q50" s="16">
        <v>0</v>
      </c>
      <c r="R50" s="16">
        <v>0</v>
      </c>
      <c r="S50" s="16">
        <v>1</v>
      </c>
      <c r="T50" s="16">
        <v>0</v>
      </c>
      <c r="U50" s="16">
        <v>0</v>
      </c>
      <c r="V50" s="16">
        <v>1</v>
      </c>
      <c r="W50" s="13">
        <f t="shared" si="13"/>
        <v>5</v>
      </c>
    </row>
    <row r="51" spans="1:23" ht="12.75" customHeight="1" x14ac:dyDescent="0.3">
      <c r="A51" s="15"/>
      <c r="B51" s="28"/>
      <c r="C51" s="29" t="s">
        <v>45</v>
      </c>
      <c r="D51" s="30"/>
      <c r="E51" s="16">
        <v>0</v>
      </c>
      <c r="F51" s="16">
        <v>0</v>
      </c>
      <c r="G51" s="16">
        <v>0</v>
      </c>
      <c r="H51" s="16">
        <v>0</v>
      </c>
      <c r="I51" s="16">
        <v>1</v>
      </c>
      <c r="J51" s="16">
        <v>3</v>
      </c>
      <c r="K51" s="16">
        <v>0</v>
      </c>
      <c r="L51" s="16">
        <v>0</v>
      </c>
      <c r="M51" s="16">
        <v>0</v>
      </c>
      <c r="N51" s="16">
        <v>1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1</v>
      </c>
      <c r="V51" s="16">
        <v>0</v>
      </c>
      <c r="W51" s="13">
        <f t="shared" si="13"/>
        <v>6</v>
      </c>
    </row>
    <row r="52" spans="1:23" ht="12.75" customHeight="1" x14ac:dyDescent="0.3">
      <c r="A52" s="15"/>
      <c r="B52" s="28"/>
      <c r="C52" s="29" t="s">
        <v>46</v>
      </c>
      <c r="D52" s="30"/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1</v>
      </c>
      <c r="K52" s="16">
        <v>0</v>
      </c>
      <c r="L52" s="16">
        <v>0</v>
      </c>
      <c r="M52" s="16">
        <v>1</v>
      </c>
      <c r="N52" s="16">
        <v>0</v>
      </c>
      <c r="O52" s="16">
        <v>0</v>
      </c>
      <c r="P52" s="16">
        <v>1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3">
        <f t="shared" si="13"/>
        <v>3</v>
      </c>
    </row>
    <row r="53" spans="1:23" ht="12.75" customHeight="1" x14ac:dyDescent="0.3">
      <c r="A53" s="15"/>
      <c r="B53" s="28"/>
      <c r="C53" s="29" t="s">
        <v>47</v>
      </c>
      <c r="D53" s="35"/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1</v>
      </c>
      <c r="K53" s="16">
        <v>2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3">
        <f t="shared" si="13"/>
        <v>3</v>
      </c>
    </row>
    <row r="54" spans="1:23" ht="12.75" customHeight="1" x14ac:dyDescent="0.3">
      <c r="A54" s="15"/>
      <c r="B54" s="28"/>
      <c r="C54" s="29" t="s">
        <v>48</v>
      </c>
      <c r="D54" s="30"/>
      <c r="E54" s="16">
        <v>0</v>
      </c>
      <c r="F54" s="16">
        <v>0</v>
      </c>
      <c r="G54" s="16">
        <v>1</v>
      </c>
      <c r="H54" s="16">
        <v>0</v>
      </c>
      <c r="I54" s="16">
        <v>0</v>
      </c>
      <c r="J54" s="16">
        <v>0</v>
      </c>
      <c r="K54" s="16">
        <v>2</v>
      </c>
      <c r="L54" s="16">
        <v>1</v>
      </c>
      <c r="M54" s="16">
        <v>0</v>
      </c>
      <c r="N54" s="16">
        <v>0</v>
      </c>
      <c r="O54" s="16">
        <v>0</v>
      </c>
      <c r="P54" s="16">
        <v>0</v>
      </c>
      <c r="Q54" s="16">
        <v>1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3">
        <f t="shared" si="13"/>
        <v>5</v>
      </c>
    </row>
    <row r="55" spans="1:23" ht="12.75" customHeight="1" x14ac:dyDescent="0.3">
      <c r="A55" s="16" t="s">
        <v>15</v>
      </c>
      <c r="B55" s="59" t="s">
        <v>49</v>
      </c>
      <c r="C55" s="60"/>
      <c r="D55" s="58"/>
      <c r="E55" s="13">
        <f t="shared" ref="E55:W55" si="14">SUM(E45:E54)</f>
        <v>20</v>
      </c>
      <c r="F55" s="13">
        <f t="shared" si="14"/>
        <v>14</v>
      </c>
      <c r="G55" s="13">
        <f t="shared" si="14"/>
        <v>11</v>
      </c>
      <c r="H55" s="13">
        <f t="shared" si="14"/>
        <v>16</v>
      </c>
      <c r="I55" s="13">
        <f t="shared" si="14"/>
        <v>24</v>
      </c>
      <c r="J55" s="13">
        <f t="shared" si="14"/>
        <v>24</v>
      </c>
      <c r="K55" s="13">
        <f t="shared" si="14"/>
        <v>19</v>
      </c>
      <c r="L55" s="13">
        <f t="shared" si="14"/>
        <v>25</v>
      </c>
      <c r="M55" s="13">
        <f t="shared" si="14"/>
        <v>34</v>
      </c>
      <c r="N55" s="13">
        <f t="shared" si="14"/>
        <v>21</v>
      </c>
      <c r="O55" s="13">
        <f t="shared" si="14"/>
        <v>20</v>
      </c>
      <c r="P55" s="13">
        <f t="shared" si="14"/>
        <v>22</v>
      </c>
      <c r="Q55" s="13">
        <f t="shared" si="14"/>
        <v>6</v>
      </c>
      <c r="R55" s="13">
        <f t="shared" si="14"/>
        <v>2</v>
      </c>
      <c r="S55" s="13">
        <f t="shared" si="14"/>
        <v>20</v>
      </c>
      <c r="T55" s="13">
        <f t="shared" si="14"/>
        <v>18</v>
      </c>
      <c r="U55" s="13">
        <f t="shared" si="14"/>
        <v>7</v>
      </c>
      <c r="V55" s="13">
        <f t="shared" si="14"/>
        <v>20</v>
      </c>
      <c r="W55" s="13">
        <f t="shared" si="14"/>
        <v>323</v>
      </c>
    </row>
    <row r="56" spans="1:23" ht="12.75" customHeight="1" x14ac:dyDescent="0.3">
      <c r="A56" s="55"/>
      <c r="B56" s="56"/>
      <c r="C56" s="56"/>
      <c r="D56" s="56"/>
      <c r="E56" s="56"/>
      <c r="W56" s="13"/>
    </row>
    <row r="57" spans="1:23" ht="12.75" customHeight="1" x14ac:dyDescent="0.3">
      <c r="A57" s="20" t="s">
        <v>37</v>
      </c>
      <c r="B57" s="27" t="s">
        <v>19</v>
      </c>
      <c r="C57" s="57" t="s">
        <v>50</v>
      </c>
      <c r="D57" s="58"/>
      <c r="E57" s="16">
        <v>5</v>
      </c>
      <c r="F57" s="16">
        <v>8</v>
      </c>
      <c r="G57" s="16">
        <v>11</v>
      </c>
      <c r="H57" s="16">
        <v>12</v>
      </c>
      <c r="I57" s="16">
        <v>7</v>
      </c>
      <c r="J57" s="16">
        <v>8</v>
      </c>
      <c r="K57" s="16">
        <v>7</v>
      </c>
      <c r="L57" s="16">
        <v>4</v>
      </c>
      <c r="M57" s="16">
        <v>5</v>
      </c>
      <c r="N57" s="16">
        <v>11</v>
      </c>
      <c r="O57" s="16">
        <v>11</v>
      </c>
      <c r="P57" s="16">
        <v>19</v>
      </c>
      <c r="Q57" s="16">
        <v>7</v>
      </c>
      <c r="R57" s="16">
        <v>7</v>
      </c>
      <c r="S57" s="16">
        <v>14</v>
      </c>
      <c r="T57" s="16">
        <v>8</v>
      </c>
      <c r="U57" s="16">
        <v>12</v>
      </c>
      <c r="V57" s="16">
        <v>7</v>
      </c>
      <c r="W57" s="13">
        <f t="shared" ref="W57:W66" si="15">SUM(E57:V57)</f>
        <v>163</v>
      </c>
    </row>
    <row r="58" spans="1:23" ht="12.75" customHeight="1" x14ac:dyDescent="0.3">
      <c r="A58" s="20" t="s">
        <v>39</v>
      </c>
      <c r="B58" s="28"/>
      <c r="C58" s="29" t="s">
        <v>51</v>
      </c>
      <c r="D58" s="30"/>
      <c r="E58" s="16">
        <v>4</v>
      </c>
      <c r="F58" s="16">
        <v>7</v>
      </c>
      <c r="G58" s="16">
        <v>2</v>
      </c>
      <c r="H58" s="16">
        <v>5</v>
      </c>
      <c r="I58" s="16">
        <v>2</v>
      </c>
      <c r="J58" s="16">
        <v>3</v>
      </c>
      <c r="K58" s="16">
        <v>4</v>
      </c>
      <c r="L58" s="16">
        <v>7</v>
      </c>
      <c r="M58" s="16">
        <v>1</v>
      </c>
      <c r="N58" s="16">
        <v>0</v>
      </c>
      <c r="O58" s="16">
        <v>14</v>
      </c>
      <c r="P58" s="16">
        <v>5</v>
      </c>
      <c r="Q58" s="16">
        <v>3</v>
      </c>
      <c r="R58" s="16">
        <v>1</v>
      </c>
      <c r="S58" s="16">
        <v>4</v>
      </c>
      <c r="T58" s="16">
        <v>5</v>
      </c>
      <c r="U58" s="16">
        <v>3</v>
      </c>
      <c r="V58" s="16">
        <v>7</v>
      </c>
      <c r="W58" s="13">
        <f t="shared" si="15"/>
        <v>77</v>
      </c>
    </row>
    <row r="59" spans="1:23" ht="12.75" customHeight="1" x14ac:dyDescent="0.3">
      <c r="A59" s="15"/>
      <c r="B59" s="28"/>
      <c r="C59" s="29" t="s">
        <v>52</v>
      </c>
      <c r="D59" s="30"/>
      <c r="E59" s="16">
        <v>5</v>
      </c>
      <c r="F59" s="16">
        <v>6</v>
      </c>
      <c r="G59" s="16">
        <v>10</v>
      </c>
      <c r="H59" s="16">
        <v>10</v>
      </c>
      <c r="I59" s="16">
        <v>7</v>
      </c>
      <c r="J59" s="16">
        <v>7</v>
      </c>
      <c r="K59" s="16">
        <v>13</v>
      </c>
      <c r="L59" s="16">
        <v>13</v>
      </c>
      <c r="M59" s="16">
        <v>2</v>
      </c>
      <c r="N59" s="16">
        <v>3</v>
      </c>
      <c r="O59" s="16">
        <v>7</v>
      </c>
      <c r="P59" s="16">
        <v>13</v>
      </c>
      <c r="Q59" s="16">
        <v>2</v>
      </c>
      <c r="R59" s="16">
        <v>0</v>
      </c>
      <c r="S59" s="16">
        <v>4</v>
      </c>
      <c r="T59" s="16">
        <v>8</v>
      </c>
      <c r="U59" s="16">
        <v>1</v>
      </c>
      <c r="V59" s="16">
        <v>2</v>
      </c>
      <c r="W59" s="13">
        <f t="shared" si="15"/>
        <v>113</v>
      </c>
    </row>
    <row r="60" spans="1:23" ht="12.75" customHeight="1" x14ac:dyDescent="0.3">
      <c r="A60" s="15"/>
      <c r="B60" s="28"/>
      <c r="C60" s="29" t="s">
        <v>53</v>
      </c>
      <c r="D60" s="30"/>
      <c r="E60" s="16">
        <v>1</v>
      </c>
      <c r="F60" s="16">
        <v>1</v>
      </c>
      <c r="G60" s="16">
        <v>0</v>
      </c>
      <c r="H60" s="16">
        <v>2</v>
      </c>
      <c r="I60" s="16">
        <v>0</v>
      </c>
      <c r="J60" s="16">
        <v>2</v>
      </c>
      <c r="K60" s="16">
        <v>2</v>
      </c>
      <c r="L60" s="16">
        <v>2</v>
      </c>
      <c r="M60" s="16">
        <v>3</v>
      </c>
      <c r="N60" s="16">
        <v>2</v>
      </c>
      <c r="O60" s="16">
        <v>1</v>
      </c>
      <c r="P60" s="16">
        <v>1</v>
      </c>
      <c r="Q60" s="16">
        <v>0</v>
      </c>
      <c r="R60" s="16">
        <v>1</v>
      </c>
      <c r="S60" s="16">
        <v>1</v>
      </c>
      <c r="T60" s="16">
        <v>1</v>
      </c>
      <c r="U60" s="16">
        <v>0</v>
      </c>
      <c r="V60" s="16">
        <v>0</v>
      </c>
      <c r="W60" s="13">
        <f t="shared" si="15"/>
        <v>20</v>
      </c>
    </row>
    <row r="61" spans="1:23" ht="12.75" customHeight="1" x14ac:dyDescent="0.3">
      <c r="A61" s="15"/>
      <c r="B61" s="28"/>
      <c r="C61" s="29" t="s">
        <v>54</v>
      </c>
      <c r="D61" s="30"/>
      <c r="E61" s="16">
        <v>15</v>
      </c>
      <c r="F61" s="16">
        <v>6</v>
      </c>
      <c r="G61" s="16">
        <v>5</v>
      </c>
      <c r="H61" s="16">
        <v>3</v>
      </c>
      <c r="I61" s="16">
        <v>3</v>
      </c>
      <c r="J61" s="16">
        <v>1</v>
      </c>
      <c r="K61" s="16">
        <v>7</v>
      </c>
      <c r="L61" s="16">
        <v>7</v>
      </c>
      <c r="M61" s="16">
        <v>3</v>
      </c>
      <c r="N61" s="16">
        <v>2</v>
      </c>
      <c r="O61" s="16">
        <v>6</v>
      </c>
      <c r="P61" s="16">
        <v>2</v>
      </c>
      <c r="Q61" s="16">
        <v>0</v>
      </c>
      <c r="R61" s="16">
        <v>1</v>
      </c>
      <c r="S61" s="16">
        <v>2</v>
      </c>
      <c r="T61" s="16">
        <v>2</v>
      </c>
      <c r="U61" s="16">
        <v>3</v>
      </c>
      <c r="V61" s="16">
        <v>15</v>
      </c>
      <c r="W61" s="13">
        <f t="shared" si="15"/>
        <v>83</v>
      </c>
    </row>
    <row r="62" spans="1:23" ht="12.75" customHeight="1" x14ac:dyDescent="0.3">
      <c r="A62" s="15"/>
      <c r="B62" s="28"/>
      <c r="C62" s="29" t="s">
        <v>55</v>
      </c>
      <c r="D62" s="30"/>
      <c r="E62" s="16">
        <v>0</v>
      </c>
      <c r="F62" s="16">
        <v>0</v>
      </c>
      <c r="G62" s="16">
        <v>1</v>
      </c>
      <c r="H62" s="16">
        <v>0</v>
      </c>
      <c r="I62" s="16">
        <v>2</v>
      </c>
      <c r="J62" s="16">
        <v>0</v>
      </c>
      <c r="K62" s="16">
        <v>0</v>
      </c>
      <c r="L62" s="16">
        <v>0</v>
      </c>
      <c r="M62" s="16">
        <v>2</v>
      </c>
      <c r="N62" s="16">
        <v>0</v>
      </c>
      <c r="O62" s="16">
        <v>0</v>
      </c>
      <c r="P62" s="16">
        <v>4</v>
      </c>
      <c r="Q62" s="16">
        <v>1</v>
      </c>
      <c r="R62" s="16">
        <v>0</v>
      </c>
      <c r="S62" s="16">
        <v>2</v>
      </c>
      <c r="T62" s="16">
        <v>0</v>
      </c>
      <c r="U62" s="16">
        <v>0</v>
      </c>
      <c r="V62" s="16">
        <v>1</v>
      </c>
      <c r="W62" s="13">
        <f t="shared" si="15"/>
        <v>13</v>
      </c>
    </row>
    <row r="63" spans="1:23" ht="12.75" customHeight="1" x14ac:dyDescent="0.3">
      <c r="A63" s="15"/>
      <c r="B63" s="28"/>
      <c r="C63" s="29" t="s">
        <v>56</v>
      </c>
      <c r="D63" s="30"/>
      <c r="E63" s="16">
        <v>1</v>
      </c>
      <c r="F63" s="16">
        <v>0</v>
      </c>
      <c r="G63" s="16">
        <v>2</v>
      </c>
      <c r="H63" s="16">
        <v>2</v>
      </c>
      <c r="I63" s="16">
        <v>1</v>
      </c>
      <c r="J63" s="16">
        <v>0</v>
      </c>
      <c r="K63" s="16">
        <v>0</v>
      </c>
      <c r="L63" s="16">
        <v>1</v>
      </c>
      <c r="M63" s="16">
        <v>0</v>
      </c>
      <c r="N63" s="16">
        <v>0</v>
      </c>
      <c r="O63" s="16">
        <v>1</v>
      </c>
      <c r="P63" s="16">
        <v>0</v>
      </c>
      <c r="Q63" s="16">
        <v>0</v>
      </c>
      <c r="R63" s="16">
        <v>1</v>
      </c>
      <c r="S63" s="16">
        <v>0</v>
      </c>
      <c r="T63" s="16">
        <v>0</v>
      </c>
      <c r="U63" s="16">
        <v>0</v>
      </c>
      <c r="V63" s="16">
        <v>0</v>
      </c>
      <c r="W63" s="13">
        <f t="shared" si="15"/>
        <v>9</v>
      </c>
    </row>
    <row r="64" spans="1:23" ht="12.75" customHeight="1" x14ac:dyDescent="0.3">
      <c r="A64" s="15"/>
      <c r="B64" s="28"/>
      <c r="C64" s="29" t="s">
        <v>57</v>
      </c>
      <c r="D64" s="30"/>
      <c r="E64" s="16">
        <v>0</v>
      </c>
      <c r="F64" s="16">
        <v>1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1</v>
      </c>
      <c r="P64" s="16">
        <v>0</v>
      </c>
      <c r="Q64" s="16">
        <v>0</v>
      </c>
      <c r="R64" s="16">
        <v>0</v>
      </c>
      <c r="S64" s="16">
        <v>1</v>
      </c>
      <c r="T64" s="16">
        <v>0</v>
      </c>
      <c r="U64" s="16">
        <v>0</v>
      </c>
      <c r="V64" s="16">
        <v>0</v>
      </c>
      <c r="W64" s="13">
        <f t="shared" si="15"/>
        <v>3</v>
      </c>
    </row>
    <row r="65" spans="1:23" ht="12.75" customHeight="1" x14ac:dyDescent="0.3">
      <c r="A65" s="15"/>
      <c r="B65" s="28"/>
      <c r="C65" s="29" t="s">
        <v>58</v>
      </c>
      <c r="D65" s="30"/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1</v>
      </c>
      <c r="M65" s="16">
        <v>0</v>
      </c>
      <c r="N65" s="16">
        <v>1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2</v>
      </c>
      <c r="U65" s="16">
        <v>0</v>
      </c>
      <c r="V65" s="16">
        <v>0</v>
      </c>
      <c r="W65" s="13">
        <f t="shared" si="15"/>
        <v>4</v>
      </c>
    </row>
    <row r="66" spans="1:23" ht="12.75" customHeight="1" x14ac:dyDescent="0.3">
      <c r="A66" s="15"/>
      <c r="B66" s="28"/>
      <c r="C66" s="29" t="s">
        <v>59</v>
      </c>
      <c r="D66" s="30"/>
      <c r="E66" s="16">
        <v>0</v>
      </c>
      <c r="F66" s="16">
        <v>0</v>
      </c>
      <c r="G66" s="16">
        <v>0</v>
      </c>
      <c r="H66" s="16">
        <v>1</v>
      </c>
      <c r="I66" s="16">
        <v>1</v>
      </c>
      <c r="J66" s="16">
        <v>0</v>
      </c>
      <c r="K66" s="16">
        <v>0</v>
      </c>
      <c r="L66" s="16">
        <v>0</v>
      </c>
      <c r="M66" s="16">
        <v>1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3">
        <f t="shared" si="15"/>
        <v>3</v>
      </c>
    </row>
    <row r="67" spans="1:23" ht="12.75" customHeight="1" x14ac:dyDescent="0.3">
      <c r="A67" s="16" t="s">
        <v>15</v>
      </c>
      <c r="B67" s="59" t="s">
        <v>49</v>
      </c>
      <c r="C67" s="60"/>
      <c r="D67" s="58"/>
      <c r="E67" s="13">
        <f t="shared" ref="E67:W67" si="16">SUM(E57:E66)</f>
        <v>31</v>
      </c>
      <c r="F67" s="13">
        <f t="shared" si="16"/>
        <v>29</v>
      </c>
      <c r="G67" s="13">
        <f t="shared" si="16"/>
        <v>31</v>
      </c>
      <c r="H67" s="13">
        <f t="shared" si="16"/>
        <v>35</v>
      </c>
      <c r="I67" s="13">
        <f t="shared" si="16"/>
        <v>23</v>
      </c>
      <c r="J67" s="13">
        <f t="shared" si="16"/>
        <v>21</v>
      </c>
      <c r="K67" s="13">
        <f t="shared" si="16"/>
        <v>33</v>
      </c>
      <c r="L67" s="13">
        <f t="shared" si="16"/>
        <v>35</v>
      </c>
      <c r="M67" s="13">
        <f t="shared" si="16"/>
        <v>17</v>
      </c>
      <c r="N67" s="13">
        <f t="shared" si="16"/>
        <v>19</v>
      </c>
      <c r="O67" s="13">
        <f t="shared" si="16"/>
        <v>41</v>
      </c>
      <c r="P67" s="13">
        <f t="shared" si="16"/>
        <v>44</v>
      </c>
      <c r="Q67" s="13">
        <f t="shared" si="16"/>
        <v>13</v>
      </c>
      <c r="R67" s="13">
        <f t="shared" si="16"/>
        <v>11</v>
      </c>
      <c r="S67" s="13">
        <f t="shared" si="16"/>
        <v>28</v>
      </c>
      <c r="T67" s="13">
        <f t="shared" si="16"/>
        <v>26</v>
      </c>
      <c r="U67" s="13">
        <f t="shared" si="16"/>
        <v>19</v>
      </c>
      <c r="V67" s="13">
        <f t="shared" si="16"/>
        <v>32</v>
      </c>
      <c r="W67" s="13">
        <f t="shared" si="16"/>
        <v>488</v>
      </c>
    </row>
    <row r="68" spans="1:23" ht="12.75" customHeight="1" x14ac:dyDescent="0.3">
      <c r="A68" s="55"/>
      <c r="B68" s="56"/>
      <c r="C68" s="56"/>
      <c r="D68" s="56"/>
      <c r="E68" s="56"/>
    </row>
    <row r="69" spans="1:23" ht="12.75" customHeight="1" x14ac:dyDescent="0.3">
      <c r="A69" s="20" t="s">
        <v>37</v>
      </c>
      <c r="B69" s="27" t="s">
        <v>21</v>
      </c>
      <c r="C69" s="57" t="s">
        <v>60</v>
      </c>
      <c r="D69" s="58"/>
      <c r="E69" s="16">
        <v>14</v>
      </c>
      <c r="F69" s="16">
        <v>10</v>
      </c>
      <c r="G69" s="16">
        <v>11</v>
      </c>
      <c r="H69" s="16">
        <v>17</v>
      </c>
      <c r="I69" s="16">
        <v>5</v>
      </c>
      <c r="J69" s="16">
        <v>17</v>
      </c>
      <c r="K69" s="16">
        <v>3</v>
      </c>
      <c r="L69" s="16">
        <v>30</v>
      </c>
      <c r="M69" s="16">
        <v>3</v>
      </c>
      <c r="N69" s="16">
        <v>4</v>
      </c>
      <c r="O69" s="16">
        <v>9</v>
      </c>
      <c r="P69" s="16">
        <v>4</v>
      </c>
      <c r="Q69" s="16">
        <v>3</v>
      </c>
      <c r="R69" s="16">
        <v>7</v>
      </c>
      <c r="S69" s="16">
        <v>20</v>
      </c>
      <c r="T69" s="16">
        <v>5</v>
      </c>
      <c r="U69" s="16">
        <v>4</v>
      </c>
      <c r="V69" s="16">
        <v>7</v>
      </c>
      <c r="W69" s="13">
        <f t="shared" ref="W69:W78" si="17">SUM(E69:V69)</f>
        <v>173</v>
      </c>
    </row>
    <row r="70" spans="1:23" ht="12.75" customHeight="1" x14ac:dyDescent="0.3">
      <c r="A70" s="20" t="s">
        <v>39</v>
      </c>
      <c r="B70" s="28"/>
      <c r="C70" s="29" t="s">
        <v>61</v>
      </c>
      <c r="D70" s="30"/>
      <c r="E70" s="16">
        <v>6</v>
      </c>
      <c r="F70" s="16">
        <v>8</v>
      </c>
      <c r="G70" s="16">
        <v>5</v>
      </c>
      <c r="H70" s="16">
        <v>5</v>
      </c>
      <c r="I70" s="16">
        <v>48</v>
      </c>
      <c r="J70" s="16">
        <v>9</v>
      </c>
      <c r="K70" s="16">
        <v>10</v>
      </c>
      <c r="L70" s="16">
        <v>20</v>
      </c>
      <c r="M70" s="16">
        <v>5</v>
      </c>
      <c r="N70" s="16">
        <v>3</v>
      </c>
      <c r="O70" s="16">
        <v>9</v>
      </c>
      <c r="P70" s="16">
        <v>4</v>
      </c>
      <c r="Q70" s="16">
        <v>2</v>
      </c>
      <c r="R70" s="16">
        <v>3</v>
      </c>
      <c r="S70" s="16">
        <v>7</v>
      </c>
      <c r="T70" s="16">
        <v>5</v>
      </c>
      <c r="U70" s="16">
        <v>5</v>
      </c>
      <c r="V70" s="16">
        <v>3</v>
      </c>
      <c r="W70" s="13">
        <f t="shared" si="17"/>
        <v>157</v>
      </c>
    </row>
    <row r="71" spans="1:23" ht="12.75" customHeight="1" x14ac:dyDescent="0.3">
      <c r="A71" s="15"/>
      <c r="B71" s="28"/>
      <c r="C71" s="29" t="s">
        <v>62</v>
      </c>
      <c r="D71" s="30"/>
      <c r="E71" s="16">
        <v>7</v>
      </c>
      <c r="F71" s="16">
        <v>9</v>
      </c>
      <c r="G71" s="16">
        <v>1</v>
      </c>
      <c r="H71" s="16">
        <v>2</v>
      </c>
      <c r="I71" s="16">
        <v>4</v>
      </c>
      <c r="J71" s="16">
        <v>5</v>
      </c>
      <c r="K71" s="16">
        <v>5</v>
      </c>
      <c r="L71" s="16">
        <v>3</v>
      </c>
      <c r="M71" s="16">
        <v>44</v>
      </c>
      <c r="N71" s="16">
        <v>5</v>
      </c>
      <c r="O71" s="16">
        <v>4</v>
      </c>
      <c r="P71" s="16">
        <v>1</v>
      </c>
      <c r="Q71" s="16">
        <v>36</v>
      </c>
      <c r="R71" s="16">
        <v>74</v>
      </c>
      <c r="S71" s="16">
        <v>32</v>
      </c>
      <c r="T71" s="16">
        <v>6</v>
      </c>
      <c r="U71" s="16">
        <v>4</v>
      </c>
      <c r="V71" s="16">
        <v>3</v>
      </c>
      <c r="W71" s="13">
        <f t="shared" si="17"/>
        <v>245</v>
      </c>
    </row>
    <row r="72" spans="1:23" ht="12.75" customHeight="1" x14ac:dyDescent="0.3">
      <c r="A72" s="15"/>
      <c r="B72" s="28"/>
      <c r="C72" s="29" t="s">
        <v>63</v>
      </c>
      <c r="D72" s="30"/>
      <c r="E72" s="16">
        <v>4</v>
      </c>
      <c r="F72" s="16">
        <v>4</v>
      </c>
      <c r="G72" s="16">
        <v>4</v>
      </c>
      <c r="H72" s="16">
        <v>3</v>
      </c>
      <c r="I72" s="16">
        <v>2</v>
      </c>
      <c r="J72" s="16">
        <v>5</v>
      </c>
      <c r="K72" s="16">
        <v>4</v>
      </c>
      <c r="L72" s="16">
        <v>4</v>
      </c>
      <c r="M72" s="16">
        <v>2</v>
      </c>
      <c r="N72" s="16">
        <v>1</v>
      </c>
      <c r="O72" s="16">
        <v>3</v>
      </c>
      <c r="P72" s="16">
        <v>1</v>
      </c>
      <c r="Q72" s="16">
        <v>0</v>
      </c>
      <c r="R72" s="16">
        <v>1</v>
      </c>
      <c r="S72" s="16">
        <v>2</v>
      </c>
      <c r="T72" s="16">
        <v>0</v>
      </c>
      <c r="U72" s="16">
        <v>0</v>
      </c>
      <c r="V72" s="16">
        <v>1</v>
      </c>
      <c r="W72" s="13">
        <f t="shared" si="17"/>
        <v>41</v>
      </c>
    </row>
    <row r="73" spans="1:23" ht="12.75" customHeight="1" x14ac:dyDescent="0.3">
      <c r="A73" s="15"/>
      <c r="B73" s="28"/>
      <c r="C73" s="29" t="s">
        <v>64</v>
      </c>
      <c r="D73" s="30"/>
      <c r="E73" s="16">
        <v>8</v>
      </c>
      <c r="F73" s="16">
        <v>21</v>
      </c>
      <c r="G73" s="16">
        <v>11</v>
      </c>
      <c r="H73" s="16">
        <v>20</v>
      </c>
      <c r="I73" s="16">
        <v>3</v>
      </c>
      <c r="J73" s="16">
        <v>42</v>
      </c>
      <c r="K73" s="16">
        <v>12</v>
      </c>
      <c r="L73" s="16">
        <v>4</v>
      </c>
      <c r="M73" s="16">
        <v>4</v>
      </c>
      <c r="N73" s="16">
        <v>1</v>
      </c>
      <c r="O73" s="16">
        <v>1</v>
      </c>
      <c r="P73" s="16">
        <v>1</v>
      </c>
      <c r="Q73" s="16">
        <v>1</v>
      </c>
      <c r="R73" s="16">
        <v>2</v>
      </c>
      <c r="S73" s="16">
        <v>0</v>
      </c>
      <c r="T73" s="16">
        <v>2</v>
      </c>
      <c r="U73" s="16">
        <v>3</v>
      </c>
      <c r="V73" s="16">
        <v>1</v>
      </c>
      <c r="W73" s="13">
        <f t="shared" si="17"/>
        <v>137</v>
      </c>
    </row>
    <row r="74" spans="1:23" ht="12.75" customHeight="1" x14ac:dyDescent="0.3">
      <c r="A74" s="15"/>
      <c r="B74" s="28"/>
      <c r="C74" s="29" t="s">
        <v>65</v>
      </c>
      <c r="D74" s="30"/>
      <c r="E74" s="16">
        <v>2</v>
      </c>
      <c r="F74" s="16">
        <v>2</v>
      </c>
      <c r="G74" s="16">
        <v>0</v>
      </c>
      <c r="H74" s="16">
        <v>0</v>
      </c>
      <c r="I74" s="16">
        <v>0</v>
      </c>
      <c r="J74" s="16">
        <v>1</v>
      </c>
      <c r="K74" s="16">
        <v>0</v>
      </c>
      <c r="L74" s="16">
        <v>2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2</v>
      </c>
      <c r="S74" s="16">
        <v>0</v>
      </c>
      <c r="T74" s="16">
        <v>0</v>
      </c>
      <c r="U74" s="16">
        <v>2</v>
      </c>
      <c r="V74" s="16">
        <v>1</v>
      </c>
      <c r="W74" s="13">
        <f t="shared" si="17"/>
        <v>12</v>
      </c>
    </row>
    <row r="75" spans="1:23" ht="12.75" customHeight="1" x14ac:dyDescent="0.3">
      <c r="A75" s="15"/>
      <c r="B75" s="28"/>
      <c r="C75" s="29" t="s">
        <v>66</v>
      </c>
      <c r="D75" s="30"/>
      <c r="E75" s="16">
        <v>2</v>
      </c>
      <c r="F75" s="16">
        <v>1</v>
      </c>
      <c r="G75" s="16">
        <v>1</v>
      </c>
      <c r="H75" s="16">
        <v>2</v>
      </c>
      <c r="I75" s="16">
        <v>0</v>
      </c>
      <c r="J75" s="16">
        <v>2</v>
      </c>
      <c r="K75" s="16">
        <v>2</v>
      </c>
      <c r="L75" s="16">
        <v>2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1</v>
      </c>
      <c r="V75" s="16">
        <v>1</v>
      </c>
      <c r="W75" s="13">
        <f t="shared" si="17"/>
        <v>14</v>
      </c>
    </row>
    <row r="76" spans="1:23" ht="12.75" customHeight="1" x14ac:dyDescent="0.3">
      <c r="A76" s="15"/>
      <c r="B76" s="28"/>
      <c r="C76" s="29" t="s">
        <v>67</v>
      </c>
      <c r="D76" s="30"/>
      <c r="E76" s="16">
        <v>0</v>
      </c>
      <c r="F76" s="16">
        <v>1</v>
      </c>
      <c r="G76" s="16">
        <v>0</v>
      </c>
      <c r="H76" s="16">
        <v>0</v>
      </c>
      <c r="I76" s="16">
        <v>0</v>
      </c>
      <c r="J76" s="16">
        <v>1</v>
      </c>
      <c r="K76" s="16">
        <v>0</v>
      </c>
      <c r="L76" s="16">
        <v>2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3">
        <f t="shared" si="17"/>
        <v>4</v>
      </c>
    </row>
    <row r="77" spans="1:23" ht="12.75" customHeight="1" x14ac:dyDescent="0.3">
      <c r="A77" s="15"/>
      <c r="B77" s="28"/>
      <c r="C77" s="29" t="s">
        <v>68</v>
      </c>
      <c r="D77" s="30"/>
      <c r="E77" s="16">
        <v>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1</v>
      </c>
      <c r="M77" s="16">
        <v>0</v>
      </c>
      <c r="N77" s="16">
        <v>0</v>
      </c>
      <c r="O77" s="16">
        <v>0</v>
      </c>
      <c r="P77" s="16">
        <v>0</v>
      </c>
      <c r="Q77" s="16">
        <v>1</v>
      </c>
      <c r="R77" s="16">
        <v>0</v>
      </c>
      <c r="S77" s="16">
        <v>0</v>
      </c>
      <c r="T77" s="16">
        <v>0</v>
      </c>
      <c r="U77" s="16">
        <v>1</v>
      </c>
      <c r="V77" s="16">
        <v>0</v>
      </c>
      <c r="W77" s="13">
        <f t="shared" si="17"/>
        <v>4</v>
      </c>
    </row>
    <row r="78" spans="1:23" ht="12.75" customHeight="1" x14ac:dyDescent="0.3">
      <c r="A78" s="15"/>
      <c r="B78" s="28"/>
      <c r="C78" s="29" t="s">
        <v>69</v>
      </c>
      <c r="D78" s="30"/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1</v>
      </c>
      <c r="L78" s="16">
        <v>1</v>
      </c>
      <c r="M78" s="16">
        <v>0</v>
      </c>
      <c r="N78" s="16">
        <v>0</v>
      </c>
      <c r="O78" s="16">
        <v>1</v>
      </c>
      <c r="P78" s="16">
        <v>0</v>
      </c>
      <c r="Q78" s="16">
        <v>0</v>
      </c>
      <c r="R78" s="16">
        <v>0</v>
      </c>
      <c r="S78" s="16">
        <v>2</v>
      </c>
      <c r="T78" s="16">
        <v>0</v>
      </c>
      <c r="U78" s="16">
        <v>1</v>
      </c>
      <c r="V78" s="16">
        <v>1</v>
      </c>
      <c r="W78" s="13">
        <f t="shared" si="17"/>
        <v>7</v>
      </c>
    </row>
    <row r="79" spans="1:23" ht="12.75" customHeight="1" x14ac:dyDescent="0.3">
      <c r="A79" s="16" t="s">
        <v>15</v>
      </c>
      <c r="B79" s="59" t="s">
        <v>49</v>
      </c>
      <c r="C79" s="60"/>
      <c r="D79" s="58"/>
      <c r="E79" s="13">
        <f t="shared" ref="E79:W79" si="18">SUM(E69:E78)</f>
        <v>44</v>
      </c>
      <c r="F79" s="13">
        <f t="shared" si="18"/>
        <v>56</v>
      </c>
      <c r="G79" s="13">
        <f t="shared" si="18"/>
        <v>33</v>
      </c>
      <c r="H79" s="13">
        <f t="shared" si="18"/>
        <v>49</v>
      </c>
      <c r="I79" s="13">
        <f t="shared" si="18"/>
        <v>62</v>
      </c>
      <c r="J79" s="13">
        <f t="shared" si="18"/>
        <v>82</v>
      </c>
      <c r="K79" s="13">
        <f t="shared" si="18"/>
        <v>37</v>
      </c>
      <c r="L79" s="13">
        <f t="shared" si="18"/>
        <v>69</v>
      </c>
      <c r="M79" s="13">
        <f t="shared" si="18"/>
        <v>58</v>
      </c>
      <c r="N79" s="13">
        <f t="shared" si="18"/>
        <v>14</v>
      </c>
      <c r="O79" s="13">
        <f t="shared" si="18"/>
        <v>27</v>
      </c>
      <c r="P79" s="13">
        <f t="shared" si="18"/>
        <v>11</v>
      </c>
      <c r="Q79" s="13">
        <f t="shared" si="18"/>
        <v>43</v>
      </c>
      <c r="R79" s="13">
        <f t="shared" si="18"/>
        <v>89</v>
      </c>
      <c r="S79" s="13">
        <f t="shared" si="18"/>
        <v>63</v>
      </c>
      <c r="T79" s="13">
        <f t="shared" si="18"/>
        <v>18</v>
      </c>
      <c r="U79" s="13">
        <f t="shared" si="18"/>
        <v>21</v>
      </c>
      <c r="V79" s="13">
        <f t="shared" si="18"/>
        <v>18</v>
      </c>
      <c r="W79" s="13">
        <f t="shared" si="18"/>
        <v>794</v>
      </c>
    </row>
    <row r="80" spans="1:23" ht="12.75" customHeight="1" x14ac:dyDescent="0.3">
      <c r="A80" s="55"/>
      <c r="B80" s="56"/>
      <c r="C80" s="56"/>
      <c r="D80" s="56"/>
      <c r="E80" s="56"/>
    </row>
    <row r="81" spans="1:23" ht="12.75" customHeight="1" x14ac:dyDescent="0.3">
      <c r="A81" s="20" t="s">
        <v>37</v>
      </c>
      <c r="B81" s="27" t="s">
        <v>23</v>
      </c>
      <c r="C81" s="57" t="s">
        <v>70</v>
      </c>
      <c r="D81" s="58"/>
      <c r="E81" s="16">
        <v>5</v>
      </c>
      <c r="F81" s="16">
        <v>7</v>
      </c>
      <c r="G81" s="16">
        <v>10</v>
      </c>
      <c r="H81" s="16">
        <v>12</v>
      </c>
      <c r="I81" s="16">
        <v>12</v>
      </c>
      <c r="J81" s="16">
        <v>5</v>
      </c>
      <c r="K81" s="16">
        <v>2</v>
      </c>
      <c r="L81" s="16">
        <v>5</v>
      </c>
      <c r="M81" s="16">
        <v>3</v>
      </c>
      <c r="N81" s="16">
        <v>2</v>
      </c>
      <c r="O81" s="16">
        <v>0</v>
      </c>
      <c r="P81" s="16">
        <v>0</v>
      </c>
      <c r="Q81" s="16">
        <v>4</v>
      </c>
      <c r="R81" s="16">
        <v>5</v>
      </c>
      <c r="S81" s="16">
        <v>11</v>
      </c>
      <c r="T81" s="16">
        <v>7</v>
      </c>
      <c r="U81" s="16">
        <v>8</v>
      </c>
      <c r="V81" s="16">
        <v>9</v>
      </c>
      <c r="W81" s="13">
        <f t="shared" ref="W81:W90" si="19">SUM(E81:V81)</f>
        <v>107</v>
      </c>
    </row>
    <row r="82" spans="1:23" ht="12.75" customHeight="1" x14ac:dyDescent="0.3">
      <c r="A82" s="20" t="s">
        <v>39</v>
      </c>
      <c r="B82" s="28"/>
      <c r="C82" s="29" t="s">
        <v>71</v>
      </c>
      <c r="D82" s="30"/>
      <c r="E82" s="16">
        <v>7</v>
      </c>
      <c r="F82" s="16">
        <v>15</v>
      </c>
      <c r="G82" s="16">
        <v>12</v>
      </c>
      <c r="H82" s="16">
        <v>45</v>
      </c>
      <c r="I82" s="16">
        <v>23</v>
      </c>
      <c r="J82" s="16">
        <v>9</v>
      </c>
      <c r="K82" s="16">
        <v>6</v>
      </c>
      <c r="L82" s="16">
        <v>12</v>
      </c>
      <c r="M82" s="16">
        <v>1</v>
      </c>
      <c r="N82" s="16">
        <v>2</v>
      </c>
      <c r="O82" s="16">
        <v>0</v>
      </c>
      <c r="P82" s="16">
        <v>1</v>
      </c>
      <c r="Q82" s="16">
        <v>23</v>
      </c>
      <c r="R82" s="16">
        <v>43</v>
      </c>
      <c r="S82" s="16">
        <v>14</v>
      </c>
      <c r="T82" s="16">
        <v>14</v>
      </c>
      <c r="U82" s="16">
        <v>48</v>
      </c>
      <c r="V82" s="16">
        <v>1</v>
      </c>
      <c r="W82" s="13">
        <f t="shared" si="19"/>
        <v>276</v>
      </c>
    </row>
    <row r="83" spans="1:23" ht="12.75" customHeight="1" x14ac:dyDescent="0.3">
      <c r="A83" s="15"/>
      <c r="B83" s="28"/>
      <c r="C83" s="29" t="s">
        <v>72</v>
      </c>
      <c r="D83" s="30"/>
      <c r="E83" s="16">
        <v>0</v>
      </c>
      <c r="F83" s="16">
        <v>1</v>
      </c>
      <c r="G83" s="16">
        <v>0</v>
      </c>
      <c r="H83" s="16">
        <v>1</v>
      </c>
      <c r="I83" s="16">
        <v>0</v>
      </c>
      <c r="J83" s="16">
        <v>0</v>
      </c>
      <c r="K83" s="16">
        <v>1</v>
      </c>
      <c r="L83" s="16">
        <v>2</v>
      </c>
      <c r="M83" s="16">
        <v>0</v>
      </c>
      <c r="N83" s="16">
        <v>0</v>
      </c>
      <c r="O83" s="16">
        <v>0</v>
      </c>
      <c r="P83" s="16">
        <v>0</v>
      </c>
      <c r="Q83" s="16">
        <v>3</v>
      </c>
      <c r="R83" s="16">
        <v>2</v>
      </c>
      <c r="S83" s="16">
        <v>6</v>
      </c>
      <c r="T83" s="16">
        <v>3</v>
      </c>
      <c r="U83" s="16">
        <v>4</v>
      </c>
      <c r="V83" s="16">
        <v>1</v>
      </c>
      <c r="W83" s="13">
        <f t="shared" si="19"/>
        <v>24</v>
      </c>
    </row>
    <row r="84" spans="1:23" ht="12.75" customHeight="1" x14ac:dyDescent="0.3">
      <c r="A84" s="15"/>
      <c r="B84" s="28"/>
      <c r="C84" s="29" t="s">
        <v>73</v>
      </c>
      <c r="D84" s="30"/>
      <c r="E84" s="16">
        <v>1</v>
      </c>
      <c r="F84" s="16">
        <v>2</v>
      </c>
      <c r="G84" s="16">
        <v>0</v>
      </c>
      <c r="H84" s="16">
        <v>0</v>
      </c>
      <c r="I84" s="16">
        <v>0</v>
      </c>
      <c r="J84" s="16">
        <v>0</v>
      </c>
      <c r="K84" s="16">
        <v>1</v>
      </c>
      <c r="L84" s="16">
        <v>1</v>
      </c>
      <c r="M84" s="16">
        <v>0</v>
      </c>
      <c r="N84" s="16">
        <v>1</v>
      </c>
      <c r="O84" s="16">
        <v>0</v>
      </c>
      <c r="P84" s="16">
        <v>0</v>
      </c>
      <c r="Q84" s="16">
        <v>0</v>
      </c>
      <c r="R84" s="16">
        <v>1</v>
      </c>
      <c r="S84" s="16">
        <v>2</v>
      </c>
      <c r="T84" s="16">
        <v>0</v>
      </c>
      <c r="U84" s="16">
        <v>2</v>
      </c>
      <c r="V84" s="16">
        <v>0</v>
      </c>
      <c r="W84" s="13">
        <f t="shared" si="19"/>
        <v>11</v>
      </c>
    </row>
    <row r="85" spans="1:23" ht="12.75" customHeight="1" x14ac:dyDescent="0.3">
      <c r="A85" s="15"/>
      <c r="B85" s="28"/>
      <c r="C85" s="29" t="s">
        <v>74</v>
      </c>
      <c r="D85" s="30"/>
      <c r="E85" s="16">
        <v>3</v>
      </c>
      <c r="F85" s="16">
        <v>2</v>
      </c>
      <c r="G85" s="16">
        <v>3</v>
      </c>
      <c r="H85" s="16">
        <v>0</v>
      </c>
      <c r="I85" s="16">
        <v>0</v>
      </c>
      <c r="J85" s="16">
        <v>2</v>
      </c>
      <c r="K85" s="16">
        <v>1</v>
      </c>
      <c r="L85" s="16">
        <v>0</v>
      </c>
      <c r="M85" s="16">
        <v>1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1</v>
      </c>
      <c r="T85" s="16">
        <v>3</v>
      </c>
      <c r="U85" s="16">
        <v>3</v>
      </c>
      <c r="V85" s="16">
        <v>0</v>
      </c>
      <c r="W85" s="13">
        <f t="shared" si="19"/>
        <v>19</v>
      </c>
    </row>
    <row r="86" spans="1:23" ht="12.75" customHeight="1" x14ac:dyDescent="0.3">
      <c r="A86" s="15"/>
      <c r="B86" s="28"/>
      <c r="C86" s="29" t="s">
        <v>75</v>
      </c>
      <c r="D86" s="30"/>
      <c r="E86" s="16">
        <v>22</v>
      </c>
      <c r="F86" s="16">
        <v>7</v>
      </c>
      <c r="G86" s="16">
        <v>4</v>
      </c>
      <c r="H86" s="16">
        <v>2</v>
      </c>
      <c r="I86" s="16">
        <v>7</v>
      </c>
      <c r="J86" s="16">
        <v>6</v>
      </c>
      <c r="K86" s="16">
        <v>20</v>
      </c>
      <c r="L86" s="16">
        <v>2</v>
      </c>
      <c r="M86" s="16">
        <v>30</v>
      </c>
      <c r="N86" s="16">
        <v>21</v>
      </c>
      <c r="O86" s="16">
        <v>7</v>
      </c>
      <c r="P86" s="16">
        <v>26</v>
      </c>
      <c r="Q86" s="16">
        <v>8</v>
      </c>
      <c r="R86" s="16">
        <v>5</v>
      </c>
      <c r="S86" s="16">
        <v>3</v>
      </c>
      <c r="T86" s="16">
        <v>0</v>
      </c>
      <c r="U86" s="16">
        <v>7</v>
      </c>
      <c r="V86" s="16">
        <v>1</v>
      </c>
      <c r="W86" s="13">
        <f t="shared" si="19"/>
        <v>178</v>
      </c>
    </row>
    <row r="87" spans="1:23" ht="12.75" customHeight="1" x14ac:dyDescent="0.3">
      <c r="A87" s="15"/>
      <c r="B87" s="28"/>
      <c r="C87" s="29" t="s">
        <v>76</v>
      </c>
      <c r="D87" s="30"/>
      <c r="E87" s="16">
        <v>0</v>
      </c>
      <c r="F87" s="16">
        <v>2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1</v>
      </c>
      <c r="M87" s="16">
        <v>0</v>
      </c>
      <c r="N87" s="16">
        <v>1</v>
      </c>
      <c r="O87" s="16">
        <v>0</v>
      </c>
      <c r="P87" s="16">
        <v>0</v>
      </c>
      <c r="Q87" s="16">
        <v>2</v>
      </c>
      <c r="R87" s="16">
        <v>0</v>
      </c>
      <c r="S87" s="16">
        <v>1</v>
      </c>
      <c r="T87" s="16">
        <v>1</v>
      </c>
      <c r="U87" s="16">
        <v>1</v>
      </c>
      <c r="V87" s="16">
        <v>0</v>
      </c>
      <c r="W87" s="13">
        <f t="shared" si="19"/>
        <v>9</v>
      </c>
    </row>
    <row r="88" spans="1:23" ht="12.75" customHeight="1" x14ac:dyDescent="0.3">
      <c r="A88" s="15"/>
      <c r="B88" s="28"/>
      <c r="C88" s="29" t="s">
        <v>77</v>
      </c>
      <c r="D88" s="30"/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3">
        <f t="shared" si="19"/>
        <v>0</v>
      </c>
    </row>
    <row r="89" spans="1:23" ht="12.75" customHeight="1" x14ac:dyDescent="0.3">
      <c r="A89" s="15"/>
      <c r="B89" s="28"/>
      <c r="C89" s="29" t="s">
        <v>78</v>
      </c>
      <c r="D89" s="30"/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1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3">
        <f t="shared" si="19"/>
        <v>1</v>
      </c>
    </row>
    <row r="90" spans="1:23" ht="12.75" customHeight="1" x14ac:dyDescent="0.3">
      <c r="A90" s="15"/>
      <c r="B90" s="28"/>
      <c r="C90" s="29" t="s">
        <v>79</v>
      </c>
      <c r="D90" s="30"/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1</v>
      </c>
      <c r="P90" s="16">
        <v>0</v>
      </c>
      <c r="Q90" s="16">
        <v>0</v>
      </c>
      <c r="R90" s="16">
        <v>1</v>
      </c>
      <c r="S90" s="16">
        <v>2</v>
      </c>
      <c r="T90" s="16">
        <v>0</v>
      </c>
      <c r="U90" s="16">
        <v>1</v>
      </c>
      <c r="V90" s="16">
        <v>1</v>
      </c>
      <c r="W90" s="13">
        <f t="shared" si="19"/>
        <v>6</v>
      </c>
    </row>
    <row r="91" spans="1:23" ht="12.75" customHeight="1" x14ac:dyDescent="0.3">
      <c r="A91" s="16" t="s">
        <v>15</v>
      </c>
      <c r="B91" s="59" t="s">
        <v>49</v>
      </c>
      <c r="C91" s="60"/>
      <c r="D91" s="58"/>
      <c r="E91" s="13">
        <f t="shared" ref="E91:W91" si="20">SUM(E81:E90)</f>
        <v>38</v>
      </c>
      <c r="F91" s="13">
        <f t="shared" si="20"/>
        <v>36</v>
      </c>
      <c r="G91" s="13">
        <f t="shared" si="20"/>
        <v>29</v>
      </c>
      <c r="H91" s="13">
        <f t="shared" si="20"/>
        <v>60</v>
      </c>
      <c r="I91" s="13">
        <f t="shared" si="20"/>
        <v>42</v>
      </c>
      <c r="J91" s="13">
        <f t="shared" si="20"/>
        <v>22</v>
      </c>
      <c r="K91" s="13">
        <f t="shared" si="20"/>
        <v>31</v>
      </c>
      <c r="L91" s="13">
        <f t="shared" si="20"/>
        <v>24</v>
      </c>
      <c r="M91" s="13">
        <f t="shared" si="20"/>
        <v>35</v>
      </c>
      <c r="N91" s="13">
        <f t="shared" si="20"/>
        <v>27</v>
      </c>
      <c r="O91" s="13">
        <f t="shared" si="20"/>
        <v>8</v>
      </c>
      <c r="P91" s="13">
        <f t="shared" si="20"/>
        <v>27</v>
      </c>
      <c r="Q91" s="13">
        <f t="shared" si="20"/>
        <v>40</v>
      </c>
      <c r="R91" s="13">
        <f t="shared" si="20"/>
        <v>57</v>
      </c>
      <c r="S91" s="13">
        <f t="shared" si="20"/>
        <v>40</v>
      </c>
      <c r="T91" s="13">
        <f t="shared" si="20"/>
        <v>28</v>
      </c>
      <c r="U91" s="13">
        <f t="shared" si="20"/>
        <v>74</v>
      </c>
      <c r="V91" s="13">
        <f t="shared" si="20"/>
        <v>13</v>
      </c>
      <c r="W91" s="13">
        <f t="shared" si="20"/>
        <v>631</v>
      </c>
    </row>
    <row r="92" spans="1:23" ht="12.75" customHeight="1" x14ac:dyDescent="0.3">
      <c r="A92" s="55"/>
      <c r="B92" s="56"/>
      <c r="C92" s="56"/>
      <c r="D92" s="56"/>
      <c r="E92" s="56"/>
    </row>
    <row r="93" spans="1:23" ht="12.75" customHeight="1" x14ac:dyDescent="0.3">
      <c r="A93" s="20" t="s">
        <v>37</v>
      </c>
      <c r="B93" s="27" t="s">
        <v>80</v>
      </c>
      <c r="C93" s="57" t="s">
        <v>81</v>
      </c>
      <c r="D93" s="58"/>
      <c r="E93" s="16">
        <v>1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2</v>
      </c>
      <c r="M93" s="16">
        <v>4</v>
      </c>
      <c r="N93" s="16">
        <v>6</v>
      </c>
      <c r="O93" s="16">
        <v>8</v>
      </c>
      <c r="P93" s="16">
        <v>5</v>
      </c>
      <c r="Q93" s="16">
        <v>0</v>
      </c>
      <c r="R93" s="16">
        <v>0</v>
      </c>
      <c r="S93" s="16">
        <v>6</v>
      </c>
      <c r="T93" s="16">
        <v>0</v>
      </c>
      <c r="U93" s="16">
        <v>0</v>
      </c>
      <c r="V93" s="16">
        <v>2</v>
      </c>
      <c r="W93" s="13">
        <f t="shared" ref="W93:W102" si="21">SUM(E93:V93)</f>
        <v>34</v>
      </c>
    </row>
    <row r="94" spans="1:23" ht="12.75" customHeight="1" x14ac:dyDescent="0.3">
      <c r="A94" s="20" t="s">
        <v>39</v>
      </c>
      <c r="B94" s="28"/>
      <c r="C94" s="29" t="s">
        <v>82</v>
      </c>
      <c r="D94" s="35"/>
      <c r="E94" s="16">
        <v>1</v>
      </c>
      <c r="F94" s="16">
        <v>2</v>
      </c>
      <c r="G94" s="16">
        <v>1</v>
      </c>
      <c r="H94" s="16">
        <v>0</v>
      </c>
      <c r="I94" s="16">
        <v>0</v>
      </c>
      <c r="J94" s="16">
        <v>1</v>
      </c>
      <c r="K94" s="16">
        <v>2</v>
      </c>
      <c r="L94" s="16">
        <v>6</v>
      </c>
      <c r="M94" s="16">
        <v>3</v>
      </c>
      <c r="N94" s="16">
        <v>2</v>
      </c>
      <c r="O94" s="16">
        <v>10</v>
      </c>
      <c r="P94" s="16">
        <v>1</v>
      </c>
      <c r="Q94" s="16">
        <v>1</v>
      </c>
      <c r="R94" s="16">
        <v>1</v>
      </c>
      <c r="S94" s="16">
        <v>0</v>
      </c>
      <c r="T94" s="16">
        <v>2</v>
      </c>
      <c r="U94" s="16">
        <v>1</v>
      </c>
      <c r="V94" s="16">
        <v>10</v>
      </c>
      <c r="W94" s="13">
        <f t="shared" si="21"/>
        <v>44</v>
      </c>
    </row>
    <row r="95" spans="1:23" ht="12.75" customHeight="1" x14ac:dyDescent="0.3">
      <c r="A95" s="15"/>
      <c r="B95" s="28"/>
      <c r="C95" s="29" t="s">
        <v>83</v>
      </c>
      <c r="D95" s="35"/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2</v>
      </c>
      <c r="O95" s="16">
        <v>4</v>
      </c>
      <c r="P95" s="16">
        <v>2</v>
      </c>
      <c r="Q95" s="16">
        <v>1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3">
        <f t="shared" si="21"/>
        <v>9</v>
      </c>
    </row>
    <row r="96" spans="1:23" ht="12.75" customHeight="1" x14ac:dyDescent="0.3">
      <c r="A96" s="15"/>
      <c r="B96" s="28"/>
      <c r="C96" s="29" t="s">
        <v>84</v>
      </c>
      <c r="D96" s="35"/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1</v>
      </c>
      <c r="O96" s="16">
        <v>2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1</v>
      </c>
      <c r="W96" s="13">
        <f t="shared" si="21"/>
        <v>4</v>
      </c>
    </row>
    <row r="97" spans="1:23" ht="12.75" customHeight="1" x14ac:dyDescent="0.3">
      <c r="A97" s="15"/>
      <c r="B97" s="28"/>
      <c r="C97" s="29" t="s">
        <v>85</v>
      </c>
      <c r="D97" s="35"/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1</v>
      </c>
      <c r="M97" s="16">
        <v>0</v>
      </c>
      <c r="N97" s="16">
        <v>1</v>
      </c>
      <c r="O97" s="16">
        <v>2</v>
      </c>
      <c r="P97" s="16">
        <v>1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3">
        <f t="shared" si="21"/>
        <v>5</v>
      </c>
    </row>
    <row r="98" spans="1:23" ht="12.75" customHeight="1" x14ac:dyDescent="0.3">
      <c r="A98" s="15"/>
      <c r="B98" s="28"/>
      <c r="C98" s="29" t="s">
        <v>86</v>
      </c>
      <c r="D98" s="30"/>
      <c r="E98" s="16">
        <v>0</v>
      </c>
      <c r="F98" s="16">
        <v>0</v>
      </c>
      <c r="G98" s="16">
        <v>1</v>
      </c>
      <c r="H98" s="16">
        <v>0</v>
      </c>
      <c r="I98" s="16">
        <v>0</v>
      </c>
      <c r="J98" s="16">
        <v>0</v>
      </c>
      <c r="K98" s="16">
        <v>0</v>
      </c>
      <c r="L98" s="16">
        <v>1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3">
        <f t="shared" si="21"/>
        <v>2</v>
      </c>
    </row>
    <row r="99" spans="1:23" ht="12.75" customHeight="1" x14ac:dyDescent="0.3">
      <c r="A99" s="15"/>
      <c r="B99" s="28"/>
      <c r="C99" s="29" t="s">
        <v>87</v>
      </c>
      <c r="D99" s="30"/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1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3">
        <f t="shared" si="21"/>
        <v>1</v>
      </c>
    </row>
    <row r="100" spans="1:23" ht="12.75" customHeight="1" x14ac:dyDescent="0.3">
      <c r="A100" s="15"/>
      <c r="B100" s="28"/>
      <c r="C100" s="29" t="s">
        <v>88</v>
      </c>
      <c r="D100" s="35"/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3">
        <f t="shared" si="21"/>
        <v>0</v>
      </c>
    </row>
    <row r="101" spans="1:23" ht="12.75" customHeight="1" x14ac:dyDescent="0.3">
      <c r="A101" s="15"/>
      <c r="B101" s="28"/>
      <c r="C101" s="29" t="s">
        <v>89</v>
      </c>
      <c r="D101" s="35"/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3">
        <f t="shared" si="21"/>
        <v>0</v>
      </c>
    </row>
    <row r="102" spans="1:23" ht="12.75" customHeight="1" x14ac:dyDescent="0.3">
      <c r="A102" s="15"/>
      <c r="B102" s="28"/>
      <c r="C102" s="29" t="s">
        <v>90</v>
      </c>
      <c r="D102" s="35"/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3">
        <f t="shared" si="21"/>
        <v>0</v>
      </c>
    </row>
    <row r="103" spans="1:23" ht="12.75" customHeight="1" x14ac:dyDescent="0.3">
      <c r="A103" s="16" t="s">
        <v>15</v>
      </c>
      <c r="B103" s="59" t="s">
        <v>49</v>
      </c>
      <c r="C103" s="60"/>
      <c r="D103" s="58"/>
      <c r="E103" s="13">
        <f t="shared" ref="E103:W103" si="22">SUM(E93:E102)</f>
        <v>2</v>
      </c>
      <c r="F103" s="13">
        <f t="shared" si="22"/>
        <v>2</v>
      </c>
      <c r="G103" s="13">
        <f t="shared" si="22"/>
        <v>2</v>
      </c>
      <c r="H103" s="13">
        <f t="shared" si="22"/>
        <v>0</v>
      </c>
      <c r="I103" s="13">
        <f t="shared" si="22"/>
        <v>0</v>
      </c>
      <c r="J103" s="13">
        <f t="shared" si="22"/>
        <v>1</v>
      </c>
      <c r="K103" s="13">
        <f t="shared" si="22"/>
        <v>2</v>
      </c>
      <c r="L103" s="13">
        <f t="shared" si="22"/>
        <v>10</v>
      </c>
      <c r="M103" s="13">
        <f t="shared" si="22"/>
        <v>7</v>
      </c>
      <c r="N103" s="13">
        <f t="shared" si="22"/>
        <v>12</v>
      </c>
      <c r="O103" s="13">
        <f t="shared" si="22"/>
        <v>27</v>
      </c>
      <c r="P103" s="13">
        <f t="shared" si="22"/>
        <v>9</v>
      </c>
      <c r="Q103" s="13">
        <f t="shared" si="22"/>
        <v>2</v>
      </c>
      <c r="R103" s="13">
        <f t="shared" si="22"/>
        <v>1</v>
      </c>
      <c r="S103" s="13">
        <f t="shared" si="22"/>
        <v>6</v>
      </c>
      <c r="T103" s="13">
        <f t="shared" si="22"/>
        <v>2</v>
      </c>
      <c r="U103" s="13">
        <f t="shared" si="22"/>
        <v>1</v>
      </c>
      <c r="V103" s="13">
        <f t="shared" si="22"/>
        <v>13</v>
      </c>
      <c r="W103" s="13">
        <f t="shared" si="22"/>
        <v>99</v>
      </c>
    </row>
    <row r="104" spans="1:23" ht="12.75" customHeight="1" x14ac:dyDescent="0.3">
      <c r="A104" s="55"/>
      <c r="B104" s="56"/>
      <c r="C104" s="56"/>
      <c r="D104" s="56"/>
      <c r="E104" s="56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</row>
    <row r="105" spans="1:23" ht="12.75" customHeight="1" x14ac:dyDescent="0.3">
      <c r="A105" s="20" t="s">
        <v>37</v>
      </c>
      <c r="B105" s="27" t="s">
        <v>91</v>
      </c>
      <c r="C105" s="57" t="s">
        <v>92</v>
      </c>
      <c r="D105" s="58"/>
      <c r="E105" s="16">
        <v>0</v>
      </c>
      <c r="F105" s="16">
        <v>0</v>
      </c>
      <c r="G105" s="16">
        <v>2</v>
      </c>
      <c r="H105" s="16">
        <v>1</v>
      </c>
      <c r="I105" s="16">
        <v>0</v>
      </c>
      <c r="J105" s="16">
        <v>0</v>
      </c>
      <c r="K105" s="16">
        <v>1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1</v>
      </c>
      <c r="T105" s="16">
        <v>0</v>
      </c>
      <c r="U105" s="16">
        <v>0</v>
      </c>
      <c r="V105" s="16">
        <v>1</v>
      </c>
      <c r="W105" s="13">
        <f t="shared" ref="W105:W114" si="23">SUM(E105:V105)</f>
        <v>6</v>
      </c>
    </row>
    <row r="106" spans="1:23" ht="12.75" customHeight="1" x14ac:dyDescent="0.3">
      <c r="A106" s="20" t="s">
        <v>39</v>
      </c>
      <c r="B106" s="28"/>
      <c r="C106" s="29" t="s">
        <v>93</v>
      </c>
      <c r="D106" s="30"/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2</v>
      </c>
      <c r="L106" s="16">
        <v>1</v>
      </c>
      <c r="M106" s="16">
        <v>0</v>
      </c>
      <c r="N106" s="16">
        <v>0</v>
      </c>
      <c r="O106" s="16">
        <v>1</v>
      </c>
      <c r="P106" s="16">
        <v>0</v>
      </c>
      <c r="Q106" s="16">
        <v>0</v>
      </c>
      <c r="R106" s="16">
        <v>1</v>
      </c>
      <c r="S106" s="16">
        <v>0</v>
      </c>
      <c r="T106" s="16">
        <v>0</v>
      </c>
      <c r="U106" s="16">
        <v>0</v>
      </c>
      <c r="V106" s="16">
        <v>0</v>
      </c>
      <c r="W106" s="13">
        <f t="shared" si="23"/>
        <v>5</v>
      </c>
    </row>
    <row r="107" spans="1:23" ht="12.75" customHeight="1" x14ac:dyDescent="0.3">
      <c r="A107" s="15"/>
      <c r="B107" s="28"/>
      <c r="C107" s="29" t="s">
        <v>94</v>
      </c>
      <c r="D107" s="30"/>
      <c r="E107" s="16">
        <v>0</v>
      </c>
      <c r="F107" s="16">
        <v>0</v>
      </c>
      <c r="G107" s="16">
        <v>0</v>
      </c>
      <c r="H107" s="16">
        <v>0</v>
      </c>
      <c r="I107" s="16">
        <v>1</v>
      </c>
      <c r="J107" s="16">
        <v>0</v>
      </c>
      <c r="K107" s="16">
        <v>1</v>
      </c>
      <c r="L107" s="16">
        <v>1</v>
      </c>
      <c r="M107" s="16">
        <v>1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1</v>
      </c>
      <c r="U107" s="16">
        <v>0</v>
      </c>
      <c r="V107" s="16">
        <v>0</v>
      </c>
      <c r="W107" s="13">
        <f t="shared" si="23"/>
        <v>5</v>
      </c>
    </row>
    <row r="108" spans="1:23" ht="12.75" customHeight="1" x14ac:dyDescent="0.3">
      <c r="A108" s="15"/>
      <c r="B108" s="36"/>
      <c r="C108" s="37"/>
      <c r="D108" s="38"/>
      <c r="E108" s="52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3">
        <f t="shared" si="23"/>
        <v>0</v>
      </c>
    </row>
    <row r="109" spans="1:23" ht="12.75" customHeight="1" x14ac:dyDescent="0.3">
      <c r="A109" s="15"/>
      <c r="B109" s="36"/>
      <c r="C109" s="37"/>
      <c r="D109" s="38"/>
      <c r="E109" s="52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3">
        <f t="shared" si="23"/>
        <v>0</v>
      </c>
    </row>
    <row r="110" spans="1:23" ht="12.75" customHeight="1" x14ac:dyDescent="0.3">
      <c r="A110" s="15"/>
      <c r="B110" s="36"/>
      <c r="C110" s="37"/>
      <c r="D110" s="38"/>
      <c r="E110" s="52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3">
        <f t="shared" si="23"/>
        <v>0</v>
      </c>
    </row>
    <row r="111" spans="1:23" ht="12.75" customHeight="1" x14ac:dyDescent="0.3">
      <c r="A111" s="15"/>
      <c r="B111" s="36"/>
      <c r="C111" s="37"/>
      <c r="D111" s="38"/>
      <c r="E111" s="52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3">
        <f t="shared" si="23"/>
        <v>0</v>
      </c>
    </row>
    <row r="112" spans="1:23" ht="12.75" customHeight="1" x14ac:dyDescent="0.3">
      <c r="A112" s="15"/>
      <c r="B112" s="36"/>
      <c r="C112" s="37"/>
      <c r="D112" s="38"/>
      <c r="E112" s="52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3">
        <f t="shared" si="23"/>
        <v>0</v>
      </c>
    </row>
    <row r="113" spans="1:23" ht="12.75" customHeight="1" x14ac:dyDescent="0.3">
      <c r="A113" s="15"/>
      <c r="B113" s="36"/>
      <c r="C113" s="37"/>
      <c r="D113" s="38"/>
      <c r="E113" s="52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3">
        <f t="shared" si="23"/>
        <v>0</v>
      </c>
    </row>
    <row r="114" spans="1:23" ht="12.75" customHeight="1" x14ac:dyDescent="0.3">
      <c r="A114" s="15"/>
      <c r="B114" s="36"/>
      <c r="C114" s="37"/>
      <c r="D114" s="38"/>
      <c r="E114" s="52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3">
        <f t="shared" si="23"/>
        <v>0</v>
      </c>
    </row>
    <row r="115" spans="1:23" ht="12.75" customHeight="1" x14ac:dyDescent="0.3">
      <c r="A115" s="16" t="s">
        <v>15</v>
      </c>
      <c r="B115" s="59" t="s">
        <v>49</v>
      </c>
      <c r="C115" s="60"/>
      <c r="D115" s="58"/>
      <c r="E115" s="13">
        <f t="shared" ref="E115:W115" si="24">SUM(E105:E114)</f>
        <v>0</v>
      </c>
      <c r="F115" s="13">
        <f t="shared" si="24"/>
        <v>0</v>
      </c>
      <c r="G115" s="13">
        <f t="shared" si="24"/>
        <v>2</v>
      </c>
      <c r="H115" s="13">
        <f t="shared" si="24"/>
        <v>1</v>
      </c>
      <c r="I115" s="13">
        <f t="shared" si="24"/>
        <v>1</v>
      </c>
      <c r="J115" s="13">
        <f t="shared" si="24"/>
        <v>0</v>
      </c>
      <c r="K115" s="13">
        <f t="shared" si="24"/>
        <v>4</v>
      </c>
      <c r="L115" s="13">
        <f t="shared" si="24"/>
        <v>2</v>
      </c>
      <c r="M115" s="13">
        <f t="shared" si="24"/>
        <v>1</v>
      </c>
      <c r="N115" s="13">
        <f t="shared" si="24"/>
        <v>0</v>
      </c>
      <c r="O115" s="13">
        <f t="shared" si="24"/>
        <v>1</v>
      </c>
      <c r="P115" s="13">
        <f t="shared" si="24"/>
        <v>0</v>
      </c>
      <c r="Q115" s="13">
        <f t="shared" si="24"/>
        <v>0</v>
      </c>
      <c r="R115" s="13">
        <f t="shared" si="24"/>
        <v>1</v>
      </c>
      <c r="S115" s="13">
        <f t="shared" si="24"/>
        <v>1</v>
      </c>
      <c r="T115" s="13">
        <f t="shared" si="24"/>
        <v>1</v>
      </c>
      <c r="U115" s="13">
        <f t="shared" si="24"/>
        <v>0</v>
      </c>
      <c r="V115" s="13">
        <f t="shared" si="24"/>
        <v>1</v>
      </c>
      <c r="W115" s="13">
        <f t="shared" si="24"/>
        <v>16</v>
      </c>
    </row>
    <row r="116" spans="1:23" ht="12.75" customHeight="1" x14ac:dyDescent="0.3">
      <c r="A116" s="61"/>
      <c r="B116" s="60"/>
      <c r="C116" s="60"/>
      <c r="D116" s="60"/>
      <c r="E116" s="58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13"/>
    </row>
    <row r="117" spans="1:23" ht="12.75" customHeight="1" x14ac:dyDescent="0.3">
      <c r="A117" s="20" t="s">
        <v>37</v>
      </c>
      <c r="B117" s="27" t="s">
        <v>95</v>
      </c>
      <c r="C117" s="57" t="s">
        <v>96</v>
      </c>
      <c r="D117" s="58"/>
      <c r="E117" s="16">
        <v>0</v>
      </c>
      <c r="F117" s="16">
        <v>0</v>
      </c>
      <c r="G117" s="16">
        <v>1</v>
      </c>
      <c r="H117" s="16">
        <v>0</v>
      </c>
      <c r="I117" s="16">
        <v>0</v>
      </c>
      <c r="J117" s="16">
        <v>0</v>
      </c>
      <c r="K117" s="16">
        <v>0</v>
      </c>
      <c r="L117" s="16">
        <v>1</v>
      </c>
      <c r="M117" s="16">
        <v>1</v>
      </c>
      <c r="N117" s="16">
        <v>0</v>
      </c>
      <c r="O117" s="16">
        <v>1</v>
      </c>
      <c r="P117" s="16">
        <v>0</v>
      </c>
      <c r="Q117" s="16">
        <v>0</v>
      </c>
      <c r="R117" s="16">
        <v>1</v>
      </c>
      <c r="S117" s="16">
        <v>1</v>
      </c>
      <c r="T117" s="16">
        <v>0</v>
      </c>
      <c r="U117" s="16">
        <v>0</v>
      </c>
      <c r="V117" s="16">
        <v>1</v>
      </c>
      <c r="W117" s="13">
        <f t="shared" ref="W117:W126" si="25">SUM(E117:V117)</f>
        <v>7</v>
      </c>
    </row>
    <row r="118" spans="1:23" ht="12.75" customHeight="1" x14ac:dyDescent="0.3">
      <c r="A118" s="20" t="s">
        <v>39</v>
      </c>
      <c r="B118" s="28"/>
      <c r="C118" s="29" t="s">
        <v>97</v>
      </c>
      <c r="D118" s="30"/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1</v>
      </c>
      <c r="L118" s="16">
        <v>0</v>
      </c>
      <c r="M118" s="16">
        <v>0</v>
      </c>
      <c r="N118" s="16">
        <v>0</v>
      </c>
      <c r="O118" s="16">
        <v>1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1</v>
      </c>
      <c r="V118" s="16">
        <v>0</v>
      </c>
      <c r="W118" s="13">
        <f t="shared" si="25"/>
        <v>3</v>
      </c>
    </row>
    <row r="119" spans="1:23" ht="12.75" customHeight="1" x14ac:dyDescent="0.3">
      <c r="A119" s="15"/>
      <c r="B119" s="28"/>
      <c r="C119" s="29" t="s">
        <v>98</v>
      </c>
      <c r="D119" s="30"/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1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1</v>
      </c>
      <c r="V119" s="16">
        <v>1</v>
      </c>
      <c r="W119" s="13">
        <f t="shared" si="25"/>
        <v>3</v>
      </c>
    </row>
    <row r="120" spans="1:23" ht="12.75" customHeight="1" x14ac:dyDescent="0.3">
      <c r="A120" s="15"/>
      <c r="B120" s="28"/>
      <c r="C120" s="29" t="s">
        <v>99</v>
      </c>
      <c r="D120" s="30"/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1</v>
      </c>
      <c r="W120" s="13">
        <f t="shared" si="25"/>
        <v>1</v>
      </c>
    </row>
    <row r="121" spans="1:23" ht="12.75" customHeight="1" x14ac:dyDescent="0.3">
      <c r="A121" s="15"/>
      <c r="B121" s="28"/>
      <c r="C121" s="29" t="s">
        <v>100</v>
      </c>
      <c r="D121" s="30"/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3">
        <f t="shared" si="25"/>
        <v>0</v>
      </c>
    </row>
    <row r="122" spans="1:23" ht="12.75" customHeight="1" x14ac:dyDescent="0.3">
      <c r="A122" s="15"/>
      <c r="B122" s="28"/>
      <c r="C122" s="29" t="s">
        <v>101</v>
      </c>
      <c r="D122" s="30"/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1</v>
      </c>
      <c r="S122" s="16">
        <v>0</v>
      </c>
      <c r="T122" s="16">
        <v>0</v>
      </c>
      <c r="U122" s="16">
        <v>0</v>
      </c>
      <c r="V122" s="16">
        <v>1</v>
      </c>
      <c r="W122" s="13">
        <f t="shared" si="25"/>
        <v>2</v>
      </c>
    </row>
    <row r="123" spans="1:23" ht="12.75" customHeight="1" x14ac:dyDescent="0.3">
      <c r="A123" s="15"/>
      <c r="B123" s="36"/>
      <c r="C123" s="37"/>
      <c r="D123" s="40"/>
      <c r="E123" s="41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13">
        <f t="shared" si="25"/>
        <v>0</v>
      </c>
    </row>
    <row r="124" spans="1:23" ht="12.75" customHeight="1" x14ac:dyDescent="0.3">
      <c r="A124" s="15"/>
      <c r="B124" s="36"/>
      <c r="C124" s="37"/>
      <c r="D124" s="38"/>
      <c r="E124" s="41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13">
        <f t="shared" si="25"/>
        <v>0</v>
      </c>
    </row>
    <row r="125" spans="1:23" ht="12.75" customHeight="1" x14ac:dyDescent="0.3">
      <c r="A125" s="15"/>
      <c r="B125" s="36"/>
      <c r="C125" s="37"/>
      <c r="D125" s="38"/>
      <c r="E125" s="41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13">
        <f t="shared" si="25"/>
        <v>0</v>
      </c>
    </row>
    <row r="126" spans="1:23" ht="12.75" customHeight="1" x14ac:dyDescent="0.3">
      <c r="A126" s="15"/>
      <c r="B126" s="36"/>
      <c r="C126" s="37"/>
      <c r="D126" s="38"/>
      <c r="E126" s="41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13">
        <f t="shared" si="25"/>
        <v>0</v>
      </c>
    </row>
    <row r="127" spans="1:23" ht="12.75" customHeight="1" x14ac:dyDescent="0.3">
      <c r="A127" s="16" t="s">
        <v>15</v>
      </c>
      <c r="B127" s="59" t="s">
        <v>49</v>
      </c>
      <c r="C127" s="60"/>
      <c r="D127" s="58"/>
      <c r="E127" s="13">
        <f t="shared" ref="E127:W127" si="26">SUM(E117:E126)</f>
        <v>0</v>
      </c>
      <c r="F127" s="13">
        <f t="shared" si="26"/>
        <v>0</v>
      </c>
      <c r="G127" s="13">
        <f t="shared" si="26"/>
        <v>1</v>
      </c>
      <c r="H127" s="13">
        <f t="shared" si="26"/>
        <v>0</v>
      </c>
      <c r="I127" s="13">
        <f t="shared" si="26"/>
        <v>0</v>
      </c>
      <c r="J127" s="13">
        <f t="shared" si="26"/>
        <v>0</v>
      </c>
      <c r="K127" s="13">
        <f t="shared" si="26"/>
        <v>2</v>
      </c>
      <c r="L127" s="13">
        <f t="shared" si="26"/>
        <v>1</v>
      </c>
      <c r="M127" s="13">
        <f t="shared" si="26"/>
        <v>1</v>
      </c>
      <c r="N127" s="13">
        <f t="shared" si="26"/>
        <v>0</v>
      </c>
      <c r="O127" s="13">
        <f t="shared" si="26"/>
        <v>2</v>
      </c>
      <c r="P127" s="13">
        <f t="shared" si="26"/>
        <v>0</v>
      </c>
      <c r="Q127" s="13">
        <f t="shared" si="26"/>
        <v>0</v>
      </c>
      <c r="R127" s="13">
        <f t="shared" si="26"/>
        <v>2</v>
      </c>
      <c r="S127" s="13">
        <f t="shared" si="26"/>
        <v>1</v>
      </c>
      <c r="T127" s="13">
        <f t="shared" si="26"/>
        <v>0</v>
      </c>
      <c r="U127" s="13">
        <f t="shared" si="26"/>
        <v>2</v>
      </c>
      <c r="V127" s="13">
        <f t="shared" si="26"/>
        <v>4</v>
      </c>
      <c r="W127" s="13">
        <f t="shared" si="26"/>
        <v>16</v>
      </c>
    </row>
    <row r="128" spans="1:23" ht="12.75" customHeight="1" x14ac:dyDescent="0.3">
      <c r="A128" s="61"/>
      <c r="B128" s="60"/>
      <c r="C128" s="60"/>
      <c r="D128" s="60"/>
      <c r="E128" s="58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</row>
    <row r="129" spans="1:23" ht="12.75" customHeight="1" x14ac:dyDescent="0.3">
      <c r="A129" s="20" t="s">
        <v>37</v>
      </c>
      <c r="B129" s="27" t="s">
        <v>102</v>
      </c>
      <c r="C129" s="57" t="s">
        <v>103</v>
      </c>
      <c r="D129" s="58"/>
      <c r="E129" s="16">
        <v>2</v>
      </c>
      <c r="F129" s="16">
        <v>1</v>
      </c>
      <c r="G129" s="16">
        <v>3</v>
      </c>
      <c r="H129" s="16">
        <v>0</v>
      </c>
      <c r="I129" s="16">
        <v>0</v>
      </c>
      <c r="J129" s="16">
        <v>0</v>
      </c>
      <c r="K129" s="16">
        <v>2</v>
      </c>
      <c r="L129" s="16">
        <v>0</v>
      </c>
      <c r="M129" s="16">
        <v>0</v>
      </c>
      <c r="N129" s="16">
        <v>3</v>
      </c>
      <c r="O129" s="16">
        <v>1</v>
      </c>
      <c r="P129" s="16">
        <v>0</v>
      </c>
      <c r="Q129" s="16">
        <v>2</v>
      </c>
      <c r="R129" s="16">
        <v>0</v>
      </c>
      <c r="S129" s="16">
        <v>1</v>
      </c>
      <c r="T129" s="16">
        <v>0</v>
      </c>
      <c r="U129" s="16">
        <v>1</v>
      </c>
      <c r="V129" s="16">
        <v>2</v>
      </c>
      <c r="W129" s="13">
        <f t="shared" ref="W129:W138" si="27">SUM(E129:V129)</f>
        <v>18</v>
      </c>
    </row>
    <row r="130" spans="1:23" ht="12.75" customHeight="1" x14ac:dyDescent="0.3">
      <c r="A130" s="20" t="s">
        <v>39</v>
      </c>
      <c r="B130" s="28"/>
      <c r="C130" s="29" t="s">
        <v>104</v>
      </c>
      <c r="D130" s="30"/>
      <c r="E130" s="16">
        <v>1</v>
      </c>
      <c r="F130" s="16">
        <v>0</v>
      </c>
      <c r="G130" s="16">
        <v>0</v>
      </c>
      <c r="H130" s="16">
        <v>0</v>
      </c>
      <c r="I130" s="16">
        <v>1</v>
      </c>
      <c r="J130" s="16">
        <v>0</v>
      </c>
      <c r="K130" s="16">
        <v>1</v>
      </c>
      <c r="L130" s="16">
        <v>0</v>
      </c>
      <c r="M130" s="16">
        <v>0</v>
      </c>
      <c r="N130" s="16">
        <v>3</v>
      </c>
      <c r="O130" s="16">
        <v>1</v>
      </c>
      <c r="P130" s="16">
        <v>1</v>
      </c>
      <c r="Q130" s="16">
        <v>1</v>
      </c>
      <c r="R130" s="16">
        <v>0</v>
      </c>
      <c r="S130" s="16">
        <v>1</v>
      </c>
      <c r="T130" s="16">
        <v>2</v>
      </c>
      <c r="U130" s="16">
        <v>0</v>
      </c>
      <c r="V130" s="16">
        <v>2</v>
      </c>
      <c r="W130" s="13">
        <f t="shared" si="27"/>
        <v>14</v>
      </c>
    </row>
    <row r="131" spans="1:23" ht="12.75" customHeight="1" x14ac:dyDescent="0.3">
      <c r="A131" s="15"/>
      <c r="B131" s="28"/>
      <c r="C131" s="29" t="s">
        <v>105</v>
      </c>
      <c r="D131" s="30"/>
      <c r="E131" s="16">
        <v>1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1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3">
        <f t="shared" si="27"/>
        <v>2</v>
      </c>
    </row>
    <row r="132" spans="1:23" ht="12.75" customHeight="1" x14ac:dyDescent="0.3">
      <c r="A132" s="15"/>
      <c r="B132" s="28"/>
      <c r="C132" s="29" t="s">
        <v>106</v>
      </c>
      <c r="D132" s="30"/>
      <c r="E132" s="16">
        <v>0</v>
      </c>
      <c r="F132" s="16">
        <v>0</v>
      </c>
      <c r="G132" s="16">
        <v>0</v>
      </c>
      <c r="H132" s="16">
        <v>0</v>
      </c>
      <c r="I132" s="16">
        <v>1</v>
      </c>
      <c r="J132" s="16">
        <v>0</v>
      </c>
      <c r="K132" s="16">
        <v>0</v>
      </c>
      <c r="L132" s="16">
        <v>0</v>
      </c>
      <c r="M132" s="16">
        <v>2</v>
      </c>
      <c r="N132" s="16">
        <v>1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3">
        <f t="shared" si="27"/>
        <v>4</v>
      </c>
    </row>
    <row r="133" spans="1:23" ht="12.75" customHeight="1" x14ac:dyDescent="0.3">
      <c r="A133" s="15"/>
      <c r="B133" s="28"/>
      <c r="C133" s="29" t="s">
        <v>107</v>
      </c>
      <c r="D133" s="30"/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1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1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3">
        <f t="shared" si="27"/>
        <v>2</v>
      </c>
    </row>
    <row r="134" spans="1:23" ht="12.75" customHeight="1" x14ac:dyDescent="0.3">
      <c r="A134" s="15"/>
      <c r="B134" s="28"/>
      <c r="C134" s="29" t="s">
        <v>108</v>
      </c>
      <c r="D134" s="30"/>
      <c r="E134" s="16">
        <v>1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1</v>
      </c>
      <c r="L134" s="16">
        <v>0</v>
      </c>
      <c r="M134" s="16">
        <v>2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3">
        <f t="shared" si="27"/>
        <v>4</v>
      </c>
    </row>
    <row r="135" spans="1:23" ht="12.75" customHeight="1" x14ac:dyDescent="0.3">
      <c r="A135" s="15"/>
      <c r="B135" s="28"/>
      <c r="C135" s="29" t="s">
        <v>109</v>
      </c>
      <c r="D135" s="30"/>
      <c r="E135" s="16">
        <v>0</v>
      </c>
      <c r="F135" s="16">
        <v>1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3">
        <f t="shared" si="27"/>
        <v>1</v>
      </c>
    </row>
    <row r="136" spans="1:23" ht="12.75" customHeight="1" x14ac:dyDescent="0.3">
      <c r="A136" s="15"/>
      <c r="B136" s="28"/>
      <c r="C136" s="29" t="s">
        <v>110</v>
      </c>
      <c r="D136" s="30"/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4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3">
        <f t="shared" si="27"/>
        <v>4</v>
      </c>
    </row>
    <row r="137" spans="1:23" ht="12.75" customHeight="1" x14ac:dyDescent="0.3">
      <c r="A137" s="15"/>
      <c r="B137" s="28"/>
      <c r="C137" s="29" t="s">
        <v>111</v>
      </c>
      <c r="D137" s="30"/>
      <c r="E137" s="16">
        <v>0</v>
      </c>
      <c r="F137" s="16">
        <v>0</v>
      </c>
      <c r="G137" s="16">
        <v>1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3">
        <f t="shared" si="27"/>
        <v>1</v>
      </c>
    </row>
    <row r="138" spans="1:23" ht="12.75" customHeight="1" x14ac:dyDescent="0.3">
      <c r="A138" s="15"/>
      <c r="B138" s="28"/>
      <c r="C138" s="29" t="s">
        <v>112</v>
      </c>
      <c r="D138" s="30"/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3">
        <f t="shared" si="27"/>
        <v>0</v>
      </c>
    </row>
    <row r="139" spans="1:23" ht="12.75" customHeight="1" x14ac:dyDescent="0.3">
      <c r="A139" s="16" t="s">
        <v>15</v>
      </c>
      <c r="B139" s="59" t="s">
        <v>49</v>
      </c>
      <c r="C139" s="60"/>
      <c r="D139" s="58"/>
      <c r="E139" s="13">
        <f t="shared" ref="E139:W139" si="28">SUM(E129:E138)</f>
        <v>5</v>
      </c>
      <c r="F139" s="13">
        <f t="shared" si="28"/>
        <v>2</v>
      </c>
      <c r="G139" s="13">
        <f t="shared" si="28"/>
        <v>4</v>
      </c>
      <c r="H139" s="13">
        <f t="shared" si="28"/>
        <v>0</v>
      </c>
      <c r="I139" s="13">
        <f t="shared" si="28"/>
        <v>2</v>
      </c>
      <c r="J139" s="13">
        <f t="shared" si="28"/>
        <v>0</v>
      </c>
      <c r="K139" s="13">
        <f t="shared" si="28"/>
        <v>5</v>
      </c>
      <c r="L139" s="13">
        <f t="shared" si="28"/>
        <v>0</v>
      </c>
      <c r="M139" s="13">
        <f t="shared" si="28"/>
        <v>4</v>
      </c>
      <c r="N139" s="13">
        <f t="shared" si="28"/>
        <v>12</v>
      </c>
      <c r="O139" s="13">
        <f t="shared" si="28"/>
        <v>2</v>
      </c>
      <c r="P139" s="13">
        <f t="shared" si="28"/>
        <v>1</v>
      </c>
      <c r="Q139" s="13">
        <f t="shared" si="28"/>
        <v>4</v>
      </c>
      <c r="R139" s="13">
        <f t="shared" si="28"/>
        <v>0</v>
      </c>
      <c r="S139" s="13">
        <f t="shared" si="28"/>
        <v>2</v>
      </c>
      <c r="T139" s="13">
        <f t="shared" si="28"/>
        <v>2</v>
      </c>
      <c r="U139" s="13">
        <f t="shared" si="28"/>
        <v>1</v>
      </c>
      <c r="V139" s="13">
        <f t="shared" si="28"/>
        <v>4</v>
      </c>
      <c r="W139" s="13">
        <f t="shared" si="28"/>
        <v>50</v>
      </c>
    </row>
    <row r="140" spans="1:23" ht="12.75" customHeight="1" x14ac:dyDescent="0.3">
      <c r="A140" s="61"/>
      <c r="B140" s="60"/>
      <c r="C140" s="60"/>
      <c r="D140" s="60"/>
      <c r="E140" s="58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</row>
    <row r="141" spans="1:23" ht="12.75" customHeight="1" x14ac:dyDescent="0.3">
      <c r="A141" s="20" t="s">
        <v>37</v>
      </c>
      <c r="B141" s="27" t="s">
        <v>113</v>
      </c>
      <c r="C141" s="57" t="s">
        <v>114</v>
      </c>
      <c r="D141" s="58"/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1</v>
      </c>
      <c r="T141" s="16">
        <v>0</v>
      </c>
      <c r="U141" s="16">
        <v>0</v>
      </c>
      <c r="V141" s="16">
        <v>0</v>
      </c>
      <c r="W141" s="13">
        <f t="shared" ref="W141:W150" si="29">SUM(E141:V141)</f>
        <v>1</v>
      </c>
    </row>
    <row r="142" spans="1:23" ht="12.75" customHeight="1" x14ac:dyDescent="0.3">
      <c r="A142" s="20" t="s">
        <v>39</v>
      </c>
      <c r="B142" s="28"/>
      <c r="C142" s="29" t="s">
        <v>115</v>
      </c>
      <c r="D142" s="30"/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3">
        <f t="shared" si="29"/>
        <v>0</v>
      </c>
    </row>
    <row r="143" spans="1:23" ht="12.75" customHeight="1" x14ac:dyDescent="0.3">
      <c r="A143" s="15"/>
      <c r="B143" s="28"/>
      <c r="C143" s="29" t="s">
        <v>116</v>
      </c>
      <c r="D143" s="30"/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3">
        <f t="shared" si="29"/>
        <v>0</v>
      </c>
    </row>
    <row r="144" spans="1:23" ht="12.75" customHeight="1" x14ac:dyDescent="0.3">
      <c r="A144" s="15"/>
      <c r="B144" s="28"/>
      <c r="C144" s="29" t="s">
        <v>117</v>
      </c>
      <c r="D144" s="30"/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1</v>
      </c>
      <c r="M144" s="16">
        <v>0</v>
      </c>
      <c r="N144" s="16">
        <v>0</v>
      </c>
      <c r="O144" s="16">
        <v>1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3">
        <f t="shared" si="29"/>
        <v>2</v>
      </c>
    </row>
    <row r="145" spans="1:23" ht="12.75" customHeight="1" x14ac:dyDescent="0.3">
      <c r="A145" s="15"/>
      <c r="B145" s="36"/>
      <c r="C145" s="37"/>
      <c r="D145" s="40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3">
        <f t="shared" si="29"/>
        <v>0</v>
      </c>
    </row>
    <row r="146" spans="1:23" ht="12.75" customHeight="1" x14ac:dyDescent="0.3">
      <c r="A146" s="15"/>
      <c r="B146" s="36"/>
      <c r="C146" s="37"/>
      <c r="D146" s="40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3">
        <f t="shared" si="29"/>
        <v>0</v>
      </c>
    </row>
    <row r="147" spans="1:23" ht="12.75" customHeight="1" x14ac:dyDescent="0.3">
      <c r="A147" s="15"/>
      <c r="B147" s="36"/>
      <c r="C147" s="37"/>
      <c r="D147" s="40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3">
        <f t="shared" si="29"/>
        <v>0</v>
      </c>
    </row>
    <row r="148" spans="1:23" ht="12.75" customHeight="1" x14ac:dyDescent="0.3">
      <c r="A148" s="15"/>
      <c r="B148" s="36"/>
      <c r="C148" s="37"/>
      <c r="D148" s="38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3">
        <f t="shared" si="29"/>
        <v>0</v>
      </c>
    </row>
    <row r="149" spans="1:23" ht="12.75" customHeight="1" x14ac:dyDescent="0.3">
      <c r="A149" s="15"/>
      <c r="B149" s="36"/>
      <c r="C149" s="37"/>
      <c r="D149" s="38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3">
        <f t="shared" si="29"/>
        <v>0</v>
      </c>
    </row>
    <row r="150" spans="1:23" ht="12.75" customHeight="1" x14ac:dyDescent="0.3">
      <c r="A150" s="15"/>
      <c r="B150" s="36"/>
      <c r="C150" s="37"/>
      <c r="D150" s="38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3">
        <f t="shared" si="29"/>
        <v>0</v>
      </c>
    </row>
    <row r="151" spans="1:23" ht="12.75" customHeight="1" x14ac:dyDescent="0.3">
      <c r="A151" s="16" t="s">
        <v>15</v>
      </c>
      <c r="B151" s="59" t="s">
        <v>49</v>
      </c>
      <c r="C151" s="60"/>
      <c r="D151" s="58"/>
      <c r="E151" s="13">
        <f t="shared" ref="E151:W151" si="30">SUM(E141:E150)</f>
        <v>0</v>
      </c>
      <c r="F151" s="13">
        <f t="shared" si="30"/>
        <v>0</v>
      </c>
      <c r="G151" s="13">
        <f t="shared" si="30"/>
        <v>0</v>
      </c>
      <c r="H151" s="13">
        <f t="shared" si="30"/>
        <v>0</v>
      </c>
      <c r="I151" s="13">
        <f t="shared" si="30"/>
        <v>0</v>
      </c>
      <c r="J151" s="13">
        <f t="shared" si="30"/>
        <v>0</v>
      </c>
      <c r="K151" s="13">
        <f t="shared" si="30"/>
        <v>0</v>
      </c>
      <c r="L151" s="13">
        <f t="shared" si="30"/>
        <v>1</v>
      </c>
      <c r="M151" s="13">
        <f t="shared" si="30"/>
        <v>0</v>
      </c>
      <c r="N151" s="13">
        <f t="shared" si="30"/>
        <v>0</v>
      </c>
      <c r="O151" s="13">
        <f t="shared" si="30"/>
        <v>1</v>
      </c>
      <c r="P151" s="13">
        <f t="shared" si="30"/>
        <v>0</v>
      </c>
      <c r="Q151" s="13">
        <f t="shared" si="30"/>
        <v>0</v>
      </c>
      <c r="R151" s="13">
        <f t="shared" si="30"/>
        <v>0</v>
      </c>
      <c r="S151" s="13">
        <f t="shared" si="30"/>
        <v>1</v>
      </c>
      <c r="T151" s="13">
        <f t="shared" si="30"/>
        <v>0</v>
      </c>
      <c r="U151" s="13">
        <f t="shared" si="30"/>
        <v>0</v>
      </c>
      <c r="V151" s="13">
        <f t="shared" si="30"/>
        <v>0</v>
      </c>
      <c r="W151" s="13">
        <f t="shared" si="30"/>
        <v>3</v>
      </c>
    </row>
    <row r="152" spans="1:23" ht="12.75" customHeight="1" x14ac:dyDescent="0.3">
      <c r="A152" s="61"/>
      <c r="B152" s="60"/>
      <c r="C152" s="60"/>
      <c r="D152" s="60"/>
      <c r="E152" s="58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13"/>
    </row>
    <row r="153" spans="1:23" ht="12.75" customHeight="1" x14ac:dyDescent="0.3">
      <c r="A153" s="20" t="s">
        <v>37</v>
      </c>
      <c r="B153" s="14" t="s">
        <v>118</v>
      </c>
      <c r="C153" s="62" t="s">
        <v>119</v>
      </c>
      <c r="D153" s="63"/>
      <c r="E153" s="16">
        <v>0</v>
      </c>
      <c r="F153" s="16">
        <v>1</v>
      </c>
      <c r="G153" s="16">
        <v>1</v>
      </c>
      <c r="H153" s="16">
        <v>1</v>
      </c>
      <c r="I153" s="16">
        <v>0</v>
      </c>
      <c r="J153" s="16">
        <v>0</v>
      </c>
      <c r="K153" s="16">
        <v>2</v>
      </c>
      <c r="L153" s="16">
        <v>0</v>
      </c>
      <c r="M153" s="16">
        <v>0</v>
      </c>
      <c r="N153" s="16">
        <v>0</v>
      </c>
      <c r="O153" s="16">
        <v>0</v>
      </c>
      <c r="P153" s="16">
        <v>1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3">
        <f t="shared" ref="W153:W156" si="31">SUM(E154:V154)</f>
        <v>5</v>
      </c>
    </row>
    <row r="154" spans="1:23" ht="12.75" customHeight="1" x14ac:dyDescent="0.3">
      <c r="A154" s="42" t="s">
        <v>39</v>
      </c>
      <c r="B154" s="28"/>
      <c r="C154" s="29" t="s">
        <v>120</v>
      </c>
      <c r="D154" s="30"/>
      <c r="E154" s="53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1</v>
      </c>
      <c r="L154" s="16">
        <v>0</v>
      </c>
      <c r="M154" s="16">
        <v>0</v>
      </c>
      <c r="N154" s="16">
        <v>1</v>
      </c>
      <c r="O154" s="16">
        <v>1</v>
      </c>
      <c r="P154" s="16">
        <v>0</v>
      </c>
      <c r="Q154" s="16">
        <v>0</v>
      </c>
      <c r="R154" s="16">
        <v>1</v>
      </c>
      <c r="S154" s="16">
        <v>0</v>
      </c>
      <c r="T154" s="16">
        <v>1</v>
      </c>
      <c r="U154" s="16">
        <v>0</v>
      </c>
      <c r="V154" s="16">
        <v>0</v>
      </c>
      <c r="W154" s="13">
        <f t="shared" si="31"/>
        <v>1</v>
      </c>
    </row>
    <row r="155" spans="1:23" ht="12.75" customHeight="1" x14ac:dyDescent="0.3">
      <c r="A155" s="15"/>
      <c r="B155" s="28"/>
      <c r="C155" s="29" t="s">
        <v>121</v>
      </c>
      <c r="D155" s="30"/>
      <c r="E155" s="53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1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3">
        <f t="shared" si="31"/>
        <v>1</v>
      </c>
    </row>
    <row r="156" spans="1:23" ht="12.75" customHeight="1" x14ac:dyDescent="0.3">
      <c r="A156" s="15"/>
      <c r="B156" s="28"/>
      <c r="C156" s="29" t="s">
        <v>122</v>
      </c>
      <c r="D156" s="30"/>
      <c r="E156" s="53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1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3">
        <f t="shared" si="31"/>
        <v>1</v>
      </c>
    </row>
    <row r="157" spans="1:23" ht="12.75" customHeight="1" x14ac:dyDescent="0.3">
      <c r="A157" s="15"/>
      <c r="B157" s="28"/>
      <c r="C157" s="29" t="s">
        <v>123</v>
      </c>
      <c r="D157" s="30"/>
      <c r="E157" s="53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1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3">
        <f t="shared" ref="W157:W162" si="32">SUM(E163:V163)</f>
        <v>14</v>
      </c>
    </row>
    <row r="158" spans="1:23" ht="12.75" customHeight="1" x14ac:dyDescent="0.3">
      <c r="A158" s="15"/>
      <c r="B158" s="28"/>
      <c r="C158" s="29" t="s">
        <v>124</v>
      </c>
      <c r="D158" s="30"/>
      <c r="E158" s="53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3">
        <f t="shared" si="32"/>
        <v>0</v>
      </c>
    </row>
    <row r="159" spans="1:23" ht="12.75" customHeight="1" x14ac:dyDescent="0.3">
      <c r="A159" s="15"/>
      <c r="B159" s="28"/>
      <c r="C159" s="29" t="s">
        <v>125</v>
      </c>
      <c r="D159" s="30"/>
      <c r="E159" s="53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3">
        <f t="shared" si="32"/>
        <v>1</v>
      </c>
    </row>
    <row r="160" spans="1:23" ht="12.75" customHeight="1" x14ac:dyDescent="0.3">
      <c r="A160" s="15"/>
      <c r="B160" s="28"/>
      <c r="C160" s="29" t="s">
        <v>126</v>
      </c>
      <c r="D160" s="30"/>
      <c r="E160" s="53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3">
        <f t="shared" si="32"/>
        <v>6</v>
      </c>
    </row>
    <row r="161" spans="1:23" ht="12.75" customHeight="1" x14ac:dyDescent="0.3">
      <c r="A161" s="15"/>
      <c r="B161" s="36"/>
      <c r="C161" s="43"/>
      <c r="D161" s="38"/>
      <c r="E161" s="53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3">
        <f t="shared" si="32"/>
        <v>0</v>
      </c>
    </row>
    <row r="162" spans="1:23" ht="12.75" customHeight="1" x14ac:dyDescent="0.3">
      <c r="A162" s="15"/>
      <c r="B162" s="36"/>
      <c r="C162" s="43"/>
      <c r="D162" s="38"/>
      <c r="E162" s="53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3">
        <f t="shared" si="32"/>
        <v>0</v>
      </c>
    </row>
    <row r="163" spans="1:23" ht="12.75" customHeight="1" x14ac:dyDescent="0.3">
      <c r="A163" s="16" t="s">
        <v>15</v>
      </c>
      <c r="B163" s="64" t="s">
        <v>49</v>
      </c>
      <c r="C163" s="56"/>
      <c r="D163" s="65"/>
      <c r="E163" s="13">
        <f t="shared" ref="E163:W163" si="33">SUM(E153:E162)</f>
        <v>0</v>
      </c>
      <c r="F163" s="13">
        <f t="shared" si="33"/>
        <v>1</v>
      </c>
      <c r="G163" s="13">
        <f t="shared" si="33"/>
        <v>1</v>
      </c>
      <c r="H163" s="13">
        <f t="shared" si="33"/>
        <v>1</v>
      </c>
      <c r="I163" s="13">
        <f t="shared" si="33"/>
        <v>0</v>
      </c>
      <c r="J163" s="13">
        <f t="shared" si="33"/>
        <v>0</v>
      </c>
      <c r="K163" s="13">
        <f t="shared" si="33"/>
        <v>5</v>
      </c>
      <c r="L163" s="13">
        <f t="shared" si="33"/>
        <v>0</v>
      </c>
      <c r="M163" s="13">
        <f t="shared" si="33"/>
        <v>0</v>
      </c>
      <c r="N163" s="13">
        <f t="shared" si="33"/>
        <v>1</v>
      </c>
      <c r="O163" s="13">
        <f t="shared" si="33"/>
        <v>1</v>
      </c>
      <c r="P163" s="13">
        <f t="shared" si="33"/>
        <v>2</v>
      </c>
      <c r="Q163" s="13">
        <f t="shared" si="33"/>
        <v>0</v>
      </c>
      <c r="R163" s="13">
        <f t="shared" si="33"/>
        <v>1</v>
      </c>
      <c r="S163" s="13">
        <f t="shared" si="33"/>
        <v>0</v>
      </c>
      <c r="T163" s="13">
        <f t="shared" si="33"/>
        <v>1</v>
      </c>
      <c r="U163" s="13">
        <f t="shared" si="33"/>
        <v>0</v>
      </c>
      <c r="V163" s="13">
        <f t="shared" si="33"/>
        <v>0</v>
      </c>
      <c r="W163" s="13">
        <f t="shared" si="33"/>
        <v>29</v>
      </c>
    </row>
    <row r="164" spans="1:23" ht="12.75" customHeight="1" x14ac:dyDescent="0.3">
      <c r="A164" s="61"/>
      <c r="B164" s="60"/>
      <c r="C164" s="60"/>
      <c r="D164" s="60"/>
      <c r="E164" s="58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</row>
    <row r="165" spans="1:23" ht="12.75" customHeight="1" x14ac:dyDescent="0.3">
      <c r="A165" s="20" t="s">
        <v>37</v>
      </c>
      <c r="B165" s="27" t="s">
        <v>127</v>
      </c>
      <c r="C165" s="57" t="s">
        <v>128</v>
      </c>
      <c r="D165" s="58"/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1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3">
        <f t="shared" ref="W165:W174" si="34">SUM(E165:V165)</f>
        <v>1</v>
      </c>
    </row>
    <row r="166" spans="1:23" ht="12.75" customHeight="1" x14ac:dyDescent="0.3">
      <c r="A166" s="20" t="s">
        <v>39</v>
      </c>
      <c r="B166" s="28"/>
      <c r="C166" s="29" t="s">
        <v>129</v>
      </c>
      <c r="D166" s="30"/>
      <c r="E166" s="16">
        <v>0</v>
      </c>
      <c r="F166" s="16">
        <v>0</v>
      </c>
      <c r="G166" s="16">
        <v>0</v>
      </c>
      <c r="H166" s="16">
        <v>1</v>
      </c>
      <c r="I166" s="16">
        <v>0</v>
      </c>
      <c r="J166" s="16">
        <v>0</v>
      </c>
      <c r="K166" s="16">
        <v>0</v>
      </c>
      <c r="L166" s="16">
        <v>1</v>
      </c>
      <c r="M166" s="16">
        <v>0</v>
      </c>
      <c r="N166" s="16">
        <v>0</v>
      </c>
      <c r="O166" s="16">
        <v>2</v>
      </c>
      <c r="P166" s="16">
        <v>0</v>
      </c>
      <c r="Q166" s="16">
        <v>1</v>
      </c>
      <c r="R166" s="16">
        <v>0</v>
      </c>
      <c r="S166" s="16">
        <v>0</v>
      </c>
      <c r="T166" s="16">
        <v>0</v>
      </c>
      <c r="U166" s="16">
        <v>0</v>
      </c>
      <c r="V166" s="16">
        <v>1</v>
      </c>
      <c r="W166" s="13">
        <f t="shared" si="34"/>
        <v>6</v>
      </c>
    </row>
    <row r="167" spans="1:23" ht="12.75" customHeight="1" x14ac:dyDescent="0.3">
      <c r="A167" s="15"/>
      <c r="B167" s="36"/>
      <c r="C167" s="37"/>
      <c r="D167" s="38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3">
        <f t="shared" si="34"/>
        <v>0</v>
      </c>
    </row>
    <row r="168" spans="1:23" ht="12.75" customHeight="1" x14ac:dyDescent="0.3">
      <c r="A168" s="15"/>
      <c r="B168" s="36"/>
      <c r="C168" s="37"/>
      <c r="D168" s="38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3">
        <f t="shared" si="34"/>
        <v>0</v>
      </c>
    </row>
    <row r="169" spans="1:23" ht="12.75" customHeight="1" x14ac:dyDescent="0.3">
      <c r="A169" s="15"/>
      <c r="B169" s="36"/>
      <c r="C169" s="37"/>
      <c r="D169" s="38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3">
        <f t="shared" si="34"/>
        <v>0</v>
      </c>
    </row>
    <row r="170" spans="1:23" ht="12.75" customHeight="1" x14ac:dyDescent="0.3">
      <c r="A170" s="15"/>
      <c r="B170" s="36"/>
      <c r="C170" s="37"/>
      <c r="D170" s="38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3">
        <f t="shared" si="34"/>
        <v>0</v>
      </c>
    </row>
    <row r="171" spans="1:23" ht="12.75" customHeight="1" x14ac:dyDescent="0.3">
      <c r="A171" s="15"/>
      <c r="B171" s="36"/>
      <c r="C171" s="37"/>
      <c r="D171" s="38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3">
        <f t="shared" si="34"/>
        <v>0</v>
      </c>
    </row>
    <row r="172" spans="1:23" ht="12.75" customHeight="1" x14ac:dyDescent="0.3">
      <c r="A172" s="15"/>
      <c r="B172" s="36"/>
      <c r="C172" s="37"/>
      <c r="D172" s="38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3">
        <f t="shared" si="34"/>
        <v>0</v>
      </c>
    </row>
    <row r="173" spans="1:23" ht="12.75" customHeight="1" x14ac:dyDescent="0.3">
      <c r="A173" s="15"/>
      <c r="B173" s="36"/>
      <c r="C173" s="37"/>
      <c r="D173" s="38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3">
        <f t="shared" si="34"/>
        <v>0</v>
      </c>
    </row>
    <row r="174" spans="1:23" ht="12.75" customHeight="1" x14ac:dyDescent="0.3">
      <c r="A174" s="15"/>
      <c r="B174" s="36"/>
      <c r="C174" s="37"/>
      <c r="D174" s="38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3">
        <f t="shared" si="34"/>
        <v>0</v>
      </c>
    </row>
    <row r="175" spans="1:23" ht="12.75" customHeight="1" x14ac:dyDescent="0.3">
      <c r="A175" s="16" t="s">
        <v>15</v>
      </c>
      <c r="B175" s="59" t="s">
        <v>49</v>
      </c>
      <c r="C175" s="60"/>
      <c r="D175" s="58"/>
      <c r="E175" s="13">
        <f t="shared" ref="E175:W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2</v>
      </c>
      <c r="M175" s="13">
        <f t="shared" si="35"/>
        <v>0</v>
      </c>
      <c r="N175" s="13">
        <f t="shared" si="35"/>
        <v>0</v>
      </c>
      <c r="O175" s="13">
        <f t="shared" si="35"/>
        <v>2</v>
      </c>
      <c r="P175" s="13">
        <f t="shared" si="35"/>
        <v>0</v>
      </c>
      <c r="Q175" s="13">
        <f t="shared" si="35"/>
        <v>1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1</v>
      </c>
      <c r="W175" s="13">
        <f t="shared" si="35"/>
        <v>7</v>
      </c>
    </row>
    <row r="176" spans="1:23" ht="12.75" customHeight="1" x14ac:dyDescent="0.3">
      <c r="A176" s="61"/>
      <c r="B176" s="60"/>
      <c r="C176" s="60"/>
      <c r="D176" s="60"/>
      <c r="E176" s="58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</row>
    <row r="177" spans="1:23" ht="12.75" customHeight="1" x14ac:dyDescent="0.3">
      <c r="A177" s="20" t="s">
        <v>37</v>
      </c>
      <c r="B177" s="27" t="s">
        <v>130</v>
      </c>
      <c r="C177" s="57" t="s">
        <v>131</v>
      </c>
      <c r="D177" s="58"/>
      <c r="E177" s="16">
        <v>0</v>
      </c>
      <c r="F177" s="16">
        <v>0</v>
      </c>
      <c r="G177" s="16">
        <v>1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1</v>
      </c>
      <c r="N177" s="16">
        <v>1</v>
      </c>
      <c r="O177" s="16">
        <v>0</v>
      </c>
      <c r="P177" s="16">
        <v>0</v>
      </c>
      <c r="Q177" s="16">
        <v>0</v>
      </c>
      <c r="R177" s="16">
        <v>0</v>
      </c>
      <c r="S177" s="16">
        <v>2</v>
      </c>
      <c r="T177" s="16">
        <v>0</v>
      </c>
      <c r="U177" s="16">
        <v>0</v>
      </c>
      <c r="V177" s="16">
        <v>0</v>
      </c>
      <c r="W177" s="13">
        <f t="shared" ref="W177:W186" si="36">SUM(E177:V177)</f>
        <v>5</v>
      </c>
    </row>
    <row r="178" spans="1:23" ht="12.75" customHeight="1" x14ac:dyDescent="0.3">
      <c r="A178" s="20" t="s">
        <v>39</v>
      </c>
      <c r="B178" s="28"/>
      <c r="C178" s="29" t="s">
        <v>132</v>
      </c>
      <c r="D178" s="30"/>
      <c r="E178" s="16">
        <v>1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2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1</v>
      </c>
      <c r="S178" s="16">
        <v>0</v>
      </c>
      <c r="T178" s="16">
        <v>1</v>
      </c>
      <c r="U178" s="16">
        <v>0</v>
      </c>
      <c r="V178" s="16">
        <v>0</v>
      </c>
      <c r="W178" s="13">
        <f t="shared" si="36"/>
        <v>5</v>
      </c>
    </row>
    <row r="179" spans="1:23" ht="12.75" customHeight="1" x14ac:dyDescent="0.3">
      <c r="A179" s="15"/>
      <c r="B179" s="28"/>
      <c r="C179" s="29" t="s">
        <v>133</v>
      </c>
      <c r="D179" s="30"/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1</v>
      </c>
      <c r="L179" s="16">
        <v>0</v>
      </c>
      <c r="M179" s="16">
        <v>1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1</v>
      </c>
      <c r="V179" s="16">
        <v>0</v>
      </c>
      <c r="W179" s="13">
        <f t="shared" si="36"/>
        <v>3</v>
      </c>
    </row>
    <row r="180" spans="1:23" ht="12.75" customHeight="1" x14ac:dyDescent="0.3">
      <c r="A180" s="15"/>
      <c r="B180" s="28"/>
      <c r="C180" s="29" t="s">
        <v>134</v>
      </c>
      <c r="D180" s="30"/>
      <c r="E180" s="16">
        <v>1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2</v>
      </c>
      <c r="L180" s="16">
        <v>0</v>
      </c>
      <c r="M180" s="16">
        <v>1</v>
      </c>
      <c r="N180" s="16">
        <v>2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3">
        <f t="shared" si="36"/>
        <v>6</v>
      </c>
    </row>
    <row r="181" spans="1:23" ht="12.75" customHeight="1" x14ac:dyDescent="0.3">
      <c r="A181" s="15"/>
      <c r="B181" s="28"/>
      <c r="C181" s="29" t="s">
        <v>135</v>
      </c>
      <c r="D181" s="30"/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3">
        <f t="shared" si="36"/>
        <v>0</v>
      </c>
    </row>
    <row r="182" spans="1:23" ht="12.75" customHeight="1" x14ac:dyDescent="0.3">
      <c r="A182" s="15"/>
      <c r="B182" s="28"/>
      <c r="C182" s="29" t="s">
        <v>136</v>
      </c>
      <c r="D182" s="30"/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3">
        <f t="shared" si="36"/>
        <v>0</v>
      </c>
    </row>
    <row r="183" spans="1:23" ht="12.75" customHeight="1" x14ac:dyDescent="0.3">
      <c r="A183" s="15"/>
      <c r="B183" s="28"/>
      <c r="C183" s="29" t="s">
        <v>137</v>
      </c>
      <c r="D183" s="30"/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3">
        <f t="shared" si="36"/>
        <v>0</v>
      </c>
    </row>
    <row r="184" spans="1:23" ht="12.75" customHeight="1" x14ac:dyDescent="0.3">
      <c r="A184" s="15"/>
      <c r="B184" s="28"/>
      <c r="C184" s="29" t="s">
        <v>138</v>
      </c>
      <c r="D184" s="30"/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3">
        <f t="shared" si="36"/>
        <v>0</v>
      </c>
    </row>
    <row r="185" spans="1:23" ht="12.75" customHeight="1" x14ac:dyDescent="0.3">
      <c r="A185" s="15"/>
      <c r="B185" s="28"/>
      <c r="C185" s="29" t="s">
        <v>139</v>
      </c>
      <c r="D185" s="30"/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3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3">
        <f t="shared" si="36"/>
        <v>3</v>
      </c>
    </row>
    <row r="186" spans="1:23" ht="12.75" customHeight="1" x14ac:dyDescent="0.3">
      <c r="A186" s="15"/>
      <c r="B186" s="28"/>
      <c r="C186" s="29" t="s">
        <v>140</v>
      </c>
      <c r="D186" s="30"/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3">
        <f t="shared" si="36"/>
        <v>0</v>
      </c>
    </row>
    <row r="187" spans="1:23" ht="12.75" customHeight="1" x14ac:dyDescent="0.3">
      <c r="A187" s="16" t="s">
        <v>15</v>
      </c>
      <c r="B187" s="59" t="s">
        <v>49</v>
      </c>
      <c r="C187" s="60"/>
      <c r="D187" s="58"/>
      <c r="E187" s="13">
        <f t="shared" ref="E187:W187" si="37">SUM(E177:E186)</f>
        <v>2</v>
      </c>
      <c r="F187" s="13">
        <f t="shared" si="37"/>
        <v>0</v>
      </c>
      <c r="G187" s="13">
        <f t="shared" si="37"/>
        <v>1</v>
      </c>
      <c r="H187" s="13">
        <f t="shared" si="37"/>
        <v>0</v>
      </c>
      <c r="I187" s="13">
        <f t="shared" si="37"/>
        <v>0</v>
      </c>
      <c r="J187" s="13">
        <f t="shared" si="37"/>
        <v>0</v>
      </c>
      <c r="K187" s="13">
        <f t="shared" si="37"/>
        <v>5</v>
      </c>
      <c r="L187" s="13">
        <f t="shared" si="37"/>
        <v>0</v>
      </c>
      <c r="M187" s="13">
        <f t="shared" si="37"/>
        <v>6</v>
      </c>
      <c r="N187" s="13">
        <f t="shared" si="37"/>
        <v>3</v>
      </c>
      <c r="O187" s="13">
        <f t="shared" si="37"/>
        <v>0</v>
      </c>
      <c r="P187" s="13">
        <f t="shared" si="37"/>
        <v>0</v>
      </c>
      <c r="Q187" s="13">
        <f t="shared" si="37"/>
        <v>0</v>
      </c>
      <c r="R187" s="13">
        <f t="shared" si="37"/>
        <v>1</v>
      </c>
      <c r="S187" s="13">
        <f t="shared" si="37"/>
        <v>2</v>
      </c>
      <c r="T187" s="13">
        <f t="shared" si="37"/>
        <v>1</v>
      </c>
      <c r="U187" s="13">
        <f t="shared" si="37"/>
        <v>1</v>
      </c>
      <c r="V187" s="13">
        <f t="shared" si="37"/>
        <v>0</v>
      </c>
      <c r="W187" s="13">
        <f t="shared" si="37"/>
        <v>22</v>
      </c>
    </row>
    <row r="188" spans="1:23" ht="12.75" customHeight="1" x14ac:dyDescent="0.3">
      <c r="A188" s="61"/>
      <c r="B188" s="60"/>
      <c r="C188" s="60"/>
      <c r="D188" s="60"/>
      <c r="E188" s="58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13"/>
    </row>
    <row r="189" spans="1:23" ht="12.75" customHeight="1" x14ac:dyDescent="0.3">
      <c r="A189" s="20" t="s">
        <v>37</v>
      </c>
      <c r="B189" s="27" t="s">
        <v>141</v>
      </c>
      <c r="C189" s="57" t="s">
        <v>142</v>
      </c>
      <c r="D189" s="58"/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1</v>
      </c>
      <c r="R189" s="16">
        <v>2</v>
      </c>
      <c r="S189" s="16">
        <v>1</v>
      </c>
      <c r="T189" s="16">
        <v>0</v>
      </c>
      <c r="U189" s="16">
        <v>0</v>
      </c>
      <c r="V189" s="16">
        <v>0</v>
      </c>
      <c r="W189" s="13">
        <f t="shared" ref="W189:W198" si="38">SUM(E189:V189)</f>
        <v>4</v>
      </c>
    </row>
    <row r="190" spans="1:23" ht="12.75" customHeight="1" x14ac:dyDescent="0.3">
      <c r="A190" s="20" t="s">
        <v>39</v>
      </c>
      <c r="B190" s="28"/>
      <c r="C190" s="29" t="s">
        <v>143</v>
      </c>
      <c r="D190" s="30"/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3">
        <f t="shared" si="38"/>
        <v>0</v>
      </c>
    </row>
    <row r="191" spans="1:23" ht="12.75" customHeight="1" x14ac:dyDescent="0.3">
      <c r="A191" s="15"/>
      <c r="B191" s="28"/>
      <c r="C191" s="29" t="s">
        <v>144</v>
      </c>
      <c r="D191" s="30"/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1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3">
        <f t="shared" si="38"/>
        <v>1</v>
      </c>
    </row>
    <row r="192" spans="1:23" ht="12.75" customHeight="1" x14ac:dyDescent="0.3">
      <c r="A192" s="15"/>
      <c r="B192" s="28"/>
      <c r="C192" s="29" t="s">
        <v>145</v>
      </c>
      <c r="D192" s="30"/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3">
        <f t="shared" si="38"/>
        <v>0</v>
      </c>
    </row>
    <row r="193" spans="1:23" ht="12.75" customHeight="1" x14ac:dyDescent="0.3">
      <c r="A193" s="15"/>
      <c r="B193" s="28"/>
      <c r="C193" s="29" t="s">
        <v>146</v>
      </c>
      <c r="D193" s="30"/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3">
        <f t="shared" si="38"/>
        <v>0</v>
      </c>
    </row>
    <row r="194" spans="1:23" ht="12.75" customHeight="1" x14ac:dyDescent="0.3">
      <c r="A194" s="15"/>
      <c r="B194" s="28"/>
      <c r="C194" s="29" t="s">
        <v>147</v>
      </c>
      <c r="D194" s="30"/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3">
        <f t="shared" si="38"/>
        <v>0</v>
      </c>
    </row>
    <row r="195" spans="1:23" ht="12.75" customHeight="1" x14ac:dyDescent="0.3">
      <c r="A195" s="15"/>
      <c r="B195" s="28"/>
      <c r="C195" s="29" t="s">
        <v>148</v>
      </c>
      <c r="D195" s="30"/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3">
        <f t="shared" si="38"/>
        <v>0</v>
      </c>
    </row>
    <row r="196" spans="1:23" ht="12.75" customHeight="1" x14ac:dyDescent="0.3">
      <c r="A196" s="15"/>
      <c r="B196" s="28"/>
      <c r="C196" s="29" t="s">
        <v>149</v>
      </c>
      <c r="D196" s="30"/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3">
        <f t="shared" si="38"/>
        <v>0</v>
      </c>
    </row>
    <row r="197" spans="1:23" ht="12.75" customHeight="1" x14ac:dyDescent="0.3">
      <c r="A197" s="15"/>
      <c r="B197" s="28"/>
      <c r="C197" s="29" t="s">
        <v>150</v>
      </c>
      <c r="D197" s="30"/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3">
        <f t="shared" si="38"/>
        <v>0</v>
      </c>
    </row>
    <row r="198" spans="1:23" ht="12.75" customHeight="1" x14ac:dyDescent="0.3">
      <c r="A198" s="15"/>
      <c r="B198" s="28"/>
      <c r="C198" s="29" t="s">
        <v>151</v>
      </c>
      <c r="D198" s="30"/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3">
        <f t="shared" si="38"/>
        <v>0</v>
      </c>
    </row>
    <row r="199" spans="1:23" ht="12.75" customHeight="1" x14ac:dyDescent="0.3">
      <c r="A199" s="16" t="s">
        <v>15</v>
      </c>
      <c r="B199" s="59" t="s">
        <v>49</v>
      </c>
      <c r="C199" s="60"/>
      <c r="D199" s="58"/>
      <c r="E199" s="13">
        <f t="shared" ref="E199:W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2</v>
      </c>
      <c r="R199" s="13">
        <f t="shared" si="39"/>
        <v>2</v>
      </c>
      <c r="S199" s="13">
        <f t="shared" si="39"/>
        <v>1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5</v>
      </c>
    </row>
    <row r="200" spans="1:23" ht="12.75" customHeight="1" x14ac:dyDescent="0.3">
      <c r="A200" s="61"/>
      <c r="B200" s="60"/>
      <c r="C200" s="60"/>
      <c r="D200" s="60"/>
      <c r="E200" s="58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</row>
    <row r="201" spans="1:23" ht="12.75" customHeight="1" x14ac:dyDescent="0.3">
      <c r="A201" s="20" t="s">
        <v>37</v>
      </c>
      <c r="B201" s="27" t="s">
        <v>152</v>
      </c>
      <c r="C201" s="57" t="s">
        <v>153</v>
      </c>
      <c r="D201" s="58"/>
      <c r="E201" s="16">
        <v>5</v>
      </c>
      <c r="F201" s="16">
        <v>6</v>
      </c>
      <c r="G201" s="16">
        <v>7</v>
      </c>
      <c r="H201" s="16">
        <v>1</v>
      </c>
      <c r="I201" s="16">
        <v>5</v>
      </c>
      <c r="J201" s="16">
        <v>5</v>
      </c>
      <c r="K201" s="16">
        <v>3</v>
      </c>
      <c r="L201" s="16">
        <v>2</v>
      </c>
      <c r="M201" s="16">
        <v>6</v>
      </c>
      <c r="N201" s="16">
        <v>18</v>
      </c>
      <c r="O201" s="16">
        <v>9</v>
      </c>
      <c r="P201" s="16">
        <v>20</v>
      </c>
      <c r="Q201" s="16">
        <v>11</v>
      </c>
      <c r="R201" s="16">
        <v>7</v>
      </c>
      <c r="S201" s="16">
        <v>0</v>
      </c>
      <c r="T201" s="16">
        <v>2</v>
      </c>
      <c r="U201" s="16">
        <v>1</v>
      </c>
      <c r="V201" s="16">
        <v>4</v>
      </c>
      <c r="W201" s="13">
        <f t="shared" ref="W201:W210" si="40">SUM(E201:V201)</f>
        <v>112</v>
      </c>
    </row>
    <row r="202" spans="1:23" ht="12.75" customHeight="1" x14ac:dyDescent="0.3">
      <c r="A202" s="20" t="s">
        <v>39</v>
      </c>
      <c r="B202" s="28"/>
      <c r="C202" s="29" t="s">
        <v>154</v>
      </c>
      <c r="D202" s="30"/>
      <c r="E202" s="16">
        <v>3</v>
      </c>
      <c r="F202" s="16">
        <v>5</v>
      </c>
      <c r="G202" s="16">
        <v>8</v>
      </c>
      <c r="H202" s="16">
        <v>4</v>
      </c>
      <c r="I202" s="16">
        <v>2</v>
      </c>
      <c r="J202" s="16">
        <v>4</v>
      </c>
      <c r="K202" s="16">
        <v>4</v>
      </c>
      <c r="L202" s="16">
        <v>2</v>
      </c>
      <c r="M202" s="16">
        <v>6</v>
      </c>
      <c r="N202" s="16">
        <v>8</v>
      </c>
      <c r="O202" s="16">
        <v>6</v>
      </c>
      <c r="P202" s="16">
        <v>6</v>
      </c>
      <c r="Q202" s="16">
        <v>5</v>
      </c>
      <c r="R202" s="16">
        <v>5</v>
      </c>
      <c r="S202" s="16">
        <v>0</v>
      </c>
      <c r="T202" s="16">
        <v>3</v>
      </c>
      <c r="U202" s="16">
        <v>8</v>
      </c>
      <c r="V202" s="16">
        <v>2</v>
      </c>
      <c r="W202" s="13">
        <f t="shared" si="40"/>
        <v>81</v>
      </c>
    </row>
    <row r="203" spans="1:23" ht="12.75" customHeight="1" x14ac:dyDescent="0.3">
      <c r="A203" s="15"/>
      <c r="B203" s="28"/>
      <c r="C203" s="29" t="s">
        <v>155</v>
      </c>
      <c r="D203" s="30"/>
      <c r="E203" s="16">
        <v>3</v>
      </c>
      <c r="F203" s="16">
        <v>3</v>
      </c>
      <c r="G203" s="16">
        <v>13</v>
      </c>
      <c r="H203" s="16">
        <v>1</v>
      </c>
      <c r="I203" s="16">
        <v>5</v>
      </c>
      <c r="J203" s="16">
        <v>13</v>
      </c>
      <c r="K203" s="16">
        <v>5</v>
      </c>
      <c r="L203" s="16">
        <v>5</v>
      </c>
      <c r="M203" s="16">
        <v>7</v>
      </c>
      <c r="N203" s="16">
        <v>10</v>
      </c>
      <c r="O203" s="16">
        <v>14</v>
      </c>
      <c r="P203" s="16">
        <v>31</v>
      </c>
      <c r="Q203" s="16">
        <v>8</v>
      </c>
      <c r="R203" s="16">
        <v>8</v>
      </c>
      <c r="S203" s="16">
        <v>4</v>
      </c>
      <c r="T203" s="16">
        <v>4</v>
      </c>
      <c r="U203" s="16">
        <v>11</v>
      </c>
      <c r="V203" s="16">
        <v>0</v>
      </c>
      <c r="W203" s="13">
        <f t="shared" si="40"/>
        <v>145</v>
      </c>
    </row>
    <row r="204" spans="1:23" ht="12.75" customHeight="1" x14ac:dyDescent="0.3">
      <c r="A204" s="15"/>
      <c r="B204" s="28"/>
      <c r="C204" s="29" t="s">
        <v>156</v>
      </c>
      <c r="D204" s="30"/>
      <c r="E204" s="16">
        <v>0</v>
      </c>
      <c r="F204" s="16">
        <v>1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1</v>
      </c>
      <c r="N204" s="16">
        <v>1</v>
      </c>
      <c r="O204" s="16">
        <v>2</v>
      </c>
      <c r="P204" s="16">
        <v>2</v>
      </c>
      <c r="Q204" s="16">
        <v>1</v>
      </c>
      <c r="R204" s="16">
        <v>1</v>
      </c>
      <c r="S204" s="16">
        <v>0</v>
      </c>
      <c r="T204" s="16">
        <v>0</v>
      </c>
      <c r="U204" s="16">
        <v>0</v>
      </c>
      <c r="V204" s="16">
        <v>0</v>
      </c>
      <c r="W204" s="13">
        <f t="shared" si="40"/>
        <v>9</v>
      </c>
    </row>
    <row r="205" spans="1:23" ht="12.75" customHeight="1" x14ac:dyDescent="0.3">
      <c r="A205" s="15"/>
      <c r="B205" s="28"/>
      <c r="C205" s="29" t="s">
        <v>157</v>
      </c>
      <c r="D205" s="30"/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2</v>
      </c>
      <c r="O205" s="16">
        <v>2</v>
      </c>
      <c r="P205" s="16">
        <v>2</v>
      </c>
      <c r="Q205" s="16">
        <v>0</v>
      </c>
      <c r="R205" s="16">
        <v>0</v>
      </c>
      <c r="S205" s="16">
        <v>0</v>
      </c>
      <c r="T205" s="16">
        <v>1</v>
      </c>
      <c r="U205" s="16">
        <v>0</v>
      </c>
      <c r="V205" s="16">
        <v>0</v>
      </c>
      <c r="W205" s="13">
        <f t="shared" si="40"/>
        <v>7</v>
      </c>
    </row>
    <row r="206" spans="1:23" ht="12.75" customHeight="1" x14ac:dyDescent="0.3">
      <c r="A206" s="15"/>
      <c r="B206" s="28"/>
      <c r="C206" s="29" t="s">
        <v>158</v>
      </c>
      <c r="D206" s="30"/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1</v>
      </c>
      <c r="O206" s="16">
        <v>0</v>
      </c>
      <c r="P206" s="16">
        <v>0</v>
      </c>
      <c r="Q206" s="16">
        <v>0</v>
      </c>
      <c r="R206" s="16">
        <v>0</v>
      </c>
      <c r="S206" s="16">
        <v>1</v>
      </c>
      <c r="T206" s="16">
        <v>1</v>
      </c>
      <c r="U206" s="16">
        <v>0</v>
      </c>
      <c r="V206" s="16">
        <v>0</v>
      </c>
      <c r="W206" s="13">
        <f t="shared" si="40"/>
        <v>3</v>
      </c>
    </row>
    <row r="207" spans="1:23" ht="12.75" customHeight="1" x14ac:dyDescent="0.3">
      <c r="A207" s="15"/>
      <c r="B207" s="28"/>
      <c r="C207" s="29" t="s">
        <v>159</v>
      </c>
      <c r="D207" s="30"/>
      <c r="E207" s="16">
        <v>1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2</v>
      </c>
      <c r="N207" s="16">
        <v>1</v>
      </c>
      <c r="O207" s="16">
        <v>0</v>
      </c>
      <c r="P207" s="16">
        <v>1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3">
        <f t="shared" si="40"/>
        <v>5</v>
      </c>
    </row>
    <row r="208" spans="1:23" ht="12.75" customHeight="1" x14ac:dyDescent="0.3">
      <c r="A208" s="15"/>
      <c r="B208" s="28"/>
      <c r="C208" s="29" t="s">
        <v>160</v>
      </c>
      <c r="D208" s="30"/>
      <c r="E208" s="16">
        <v>0</v>
      </c>
      <c r="F208" s="16">
        <v>1</v>
      </c>
      <c r="G208" s="16">
        <v>3</v>
      </c>
      <c r="H208" s="16">
        <v>0</v>
      </c>
      <c r="I208" s="16">
        <v>0</v>
      </c>
      <c r="J208" s="16">
        <v>1</v>
      </c>
      <c r="K208" s="16">
        <v>0</v>
      </c>
      <c r="L208" s="16">
        <v>0</v>
      </c>
      <c r="M208" s="16">
        <v>1</v>
      </c>
      <c r="N208" s="16">
        <v>0</v>
      </c>
      <c r="O208" s="16">
        <v>0</v>
      </c>
      <c r="P208" s="16">
        <v>2</v>
      </c>
      <c r="Q208" s="16">
        <v>0</v>
      </c>
      <c r="R208" s="16">
        <v>0</v>
      </c>
      <c r="S208" s="16">
        <v>1</v>
      </c>
      <c r="T208" s="16">
        <v>0</v>
      </c>
      <c r="U208" s="16">
        <v>1</v>
      </c>
      <c r="V208" s="16">
        <v>0</v>
      </c>
      <c r="W208" s="13">
        <f t="shared" si="40"/>
        <v>10</v>
      </c>
    </row>
    <row r="209" spans="1:23" ht="12.75" customHeight="1" x14ac:dyDescent="0.3">
      <c r="A209" s="15"/>
      <c r="B209" s="28"/>
      <c r="C209" s="29" t="s">
        <v>161</v>
      </c>
      <c r="D209" s="30"/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1</v>
      </c>
      <c r="T209" s="16">
        <v>0</v>
      </c>
      <c r="U209" s="16">
        <v>0</v>
      </c>
      <c r="V209" s="16">
        <v>0</v>
      </c>
      <c r="W209" s="13">
        <f t="shared" si="40"/>
        <v>1</v>
      </c>
    </row>
    <row r="210" spans="1:23" ht="12.75" customHeight="1" x14ac:dyDescent="0.3">
      <c r="A210" s="15"/>
      <c r="B210" s="28"/>
      <c r="C210" s="29" t="s">
        <v>162</v>
      </c>
      <c r="D210" s="30"/>
      <c r="E210" s="16">
        <v>0</v>
      </c>
      <c r="F210" s="16">
        <v>0</v>
      </c>
      <c r="G210" s="16">
        <v>1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6">
        <v>0</v>
      </c>
      <c r="P210" s="16">
        <v>1</v>
      </c>
      <c r="Q210" s="16">
        <v>0</v>
      </c>
      <c r="R210" s="16">
        <v>0</v>
      </c>
      <c r="S210" s="16">
        <v>0</v>
      </c>
      <c r="T210" s="16">
        <v>0</v>
      </c>
      <c r="U210" s="16">
        <v>1</v>
      </c>
      <c r="V210" s="16">
        <v>0</v>
      </c>
      <c r="W210" s="13">
        <f t="shared" si="40"/>
        <v>3</v>
      </c>
    </row>
    <row r="211" spans="1:23" ht="12.75" customHeight="1" x14ac:dyDescent="0.3">
      <c r="A211" s="16" t="s">
        <v>15</v>
      </c>
      <c r="B211" s="59" t="s">
        <v>49</v>
      </c>
      <c r="C211" s="60"/>
      <c r="D211" s="58"/>
      <c r="E211" s="13">
        <f t="shared" ref="E211:W211" si="41">SUM(E201:E210)</f>
        <v>12</v>
      </c>
      <c r="F211" s="13">
        <f t="shared" si="41"/>
        <v>16</v>
      </c>
      <c r="G211" s="13">
        <f t="shared" si="41"/>
        <v>32</v>
      </c>
      <c r="H211" s="13">
        <f t="shared" si="41"/>
        <v>6</v>
      </c>
      <c r="I211" s="13">
        <f t="shared" si="41"/>
        <v>12</v>
      </c>
      <c r="J211" s="13">
        <f t="shared" si="41"/>
        <v>23</v>
      </c>
      <c r="K211" s="13">
        <f t="shared" si="41"/>
        <v>12</v>
      </c>
      <c r="L211" s="13">
        <f t="shared" si="41"/>
        <v>9</v>
      </c>
      <c r="M211" s="13">
        <f t="shared" si="41"/>
        <v>23</v>
      </c>
      <c r="N211" s="13">
        <f t="shared" si="41"/>
        <v>41</v>
      </c>
      <c r="O211" s="13">
        <f t="shared" si="41"/>
        <v>33</v>
      </c>
      <c r="P211" s="13">
        <f t="shared" si="41"/>
        <v>65</v>
      </c>
      <c r="Q211" s="13">
        <f t="shared" si="41"/>
        <v>25</v>
      </c>
      <c r="R211" s="13">
        <f t="shared" si="41"/>
        <v>21</v>
      </c>
      <c r="S211" s="13">
        <f t="shared" si="41"/>
        <v>7</v>
      </c>
      <c r="T211" s="13">
        <f t="shared" si="41"/>
        <v>11</v>
      </c>
      <c r="U211" s="13">
        <f t="shared" si="41"/>
        <v>22</v>
      </c>
      <c r="V211" s="13">
        <f t="shared" si="41"/>
        <v>6</v>
      </c>
      <c r="W211" s="13">
        <f t="shared" si="41"/>
        <v>376</v>
      </c>
    </row>
    <row r="212" spans="1:23" ht="12.75" customHeight="1" x14ac:dyDescent="0.3">
      <c r="A212" s="61"/>
      <c r="B212" s="60"/>
      <c r="C212" s="60"/>
      <c r="D212" s="60"/>
      <c r="E212" s="58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</row>
    <row r="213" spans="1:23" ht="12.75" customHeight="1" x14ac:dyDescent="0.3">
      <c r="A213" s="20" t="s">
        <v>37</v>
      </c>
      <c r="B213" s="27" t="s">
        <v>163</v>
      </c>
      <c r="C213" s="57" t="s">
        <v>164</v>
      </c>
      <c r="D213" s="58"/>
      <c r="E213" s="16">
        <v>3</v>
      </c>
      <c r="F213" s="16">
        <v>5</v>
      </c>
      <c r="G213" s="16">
        <v>2</v>
      </c>
      <c r="H213" s="16">
        <v>0</v>
      </c>
      <c r="I213" s="16">
        <v>0</v>
      </c>
      <c r="J213" s="16">
        <v>3</v>
      </c>
      <c r="K213" s="16">
        <v>5</v>
      </c>
      <c r="L213" s="16">
        <v>1</v>
      </c>
      <c r="M213" s="16">
        <v>1</v>
      </c>
      <c r="N213" s="16">
        <v>1</v>
      </c>
      <c r="O213" s="16">
        <v>0</v>
      </c>
      <c r="P213" s="16">
        <v>4</v>
      </c>
      <c r="Q213" s="16">
        <v>4</v>
      </c>
      <c r="R213" s="16">
        <v>2</v>
      </c>
      <c r="S213" s="16">
        <v>5</v>
      </c>
      <c r="T213" s="16">
        <v>2</v>
      </c>
      <c r="U213" s="16">
        <v>4</v>
      </c>
      <c r="V213" s="16">
        <v>2</v>
      </c>
      <c r="W213" s="13">
        <f t="shared" ref="W213:W222" si="42">SUM(E213:V213)</f>
        <v>44</v>
      </c>
    </row>
    <row r="214" spans="1:23" ht="12.75" customHeight="1" x14ac:dyDescent="0.3">
      <c r="A214" s="20" t="s">
        <v>39</v>
      </c>
      <c r="B214" s="28"/>
      <c r="C214" s="29" t="s">
        <v>165</v>
      </c>
      <c r="D214" s="30"/>
      <c r="E214" s="16">
        <v>2</v>
      </c>
      <c r="F214" s="16">
        <v>1</v>
      </c>
      <c r="G214" s="16">
        <v>0</v>
      </c>
      <c r="H214" s="16">
        <v>1</v>
      </c>
      <c r="I214" s="16">
        <v>3</v>
      </c>
      <c r="J214" s="16">
        <v>1</v>
      </c>
      <c r="K214" s="16">
        <v>0</v>
      </c>
      <c r="L214" s="16">
        <v>1</v>
      </c>
      <c r="M214" s="16">
        <v>2</v>
      </c>
      <c r="N214" s="16">
        <v>0</v>
      </c>
      <c r="O214" s="16">
        <v>0</v>
      </c>
      <c r="P214" s="16">
        <v>2</v>
      </c>
      <c r="Q214" s="16">
        <v>1</v>
      </c>
      <c r="R214" s="16">
        <v>3</v>
      </c>
      <c r="S214" s="16">
        <v>0</v>
      </c>
      <c r="T214" s="16">
        <v>0</v>
      </c>
      <c r="U214" s="16">
        <v>3</v>
      </c>
      <c r="V214" s="16">
        <v>0</v>
      </c>
      <c r="W214" s="13">
        <f t="shared" si="42"/>
        <v>20</v>
      </c>
    </row>
    <row r="215" spans="1:23" ht="12.75" customHeight="1" x14ac:dyDescent="0.3">
      <c r="A215" s="15"/>
      <c r="B215" s="28"/>
      <c r="C215" s="29" t="s">
        <v>166</v>
      </c>
      <c r="D215" s="30"/>
      <c r="E215" s="16">
        <v>1</v>
      </c>
      <c r="F215" s="16">
        <v>0</v>
      </c>
      <c r="G215" s="16">
        <v>0</v>
      </c>
      <c r="H215" s="16">
        <v>0</v>
      </c>
      <c r="I215" s="16">
        <v>0</v>
      </c>
      <c r="J215" s="16">
        <v>1</v>
      </c>
      <c r="K215" s="16">
        <v>1</v>
      </c>
      <c r="L215" s="16">
        <v>1</v>
      </c>
      <c r="M215" s="16">
        <v>3</v>
      </c>
      <c r="N215" s="16">
        <v>1</v>
      </c>
      <c r="O215" s="16">
        <v>3</v>
      </c>
      <c r="P215" s="16">
        <v>1</v>
      </c>
      <c r="Q215" s="16">
        <v>4</v>
      </c>
      <c r="R215" s="16">
        <v>0</v>
      </c>
      <c r="S215" s="16">
        <v>4</v>
      </c>
      <c r="T215" s="16">
        <v>2</v>
      </c>
      <c r="U215" s="16">
        <v>0</v>
      </c>
      <c r="V215" s="16">
        <v>0</v>
      </c>
      <c r="W215" s="13">
        <f t="shared" si="42"/>
        <v>22</v>
      </c>
    </row>
    <row r="216" spans="1:23" ht="12.75" customHeight="1" x14ac:dyDescent="0.3">
      <c r="A216" s="15"/>
      <c r="B216" s="28"/>
      <c r="C216" s="29" t="s">
        <v>167</v>
      </c>
      <c r="D216" s="30"/>
      <c r="E216" s="16">
        <v>0</v>
      </c>
      <c r="F216" s="16">
        <v>0</v>
      </c>
      <c r="G216" s="16">
        <v>0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1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3">
        <f t="shared" si="42"/>
        <v>1</v>
      </c>
    </row>
    <row r="217" spans="1:23" ht="12.75" customHeight="1" x14ac:dyDescent="0.3">
      <c r="A217" s="15"/>
      <c r="B217" s="36"/>
      <c r="C217" s="37"/>
      <c r="D217" s="40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3">
        <f t="shared" si="42"/>
        <v>0</v>
      </c>
    </row>
    <row r="218" spans="1:23" ht="12.75" customHeight="1" x14ac:dyDescent="0.3">
      <c r="A218" s="15"/>
      <c r="B218" s="36"/>
      <c r="C218" s="37"/>
      <c r="D218" s="40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3">
        <f t="shared" si="42"/>
        <v>0</v>
      </c>
    </row>
    <row r="219" spans="1:23" ht="12.75" customHeight="1" x14ac:dyDescent="0.3">
      <c r="A219" s="15"/>
      <c r="B219" s="36"/>
      <c r="C219" s="37"/>
      <c r="D219" s="40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3">
        <f t="shared" si="42"/>
        <v>0</v>
      </c>
    </row>
    <row r="220" spans="1:23" ht="12.75" customHeight="1" x14ac:dyDescent="0.3">
      <c r="A220" s="15"/>
      <c r="B220" s="36"/>
      <c r="C220" s="37"/>
      <c r="D220" s="40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3">
        <f t="shared" si="42"/>
        <v>0</v>
      </c>
    </row>
    <row r="221" spans="1:23" ht="12.75" customHeight="1" x14ac:dyDescent="0.3">
      <c r="A221" s="15"/>
      <c r="B221" s="36"/>
      <c r="C221" s="37"/>
      <c r="D221" s="40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3">
        <f t="shared" si="42"/>
        <v>0</v>
      </c>
    </row>
    <row r="222" spans="1:23" ht="12.75" customHeight="1" x14ac:dyDescent="0.3">
      <c r="A222" s="15"/>
      <c r="B222" s="36"/>
      <c r="C222" s="37"/>
      <c r="D222" s="40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3">
        <f t="shared" si="42"/>
        <v>0</v>
      </c>
    </row>
    <row r="223" spans="1:23" ht="12.75" customHeight="1" x14ac:dyDescent="0.3">
      <c r="A223" s="16" t="s">
        <v>15</v>
      </c>
      <c r="B223" s="59" t="s">
        <v>49</v>
      </c>
      <c r="C223" s="60"/>
      <c r="D223" s="58"/>
      <c r="E223" s="13">
        <f t="shared" ref="E223:W223" si="43">SUM(E213:E222)</f>
        <v>6</v>
      </c>
      <c r="F223" s="13">
        <f t="shared" si="43"/>
        <v>6</v>
      </c>
      <c r="G223" s="13">
        <f t="shared" si="43"/>
        <v>2</v>
      </c>
      <c r="H223" s="13">
        <f t="shared" si="43"/>
        <v>1</v>
      </c>
      <c r="I223" s="13">
        <f t="shared" si="43"/>
        <v>3</v>
      </c>
      <c r="J223" s="13">
        <f t="shared" si="43"/>
        <v>5</v>
      </c>
      <c r="K223" s="13">
        <f t="shared" si="43"/>
        <v>6</v>
      </c>
      <c r="L223" s="13">
        <f t="shared" si="43"/>
        <v>3</v>
      </c>
      <c r="M223" s="13">
        <f t="shared" si="43"/>
        <v>7</v>
      </c>
      <c r="N223" s="13">
        <f t="shared" si="43"/>
        <v>2</v>
      </c>
      <c r="O223" s="13">
        <f t="shared" si="43"/>
        <v>3</v>
      </c>
      <c r="P223" s="13">
        <f t="shared" si="43"/>
        <v>7</v>
      </c>
      <c r="Q223" s="13">
        <f t="shared" si="43"/>
        <v>9</v>
      </c>
      <c r="R223" s="13">
        <f t="shared" si="43"/>
        <v>5</v>
      </c>
      <c r="S223" s="13">
        <f t="shared" si="43"/>
        <v>9</v>
      </c>
      <c r="T223" s="13">
        <f t="shared" si="43"/>
        <v>4</v>
      </c>
      <c r="U223" s="13">
        <f t="shared" si="43"/>
        <v>7</v>
      </c>
      <c r="V223" s="13">
        <f t="shared" si="43"/>
        <v>2</v>
      </c>
      <c r="W223" s="13">
        <f t="shared" si="43"/>
        <v>87</v>
      </c>
    </row>
    <row r="224" spans="1:23" ht="12.75" customHeight="1" x14ac:dyDescent="0.3">
      <c r="A224" s="61"/>
      <c r="B224" s="60"/>
      <c r="C224" s="60"/>
      <c r="D224" s="60"/>
      <c r="E224" s="58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</row>
    <row r="225" spans="1:23" ht="12.75" customHeight="1" x14ac:dyDescent="0.3">
      <c r="A225" s="20" t="s">
        <v>37</v>
      </c>
      <c r="B225" s="27" t="s">
        <v>168</v>
      </c>
      <c r="C225" s="57" t="s">
        <v>169</v>
      </c>
      <c r="D225" s="58"/>
      <c r="E225" s="16">
        <v>0</v>
      </c>
      <c r="F225" s="16">
        <v>0</v>
      </c>
      <c r="G225" s="16">
        <v>0</v>
      </c>
      <c r="H225" s="16">
        <v>0</v>
      </c>
      <c r="I225" s="16">
        <v>0</v>
      </c>
      <c r="J225" s="16">
        <v>0</v>
      </c>
      <c r="K225" s="16">
        <v>0</v>
      </c>
      <c r="L225" s="16">
        <v>0</v>
      </c>
      <c r="M225" s="16">
        <v>0</v>
      </c>
      <c r="N225" s="16">
        <v>0</v>
      </c>
      <c r="O225" s="16">
        <v>0</v>
      </c>
      <c r="P225" s="16">
        <v>0</v>
      </c>
      <c r="Q225" s="16">
        <v>0</v>
      </c>
      <c r="R225" s="16">
        <v>0</v>
      </c>
      <c r="S225" s="16">
        <v>1</v>
      </c>
      <c r="T225" s="16">
        <v>0</v>
      </c>
      <c r="U225" s="16">
        <v>0</v>
      </c>
      <c r="V225" s="16">
        <v>0</v>
      </c>
      <c r="W225" s="13">
        <f t="shared" ref="W225:W234" si="44">SUM(E225:V225)</f>
        <v>1</v>
      </c>
    </row>
    <row r="226" spans="1:23" ht="12.75" customHeight="1" x14ac:dyDescent="0.3">
      <c r="A226" s="20" t="s">
        <v>39</v>
      </c>
      <c r="B226" s="28"/>
      <c r="C226" s="29" t="s">
        <v>170</v>
      </c>
      <c r="D226" s="30"/>
      <c r="E226" s="16">
        <v>0</v>
      </c>
      <c r="F226" s="16">
        <v>0</v>
      </c>
      <c r="G226" s="16">
        <v>0</v>
      </c>
      <c r="H226" s="16">
        <v>0</v>
      </c>
      <c r="I226" s="16">
        <v>0</v>
      </c>
      <c r="J226" s="16">
        <v>0</v>
      </c>
      <c r="K226" s="16">
        <v>6</v>
      </c>
      <c r="L226" s="16">
        <v>0</v>
      </c>
      <c r="M226" s="16">
        <v>0</v>
      </c>
      <c r="N226" s="16">
        <v>0</v>
      </c>
      <c r="O226" s="16">
        <v>0</v>
      </c>
      <c r="P226" s="16">
        <v>0</v>
      </c>
      <c r="Q226" s="16">
        <v>0</v>
      </c>
      <c r="R226" s="16">
        <v>0</v>
      </c>
      <c r="S226" s="16">
        <v>0</v>
      </c>
      <c r="T226" s="16">
        <v>0</v>
      </c>
      <c r="U226" s="16">
        <v>0</v>
      </c>
      <c r="V226" s="16">
        <v>0</v>
      </c>
      <c r="W226" s="13">
        <f t="shared" si="44"/>
        <v>6</v>
      </c>
    </row>
    <row r="227" spans="1:23" ht="12.75" customHeight="1" x14ac:dyDescent="0.3">
      <c r="A227" s="15"/>
      <c r="B227" s="28"/>
      <c r="C227" s="29" t="s">
        <v>171</v>
      </c>
      <c r="D227" s="30"/>
      <c r="E227" s="16">
        <v>0</v>
      </c>
      <c r="F227" s="16">
        <v>0</v>
      </c>
      <c r="G227" s="16">
        <v>0</v>
      </c>
      <c r="H227" s="16">
        <v>0</v>
      </c>
      <c r="I227" s="16">
        <v>0</v>
      </c>
      <c r="J227" s="16">
        <v>1</v>
      </c>
      <c r="K227" s="16">
        <v>0</v>
      </c>
      <c r="L227" s="16">
        <v>0</v>
      </c>
      <c r="M227" s="16">
        <v>0</v>
      </c>
      <c r="N227" s="16">
        <v>1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3">
        <f t="shared" si="44"/>
        <v>2</v>
      </c>
    </row>
    <row r="228" spans="1:23" ht="12.75" customHeight="1" x14ac:dyDescent="0.3">
      <c r="A228" s="15"/>
      <c r="B228" s="28"/>
      <c r="C228" s="29" t="s">
        <v>172</v>
      </c>
      <c r="D228" s="30"/>
      <c r="E228" s="16">
        <v>0</v>
      </c>
      <c r="F228" s="16">
        <v>0</v>
      </c>
      <c r="G228" s="16">
        <v>0</v>
      </c>
      <c r="H228" s="16">
        <v>0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N228" s="16">
        <v>0</v>
      </c>
      <c r="O228" s="16">
        <v>0</v>
      </c>
      <c r="P228" s="16">
        <v>0</v>
      </c>
      <c r="Q228" s="16">
        <v>0</v>
      </c>
      <c r="R228" s="16">
        <v>0</v>
      </c>
      <c r="S228" s="16">
        <v>0</v>
      </c>
      <c r="T228" s="16">
        <v>0</v>
      </c>
      <c r="U228" s="16">
        <v>0</v>
      </c>
      <c r="V228" s="16">
        <v>0</v>
      </c>
      <c r="W228" s="13">
        <f t="shared" si="44"/>
        <v>0</v>
      </c>
    </row>
    <row r="229" spans="1:23" ht="12.75" customHeight="1" x14ac:dyDescent="0.3">
      <c r="A229" s="15"/>
      <c r="B229" s="28"/>
      <c r="C229" s="29" t="s">
        <v>173</v>
      </c>
      <c r="D229" s="30"/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0</v>
      </c>
      <c r="M229" s="16">
        <v>0</v>
      </c>
      <c r="N229" s="16">
        <v>0</v>
      </c>
      <c r="O229" s="16">
        <v>0</v>
      </c>
      <c r="P229" s="16">
        <v>0</v>
      </c>
      <c r="Q229" s="16">
        <v>0</v>
      </c>
      <c r="R229" s="16">
        <v>0</v>
      </c>
      <c r="S229" s="16">
        <v>0</v>
      </c>
      <c r="T229" s="16">
        <v>0</v>
      </c>
      <c r="U229" s="16">
        <v>0</v>
      </c>
      <c r="V229" s="16">
        <v>0</v>
      </c>
      <c r="W229" s="13">
        <f t="shared" si="44"/>
        <v>0</v>
      </c>
    </row>
    <row r="230" spans="1:23" ht="12.75" customHeight="1" x14ac:dyDescent="0.3">
      <c r="A230" s="15"/>
      <c r="B230" s="36"/>
      <c r="C230" s="37"/>
      <c r="D230" s="40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3">
        <f t="shared" si="44"/>
        <v>0</v>
      </c>
    </row>
    <row r="231" spans="1:23" ht="12.75" customHeight="1" x14ac:dyDescent="0.3">
      <c r="A231" s="15"/>
      <c r="B231" s="36"/>
      <c r="C231" s="37"/>
      <c r="D231" s="40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3">
        <f t="shared" si="44"/>
        <v>0</v>
      </c>
    </row>
    <row r="232" spans="1:23" ht="12.75" customHeight="1" x14ac:dyDescent="0.3">
      <c r="A232" s="15"/>
      <c r="B232" s="36"/>
      <c r="C232" s="37"/>
      <c r="D232" s="38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3">
        <f t="shared" si="44"/>
        <v>0</v>
      </c>
    </row>
    <row r="233" spans="1:23" ht="12.75" customHeight="1" x14ac:dyDescent="0.3">
      <c r="A233" s="15"/>
      <c r="B233" s="36"/>
      <c r="C233" s="37"/>
      <c r="D233" s="38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3">
        <f t="shared" si="44"/>
        <v>0</v>
      </c>
    </row>
    <row r="234" spans="1:23" ht="12.75" customHeight="1" x14ac:dyDescent="0.3">
      <c r="A234" s="15"/>
      <c r="B234" s="36"/>
      <c r="C234" s="37"/>
      <c r="D234" s="38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3">
        <f t="shared" si="44"/>
        <v>0</v>
      </c>
    </row>
    <row r="235" spans="1:23" ht="12.75" customHeight="1" x14ac:dyDescent="0.3">
      <c r="A235" s="16" t="s">
        <v>15</v>
      </c>
      <c r="B235" s="59" t="s">
        <v>49</v>
      </c>
      <c r="C235" s="60"/>
      <c r="D235" s="58"/>
      <c r="E235" s="13">
        <f t="shared" ref="E235:W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1</v>
      </c>
      <c r="K235" s="13">
        <f t="shared" si="45"/>
        <v>6</v>
      </c>
      <c r="L235" s="13">
        <f t="shared" si="45"/>
        <v>0</v>
      </c>
      <c r="M235" s="13">
        <f t="shared" si="45"/>
        <v>0</v>
      </c>
      <c r="N235" s="13">
        <f t="shared" si="45"/>
        <v>1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0</v>
      </c>
      <c r="S235" s="13">
        <f t="shared" si="45"/>
        <v>1</v>
      </c>
      <c r="T235" s="13">
        <f t="shared" si="45"/>
        <v>0</v>
      </c>
      <c r="U235" s="13">
        <f t="shared" si="45"/>
        <v>0</v>
      </c>
      <c r="V235" s="13">
        <f t="shared" si="45"/>
        <v>0</v>
      </c>
      <c r="W235" s="13">
        <f t="shared" si="45"/>
        <v>9</v>
      </c>
    </row>
    <row r="236" spans="1:23" ht="12.75" customHeight="1" x14ac:dyDescent="0.3">
      <c r="A236" s="61"/>
      <c r="B236" s="60"/>
      <c r="C236" s="60"/>
      <c r="D236" s="60"/>
      <c r="E236" s="58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</row>
    <row r="237" spans="1:23" ht="12.75" customHeight="1" x14ac:dyDescent="0.3">
      <c r="A237" s="20" t="s">
        <v>37</v>
      </c>
      <c r="B237" s="27" t="s">
        <v>174</v>
      </c>
      <c r="C237" s="57" t="s">
        <v>175</v>
      </c>
      <c r="D237" s="58"/>
      <c r="E237" s="16">
        <v>0</v>
      </c>
      <c r="F237" s="16">
        <v>0</v>
      </c>
      <c r="G237" s="16">
        <v>1</v>
      </c>
      <c r="H237" s="16">
        <v>0</v>
      </c>
      <c r="I237" s="16">
        <v>0</v>
      </c>
      <c r="J237" s="16">
        <v>1</v>
      </c>
      <c r="K237" s="16">
        <v>2</v>
      </c>
      <c r="L237" s="16">
        <v>0</v>
      </c>
      <c r="M237" s="16">
        <v>0</v>
      </c>
      <c r="N237" s="16">
        <v>0</v>
      </c>
      <c r="O237" s="16">
        <v>0</v>
      </c>
      <c r="P237" s="16">
        <v>0</v>
      </c>
      <c r="Q237" s="16">
        <v>1</v>
      </c>
      <c r="R237" s="16">
        <v>0</v>
      </c>
      <c r="S237" s="16">
        <v>1</v>
      </c>
      <c r="T237" s="16">
        <v>0</v>
      </c>
      <c r="U237" s="16">
        <v>0</v>
      </c>
      <c r="V237" s="16">
        <v>0</v>
      </c>
      <c r="W237" s="13">
        <f t="shared" ref="W237:W246" si="46">SUM(E237:V237)</f>
        <v>6</v>
      </c>
    </row>
    <row r="238" spans="1:23" ht="12.75" customHeight="1" x14ac:dyDescent="0.3">
      <c r="A238" s="20" t="s">
        <v>39</v>
      </c>
      <c r="B238" s="28"/>
      <c r="C238" s="29" t="s">
        <v>176</v>
      </c>
      <c r="D238" s="30"/>
      <c r="E238" s="16">
        <v>0</v>
      </c>
      <c r="F238" s="16">
        <v>1</v>
      </c>
      <c r="G238" s="16">
        <v>0</v>
      </c>
      <c r="H238" s="16">
        <v>0</v>
      </c>
      <c r="I238" s="16">
        <v>0</v>
      </c>
      <c r="J238" s="16">
        <v>0</v>
      </c>
      <c r="K238" s="16">
        <v>1</v>
      </c>
      <c r="L238" s="16">
        <v>0</v>
      </c>
      <c r="M238" s="16">
        <v>0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1</v>
      </c>
      <c r="T238" s="16">
        <v>0</v>
      </c>
      <c r="U238" s="16">
        <v>0</v>
      </c>
      <c r="V238" s="16">
        <v>0</v>
      </c>
      <c r="W238" s="13">
        <f t="shared" si="46"/>
        <v>3</v>
      </c>
    </row>
    <row r="239" spans="1:23" ht="12.75" customHeight="1" x14ac:dyDescent="0.3">
      <c r="A239" s="15"/>
      <c r="B239" s="28"/>
      <c r="C239" s="29" t="s">
        <v>177</v>
      </c>
      <c r="D239" s="30"/>
      <c r="E239" s="16">
        <v>2</v>
      </c>
      <c r="F239" s="16">
        <v>1</v>
      </c>
      <c r="G239" s="16">
        <v>1</v>
      </c>
      <c r="H239" s="16">
        <v>1</v>
      </c>
      <c r="I239" s="16">
        <v>0</v>
      </c>
      <c r="J239" s="16">
        <v>3</v>
      </c>
      <c r="K239" s="16">
        <v>1</v>
      </c>
      <c r="L239" s="16">
        <v>1</v>
      </c>
      <c r="M239" s="16">
        <v>0</v>
      </c>
      <c r="N239" s="16">
        <v>1</v>
      </c>
      <c r="O239" s="16">
        <v>0</v>
      </c>
      <c r="P239" s="16">
        <v>1</v>
      </c>
      <c r="Q239" s="16">
        <v>0</v>
      </c>
      <c r="R239" s="16">
        <v>0</v>
      </c>
      <c r="S239" s="16">
        <v>0</v>
      </c>
      <c r="T239" s="16">
        <v>1</v>
      </c>
      <c r="U239" s="16">
        <v>0</v>
      </c>
      <c r="V239" s="16">
        <v>0</v>
      </c>
      <c r="W239" s="13">
        <f t="shared" si="46"/>
        <v>13</v>
      </c>
    </row>
    <row r="240" spans="1:23" ht="12.75" customHeight="1" x14ac:dyDescent="0.3">
      <c r="A240" s="15"/>
      <c r="B240" s="28"/>
      <c r="C240" s="29" t="s">
        <v>178</v>
      </c>
      <c r="D240" s="30"/>
      <c r="E240" s="16">
        <v>0</v>
      </c>
      <c r="F240" s="16">
        <v>0</v>
      </c>
      <c r="G240" s="16">
        <v>0</v>
      </c>
      <c r="H240" s="16">
        <v>0</v>
      </c>
      <c r="I240" s="16">
        <v>0</v>
      </c>
      <c r="J240" s="16">
        <v>0</v>
      </c>
      <c r="K240" s="16">
        <v>0</v>
      </c>
      <c r="L240" s="16">
        <v>0</v>
      </c>
      <c r="M240" s="16">
        <v>0</v>
      </c>
      <c r="N240" s="16">
        <v>0</v>
      </c>
      <c r="O240" s="16">
        <v>1</v>
      </c>
      <c r="P240" s="16">
        <v>0</v>
      </c>
      <c r="Q240" s="16">
        <v>1</v>
      </c>
      <c r="R240" s="16">
        <v>0</v>
      </c>
      <c r="S240" s="16">
        <v>0</v>
      </c>
      <c r="T240" s="16">
        <v>0</v>
      </c>
      <c r="U240" s="16">
        <v>0</v>
      </c>
      <c r="V240" s="16">
        <v>0</v>
      </c>
      <c r="W240" s="13">
        <f t="shared" si="46"/>
        <v>2</v>
      </c>
    </row>
    <row r="241" spans="1:23" ht="12.75" customHeight="1" x14ac:dyDescent="0.3">
      <c r="A241" s="15"/>
      <c r="B241" s="28"/>
      <c r="C241" s="29" t="s">
        <v>179</v>
      </c>
      <c r="D241" s="30"/>
      <c r="E241" s="16">
        <v>0</v>
      </c>
      <c r="F241" s="16">
        <v>0</v>
      </c>
      <c r="G241" s="16">
        <v>0</v>
      </c>
      <c r="H241" s="16">
        <v>0</v>
      </c>
      <c r="I241" s="16">
        <v>0</v>
      </c>
      <c r="J241" s="16">
        <v>0</v>
      </c>
      <c r="K241" s="16">
        <v>0</v>
      </c>
      <c r="L241" s="16">
        <v>0</v>
      </c>
      <c r="M241" s="16">
        <v>0</v>
      </c>
      <c r="N241" s="16">
        <v>0</v>
      </c>
      <c r="O241" s="16">
        <v>0</v>
      </c>
      <c r="P241" s="16">
        <v>0</v>
      </c>
      <c r="Q241" s="16">
        <v>0</v>
      </c>
      <c r="R241" s="16">
        <v>0</v>
      </c>
      <c r="S241" s="16">
        <v>0</v>
      </c>
      <c r="T241" s="16">
        <v>0</v>
      </c>
      <c r="U241" s="16">
        <v>0</v>
      </c>
      <c r="V241" s="16">
        <v>0</v>
      </c>
      <c r="W241" s="13">
        <f t="shared" si="46"/>
        <v>0</v>
      </c>
    </row>
    <row r="242" spans="1:23" ht="12.75" customHeight="1" x14ac:dyDescent="0.3">
      <c r="A242" s="15"/>
      <c r="B242" s="28"/>
      <c r="C242" s="29" t="s">
        <v>180</v>
      </c>
      <c r="D242" s="30"/>
      <c r="E242" s="16">
        <v>2</v>
      </c>
      <c r="F242" s="16">
        <v>0</v>
      </c>
      <c r="G242" s="16">
        <v>0</v>
      </c>
      <c r="H242" s="16">
        <v>0</v>
      </c>
      <c r="I242" s="16">
        <v>1</v>
      </c>
      <c r="J242" s="16">
        <v>0</v>
      </c>
      <c r="K242" s="16">
        <v>0</v>
      </c>
      <c r="L242" s="16">
        <v>0</v>
      </c>
      <c r="M242" s="16">
        <v>0</v>
      </c>
      <c r="N242" s="16">
        <v>0</v>
      </c>
      <c r="O242" s="16">
        <v>0</v>
      </c>
      <c r="P242" s="16">
        <v>0</v>
      </c>
      <c r="Q242" s="16">
        <v>0</v>
      </c>
      <c r="R242" s="16">
        <v>0</v>
      </c>
      <c r="S242" s="16">
        <v>1</v>
      </c>
      <c r="T242" s="16">
        <v>0</v>
      </c>
      <c r="U242" s="16">
        <v>0</v>
      </c>
      <c r="V242" s="16">
        <v>0</v>
      </c>
      <c r="W242" s="13">
        <f t="shared" si="46"/>
        <v>4</v>
      </c>
    </row>
    <row r="243" spans="1:23" ht="12.75" customHeight="1" x14ac:dyDescent="0.3">
      <c r="A243" s="15"/>
      <c r="B243" s="28"/>
      <c r="C243" s="29" t="s">
        <v>181</v>
      </c>
      <c r="D243" s="30"/>
      <c r="E243" s="16">
        <v>0</v>
      </c>
      <c r="F243" s="16">
        <v>0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0</v>
      </c>
      <c r="M243" s="16">
        <v>0</v>
      </c>
      <c r="N243" s="16">
        <v>1</v>
      </c>
      <c r="O243" s="16">
        <v>0</v>
      </c>
      <c r="P243" s="16">
        <v>0</v>
      </c>
      <c r="Q243" s="16">
        <v>0</v>
      </c>
      <c r="R243" s="16">
        <v>1</v>
      </c>
      <c r="S243" s="16">
        <v>0</v>
      </c>
      <c r="T243" s="16">
        <v>0</v>
      </c>
      <c r="U243" s="16">
        <v>0</v>
      </c>
      <c r="V243" s="16">
        <v>0</v>
      </c>
      <c r="W243" s="13">
        <f t="shared" si="46"/>
        <v>2</v>
      </c>
    </row>
    <row r="244" spans="1:23" ht="12.75" customHeight="1" x14ac:dyDescent="0.3">
      <c r="A244" s="15"/>
      <c r="B244" s="28"/>
      <c r="C244" s="29" t="s">
        <v>182</v>
      </c>
      <c r="D244" s="30"/>
      <c r="E244" s="16">
        <v>0</v>
      </c>
      <c r="F244" s="16">
        <v>0</v>
      </c>
      <c r="G244" s="16">
        <v>0</v>
      </c>
      <c r="H244" s="16">
        <v>0</v>
      </c>
      <c r="I244" s="16">
        <v>0</v>
      </c>
      <c r="J244" s="16">
        <v>0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>
        <v>0</v>
      </c>
      <c r="Q244" s="16">
        <v>0</v>
      </c>
      <c r="R244" s="16">
        <v>0</v>
      </c>
      <c r="S244" s="16">
        <v>0</v>
      </c>
      <c r="T244" s="16">
        <v>0</v>
      </c>
      <c r="U244" s="16">
        <v>0</v>
      </c>
      <c r="V244" s="16">
        <v>0</v>
      </c>
      <c r="W244" s="13">
        <f t="shared" si="46"/>
        <v>0</v>
      </c>
    </row>
    <row r="245" spans="1:23" ht="12.75" customHeight="1" x14ac:dyDescent="0.3">
      <c r="A245" s="15"/>
      <c r="B245" s="28"/>
      <c r="C245" s="29" t="s">
        <v>183</v>
      </c>
      <c r="D245" s="30"/>
      <c r="E245" s="16">
        <v>0</v>
      </c>
      <c r="F245" s="16">
        <v>0</v>
      </c>
      <c r="G245" s="16">
        <v>0</v>
      </c>
      <c r="H245" s="16">
        <v>0</v>
      </c>
      <c r="I245" s="16">
        <v>0</v>
      </c>
      <c r="J245" s="16">
        <v>0</v>
      </c>
      <c r="K245" s="16">
        <v>0</v>
      </c>
      <c r="L245" s="16">
        <v>0</v>
      </c>
      <c r="M245" s="16">
        <v>0</v>
      </c>
      <c r="N245" s="16">
        <v>0</v>
      </c>
      <c r="O245" s="16">
        <v>0</v>
      </c>
      <c r="P245" s="16">
        <v>0</v>
      </c>
      <c r="Q245" s="16">
        <v>0</v>
      </c>
      <c r="R245" s="16">
        <v>0</v>
      </c>
      <c r="S245" s="16">
        <v>0</v>
      </c>
      <c r="T245" s="16">
        <v>0</v>
      </c>
      <c r="U245" s="16">
        <v>0</v>
      </c>
      <c r="V245" s="16">
        <v>0</v>
      </c>
      <c r="W245" s="13">
        <f t="shared" si="46"/>
        <v>0</v>
      </c>
    </row>
    <row r="246" spans="1:23" ht="12.75" customHeight="1" x14ac:dyDescent="0.3">
      <c r="A246" s="15"/>
      <c r="B246" s="28"/>
      <c r="C246" s="29" t="s">
        <v>184</v>
      </c>
      <c r="D246" s="30"/>
      <c r="E246" s="16">
        <v>0</v>
      </c>
      <c r="F246" s="16">
        <v>0</v>
      </c>
      <c r="G246" s="16">
        <v>0</v>
      </c>
      <c r="H246" s="16">
        <v>0</v>
      </c>
      <c r="I246" s="16">
        <v>0</v>
      </c>
      <c r="J246" s="16">
        <v>0</v>
      </c>
      <c r="K246" s="16">
        <v>0</v>
      </c>
      <c r="L246" s="16">
        <v>0</v>
      </c>
      <c r="M246" s="16">
        <v>0</v>
      </c>
      <c r="N246" s="16">
        <v>0</v>
      </c>
      <c r="O246" s="16">
        <v>0</v>
      </c>
      <c r="P246" s="16">
        <v>0</v>
      </c>
      <c r="Q246" s="16">
        <v>0</v>
      </c>
      <c r="R246" s="16">
        <v>0</v>
      </c>
      <c r="S246" s="16">
        <v>0</v>
      </c>
      <c r="T246" s="16">
        <v>0</v>
      </c>
      <c r="U246" s="16">
        <v>0</v>
      </c>
      <c r="V246" s="16">
        <v>0</v>
      </c>
      <c r="W246" s="13">
        <f t="shared" si="46"/>
        <v>0</v>
      </c>
    </row>
    <row r="247" spans="1:23" ht="12.75" customHeight="1" x14ac:dyDescent="0.3">
      <c r="A247" s="16" t="s">
        <v>15</v>
      </c>
      <c r="B247" s="59" t="s">
        <v>49</v>
      </c>
      <c r="C247" s="60"/>
      <c r="D247" s="58"/>
      <c r="E247" s="13">
        <f t="shared" ref="E247:W247" si="47">SUM(E237:E246)</f>
        <v>4</v>
      </c>
      <c r="F247" s="13">
        <f t="shared" si="47"/>
        <v>2</v>
      </c>
      <c r="G247" s="13">
        <f t="shared" si="47"/>
        <v>2</v>
      </c>
      <c r="H247" s="13">
        <f t="shared" si="47"/>
        <v>1</v>
      </c>
      <c r="I247" s="13">
        <f t="shared" si="47"/>
        <v>1</v>
      </c>
      <c r="J247" s="13">
        <f t="shared" si="47"/>
        <v>4</v>
      </c>
      <c r="K247" s="13">
        <f t="shared" si="47"/>
        <v>4</v>
      </c>
      <c r="L247" s="13">
        <f t="shared" si="47"/>
        <v>1</v>
      </c>
      <c r="M247" s="13">
        <f t="shared" si="47"/>
        <v>0</v>
      </c>
      <c r="N247" s="13">
        <f t="shared" si="47"/>
        <v>2</v>
      </c>
      <c r="O247" s="13">
        <f t="shared" si="47"/>
        <v>1</v>
      </c>
      <c r="P247" s="13">
        <f t="shared" si="47"/>
        <v>1</v>
      </c>
      <c r="Q247" s="13">
        <f t="shared" si="47"/>
        <v>2</v>
      </c>
      <c r="R247" s="13">
        <f t="shared" si="47"/>
        <v>1</v>
      </c>
      <c r="S247" s="13">
        <f t="shared" si="47"/>
        <v>3</v>
      </c>
      <c r="T247" s="13">
        <f t="shared" si="47"/>
        <v>1</v>
      </c>
      <c r="U247" s="13">
        <f t="shared" si="47"/>
        <v>0</v>
      </c>
      <c r="V247" s="13">
        <f t="shared" si="47"/>
        <v>0</v>
      </c>
      <c r="W247" s="13">
        <f t="shared" si="47"/>
        <v>30</v>
      </c>
    </row>
    <row r="248" spans="1:23" ht="12.75" customHeight="1" x14ac:dyDescent="0.3">
      <c r="A248" s="61"/>
      <c r="B248" s="60"/>
      <c r="C248" s="60"/>
      <c r="D248" s="60"/>
      <c r="E248" s="58"/>
    </row>
    <row r="249" spans="1:23" ht="12.75" customHeight="1" x14ac:dyDescent="0.3">
      <c r="A249" s="20" t="s">
        <v>37</v>
      </c>
      <c r="B249" s="27" t="s">
        <v>185</v>
      </c>
      <c r="C249" s="57" t="s">
        <v>186</v>
      </c>
      <c r="D249" s="58"/>
      <c r="E249" s="16">
        <v>1</v>
      </c>
      <c r="F249" s="16">
        <v>0</v>
      </c>
      <c r="G249" s="16">
        <v>0</v>
      </c>
      <c r="H249" s="16">
        <v>0</v>
      </c>
      <c r="I249" s="16">
        <v>0</v>
      </c>
      <c r="J249" s="16">
        <v>0</v>
      </c>
      <c r="K249" s="16">
        <v>0</v>
      </c>
      <c r="L249" s="16">
        <v>0</v>
      </c>
      <c r="M249" s="16">
        <v>1</v>
      </c>
      <c r="N249" s="16">
        <v>1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3">
        <f t="shared" ref="W249:W258" si="48">SUM(E249:V249)</f>
        <v>3</v>
      </c>
    </row>
    <row r="250" spans="1:23" ht="12.75" customHeight="1" x14ac:dyDescent="0.3">
      <c r="A250" s="20" t="s">
        <v>39</v>
      </c>
      <c r="B250" s="28"/>
      <c r="C250" s="29" t="s">
        <v>187</v>
      </c>
      <c r="D250" s="30"/>
      <c r="E250" s="16">
        <v>0</v>
      </c>
      <c r="F250" s="16">
        <v>0</v>
      </c>
      <c r="G250" s="16">
        <v>0</v>
      </c>
      <c r="H250" s="16">
        <v>0</v>
      </c>
      <c r="I250" s="16">
        <v>0</v>
      </c>
      <c r="J250" s="16">
        <v>0</v>
      </c>
      <c r="K250" s="16">
        <v>0</v>
      </c>
      <c r="L250" s="16">
        <v>1</v>
      </c>
      <c r="M250" s="16">
        <v>3</v>
      </c>
      <c r="N250" s="16">
        <v>2</v>
      </c>
      <c r="O250" s="16">
        <v>0</v>
      </c>
      <c r="P250" s="16">
        <v>0</v>
      </c>
      <c r="Q250" s="16">
        <v>0</v>
      </c>
      <c r="R250" s="16">
        <v>0</v>
      </c>
      <c r="S250" s="16">
        <v>0</v>
      </c>
      <c r="T250" s="16">
        <v>0</v>
      </c>
      <c r="U250" s="16">
        <v>0</v>
      </c>
      <c r="V250" s="16">
        <v>2</v>
      </c>
      <c r="W250" s="13">
        <f t="shared" si="48"/>
        <v>8</v>
      </c>
    </row>
    <row r="251" spans="1:23" ht="12.75" customHeight="1" x14ac:dyDescent="0.3">
      <c r="A251" s="15"/>
      <c r="B251" s="28"/>
      <c r="C251" s="29" t="s">
        <v>188</v>
      </c>
      <c r="D251" s="30"/>
      <c r="E251" s="16">
        <v>0</v>
      </c>
      <c r="F251" s="16">
        <v>0</v>
      </c>
      <c r="G251" s="16">
        <v>0</v>
      </c>
      <c r="H251" s="16">
        <v>0</v>
      </c>
      <c r="I251" s="16">
        <v>0</v>
      </c>
      <c r="J251" s="16">
        <v>0</v>
      </c>
      <c r="K251" s="16">
        <v>0</v>
      </c>
      <c r="L251" s="16">
        <v>0</v>
      </c>
      <c r="M251" s="16">
        <v>0</v>
      </c>
      <c r="N251" s="16">
        <v>0</v>
      </c>
      <c r="O251" s="16">
        <v>0</v>
      </c>
      <c r="P251" s="16">
        <v>0</v>
      </c>
      <c r="Q251" s="16">
        <v>0</v>
      </c>
      <c r="R251" s="16">
        <v>0</v>
      </c>
      <c r="S251" s="16">
        <v>0</v>
      </c>
      <c r="T251" s="16">
        <v>0</v>
      </c>
      <c r="U251" s="16">
        <v>0</v>
      </c>
      <c r="V251" s="16">
        <v>0</v>
      </c>
      <c r="W251" s="13">
        <f t="shared" si="48"/>
        <v>0</v>
      </c>
    </row>
    <row r="252" spans="1:23" ht="12.75" customHeight="1" x14ac:dyDescent="0.3">
      <c r="A252" s="15"/>
      <c r="B252" s="28"/>
      <c r="C252" s="29" t="s">
        <v>189</v>
      </c>
      <c r="D252" s="30"/>
      <c r="E252" s="16">
        <v>0</v>
      </c>
      <c r="F252" s="16">
        <v>0</v>
      </c>
      <c r="G252" s="16">
        <v>0</v>
      </c>
      <c r="H252" s="16">
        <v>0</v>
      </c>
      <c r="I252" s="16">
        <v>0</v>
      </c>
      <c r="J252" s="16">
        <v>0</v>
      </c>
      <c r="K252" s="16">
        <v>0</v>
      </c>
      <c r="L252" s="16">
        <v>0</v>
      </c>
      <c r="M252" s="16">
        <v>0</v>
      </c>
      <c r="N252" s="16">
        <v>0</v>
      </c>
      <c r="O252" s="16">
        <v>0</v>
      </c>
      <c r="P252" s="16">
        <v>0</v>
      </c>
      <c r="Q252" s="16">
        <v>0</v>
      </c>
      <c r="R252" s="16">
        <v>0</v>
      </c>
      <c r="S252" s="16">
        <v>0</v>
      </c>
      <c r="T252" s="16">
        <v>0</v>
      </c>
      <c r="U252" s="16">
        <v>0</v>
      </c>
      <c r="V252" s="16">
        <v>0</v>
      </c>
      <c r="W252" s="13">
        <f t="shared" si="48"/>
        <v>0</v>
      </c>
    </row>
    <row r="253" spans="1:23" ht="12.75" customHeight="1" x14ac:dyDescent="0.3">
      <c r="A253" s="15"/>
      <c r="B253" s="36"/>
      <c r="C253" s="44"/>
      <c r="D253" s="38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3">
        <f t="shared" si="48"/>
        <v>0</v>
      </c>
    </row>
    <row r="254" spans="1:23" ht="12.75" customHeight="1" x14ac:dyDescent="0.3">
      <c r="A254" s="15"/>
      <c r="B254" s="36"/>
      <c r="C254" s="44"/>
      <c r="D254" s="38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3">
        <f t="shared" si="48"/>
        <v>0</v>
      </c>
    </row>
    <row r="255" spans="1:23" ht="12.75" customHeight="1" x14ac:dyDescent="0.3">
      <c r="A255" s="15"/>
      <c r="B255" s="36"/>
      <c r="C255" s="44"/>
      <c r="D255" s="38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3">
        <f t="shared" si="48"/>
        <v>0</v>
      </c>
    </row>
    <row r="256" spans="1:23" ht="12.75" customHeight="1" x14ac:dyDescent="0.3">
      <c r="A256" s="15"/>
      <c r="B256" s="36"/>
      <c r="C256" s="43"/>
      <c r="D256" s="38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3">
        <f t="shared" si="48"/>
        <v>0</v>
      </c>
    </row>
    <row r="257" spans="1:23" ht="12.75" customHeight="1" x14ac:dyDescent="0.3">
      <c r="A257" s="15"/>
      <c r="B257" s="36"/>
      <c r="C257" s="43"/>
      <c r="D257" s="38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3">
        <f t="shared" si="48"/>
        <v>0</v>
      </c>
    </row>
    <row r="258" spans="1:23" ht="12.75" customHeight="1" x14ac:dyDescent="0.3">
      <c r="A258" s="15"/>
      <c r="B258" s="36"/>
      <c r="C258" s="43"/>
      <c r="D258" s="38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3">
        <f t="shared" si="48"/>
        <v>0</v>
      </c>
    </row>
    <row r="259" spans="1:23" ht="12.75" customHeight="1" x14ac:dyDescent="0.3">
      <c r="A259" s="16" t="s">
        <v>15</v>
      </c>
      <c r="B259" s="59" t="s">
        <v>49</v>
      </c>
      <c r="C259" s="60"/>
      <c r="D259" s="58"/>
      <c r="E259" s="13">
        <f t="shared" ref="E259:W259" si="49">SUM(E249:E258)</f>
        <v>1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1</v>
      </c>
      <c r="M259" s="13">
        <f t="shared" si="49"/>
        <v>4</v>
      </c>
      <c r="N259" s="13">
        <f t="shared" si="49"/>
        <v>3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2</v>
      </c>
      <c r="W259" s="13">
        <f t="shared" si="49"/>
        <v>11</v>
      </c>
    </row>
    <row r="260" spans="1:23" ht="12.75" customHeight="1" x14ac:dyDescent="0.3"/>
    <row r="261" spans="1:23" ht="12.75" customHeight="1" x14ac:dyDescent="0.3">
      <c r="A261" s="26" t="s">
        <v>190</v>
      </c>
      <c r="B261" s="66" t="s">
        <v>191</v>
      </c>
      <c r="C261" s="60"/>
      <c r="D261" s="58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</row>
    <row r="262" spans="1:23" ht="12.75" customHeight="1" x14ac:dyDescent="0.3">
      <c r="A262" s="26"/>
      <c r="B262" s="45" t="s">
        <v>192</v>
      </c>
      <c r="C262" s="67" t="s">
        <v>193</v>
      </c>
      <c r="D262" s="58"/>
      <c r="E262" s="16">
        <f t="shared" ref="E262:V262" si="50">E55+E67+E79+E91+E103+E115+E127+E139+E151+E163+E175+E187+E199+E211+E223+E235+E247+E259</f>
        <v>165</v>
      </c>
      <c r="F262" s="16">
        <f t="shared" si="50"/>
        <v>164</v>
      </c>
      <c r="G262" s="16">
        <f t="shared" si="50"/>
        <v>151</v>
      </c>
      <c r="H262" s="16">
        <f t="shared" si="50"/>
        <v>171</v>
      </c>
      <c r="I262" s="16">
        <f t="shared" si="50"/>
        <v>170</v>
      </c>
      <c r="J262" s="16">
        <f t="shared" si="50"/>
        <v>183</v>
      </c>
      <c r="K262" s="16">
        <f t="shared" si="50"/>
        <v>171</v>
      </c>
      <c r="L262" s="16">
        <f t="shared" si="50"/>
        <v>183</v>
      </c>
      <c r="M262" s="16">
        <f t="shared" si="50"/>
        <v>197</v>
      </c>
      <c r="N262" s="16">
        <f t="shared" si="50"/>
        <v>158</v>
      </c>
      <c r="O262" s="16">
        <f t="shared" si="50"/>
        <v>169</v>
      </c>
      <c r="P262" s="16">
        <f t="shared" si="50"/>
        <v>189</v>
      </c>
      <c r="Q262" s="16">
        <f t="shared" si="50"/>
        <v>147</v>
      </c>
      <c r="R262" s="16">
        <f t="shared" si="50"/>
        <v>194</v>
      </c>
      <c r="S262" s="16">
        <f t="shared" si="50"/>
        <v>185</v>
      </c>
      <c r="T262" s="16">
        <f t="shared" si="50"/>
        <v>113</v>
      </c>
      <c r="U262" s="16">
        <f t="shared" si="50"/>
        <v>155</v>
      </c>
      <c r="V262" s="16">
        <f t="shared" si="50"/>
        <v>116</v>
      </c>
      <c r="W262" s="13">
        <f t="shared" ref="W262:W264" si="51">SUM(E262:V262)</f>
        <v>2981</v>
      </c>
    </row>
    <row r="263" spans="1:23" ht="12.75" customHeight="1" x14ac:dyDescent="0.3">
      <c r="A263" s="22"/>
      <c r="B263" s="45" t="s">
        <v>194</v>
      </c>
      <c r="C263" s="67" t="s">
        <v>195</v>
      </c>
      <c r="D263" s="58"/>
      <c r="E263" s="16">
        <v>23</v>
      </c>
      <c r="F263" s="16">
        <v>45</v>
      </c>
      <c r="G263" s="16">
        <v>47</v>
      </c>
      <c r="H263" s="16">
        <v>34</v>
      </c>
      <c r="I263" s="16">
        <v>29</v>
      </c>
      <c r="J263" s="16">
        <v>42</v>
      </c>
      <c r="K263" s="16">
        <v>30</v>
      </c>
      <c r="L263" s="16">
        <v>52</v>
      </c>
      <c r="M263" s="16">
        <v>17</v>
      </c>
      <c r="N263" s="16">
        <v>33</v>
      </c>
      <c r="O263" s="16">
        <v>33</v>
      </c>
      <c r="P263" s="16">
        <v>25</v>
      </c>
      <c r="Q263" s="16">
        <v>48</v>
      </c>
      <c r="R263" s="16">
        <v>28</v>
      </c>
      <c r="S263" s="16">
        <v>29</v>
      </c>
      <c r="T263" s="16">
        <v>11</v>
      </c>
      <c r="U263" s="16">
        <v>39</v>
      </c>
      <c r="V263" s="16">
        <v>14</v>
      </c>
      <c r="W263" s="13">
        <f t="shared" si="51"/>
        <v>579</v>
      </c>
    </row>
    <row r="264" spans="1:23" ht="12.75" customHeight="1" x14ac:dyDescent="0.3">
      <c r="A264" s="25"/>
      <c r="B264" s="45" t="s">
        <v>196</v>
      </c>
      <c r="C264" s="67" t="s">
        <v>197</v>
      </c>
      <c r="D264" s="58"/>
      <c r="E264" s="13">
        <f t="shared" ref="E264:V264" si="52">SUM(E262:E263)</f>
        <v>188</v>
      </c>
      <c r="F264" s="13">
        <f t="shared" si="52"/>
        <v>209</v>
      </c>
      <c r="G264" s="13">
        <f t="shared" si="52"/>
        <v>198</v>
      </c>
      <c r="H264" s="13">
        <f t="shared" si="52"/>
        <v>205</v>
      </c>
      <c r="I264" s="13">
        <f t="shared" si="52"/>
        <v>199</v>
      </c>
      <c r="J264" s="13">
        <f t="shared" si="52"/>
        <v>225</v>
      </c>
      <c r="K264" s="13">
        <f t="shared" si="52"/>
        <v>201</v>
      </c>
      <c r="L264" s="13">
        <f t="shared" si="52"/>
        <v>235</v>
      </c>
      <c r="M264" s="13">
        <f t="shared" si="52"/>
        <v>214</v>
      </c>
      <c r="N264" s="13">
        <f t="shared" si="52"/>
        <v>191</v>
      </c>
      <c r="O264" s="13">
        <f t="shared" si="52"/>
        <v>202</v>
      </c>
      <c r="P264" s="13">
        <f t="shared" si="52"/>
        <v>214</v>
      </c>
      <c r="Q264" s="13">
        <f t="shared" si="52"/>
        <v>195</v>
      </c>
      <c r="R264" s="13">
        <f t="shared" si="52"/>
        <v>222</v>
      </c>
      <c r="S264" s="13">
        <f t="shared" si="52"/>
        <v>214</v>
      </c>
      <c r="T264" s="13">
        <f t="shared" si="52"/>
        <v>124</v>
      </c>
      <c r="U264" s="13">
        <f t="shared" si="52"/>
        <v>194</v>
      </c>
      <c r="V264" s="13">
        <f t="shared" si="52"/>
        <v>130</v>
      </c>
      <c r="W264" s="13">
        <f t="shared" si="51"/>
        <v>3560</v>
      </c>
    </row>
    <row r="265" spans="1:23" ht="12.75" customHeight="1" x14ac:dyDescent="0.3"/>
    <row r="266" spans="1:23" ht="12.75" customHeight="1" x14ac:dyDescent="0.3"/>
    <row r="267" spans="1:23" ht="12.75" customHeight="1" x14ac:dyDescent="0.3"/>
    <row r="268" spans="1:23" ht="12.75" customHeight="1" x14ac:dyDescent="0.3"/>
    <row r="269" spans="1:23" ht="12.75" customHeight="1" x14ac:dyDescent="0.3"/>
    <row r="270" spans="1:23" ht="12.75" customHeight="1" x14ac:dyDescent="0.3"/>
    <row r="271" spans="1:23" ht="12.75" customHeight="1" x14ac:dyDescent="0.3"/>
    <row r="272" spans="1:23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86">
    <mergeCell ref="C69:D69"/>
    <mergeCell ref="B79:D79"/>
    <mergeCell ref="B139:D139"/>
    <mergeCell ref="A140:E140"/>
    <mergeCell ref="C141:D141"/>
    <mergeCell ref="B55:D55"/>
    <mergeCell ref="A56:E56"/>
    <mergeCell ref="C57:D57"/>
    <mergeCell ref="B67:D67"/>
    <mergeCell ref="A68:E68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Q42"/>
    <mergeCell ref="B43:D43"/>
    <mergeCell ref="B25:B27"/>
    <mergeCell ref="C25:C27"/>
    <mergeCell ref="B28:B30"/>
    <mergeCell ref="A37:D37"/>
    <mergeCell ref="E37:Q37"/>
    <mergeCell ref="A17:D17"/>
    <mergeCell ref="B18:D18"/>
    <mergeCell ref="B19:B21"/>
    <mergeCell ref="C19:C21"/>
    <mergeCell ref="B22:B24"/>
    <mergeCell ref="C22:C24"/>
    <mergeCell ref="B12:D12"/>
    <mergeCell ref="E12:V12"/>
    <mergeCell ref="W12:W13"/>
    <mergeCell ref="B13:D13"/>
    <mergeCell ref="B14:C16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A212:E212"/>
    <mergeCell ref="C213:D213"/>
    <mergeCell ref="B223:D223"/>
    <mergeCell ref="A224:E224"/>
    <mergeCell ref="C225:D225"/>
    <mergeCell ref="C189:D189"/>
    <mergeCell ref="B199:D199"/>
    <mergeCell ref="A200:E200"/>
    <mergeCell ref="C201:D201"/>
    <mergeCell ref="B211:D211"/>
    <mergeCell ref="B175:D175"/>
    <mergeCell ref="A176:E176"/>
    <mergeCell ref="C177:D177"/>
    <mergeCell ref="B187:D187"/>
    <mergeCell ref="A188:E188"/>
    <mergeCell ref="A152:E152"/>
    <mergeCell ref="C153:D153"/>
    <mergeCell ref="B163:D163"/>
    <mergeCell ref="A164:E164"/>
    <mergeCell ref="C165:D165"/>
    <mergeCell ref="C117:D117"/>
    <mergeCell ref="B127:D127"/>
    <mergeCell ref="A128:E128"/>
    <mergeCell ref="C129:D129"/>
    <mergeCell ref="B151:D151"/>
    <mergeCell ref="B103:D103"/>
    <mergeCell ref="A104:E104"/>
    <mergeCell ref="C105:D105"/>
    <mergeCell ref="B115:D115"/>
    <mergeCell ref="A116:E116"/>
    <mergeCell ref="A80:E80"/>
    <mergeCell ref="C81:D81"/>
    <mergeCell ref="B91:D91"/>
    <mergeCell ref="A92:E92"/>
    <mergeCell ref="C93:D93"/>
  </mergeCells>
  <conditionalFormatting sqref="E14:V15">
    <cfRule type="containsBlanks" dxfId="195" priority="1">
      <formula>LEN(TRIM(E14))=0</formula>
    </cfRule>
  </conditionalFormatting>
  <conditionalFormatting sqref="E19:V20">
    <cfRule type="containsBlanks" dxfId="194" priority="2">
      <formula>LEN(TRIM(E19))=0</formula>
    </cfRule>
  </conditionalFormatting>
  <conditionalFormatting sqref="E22:V23 E25:V26 E33:V33 E35:V35 E39:V40">
    <cfRule type="containsBlanks" dxfId="193" priority="3">
      <formula>LEN(TRIM(E22))=0</formula>
    </cfRule>
  </conditionalFormatting>
  <conditionalFormatting sqref="E30:V30">
    <cfRule type="expression" dxfId="192" priority="4">
      <formula>E30&lt;&gt;E47</formula>
    </cfRule>
    <cfRule type="expression" dxfId="191" priority="5">
      <formula>E30&lt;&gt;E34</formula>
    </cfRule>
  </conditionalFormatting>
  <conditionalFormatting sqref="E34:V34">
    <cfRule type="expression" dxfId="190" priority="6">
      <formula>E30&lt;&gt;E34</formula>
    </cfRule>
    <cfRule type="expression" dxfId="189" priority="7">
      <formula>E30=E34</formula>
    </cfRule>
    <cfRule type="expression" dxfId="188" priority="8">
      <formula>E34&lt;&gt;E30</formula>
    </cfRule>
    <cfRule type="expression" dxfId="187" priority="9">
      <formula>E34&lt;&gt;E64</formula>
    </cfRule>
  </conditionalFormatting>
  <conditionalFormatting sqref="E45:V54">
    <cfRule type="containsBlanks" dxfId="186" priority="10">
      <formula>LEN(TRIM(E45))=0</formula>
    </cfRule>
  </conditionalFormatting>
  <conditionalFormatting sqref="E57:V66">
    <cfRule type="containsBlanks" dxfId="185" priority="11">
      <formula>LEN(TRIM(E57))=0</formula>
    </cfRule>
  </conditionalFormatting>
  <conditionalFormatting sqref="E69:V78">
    <cfRule type="containsBlanks" dxfId="184" priority="12">
      <formula>LEN(TRIM(E69))=0</formula>
    </cfRule>
  </conditionalFormatting>
  <conditionalFormatting sqref="E81:V90">
    <cfRule type="containsBlanks" dxfId="183" priority="13">
      <formula>LEN(TRIM(E81))=0</formula>
    </cfRule>
  </conditionalFormatting>
  <conditionalFormatting sqref="E93:V102">
    <cfRule type="containsBlanks" dxfId="182" priority="14">
      <formula>LEN(TRIM(E93))=0</formula>
    </cfRule>
  </conditionalFormatting>
  <conditionalFormatting sqref="E105:V114">
    <cfRule type="containsBlanks" dxfId="181" priority="15">
      <formula>LEN(TRIM(E105))=0</formula>
    </cfRule>
  </conditionalFormatting>
  <conditionalFormatting sqref="E117:V126">
    <cfRule type="containsBlanks" dxfId="180" priority="16">
      <formula>LEN(TRIM(E117))=0</formula>
    </cfRule>
  </conditionalFormatting>
  <conditionalFormatting sqref="E129:V138">
    <cfRule type="containsBlanks" dxfId="179" priority="17">
      <formula>LEN(TRIM(E129))=0</formula>
    </cfRule>
  </conditionalFormatting>
  <conditionalFormatting sqref="E141:V150">
    <cfRule type="containsBlanks" dxfId="178" priority="18">
      <formula>LEN(TRIM(E141))=0</formula>
    </cfRule>
  </conditionalFormatting>
  <conditionalFormatting sqref="E153:V162">
    <cfRule type="containsBlanks" dxfId="177" priority="19">
      <formula>LEN(TRIM(E153))=0</formula>
    </cfRule>
  </conditionalFormatting>
  <conditionalFormatting sqref="E165:V174">
    <cfRule type="containsBlanks" dxfId="176" priority="20">
      <formula>LEN(TRIM(E165))=0</formula>
    </cfRule>
  </conditionalFormatting>
  <conditionalFormatting sqref="E177:V186">
    <cfRule type="containsBlanks" dxfId="175" priority="21">
      <formula>LEN(TRIM(E177))=0</formula>
    </cfRule>
  </conditionalFormatting>
  <conditionalFormatting sqref="E189:V198">
    <cfRule type="containsBlanks" dxfId="174" priority="22">
      <formula>LEN(TRIM(E189))=0</formula>
    </cfRule>
  </conditionalFormatting>
  <conditionalFormatting sqref="E201:V210">
    <cfRule type="containsBlanks" dxfId="173" priority="23">
      <formula>LEN(TRIM(E201))=0</formula>
    </cfRule>
  </conditionalFormatting>
  <conditionalFormatting sqref="E213:V222">
    <cfRule type="containsBlanks" dxfId="172" priority="24">
      <formula>LEN(TRIM(E213))=0</formula>
    </cfRule>
  </conditionalFormatting>
  <conditionalFormatting sqref="E225:V234">
    <cfRule type="containsBlanks" dxfId="171" priority="25">
      <formula>LEN(TRIM(E225))=0</formula>
    </cfRule>
  </conditionalFormatting>
  <conditionalFormatting sqref="E237:V246">
    <cfRule type="containsBlanks" dxfId="170" priority="26">
      <formula>LEN(TRIM(E237))=0</formula>
    </cfRule>
  </conditionalFormatting>
  <conditionalFormatting sqref="E249:V258">
    <cfRule type="containsBlanks" dxfId="169" priority="27">
      <formula>LEN(TRIM(E249))=0</formula>
    </cfRule>
  </conditionalFormatting>
  <conditionalFormatting sqref="E262:V263">
    <cfRule type="containsBlanks" dxfId="168" priority="28">
      <formula>LEN(TRIM(E262))=0</formula>
    </cfRule>
  </conditionalFormatting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70" zoomScaleNormal="70" workbookViewId="0">
      <selection activeCell="E263" sqref="E263:Y263"/>
    </sheetView>
  </sheetViews>
  <sheetFormatPr defaultColWidth="14.3984375" defaultRowHeight="15" customHeight="1" x14ac:dyDescent="0.3"/>
  <cols>
    <col min="1" max="2" width="8.69921875" customWidth="1"/>
    <col min="3" max="3" width="67.09765625" customWidth="1"/>
    <col min="4" max="4" width="5.8984375" customWidth="1"/>
    <col min="5" max="25" width="8.69921875" customWidth="1"/>
    <col min="26" max="26" width="13.296875" customWidth="1"/>
  </cols>
  <sheetData>
    <row r="1" spans="1:26" ht="12.75" customHeight="1" x14ac:dyDescent="0.3"/>
    <row r="2" spans="1:26" ht="12.75" customHeight="1" x14ac:dyDescent="0.3">
      <c r="C2" s="8" t="s">
        <v>0</v>
      </c>
      <c r="D2" s="8" t="s">
        <v>1</v>
      </c>
    </row>
    <row r="3" spans="1:26" ht="12.75" customHeight="1" x14ac:dyDescent="0.3">
      <c r="C3" s="8" t="s">
        <v>2</v>
      </c>
      <c r="D3" s="8" t="s">
        <v>3</v>
      </c>
    </row>
    <row r="4" spans="1:26" ht="12.75" customHeight="1" x14ac:dyDescent="0.3">
      <c r="C4" s="8" t="s">
        <v>4</v>
      </c>
      <c r="D4" s="8" t="s">
        <v>5</v>
      </c>
    </row>
    <row r="5" spans="1:26" ht="12.75" customHeight="1" x14ac:dyDescent="0.3">
      <c r="C5" s="8"/>
      <c r="D5" s="8"/>
    </row>
    <row r="6" spans="1:26" ht="12.75" customHeight="1" x14ac:dyDescent="0.3">
      <c r="C6" s="8"/>
      <c r="D6" s="8"/>
    </row>
    <row r="7" spans="1:26" ht="12.75" customHeight="1" x14ac:dyDescent="0.3">
      <c r="C7" s="8"/>
      <c r="D7" s="8"/>
    </row>
    <row r="8" spans="1:26" ht="12.75" customHeight="1" x14ac:dyDescent="0.3">
      <c r="C8" s="8"/>
      <c r="D8" s="8"/>
    </row>
    <row r="9" spans="1:26" ht="12.75" customHeight="1" x14ac:dyDescent="0.3">
      <c r="C9" s="8" t="s">
        <v>198</v>
      </c>
      <c r="D9" s="8" t="s">
        <v>221</v>
      </c>
    </row>
    <row r="10" spans="1:26" ht="12.75" customHeight="1" x14ac:dyDescent="0.3"/>
    <row r="11" spans="1:26" ht="12.75" customHeight="1" x14ac:dyDescent="0.3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  <c r="S11" s="1"/>
      <c r="T11" s="1"/>
      <c r="U11" s="2"/>
      <c r="Y11" s="1"/>
    </row>
    <row r="12" spans="1:26" ht="12.75" customHeight="1" x14ac:dyDescent="0.3">
      <c r="A12" s="13" t="s">
        <v>6</v>
      </c>
      <c r="B12" s="66" t="s">
        <v>7</v>
      </c>
      <c r="C12" s="60"/>
      <c r="D12" s="58"/>
      <c r="E12" s="83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84" t="s">
        <v>8</v>
      </c>
    </row>
    <row r="13" spans="1:26" ht="12.75" customHeight="1" x14ac:dyDescent="0.3">
      <c r="A13" s="16" t="s">
        <v>9</v>
      </c>
      <c r="B13" s="70" t="s">
        <v>10</v>
      </c>
      <c r="C13" s="60"/>
      <c r="D13" s="58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220</v>
      </c>
      <c r="W13" s="13" t="s">
        <v>222</v>
      </c>
      <c r="X13" s="13" t="s">
        <v>223</v>
      </c>
      <c r="Y13" s="13" t="s">
        <v>224</v>
      </c>
      <c r="Z13" s="76"/>
    </row>
    <row r="14" spans="1:26" ht="12.75" customHeight="1" x14ac:dyDescent="0.3">
      <c r="A14" s="15"/>
      <c r="B14" s="71" t="s">
        <v>11</v>
      </c>
      <c r="C14" s="63"/>
      <c r="D14" s="16" t="s">
        <v>12</v>
      </c>
      <c r="E14" s="16">
        <v>127</v>
      </c>
      <c r="F14" s="16">
        <v>132</v>
      </c>
      <c r="G14" s="16">
        <v>138</v>
      </c>
      <c r="H14" s="16">
        <v>128</v>
      </c>
      <c r="I14" s="16">
        <v>130</v>
      </c>
      <c r="J14" s="16">
        <v>122</v>
      </c>
      <c r="K14" s="16">
        <v>140</v>
      </c>
      <c r="L14" s="16">
        <v>124</v>
      </c>
      <c r="M14" s="16">
        <v>135</v>
      </c>
      <c r="N14" s="16">
        <v>118</v>
      </c>
      <c r="O14" s="16">
        <v>144</v>
      </c>
      <c r="P14" s="16">
        <v>109</v>
      </c>
      <c r="Q14" s="16">
        <v>145</v>
      </c>
      <c r="R14" s="16">
        <v>127</v>
      </c>
      <c r="S14" s="16">
        <v>135</v>
      </c>
      <c r="T14" s="16">
        <v>138</v>
      </c>
      <c r="U14" s="16">
        <v>140</v>
      </c>
      <c r="V14" s="16">
        <v>138</v>
      </c>
      <c r="W14" s="16">
        <v>135</v>
      </c>
      <c r="X14" s="16">
        <v>132</v>
      </c>
      <c r="Y14" s="16">
        <v>115</v>
      </c>
      <c r="Z14" s="13">
        <f t="shared" ref="Z14:Z16" si="0">SUM(E14:Y14)</f>
        <v>2752</v>
      </c>
    </row>
    <row r="15" spans="1:26" ht="12.75" customHeight="1" x14ac:dyDescent="0.3">
      <c r="A15" s="15"/>
      <c r="B15" s="72"/>
      <c r="C15" s="73"/>
      <c r="D15" s="16" t="s">
        <v>13</v>
      </c>
      <c r="E15" s="16">
        <v>142</v>
      </c>
      <c r="F15" s="16">
        <v>136</v>
      </c>
      <c r="G15" s="16">
        <v>150</v>
      </c>
      <c r="H15" s="16">
        <v>149</v>
      </c>
      <c r="I15" s="16">
        <v>140</v>
      </c>
      <c r="J15" s="16">
        <v>117</v>
      </c>
      <c r="K15" s="16">
        <v>150</v>
      </c>
      <c r="L15" s="16">
        <v>129</v>
      </c>
      <c r="M15" s="16">
        <v>152</v>
      </c>
      <c r="N15" s="16">
        <v>125</v>
      </c>
      <c r="O15" s="16">
        <v>143</v>
      </c>
      <c r="P15" s="16">
        <v>118</v>
      </c>
      <c r="Q15" s="16">
        <v>140</v>
      </c>
      <c r="R15" s="16">
        <v>121</v>
      </c>
      <c r="S15" s="16">
        <v>135</v>
      </c>
      <c r="T15" s="16">
        <v>145</v>
      </c>
      <c r="U15" s="16">
        <v>147</v>
      </c>
      <c r="V15" s="16">
        <v>137</v>
      </c>
      <c r="W15" s="16">
        <v>129</v>
      </c>
      <c r="X15" s="16">
        <v>149</v>
      </c>
      <c r="Y15" s="16">
        <v>101</v>
      </c>
      <c r="Z15" s="13">
        <f t="shared" si="0"/>
        <v>2855</v>
      </c>
    </row>
    <row r="16" spans="1:26" ht="12.75" customHeight="1" x14ac:dyDescent="0.3">
      <c r="A16" s="18"/>
      <c r="B16" s="69"/>
      <c r="C16" s="65"/>
      <c r="D16" s="13" t="s">
        <v>14</v>
      </c>
      <c r="E16" s="13">
        <f t="shared" ref="E16:Y16" si="1">SUM(E14:E15)</f>
        <v>269</v>
      </c>
      <c r="F16" s="13">
        <f t="shared" si="1"/>
        <v>268</v>
      </c>
      <c r="G16" s="13">
        <f t="shared" si="1"/>
        <v>288</v>
      </c>
      <c r="H16" s="13">
        <f t="shared" si="1"/>
        <v>277</v>
      </c>
      <c r="I16" s="13">
        <f t="shared" si="1"/>
        <v>270</v>
      </c>
      <c r="J16" s="13">
        <f t="shared" si="1"/>
        <v>239</v>
      </c>
      <c r="K16" s="13">
        <f t="shared" si="1"/>
        <v>290</v>
      </c>
      <c r="L16" s="13">
        <f t="shared" si="1"/>
        <v>253</v>
      </c>
      <c r="M16" s="13">
        <f t="shared" si="1"/>
        <v>287</v>
      </c>
      <c r="N16" s="13">
        <f t="shared" si="1"/>
        <v>243</v>
      </c>
      <c r="O16" s="13">
        <f t="shared" si="1"/>
        <v>287</v>
      </c>
      <c r="P16" s="13">
        <f t="shared" si="1"/>
        <v>227</v>
      </c>
      <c r="Q16" s="13">
        <f t="shared" si="1"/>
        <v>285</v>
      </c>
      <c r="R16" s="13">
        <f t="shared" si="1"/>
        <v>248</v>
      </c>
      <c r="S16" s="13">
        <f t="shared" si="1"/>
        <v>270</v>
      </c>
      <c r="T16" s="13">
        <f t="shared" si="1"/>
        <v>283</v>
      </c>
      <c r="U16" s="13">
        <f t="shared" si="1"/>
        <v>287</v>
      </c>
      <c r="V16" s="13">
        <f t="shared" si="1"/>
        <v>275</v>
      </c>
      <c r="W16" s="13">
        <f t="shared" si="1"/>
        <v>264</v>
      </c>
      <c r="X16" s="13">
        <f t="shared" si="1"/>
        <v>281</v>
      </c>
      <c r="Y16" s="13">
        <f t="shared" si="1"/>
        <v>216</v>
      </c>
      <c r="Z16" s="13">
        <f t="shared" si="0"/>
        <v>5607</v>
      </c>
    </row>
    <row r="17" spans="1:26" ht="12.75" customHeight="1" x14ac:dyDescent="0.3">
      <c r="A17" s="61"/>
      <c r="B17" s="60"/>
      <c r="C17" s="60"/>
      <c r="D17" s="58"/>
      <c r="E17" s="16"/>
      <c r="F17" s="16"/>
      <c r="G17" s="16"/>
      <c r="H17" s="16"/>
      <c r="I17" s="16"/>
      <c r="J17" s="16"/>
      <c r="K17" s="16"/>
      <c r="L17" s="16"/>
      <c r="M17" s="16"/>
      <c r="N17" s="48"/>
      <c r="O17" s="48"/>
      <c r="P17" s="48"/>
      <c r="Q17" s="48"/>
      <c r="R17" s="16"/>
      <c r="S17" s="16"/>
      <c r="T17" s="16"/>
      <c r="U17" s="48"/>
      <c r="V17" s="48"/>
      <c r="W17" s="48"/>
      <c r="X17" s="48"/>
      <c r="Y17" s="16"/>
      <c r="Z17" s="49"/>
    </row>
    <row r="18" spans="1:26" ht="12.75" customHeight="1" x14ac:dyDescent="0.3">
      <c r="A18" s="20" t="s">
        <v>15</v>
      </c>
      <c r="B18" s="70" t="s">
        <v>16</v>
      </c>
      <c r="C18" s="60"/>
      <c r="D18" s="58"/>
      <c r="E18" s="16"/>
      <c r="F18" s="16"/>
      <c r="G18" s="16"/>
      <c r="H18" s="16"/>
      <c r="I18" s="16"/>
      <c r="J18" s="16"/>
      <c r="K18" s="16"/>
      <c r="L18" s="16"/>
      <c r="M18" s="16"/>
      <c r="N18" s="48"/>
      <c r="O18" s="48"/>
      <c r="P18" s="48"/>
      <c r="Q18" s="48"/>
      <c r="R18" s="16"/>
      <c r="S18" s="16"/>
      <c r="T18" s="16"/>
      <c r="U18" s="48"/>
      <c r="V18" s="48"/>
      <c r="W18" s="48"/>
      <c r="X18" s="48"/>
      <c r="Y18" s="16"/>
      <c r="Z18" s="49"/>
    </row>
    <row r="19" spans="1:26" ht="12.75" customHeight="1" x14ac:dyDescent="0.3">
      <c r="A19" s="20"/>
      <c r="B19" s="77" t="s">
        <v>17</v>
      </c>
      <c r="C19" s="74" t="s">
        <v>18</v>
      </c>
      <c r="D19" s="16" t="s">
        <v>12</v>
      </c>
      <c r="E19" s="16">
        <v>103</v>
      </c>
      <c r="F19" s="16">
        <v>98</v>
      </c>
      <c r="G19" s="16">
        <v>122</v>
      </c>
      <c r="H19" s="16">
        <v>105</v>
      </c>
      <c r="I19" s="16">
        <v>96</v>
      </c>
      <c r="J19" s="16">
        <v>101</v>
      </c>
      <c r="K19" s="16">
        <v>118</v>
      </c>
      <c r="L19" s="16">
        <v>101</v>
      </c>
      <c r="M19" s="16">
        <v>105</v>
      </c>
      <c r="N19" s="16">
        <v>96</v>
      </c>
      <c r="O19" s="16">
        <v>119</v>
      </c>
      <c r="P19" s="16">
        <v>85</v>
      </c>
      <c r="Q19" s="16">
        <v>107</v>
      </c>
      <c r="R19" s="16">
        <v>102</v>
      </c>
      <c r="S19" s="16">
        <v>101</v>
      </c>
      <c r="T19" s="16">
        <v>111</v>
      </c>
      <c r="U19" s="16">
        <v>108</v>
      </c>
      <c r="V19" s="16">
        <v>103</v>
      </c>
      <c r="W19" s="16">
        <v>102</v>
      </c>
      <c r="X19" s="16">
        <v>109</v>
      </c>
      <c r="Y19" s="16">
        <v>91</v>
      </c>
      <c r="Z19" s="13">
        <f t="shared" ref="Z19:Z30" si="2">SUM(E19:Y19)</f>
        <v>2183</v>
      </c>
    </row>
    <row r="20" spans="1:26" ht="12.75" customHeight="1" x14ac:dyDescent="0.3">
      <c r="A20" s="21"/>
      <c r="B20" s="73"/>
      <c r="C20" s="75"/>
      <c r="D20" s="16" t="s">
        <v>13</v>
      </c>
      <c r="E20" s="16">
        <v>111</v>
      </c>
      <c r="F20" s="16">
        <v>108</v>
      </c>
      <c r="G20" s="16">
        <v>104</v>
      </c>
      <c r="H20" s="16">
        <v>119</v>
      </c>
      <c r="I20" s="16">
        <v>121</v>
      </c>
      <c r="J20" s="16">
        <v>87</v>
      </c>
      <c r="K20" s="16">
        <v>133</v>
      </c>
      <c r="L20" s="16">
        <v>110</v>
      </c>
      <c r="M20" s="16">
        <v>123</v>
      </c>
      <c r="N20" s="16">
        <v>106</v>
      </c>
      <c r="O20" s="16">
        <v>117</v>
      </c>
      <c r="P20" s="16">
        <v>98</v>
      </c>
      <c r="Q20" s="16">
        <v>116</v>
      </c>
      <c r="R20" s="16">
        <v>106</v>
      </c>
      <c r="S20" s="16">
        <v>114</v>
      </c>
      <c r="T20" s="16">
        <v>120</v>
      </c>
      <c r="U20" s="16">
        <v>112</v>
      </c>
      <c r="V20" s="16">
        <v>104</v>
      </c>
      <c r="W20" s="16">
        <v>92</v>
      </c>
      <c r="X20" s="16">
        <v>128</v>
      </c>
      <c r="Y20" s="16">
        <v>85</v>
      </c>
      <c r="Z20" s="13">
        <f t="shared" si="2"/>
        <v>2314</v>
      </c>
    </row>
    <row r="21" spans="1:26" ht="12.75" customHeight="1" x14ac:dyDescent="0.3">
      <c r="A21" s="22"/>
      <c r="B21" s="65"/>
      <c r="C21" s="76"/>
      <c r="D21" s="13" t="s">
        <v>14</v>
      </c>
      <c r="E21" s="13">
        <f t="shared" ref="E21:Y21" si="3">SUM(E19:E20)</f>
        <v>214</v>
      </c>
      <c r="F21" s="13">
        <f t="shared" si="3"/>
        <v>206</v>
      </c>
      <c r="G21" s="13">
        <f t="shared" si="3"/>
        <v>226</v>
      </c>
      <c r="H21" s="13">
        <f t="shared" si="3"/>
        <v>224</v>
      </c>
      <c r="I21" s="13">
        <f t="shared" si="3"/>
        <v>217</v>
      </c>
      <c r="J21" s="13">
        <f t="shared" si="3"/>
        <v>188</v>
      </c>
      <c r="K21" s="13">
        <f t="shared" si="3"/>
        <v>251</v>
      </c>
      <c r="L21" s="13">
        <f t="shared" si="3"/>
        <v>211</v>
      </c>
      <c r="M21" s="13">
        <f t="shared" si="3"/>
        <v>228</v>
      </c>
      <c r="N21" s="13">
        <f t="shared" si="3"/>
        <v>202</v>
      </c>
      <c r="O21" s="13">
        <f t="shared" si="3"/>
        <v>236</v>
      </c>
      <c r="P21" s="13">
        <f t="shared" si="3"/>
        <v>183</v>
      </c>
      <c r="Q21" s="13">
        <f t="shared" si="3"/>
        <v>223</v>
      </c>
      <c r="R21" s="13">
        <f t="shared" si="3"/>
        <v>208</v>
      </c>
      <c r="S21" s="13">
        <f t="shared" si="3"/>
        <v>215</v>
      </c>
      <c r="T21" s="13">
        <f t="shared" si="3"/>
        <v>231</v>
      </c>
      <c r="U21" s="13">
        <f t="shared" si="3"/>
        <v>220</v>
      </c>
      <c r="V21" s="13">
        <f t="shared" si="3"/>
        <v>207</v>
      </c>
      <c r="W21" s="13">
        <f t="shared" si="3"/>
        <v>194</v>
      </c>
      <c r="X21" s="13">
        <f t="shared" si="3"/>
        <v>237</v>
      </c>
      <c r="Y21" s="13">
        <f t="shared" si="3"/>
        <v>176</v>
      </c>
      <c r="Z21" s="13">
        <f t="shared" si="2"/>
        <v>4497</v>
      </c>
    </row>
    <row r="22" spans="1:26" ht="12.75" customHeight="1" x14ac:dyDescent="0.3">
      <c r="A22" s="21"/>
      <c r="B22" s="77" t="s">
        <v>19</v>
      </c>
      <c r="C22" s="74" t="s">
        <v>20</v>
      </c>
      <c r="D22" s="16" t="s">
        <v>12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1</v>
      </c>
      <c r="Q22" s="16">
        <v>1</v>
      </c>
      <c r="R22" s="16">
        <v>1</v>
      </c>
      <c r="S22" s="16">
        <v>1</v>
      </c>
      <c r="T22" s="16">
        <v>0</v>
      </c>
      <c r="U22" s="16">
        <v>0</v>
      </c>
      <c r="V22" s="16">
        <v>0</v>
      </c>
      <c r="W22" s="16">
        <v>1</v>
      </c>
      <c r="X22" s="16">
        <v>0</v>
      </c>
      <c r="Y22" s="16">
        <v>1</v>
      </c>
      <c r="Z22" s="13">
        <f t="shared" si="2"/>
        <v>6</v>
      </c>
    </row>
    <row r="23" spans="1:26" ht="12.75" customHeight="1" x14ac:dyDescent="0.3">
      <c r="A23" s="21"/>
      <c r="B23" s="73"/>
      <c r="C23" s="75"/>
      <c r="D23" s="16" t="s">
        <v>13</v>
      </c>
      <c r="E23" s="16">
        <v>0</v>
      </c>
      <c r="F23" s="16">
        <v>0</v>
      </c>
      <c r="G23" s="16">
        <v>0</v>
      </c>
      <c r="H23" s="16">
        <v>1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1</v>
      </c>
      <c r="R23" s="16">
        <v>0</v>
      </c>
      <c r="S23" s="16">
        <v>2</v>
      </c>
      <c r="T23" s="16">
        <v>0</v>
      </c>
      <c r="U23" s="16">
        <v>0</v>
      </c>
      <c r="V23" s="16">
        <v>0</v>
      </c>
      <c r="W23" s="16">
        <v>1</v>
      </c>
      <c r="X23" s="16">
        <v>0</v>
      </c>
      <c r="Y23" s="16">
        <v>0</v>
      </c>
      <c r="Z23" s="13">
        <f t="shared" si="2"/>
        <v>5</v>
      </c>
    </row>
    <row r="24" spans="1:26" ht="12.75" customHeight="1" x14ac:dyDescent="0.3">
      <c r="A24" s="22"/>
      <c r="B24" s="65"/>
      <c r="C24" s="76"/>
      <c r="D24" s="13" t="s">
        <v>14</v>
      </c>
      <c r="E24" s="13">
        <f t="shared" ref="E24:Y24" si="4">SUM(E22:E23)</f>
        <v>0</v>
      </c>
      <c r="F24" s="13">
        <f t="shared" si="4"/>
        <v>0</v>
      </c>
      <c r="G24" s="13">
        <f t="shared" si="4"/>
        <v>0</v>
      </c>
      <c r="H24" s="13">
        <f t="shared" si="4"/>
        <v>1</v>
      </c>
      <c r="I24" s="13">
        <f t="shared" si="4"/>
        <v>0</v>
      </c>
      <c r="J24" s="13">
        <f t="shared" si="4"/>
        <v>0</v>
      </c>
      <c r="K24" s="13">
        <f t="shared" si="4"/>
        <v>0</v>
      </c>
      <c r="L24" s="13">
        <f t="shared" si="4"/>
        <v>0</v>
      </c>
      <c r="M24" s="13">
        <f t="shared" si="4"/>
        <v>0</v>
      </c>
      <c r="N24" s="13">
        <f t="shared" si="4"/>
        <v>0</v>
      </c>
      <c r="O24" s="13">
        <f t="shared" si="4"/>
        <v>0</v>
      </c>
      <c r="P24" s="13">
        <f t="shared" si="4"/>
        <v>1</v>
      </c>
      <c r="Q24" s="13">
        <f t="shared" si="4"/>
        <v>2</v>
      </c>
      <c r="R24" s="13">
        <f t="shared" si="4"/>
        <v>1</v>
      </c>
      <c r="S24" s="13">
        <f t="shared" si="4"/>
        <v>3</v>
      </c>
      <c r="T24" s="13">
        <f t="shared" si="4"/>
        <v>0</v>
      </c>
      <c r="U24" s="13">
        <f t="shared" si="4"/>
        <v>0</v>
      </c>
      <c r="V24" s="13">
        <f t="shared" si="4"/>
        <v>0</v>
      </c>
      <c r="W24" s="13">
        <f t="shared" si="4"/>
        <v>2</v>
      </c>
      <c r="X24" s="13">
        <f t="shared" si="4"/>
        <v>0</v>
      </c>
      <c r="Y24" s="13">
        <f t="shared" si="4"/>
        <v>1</v>
      </c>
      <c r="Z24" s="13">
        <f t="shared" si="2"/>
        <v>11</v>
      </c>
    </row>
    <row r="25" spans="1:26" ht="12.75" customHeight="1" x14ac:dyDescent="0.3">
      <c r="A25" s="21"/>
      <c r="B25" s="77" t="s">
        <v>21</v>
      </c>
      <c r="C25" s="74" t="s">
        <v>22</v>
      </c>
      <c r="D25" s="16" t="s">
        <v>12</v>
      </c>
      <c r="E25" s="16">
        <v>1</v>
      </c>
      <c r="F25" s="16">
        <v>0</v>
      </c>
      <c r="G25" s="16">
        <v>0</v>
      </c>
      <c r="H25" s="16">
        <v>0</v>
      </c>
      <c r="I25" s="16">
        <v>1</v>
      </c>
      <c r="J25" s="16">
        <v>2</v>
      </c>
      <c r="K25" s="16">
        <v>2</v>
      </c>
      <c r="L25" s="16">
        <v>0</v>
      </c>
      <c r="M25" s="16">
        <v>1</v>
      </c>
      <c r="N25" s="16">
        <v>3</v>
      </c>
      <c r="O25" s="16">
        <v>1</v>
      </c>
      <c r="P25" s="16">
        <v>2</v>
      </c>
      <c r="Q25" s="16">
        <v>0</v>
      </c>
      <c r="R25" s="16">
        <v>1</v>
      </c>
      <c r="S25" s="16">
        <v>4</v>
      </c>
      <c r="T25" s="16">
        <v>4</v>
      </c>
      <c r="U25" s="16">
        <v>0</v>
      </c>
      <c r="V25" s="16">
        <v>1</v>
      </c>
      <c r="W25" s="16">
        <v>1</v>
      </c>
      <c r="X25" s="16">
        <v>1</v>
      </c>
      <c r="Y25" s="16">
        <v>2</v>
      </c>
      <c r="Z25" s="13">
        <f t="shared" si="2"/>
        <v>27</v>
      </c>
    </row>
    <row r="26" spans="1:26" ht="12.75" customHeight="1" x14ac:dyDescent="0.3">
      <c r="A26" s="21"/>
      <c r="B26" s="73"/>
      <c r="C26" s="75"/>
      <c r="D26" s="16" t="s">
        <v>13</v>
      </c>
      <c r="E26" s="16">
        <v>1</v>
      </c>
      <c r="F26" s="16">
        <v>1</v>
      </c>
      <c r="G26" s="16">
        <v>1</v>
      </c>
      <c r="H26" s="16">
        <v>0</v>
      </c>
      <c r="I26" s="16">
        <v>2</v>
      </c>
      <c r="J26" s="16">
        <v>1</v>
      </c>
      <c r="K26" s="16">
        <v>4</v>
      </c>
      <c r="L26" s="16">
        <v>0</v>
      </c>
      <c r="M26" s="16">
        <v>4</v>
      </c>
      <c r="N26" s="16">
        <v>4</v>
      </c>
      <c r="O26" s="16">
        <v>3</v>
      </c>
      <c r="P26" s="16">
        <v>4</v>
      </c>
      <c r="Q26" s="16">
        <v>0</v>
      </c>
      <c r="R26" s="16">
        <v>3</v>
      </c>
      <c r="S26" s="16">
        <v>7</v>
      </c>
      <c r="T26" s="16">
        <v>6</v>
      </c>
      <c r="U26" s="16">
        <v>3</v>
      </c>
      <c r="V26" s="16">
        <v>0</v>
      </c>
      <c r="W26" s="16">
        <v>1</v>
      </c>
      <c r="X26" s="16">
        <v>1</v>
      </c>
      <c r="Y26" s="16">
        <v>0</v>
      </c>
      <c r="Z26" s="13">
        <f t="shared" si="2"/>
        <v>46</v>
      </c>
    </row>
    <row r="27" spans="1:26" ht="12.75" customHeight="1" x14ac:dyDescent="0.3">
      <c r="A27" s="22"/>
      <c r="B27" s="65"/>
      <c r="C27" s="76"/>
      <c r="D27" s="13" t="s">
        <v>14</v>
      </c>
      <c r="E27" s="13">
        <f t="shared" ref="E27:Y27" si="5">SUM(E25:E26)</f>
        <v>2</v>
      </c>
      <c r="F27" s="13">
        <f t="shared" si="5"/>
        <v>1</v>
      </c>
      <c r="G27" s="13">
        <f t="shared" si="5"/>
        <v>1</v>
      </c>
      <c r="H27" s="13">
        <f t="shared" si="5"/>
        <v>0</v>
      </c>
      <c r="I27" s="13">
        <f t="shared" si="5"/>
        <v>3</v>
      </c>
      <c r="J27" s="13">
        <f t="shared" si="5"/>
        <v>3</v>
      </c>
      <c r="K27" s="13">
        <f t="shared" si="5"/>
        <v>6</v>
      </c>
      <c r="L27" s="13">
        <f t="shared" si="5"/>
        <v>0</v>
      </c>
      <c r="M27" s="13">
        <f t="shared" si="5"/>
        <v>5</v>
      </c>
      <c r="N27" s="13">
        <f t="shared" si="5"/>
        <v>7</v>
      </c>
      <c r="O27" s="13">
        <f t="shared" si="5"/>
        <v>4</v>
      </c>
      <c r="P27" s="13">
        <f t="shared" si="5"/>
        <v>6</v>
      </c>
      <c r="Q27" s="13">
        <f t="shared" si="5"/>
        <v>0</v>
      </c>
      <c r="R27" s="13">
        <f t="shared" si="5"/>
        <v>4</v>
      </c>
      <c r="S27" s="13">
        <f t="shared" si="5"/>
        <v>11</v>
      </c>
      <c r="T27" s="13">
        <f t="shared" si="5"/>
        <v>10</v>
      </c>
      <c r="U27" s="13">
        <f t="shared" si="5"/>
        <v>3</v>
      </c>
      <c r="V27" s="13">
        <f t="shared" si="5"/>
        <v>1</v>
      </c>
      <c r="W27" s="13">
        <f t="shared" si="5"/>
        <v>2</v>
      </c>
      <c r="X27" s="13">
        <f t="shared" si="5"/>
        <v>2</v>
      </c>
      <c r="Y27" s="13">
        <f t="shared" si="5"/>
        <v>2</v>
      </c>
      <c r="Z27" s="13">
        <f t="shared" si="2"/>
        <v>73</v>
      </c>
    </row>
    <row r="28" spans="1:26" ht="12.75" customHeight="1" x14ac:dyDescent="0.3">
      <c r="A28" s="22"/>
      <c r="B28" s="78" t="s">
        <v>23</v>
      </c>
      <c r="C28" s="79" t="s">
        <v>24</v>
      </c>
      <c r="D28" s="13" t="s">
        <v>12</v>
      </c>
      <c r="E28" s="13">
        <f t="shared" ref="E28:Y28" si="6">SUM(E19,E22,E25)</f>
        <v>104</v>
      </c>
      <c r="F28" s="13">
        <f t="shared" si="6"/>
        <v>98</v>
      </c>
      <c r="G28" s="13">
        <f t="shared" si="6"/>
        <v>122</v>
      </c>
      <c r="H28" s="13">
        <f t="shared" si="6"/>
        <v>105</v>
      </c>
      <c r="I28" s="13">
        <f t="shared" si="6"/>
        <v>97</v>
      </c>
      <c r="J28" s="13">
        <f t="shared" si="6"/>
        <v>103</v>
      </c>
      <c r="K28" s="13">
        <f t="shared" si="6"/>
        <v>120</v>
      </c>
      <c r="L28" s="13">
        <f t="shared" si="6"/>
        <v>101</v>
      </c>
      <c r="M28" s="13">
        <f t="shared" si="6"/>
        <v>106</v>
      </c>
      <c r="N28" s="13">
        <f t="shared" si="6"/>
        <v>99</v>
      </c>
      <c r="O28" s="13">
        <f t="shared" si="6"/>
        <v>120</v>
      </c>
      <c r="P28" s="13">
        <f t="shared" si="6"/>
        <v>88</v>
      </c>
      <c r="Q28" s="13">
        <f t="shared" si="6"/>
        <v>108</v>
      </c>
      <c r="R28" s="13">
        <f t="shared" si="6"/>
        <v>104</v>
      </c>
      <c r="S28" s="13">
        <f t="shared" si="6"/>
        <v>106</v>
      </c>
      <c r="T28" s="13">
        <f t="shared" si="6"/>
        <v>115</v>
      </c>
      <c r="U28" s="13">
        <f t="shared" si="6"/>
        <v>108</v>
      </c>
      <c r="V28" s="13">
        <f t="shared" si="6"/>
        <v>104</v>
      </c>
      <c r="W28" s="13">
        <f t="shared" si="6"/>
        <v>104</v>
      </c>
      <c r="X28" s="13">
        <f t="shared" si="6"/>
        <v>110</v>
      </c>
      <c r="Y28" s="13">
        <f t="shared" si="6"/>
        <v>94</v>
      </c>
      <c r="Z28" s="13">
        <f t="shared" si="2"/>
        <v>2216</v>
      </c>
    </row>
    <row r="29" spans="1:26" ht="12.75" customHeight="1" x14ac:dyDescent="0.3">
      <c r="A29" s="22"/>
      <c r="B29" s="73"/>
      <c r="C29" s="75"/>
      <c r="D29" s="13" t="s">
        <v>13</v>
      </c>
      <c r="E29" s="13">
        <f t="shared" ref="E29:Y29" si="7">SUM(E20,E23,E26)</f>
        <v>112</v>
      </c>
      <c r="F29" s="13">
        <f t="shared" si="7"/>
        <v>109</v>
      </c>
      <c r="G29" s="13">
        <f t="shared" si="7"/>
        <v>105</v>
      </c>
      <c r="H29" s="13">
        <f t="shared" si="7"/>
        <v>120</v>
      </c>
      <c r="I29" s="13">
        <f t="shared" si="7"/>
        <v>123</v>
      </c>
      <c r="J29" s="13">
        <f t="shared" si="7"/>
        <v>88</v>
      </c>
      <c r="K29" s="13">
        <f t="shared" si="7"/>
        <v>137</v>
      </c>
      <c r="L29" s="13">
        <f t="shared" si="7"/>
        <v>110</v>
      </c>
      <c r="M29" s="13">
        <f t="shared" si="7"/>
        <v>127</v>
      </c>
      <c r="N29" s="13">
        <f t="shared" si="7"/>
        <v>110</v>
      </c>
      <c r="O29" s="13">
        <f t="shared" si="7"/>
        <v>120</v>
      </c>
      <c r="P29" s="13">
        <f t="shared" si="7"/>
        <v>102</v>
      </c>
      <c r="Q29" s="13">
        <f t="shared" si="7"/>
        <v>117</v>
      </c>
      <c r="R29" s="13">
        <f t="shared" si="7"/>
        <v>109</v>
      </c>
      <c r="S29" s="13">
        <f t="shared" si="7"/>
        <v>123</v>
      </c>
      <c r="T29" s="13">
        <f t="shared" si="7"/>
        <v>126</v>
      </c>
      <c r="U29" s="13">
        <f t="shared" si="7"/>
        <v>115</v>
      </c>
      <c r="V29" s="13">
        <f t="shared" si="7"/>
        <v>104</v>
      </c>
      <c r="W29" s="13">
        <f t="shared" si="7"/>
        <v>94</v>
      </c>
      <c r="X29" s="13">
        <f t="shared" si="7"/>
        <v>129</v>
      </c>
      <c r="Y29" s="13">
        <f t="shared" si="7"/>
        <v>85</v>
      </c>
      <c r="Z29" s="13">
        <f t="shared" si="2"/>
        <v>2365</v>
      </c>
    </row>
    <row r="30" spans="1:26" ht="12.75" customHeight="1" x14ac:dyDescent="0.3">
      <c r="A30" s="22"/>
      <c r="B30" s="65"/>
      <c r="C30" s="76"/>
      <c r="D30" s="13" t="s">
        <v>14</v>
      </c>
      <c r="E30" s="13">
        <f t="shared" ref="E30:Y30" si="8">SUM(E28:E29)</f>
        <v>216</v>
      </c>
      <c r="F30" s="13">
        <f t="shared" si="8"/>
        <v>207</v>
      </c>
      <c r="G30" s="13">
        <f t="shared" si="8"/>
        <v>227</v>
      </c>
      <c r="H30" s="13">
        <f t="shared" si="8"/>
        <v>225</v>
      </c>
      <c r="I30" s="13">
        <f t="shared" si="8"/>
        <v>220</v>
      </c>
      <c r="J30" s="13">
        <f t="shared" si="8"/>
        <v>191</v>
      </c>
      <c r="K30" s="13">
        <f t="shared" si="8"/>
        <v>257</v>
      </c>
      <c r="L30" s="13">
        <f t="shared" si="8"/>
        <v>211</v>
      </c>
      <c r="M30" s="13">
        <f t="shared" si="8"/>
        <v>233</v>
      </c>
      <c r="N30" s="13">
        <f t="shared" si="8"/>
        <v>209</v>
      </c>
      <c r="O30" s="13">
        <f t="shared" si="8"/>
        <v>240</v>
      </c>
      <c r="P30" s="13">
        <f t="shared" si="8"/>
        <v>190</v>
      </c>
      <c r="Q30" s="13">
        <f t="shared" si="8"/>
        <v>225</v>
      </c>
      <c r="R30" s="13">
        <f t="shared" si="8"/>
        <v>213</v>
      </c>
      <c r="S30" s="13">
        <f t="shared" si="8"/>
        <v>229</v>
      </c>
      <c r="T30" s="13">
        <f t="shared" si="8"/>
        <v>241</v>
      </c>
      <c r="U30" s="13">
        <f t="shared" si="8"/>
        <v>223</v>
      </c>
      <c r="V30" s="13">
        <f t="shared" si="8"/>
        <v>208</v>
      </c>
      <c r="W30" s="13">
        <f t="shared" si="8"/>
        <v>198</v>
      </c>
      <c r="X30" s="13">
        <f t="shared" si="8"/>
        <v>239</v>
      </c>
      <c r="Y30" s="13">
        <f t="shared" si="8"/>
        <v>179</v>
      </c>
      <c r="Z30" s="13">
        <f t="shared" si="2"/>
        <v>4581</v>
      </c>
    </row>
    <row r="31" spans="1:26" ht="12.75" customHeight="1" x14ac:dyDescent="0.3">
      <c r="A31" s="61"/>
      <c r="B31" s="60"/>
      <c r="C31" s="60"/>
      <c r="D31" s="58"/>
      <c r="E31" s="16"/>
      <c r="F31" s="16"/>
      <c r="G31" s="16"/>
      <c r="H31" s="16"/>
      <c r="I31" s="16"/>
      <c r="J31" s="16"/>
      <c r="K31" s="16"/>
      <c r="L31" s="16"/>
      <c r="M31" s="16"/>
      <c r="N31" s="48"/>
      <c r="O31" s="48"/>
      <c r="P31" s="48"/>
      <c r="Q31" s="48"/>
      <c r="R31" s="16"/>
      <c r="S31" s="16"/>
      <c r="T31" s="16"/>
      <c r="U31" s="48"/>
      <c r="V31" s="48"/>
      <c r="W31" s="48"/>
      <c r="X31" s="48"/>
      <c r="Y31" s="16"/>
      <c r="Z31" s="49"/>
    </row>
    <row r="32" spans="1:26" ht="12.75" customHeight="1" x14ac:dyDescent="0.3">
      <c r="A32" s="25" t="s">
        <v>25</v>
      </c>
      <c r="B32" s="66" t="s">
        <v>26</v>
      </c>
      <c r="C32" s="60"/>
      <c r="D32" s="58"/>
      <c r="E32" s="13"/>
      <c r="F32" s="13"/>
      <c r="G32" s="13"/>
      <c r="H32" s="13"/>
      <c r="I32" s="13"/>
      <c r="J32" s="13"/>
      <c r="K32" s="13"/>
      <c r="L32" s="13"/>
      <c r="M32" s="13"/>
      <c r="N32" s="50"/>
      <c r="O32" s="50"/>
      <c r="P32" s="50"/>
      <c r="Q32" s="50"/>
      <c r="R32" s="13"/>
      <c r="S32" s="13"/>
      <c r="T32" s="13"/>
      <c r="U32" s="50"/>
      <c r="V32" s="50"/>
      <c r="W32" s="50"/>
      <c r="X32" s="50"/>
      <c r="Y32" s="13"/>
      <c r="Z32" s="49"/>
    </row>
    <row r="33" spans="1:26" ht="12.75" customHeight="1" x14ac:dyDescent="0.3">
      <c r="A33" s="16">
        <v>1</v>
      </c>
      <c r="B33" s="70" t="s">
        <v>27</v>
      </c>
      <c r="C33" s="60"/>
      <c r="D33" s="58"/>
      <c r="E33" s="16">
        <v>275</v>
      </c>
      <c r="F33" s="16">
        <v>274</v>
      </c>
      <c r="G33" s="16">
        <v>294</v>
      </c>
      <c r="H33" s="16">
        <v>283</v>
      </c>
      <c r="I33" s="16">
        <v>276</v>
      </c>
      <c r="J33" s="16">
        <v>244</v>
      </c>
      <c r="K33" s="16">
        <v>296</v>
      </c>
      <c r="L33" s="16">
        <v>259</v>
      </c>
      <c r="M33" s="16">
        <v>293</v>
      </c>
      <c r="N33" s="16">
        <v>248</v>
      </c>
      <c r="O33" s="16">
        <v>293</v>
      </c>
      <c r="P33" s="16">
        <v>232</v>
      </c>
      <c r="Q33" s="16">
        <v>291</v>
      </c>
      <c r="R33" s="16">
        <v>253</v>
      </c>
      <c r="S33" s="16">
        <v>276</v>
      </c>
      <c r="T33" s="16">
        <v>289</v>
      </c>
      <c r="U33" s="16">
        <v>293</v>
      </c>
      <c r="V33" s="16">
        <v>281</v>
      </c>
      <c r="W33" s="16">
        <v>270</v>
      </c>
      <c r="X33" s="16">
        <v>287</v>
      </c>
      <c r="Y33" s="16">
        <v>221</v>
      </c>
      <c r="Z33" s="13">
        <f t="shared" ref="Z33:Z36" si="9">SUM(E33:Y33)</f>
        <v>5728</v>
      </c>
    </row>
    <row r="34" spans="1:26" ht="12.75" customHeight="1" x14ac:dyDescent="0.3">
      <c r="A34" s="16">
        <v>2</v>
      </c>
      <c r="B34" s="70" t="s">
        <v>28</v>
      </c>
      <c r="C34" s="60"/>
      <c r="D34" s="58"/>
      <c r="E34" s="13">
        <v>216</v>
      </c>
      <c r="F34" s="13">
        <v>207</v>
      </c>
      <c r="G34" s="13">
        <v>227</v>
      </c>
      <c r="H34" s="13">
        <v>225</v>
      </c>
      <c r="I34" s="13">
        <v>220</v>
      </c>
      <c r="J34" s="13">
        <v>191</v>
      </c>
      <c r="K34" s="13">
        <v>257</v>
      </c>
      <c r="L34" s="13">
        <v>211</v>
      </c>
      <c r="M34" s="13">
        <v>233</v>
      </c>
      <c r="N34" s="13">
        <v>209</v>
      </c>
      <c r="O34" s="13">
        <v>240</v>
      </c>
      <c r="P34" s="13">
        <v>190</v>
      </c>
      <c r="Q34" s="13">
        <v>225</v>
      </c>
      <c r="R34" s="13">
        <v>213</v>
      </c>
      <c r="S34" s="13">
        <v>229</v>
      </c>
      <c r="T34" s="13">
        <v>241</v>
      </c>
      <c r="U34" s="13">
        <v>223</v>
      </c>
      <c r="V34" s="13">
        <v>208</v>
      </c>
      <c r="W34" s="13">
        <v>198</v>
      </c>
      <c r="X34" s="13">
        <v>239</v>
      </c>
      <c r="Y34" s="13">
        <v>179</v>
      </c>
      <c r="Z34" s="13">
        <f t="shared" si="9"/>
        <v>4581</v>
      </c>
    </row>
    <row r="35" spans="1:26" ht="12.75" customHeight="1" x14ac:dyDescent="0.3">
      <c r="A35" s="16">
        <v>3</v>
      </c>
      <c r="B35" s="70" t="s">
        <v>29</v>
      </c>
      <c r="C35" s="60"/>
      <c r="D35" s="58"/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3</v>
      </c>
      <c r="N35" s="16">
        <v>1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11</v>
      </c>
      <c r="W35" s="16">
        <v>0</v>
      </c>
      <c r="X35" s="16">
        <v>0</v>
      </c>
      <c r="Y35" s="16">
        <v>0</v>
      </c>
      <c r="Z35" s="13">
        <f t="shared" si="9"/>
        <v>15</v>
      </c>
    </row>
    <row r="36" spans="1:26" ht="12.75" customHeight="1" x14ac:dyDescent="0.3">
      <c r="A36" s="16">
        <v>4</v>
      </c>
      <c r="B36" s="70" t="s">
        <v>30</v>
      </c>
      <c r="C36" s="60"/>
      <c r="D36" s="58"/>
      <c r="E36" s="13">
        <f t="shared" ref="E36:Y36" si="10">E33-(E34+E35)</f>
        <v>59</v>
      </c>
      <c r="F36" s="13">
        <f t="shared" si="10"/>
        <v>67</v>
      </c>
      <c r="G36" s="13">
        <f t="shared" si="10"/>
        <v>67</v>
      </c>
      <c r="H36" s="13">
        <f t="shared" si="10"/>
        <v>58</v>
      </c>
      <c r="I36" s="13">
        <f t="shared" si="10"/>
        <v>56</v>
      </c>
      <c r="J36" s="13">
        <f t="shared" si="10"/>
        <v>53</v>
      </c>
      <c r="K36" s="13">
        <f t="shared" si="10"/>
        <v>39</v>
      </c>
      <c r="L36" s="13">
        <f t="shared" si="10"/>
        <v>48</v>
      </c>
      <c r="M36" s="13">
        <f t="shared" si="10"/>
        <v>57</v>
      </c>
      <c r="N36" s="13">
        <f t="shared" si="10"/>
        <v>38</v>
      </c>
      <c r="O36" s="13">
        <f t="shared" si="10"/>
        <v>53</v>
      </c>
      <c r="P36" s="13">
        <f t="shared" si="10"/>
        <v>42</v>
      </c>
      <c r="Q36" s="13">
        <f t="shared" si="10"/>
        <v>66</v>
      </c>
      <c r="R36" s="13">
        <f t="shared" si="10"/>
        <v>40</v>
      </c>
      <c r="S36" s="13">
        <f t="shared" si="10"/>
        <v>47</v>
      </c>
      <c r="T36" s="13">
        <f t="shared" si="10"/>
        <v>48</v>
      </c>
      <c r="U36" s="13">
        <f t="shared" si="10"/>
        <v>70</v>
      </c>
      <c r="V36" s="13">
        <f t="shared" si="10"/>
        <v>62</v>
      </c>
      <c r="W36" s="13">
        <f t="shared" si="10"/>
        <v>72</v>
      </c>
      <c r="X36" s="13">
        <f t="shared" si="10"/>
        <v>48</v>
      </c>
      <c r="Y36" s="13">
        <f t="shared" si="10"/>
        <v>42</v>
      </c>
      <c r="Z36" s="13">
        <f t="shared" si="9"/>
        <v>1132</v>
      </c>
    </row>
    <row r="37" spans="1:26" ht="12.75" customHeight="1" x14ac:dyDescent="0.3">
      <c r="A37" s="61"/>
      <c r="B37" s="60"/>
      <c r="C37" s="60"/>
      <c r="D37" s="60"/>
      <c r="E37" s="61"/>
      <c r="F37" s="60"/>
      <c r="G37" s="60"/>
      <c r="H37" s="60"/>
      <c r="I37" s="58"/>
      <c r="J37" s="16"/>
      <c r="K37" s="16"/>
      <c r="L37" s="16"/>
      <c r="M37" s="16"/>
      <c r="N37" s="48"/>
      <c r="O37" s="54"/>
      <c r="P37" s="54"/>
      <c r="Q37" s="54"/>
      <c r="R37" s="16"/>
      <c r="S37" s="16"/>
      <c r="T37" s="16"/>
      <c r="U37" s="48"/>
      <c r="V37" s="54"/>
      <c r="W37" s="54"/>
      <c r="X37" s="54"/>
      <c r="Y37" s="16"/>
      <c r="Z37" s="49"/>
    </row>
    <row r="38" spans="1:26" ht="12.75" customHeight="1" x14ac:dyDescent="0.3">
      <c r="A38" s="26" t="s">
        <v>31</v>
      </c>
      <c r="B38" s="66" t="s">
        <v>32</v>
      </c>
      <c r="C38" s="60"/>
      <c r="D38" s="58"/>
      <c r="E38" s="13"/>
      <c r="F38" s="13"/>
      <c r="G38" s="13"/>
      <c r="H38" s="13"/>
      <c r="I38" s="13"/>
      <c r="J38" s="13"/>
      <c r="K38" s="13"/>
      <c r="L38" s="13"/>
      <c r="M38" s="13"/>
      <c r="N38" s="50"/>
      <c r="O38" s="50"/>
      <c r="P38" s="50"/>
      <c r="Q38" s="50"/>
      <c r="R38" s="13"/>
      <c r="S38" s="13"/>
      <c r="T38" s="13"/>
      <c r="U38" s="50"/>
      <c r="V38" s="50"/>
      <c r="W38" s="50"/>
      <c r="X38" s="50"/>
      <c r="Y38" s="13"/>
      <c r="Z38" s="49"/>
    </row>
    <row r="39" spans="1:26" ht="12.75" customHeight="1" x14ac:dyDescent="0.3">
      <c r="A39" s="20"/>
      <c r="B39" s="80" t="s">
        <v>33</v>
      </c>
      <c r="C39" s="63"/>
      <c r="D39" s="16" t="s">
        <v>12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1</v>
      </c>
      <c r="Q39" s="16">
        <v>0</v>
      </c>
      <c r="R39" s="16">
        <v>0</v>
      </c>
      <c r="S39" s="16">
        <v>0</v>
      </c>
      <c r="T39" s="16">
        <v>0</v>
      </c>
      <c r="U39" s="16">
        <v>1</v>
      </c>
      <c r="V39" s="16">
        <v>0</v>
      </c>
      <c r="W39" s="16">
        <v>1</v>
      </c>
      <c r="X39" s="16">
        <v>0</v>
      </c>
      <c r="Y39" s="16">
        <v>0</v>
      </c>
      <c r="Z39" s="13">
        <f t="shared" ref="Z39:Z41" si="11">SUM(E39:Y39)</f>
        <v>3</v>
      </c>
    </row>
    <row r="40" spans="1:26" ht="12.75" customHeight="1" x14ac:dyDescent="0.3">
      <c r="A40" s="21"/>
      <c r="B40" s="81"/>
      <c r="C40" s="73"/>
      <c r="D40" s="16" t="s">
        <v>13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2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3">
        <f t="shared" si="11"/>
        <v>2</v>
      </c>
    </row>
    <row r="41" spans="1:26" ht="12.75" customHeight="1" x14ac:dyDescent="0.3">
      <c r="A41" s="25"/>
      <c r="B41" s="56"/>
      <c r="C41" s="65"/>
      <c r="D41" s="13" t="s">
        <v>14</v>
      </c>
      <c r="E41" s="13">
        <f t="shared" ref="E41:Y41" si="12">SUM(E39:E40)</f>
        <v>0</v>
      </c>
      <c r="F41" s="13">
        <f t="shared" si="12"/>
        <v>0</v>
      </c>
      <c r="G41" s="13">
        <f t="shared" si="12"/>
        <v>0</v>
      </c>
      <c r="H41" s="13">
        <f t="shared" si="12"/>
        <v>0</v>
      </c>
      <c r="I41" s="13">
        <f t="shared" si="12"/>
        <v>0</v>
      </c>
      <c r="J41" s="13">
        <f t="shared" si="12"/>
        <v>0</v>
      </c>
      <c r="K41" s="13">
        <f t="shared" si="12"/>
        <v>0</v>
      </c>
      <c r="L41" s="13">
        <f t="shared" si="12"/>
        <v>0</v>
      </c>
      <c r="M41" s="13">
        <f t="shared" si="12"/>
        <v>0</v>
      </c>
      <c r="N41" s="13">
        <f t="shared" si="12"/>
        <v>0</v>
      </c>
      <c r="O41" s="13">
        <f t="shared" si="12"/>
        <v>0</v>
      </c>
      <c r="P41" s="13">
        <f t="shared" si="12"/>
        <v>3</v>
      </c>
      <c r="Q41" s="13">
        <f t="shared" si="12"/>
        <v>0</v>
      </c>
      <c r="R41" s="13">
        <f t="shared" si="12"/>
        <v>0</v>
      </c>
      <c r="S41" s="13">
        <f t="shared" si="12"/>
        <v>0</v>
      </c>
      <c r="T41" s="13">
        <f t="shared" si="12"/>
        <v>0</v>
      </c>
      <c r="U41" s="13">
        <f t="shared" si="12"/>
        <v>1</v>
      </c>
      <c r="V41" s="13">
        <f t="shared" si="12"/>
        <v>0</v>
      </c>
      <c r="W41" s="13">
        <f t="shared" si="12"/>
        <v>1</v>
      </c>
      <c r="X41" s="13">
        <f t="shared" si="12"/>
        <v>0</v>
      </c>
      <c r="Y41" s="13">
        <f t="shared" si="12"/>
        <v>0</v>
      </c>
      <c r="Z41" s="13">
        <f t="shared" si="11"/>
        <v>5</v>
      </c>
    </row>
    <row r="42" spans="1:26" ht="12.75" customHeight="1" x14ac:dyDescent="0.3">
      <c r="A42" s="55"/>
      <c r="B42" s="56"/>
      <c r="C42" s="56"/>
      <c r="D42" s="65"/>
      <c r="E42" s="61"/>
      <c r="F42" s="60"/>
      <c r="G42" s="60"/>
      <c r="H42" s="60"/>
      <c r="I42" s="58"/>
      <c r="J42" s="16"/>
      <c r="K42" s="16"/>
      <c r="L42" s="16"/>
      <c r="M42" s="16"/>
      <c r="N42" s="48"/>
      <c r="O42" s="16"/>
      <c r="P42" s="48"/>
      <c r="Q42" s="16"/>
      <c r="R42" s="16"/>
      <c r="S42" s="16"/>
      <c r="T42" s="16"/>
      <c r="U42" s="48"/>
      <c r="V42" s="16"/>
      <c r="W42" s="48"/>
      <c r="X42" s="16"/>
      <c r="Y42" s="16"/>
      <c r="Z42" s="13"/>
    </row>
    <row r="43" spans="1:26" ht="12.75" customHeight="1" x14ac:dyDescent="0.3">
      <c r="A43" s="26" t="s">
        <v>34</v>
      </c>
      <c r="B43" s="66" t="s">
        <v>35</v>
      </c>
      <c r="C43" s="60"/>
      <c r="D43" s="58"/>
      <c r="E43" s="19"/>
      <c r="F43" s="13"/>
      <c r="G43" s="13"/>
      <c r="H43" s="13"/>
      <c r="I43" s="13"/>
      <c r="J43" s="13"/>
      <c r="K43" s="13"/>
      <c r="L43" s="13"/>
      <c r="M43" s="13"/>
      <c r="N43" s="50"/>
      <c r="O43" s="13"/>
      <c r="P43" s="50"/>
      <c r="Q43" s="13"/>
      <c r="R43" s="13"/>
      <c r="S43" s="13"/>
      <c r="T43" s="13"/>
      <c r="U43" s="50"/>
      <c r="V43" s="13"/>
      <c r="W43" s="50"/>
      <c r="X43" s="13"/>
      <c r="Y43" s="13"/>
      <c r="Z43" s="13"/>
    </row>
    <row r="44" spans="1:26" ht="12.75" customHeight="1" x14ac:dyDescent="0.3">
      <c r="A44" s="80" t="s">
        <v>36</v>
      </c>
      <c r="B44" s="82"/>
      <c r="C44" s="82"/>
      <c r="D44" s="63"/>
      <c r="E44" s="17"/>
      <c r="F44" s="16"/>
      <c r="G44" s="16"/>
      <c r="H44" s="16"/>
      <c r="I44" s="16"/>
      <c r="J44" s="16"/>
      <c r="K44" s="16"/>
      <c r="L44" s="16"/>
      <c r="M44" s="16"/>
      <c r="N44" s="48"/>
      <c r="O44" s="16"/>
      <c r="P44" s="48"/>
      <c r="Q44" s="16"/>
      <c r="R44" s="16"/>
      <c r="S44" s="16"/>
      <c r="T44" s="16"/>
      <c r="U44" s="48"/>
      <c r="V44" s="16"/>
      <c r="W44" s="48"/>
      <c r="X44" s="16"/>
      <c r="Y44" s="16"/>
      <c r="Z44" s="13"/>
    </row>
    <row r="45" spans="1:26" ht="12.75" customHeight="1" x14ac:dyDescent="0.3">
      <c r="A45" s="20" t="s">
        <v>37</v>
      </c>
      <c r="B45" s="27" t="s">
        <v>17</v>
      </c>
      <c r="C45" s="57" t="s">
        <v>38</v>
      </c>
      <c r="D45" s="58"/>
      <c r="E45" s="16">
        <v>3</v>
      </c>
      <c r="F45" s="16">
        <v>5</v>
      </c>
      <c r="G45" s="16">
        <v>7</v>
      </c>
      <c r="H45" s="16">
        <v>8</v>
      </c>
      <c r="I45" s="16">
        <v>5</v>
      </c>
      <c r="J45" s="16">
        <v>7</v>
      </c>
      <c r="K45" s="16">
        <v>0</v>
      </c>
      <c r="L45" s="16">
        <v>0</v>
      </c>
      <c r="M45" s="16">
        <v>3</v>
      </c>
      <c r="N45" s="16">
        <v>5</v>
      </c>
      <c r="O45" s="16">
        <v>0</v>
      </c>
      <c r="P45" s="16">
        <v>3</v>
      </c>
      <c r="Q45" s="16">
        <v>5</v>
      </c>
      <c r="R45" s="16">
        <v>2</v>
      </c>
      <c r="S45" s="16">
        <v>3</v>
      </c>
      <c r="T45" s="16">
        <v>1</v>
      </c>
      <c r="U45" s="16">
        <v>5</v>
      </c>
      <c r="V45" s="16">
        <v>2</v>
      </c>
      <c r="W45" s="16">
        <v>4</v>
      </c>
      <c r="X45" s="16">
        <v>3</v>
      </c>
      <c r="Y45" s="16">
        <v>3</v>
      </c>
      <c r="Z45" s="13">
        <f t="shared" ref="Z45:Z54" si="13">SUM(E45:Y45)</f>
        <v>74</v>
      </c>
    </row>
    <row r="46" spans="1:26" ht="12.75" customHeight="1" x14ac:dyDescent="0.3">
      <c r="A46" s="20" t="s">
        <v>39</v>
      </c>
      <c r="B46" s="28"/>
      <c r="C46" s="29" t="s">
        <v>40</v>
      </c>
      <c r="D46" s="30"/>
      <c r="E46" s="16">
        <v>4</v>
      </c>
      <c r="F46" s="16">
        <v>9</v>
      </c>
      <c r="G46" s="16">
        <v>22</v>
      </c>
      <c r="H46" s="16">
        <v>13</v>
      </c>
      <c r="I46" s="16">
        <v>6</v>
      </c>
      <c r="J46" s="16">
        <v>8</v>
      </c>
      <c r="K46" s="16">
        <v>0</v>
      </c>
      <c r="L46" s="16">
        <v>1</v>
      </c>
      <c r="M46" s="16">
        <v>8</v>
      </c>
      <c r="N46" s="16">
        <v>11</v>
      </c>
      <c r="O46" s="16">
        <v>9</v>
      </c>
      <c r="P46" s="16">
        <v>8</v>
      </c>
      <c r="Q46" s="16">
        <v>11</v>
      </c>
      <c r="R46" s="16">
        <v>18</v>
      </c>
      <c r="S46" s="16">
        <v>19</v>
      </c>
      <c r="T46" s="16">
        <v>3</v>
      </c>
      <c r="U46" s="16">
        <v>14</v>
      </c>
      <c r="V46" s="16">
        <v>6</v>
      </c>
      <c r="W46" s="16">
        <v>9</v>
      </c>
      <c r="X46" s="16">
        <v>3</v>
      </c>
      <c r="Y46" s="16">
        <v>5</v>
      </c>
      <c r="Z46" s="13">
        <f t="shared" si="13"/>
        <v>187</v>
      </c>
    </row>
    <row r="47" spans="1:26" ht="12.75" customHeight="1" x14ac:dyDescent="0.3">
      <c r="A47" s="15"/>
      <c r="B47" s="28"/>
      <c r="C47" s="29" t="s">
        <v>41</v>
      </c>
      <c r="D47" s="30"/>
      <c r="E47" s="16">
        <v>13</v>
      </c>
      <c r="F47" s="16">
        <v>2</v>
      </c>
      <c r="G47" s="16">
        <v>6</v>
      </c>
      <c r="H47" s="16">
        <v>10</v>
      </c>
      <c r="I47" s="16">
        <v>3</v>
      </c>
      <c r="J47" s="16">
        <v>1</v>
      </c>
      <c r="K47" s="16">
        <v>8</v>
      </c>
      <c r="L47" s="16">
        <v>1</v>
      </c>
      <c r="M47" s="16">
        <v>7</v>
      </c>
      <c r="N47" s="16">
        <v>2</v>
      </c>
      <c r="O47" s="16">
        <v>6</v>
      </c>
      <c r="P47" s="16">
        <v>2</v>
      </c>
      <c r="Q47" s="16">
        <v>1</v>
      </c>
      <c r="R47" s="16">
        <v>6</v>
      </c>
      <c r="S47" s="16">
        <v>1</v>
      </c>
      <c r="T47" s="16">
        <v>0</v>
      </c>
      <c r="U47" s="16">
        <v>2</v>
      </c>
      <c r="V47" s="16">
        <v>3</v>
      </c>
      <c r="W47" s="16">
        <v>0</v>
      </c>
      <c r="X47" s="16">
        <v>3</v>
      </c>
      <c r="Y47" s="16">
        <v>1</v>
      </c>
      <c r="Z47" s="13">
        <f t="shared" si="13"/>
        <v>78</v>
      </c>
    </row>
    <row r="48" spans="1:26" ht="12.75" customHeight="1" x14ac:dyDescent="0.3">
      <c r="A48" s="15"/>
      <c r="B48" s="28"/>
      <c r="C48" s="29" t="s">
        <v>42</v>
      </c>
      <c r="D48" s="30"/>
      <c r="E48" s="16">
        <v>0</v>
      </c>
      <c r="F48" s="16">
        <v>0</v>
      </c>
      <c r="G48" s="16">
        <v>0</v>
      </c>
      <c r="H48" s="16">
        <v>0</v>
      </c>
      <c r="I48" s="16">
        <v>1</v>
      </c>
      <c r="J48" s="16">
        <v>0</v>
      </c>
      <c r="K48" s="16">
        <v>0</v>
      </c>
      <c r="L48" s="16">
        <v>0</v>
      </c>
      <c r="M48" s="16">
        <v>2</v>
      </c>
      <c r="N48" s="16">
        <v>0</v>
      </c>
      <c r="O48" s="16">
        <v>0</v>
      </c>
      <c r="P48" s="16">
        <v>1</v>
      </c>
      <c r="Q48" s="16">
        <v>0</v>
      </c>
      <c r="R48" s="16">
        <v>0</v>
      </c>
      <c r="S48" s="16">
        <v>1</v>
      </c>
      <c r="T48" s="16">
        <v>0</v>
      </c>
      <c r="U48" s="16">
        <v>2</v>
      </c>
      <c r="V48" s="16">
        <v>0</v>
      </c>
      <c r="W48" s="16">
        <v>0</v>
      </c>
      <c r="X48" s="16">
        <v>1</v>
      </c>
      <c r="Y48" s="16">
        <v>1</v>
      </c>
      <c r="Z48" s="13">
        <f t="shared" si="13"/>
        <v>9</v>
      </c>
    </row>
    <row r="49" spans="1:26" ht="12.75" customHeight="1" x14ac:dyDescent="0.3">
      <c r="A49" s="15"/>
      <c r="B49" s="28"/>
      <c r="C49" s="29" t="s">
        <v>43</v>
      </c>
      <c r="D49" s="30"/>
      <c r="E49" s="16">
        <v>1</v>
      </c>
      <c r="F49" s="16">
        <v>1</v>
      </c>
      <c r="G49" s="16">
        <v>0</v>
      </c>
      <c r="H49" s="16">
        <v>0</v>
      </c>
      <c r="I49" s="16">
        <v>0</v>
      </c>
      <c r="J49" s="16">
        <v>2</v>
      </c>
      <c r="K49" s="16">
        <v>0</v>
      </c>
      <c r="L49" s="16">
        <v>1</v>
      </c>
      <c r="M49" s="16">
        <v>0</v>
      </c>
      <c r="N49" s="16">
        <v>1</v>
      </c>
      <c r="O49" s="16">
        <v>0</v>
      </c>
      <c r="P49" s="16">
        <v>0</v>
      </c>
      <c r="Q49" s="16">
        <v>0</v>
      </c>
      <c r="R49" s="16">
        <v>0</v>
      </c>
      <c r="S49" s="16">
        <v>1</v>
      </c>
      <c r="T49" s="16">
        <v>1</v>
      </c>
      <c r="U49" s="16">
        <v>0</v>
      </c>
      <c r="V49" s="16">
        <v>0</v>
      </c>
      <c r="W49" s="16">
        <v>0</v>
      </c>
      <c r="X49" s="16">
        <v>2</v>
      </c>
      <c r="Y49" s="16">
        <v>0</v>
      </c>
      <c r="Z49" s="13">
        <f t="shared" si="13"/>
        <v>10</v>
      </c>
    </row>
    <row r="50" spans="1:26" ht="12.75" customHeight="1" x14ac:dyDescent="0.3">
      <c r="A50" s="15"/>
      <c r="B50" s="28"/>
      <c r="C50" s="29" t="s">
        <v>44</v>
      </c>
      <c r="D50" s="30"/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1</v>
      </c>
      <c r="K50" s="16">
        <v>0</v>
      </c>
      <c r="L50" s="16">
        <v>0</v>
      </c>
      <c r="M50" s="16">
        <v>2</v>
      </c>
      <c r="N50" s="16">
        <v>0</v>
      </c>
      <c r="O50" s="16">
        <v>0</v>
      </c>
      <c r="P50" s="16">
        <v>0</v>
      </c>
      <c r="Q50" s="16">
        <v>2</v>
      </c>
      <c r="R50" s="16">
        <v>0</v>
      </c>
      <c r="S50" s="16">
        <v>0</v>
      </c>
      <c r="T50" s="16">
        <v>0</v>
      </c>
      <c r="U50" s="16">
        <v>2</v>
      </c>
      <c r="V50" s="16">
        <v>0</v>
      </c>
      <c r="W50" s="16">
        <v>0</v>
      </c>
      <c r="X50" s="16">
        <v>0</v>
      </c>
      <c r="Y50" s="16">
        <v>0</v>
      </c>
      <c r="Z50" s="13">
        <f t="shared" si="13"/>
        <v>7</v>
      </c>
    </row>
    <row r="51" spans="1:26" ht="12.75" customHeight="1" x14ac:dyDescent="0.3">
      <c r="A51" s="15"/>
      <c r="B51" s="28"/>
      <c r="C51" s="29" t="s">
        <v>45</v>
      </c>
      <c r="D51" s="30"/>
      <c r="E51" s="16">
        <v>0</v>
      </c>
      <c r="F51" s="16">
        <v>1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1</v>
      </c>
      <c r="O51" s="16">
        <v>0</v>
      </c>
      <c r="P51" s="16">
        <v>0</v>
      </c>
      <c r="Q51" s="16">
        <v>0</v>
      </c>
      <c r="R51" s="16">
        <v>1</v>
      </c>
      <c r="S51" s="16">
        <v>1</v>
      </c>
      <c r="T51" s="16">
        <v>0</v>
      </c>
      <c r="U51" s="16">
        <v>0</v>
      </c>
      <c r="V51" s="16">
        <v>0</v>
      </c>
      <c r="W51" s="16">
        <v>1</v>
      </c>
      <c r="X51" s="16">
        <v>0</v>
      </c>
      <c r="Y51" s="16">
        <v>0</v>
      </c>
      <c r="Z51" s="13">
        <f t="shared" si="13"/>
        <v>5</v>
      </c>
    </row>
    <row r="52" spans="1:26" ht="12.75" customHeight="1" x14ac:dyDescent="0.3">
      <c r="A52" s="15"/>
      <c r="B52" s="28"/>
      <c r="C52" s="29" t="s">
        <v>46</v>
      </c>
      <c r="D52" s="30"/>
      <c r="E52" s="16">
        <v>0</v>
      </c>
      <c r="F52" s="16">
        <v>1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1</v>
      </c>
      <c r="Q52" s="16">
        <v>1</v>
      </c>
      <c r="R52" s="16">
        <v>0</v>
      </c>
      <c r="S52" s="16">
        <v>2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3">
        <f t="shared" si="13"/>
        <v>5</v>
      </c>
    </row>
    <row r="53" spans="1:26" ht="12.75" customHeight="1" x14ac:dyDescent="0.3">
      <c r="A53" s="15"/>
      <c r="B53" s="28"/>
      <c r="C53" s="29" t="s">
        <v>47</v>
      </c>
      <c r="D53" s="35"/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1</v>
      </c>
      <c r="Y53" s="16">
        <v>0</v>
      </c>
      <c r="Z53" s="13">
        <f t="shared" si="13"/>
        <v>1</v>
      </c>
    </row>
    <row r="54" spans="1:26" ht="12.75" customHeight="1" x14ac:dyDescent="0.3">
      <c r="A54" s="15"/>
      <c r="B54" s="28"/>
      <c r="C54" s="29" t="s">
        <v>48</v>
      </c>
      <c r="D54" s="30"/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1</v>
      </c>
      <c r="P54" s="16">
        <v>0</v>
      </c>
      <c r="Q54" s="16">
        <v>0</v>
      </c>
      <c r="R54" s="16">
        <v>0</v>
      </c>
      <c r="S54" s="16">
        <v>1</v>
      </c>
      <c r="T54" s="16">
        <v>0</v>
      </c>
      <c r="U54" s="16">
        <v>1</v>
      </c>
      <c r="V54" s="16">
        <v>0</v>
      </c>
      <c r="W54" s="16">
        <v>0</v>
      </c>
      <c r="X54" s="16">
        <v>1</v>
      </c>
      <c r="Y54" s="16">
        <v>0</v>
      </c>
      <c r="Z54" s="13">
        <f t="shared" si="13"/>
        <v>4</v>
      </c>
    </row>
    <row r="55" spans="1:26" ht="12.75" customHeight="1" x14ac:dyDescent="0.3">
      <c r="A55" s="16" t="s">
        <v>15</v>
      </c>
      <c r="B55" s="59" t="s">
        <v>49</v>
      </c>
      <c r="C55" s="60"/>
      <c r="D55" s="58"/>
      <c r="E55" s="13">
        <f t="shared" ref="E55:Z55" si="14">SUM(E45:E54)</f>
        <v>21</v>
      </c>
      <c r="F55" s="13">
        <f t="shared" si="14"/>
        <v>19</v>
      </c>
      <c r="G55" s="13">
        <f t="shared" si="14"/>
        <v>35</v>
      </c>
      <c r="H55" s="13">
        <f t="shared" si="14"/>
        <v>31</v>
      </c>
      <c r="I55" s="13">
        <f t="shared" si="14"/>
        <v>15</v>
      </c>
      <c r="J55" s="13">
        <f t="shared" si="14"/>
        <v>19</v>
      </c>
      <c r="K55" s="13">
        <f t="shared" si="14"/>
        <v>8</v>
      </c>
      <c r="L55" s="13">
        <f t="shared" si="14"/>
        <v>3</v>
      </c>
      <c r="M55" s="13">
        <f t="shared" si="14"/>
        <v>22</v>
      </c>
      <c r="N55" s="13">
        <f t="shared" si="14"/>
        <v>20</v>
      </c>
      <c r="O55" s="13">
        <f t="shared" si="14"/>
        <v>16</v>
      </c>
      <c r="P55" s="13">
        <f t="shared" si="14"/>
        <v>15</v>
      </c>
      <c r="Q55" s="13">
        <f t="shared" si="14"/>
        <v>20</v>
      </c>
      <c r="R55" s="13">
        <f t="shared" si="14"/>
        <v>27</v>
      </c>
      <c r="S55" s="13">
        <f t="shared" si="14"/>
        <v>29</v>
      </c>
      <c r="T55" s="13">
        <f t="shared" si="14"/>
        <v>5</v>
      </c>
      <c r="U55" s="13">
        <f t="shared" si="14"/>
        <v>26</v>
      </c>
      <c r="V55" s="13">
        <f t="shared" si="14"/>
        <v>11</v>
      </c>
      <c r="W55" s="13">
        <f t="shared" si="14"/>
        <v>14</v>
      </c>
      <c r="X55" s="13">
        <f t="shared" si="14"/>
        <v>14</v>
      </c>
      <c r="Y55" s="13">
        <f t="shared" si="14"/>
        <v>10</v>
      </c>
      <c r="Z55" s="13">
        <f t="shared" si="14"/>
        <v>380</v>
      </c>
    </row>
    <row r="56" spans="1:26" ht="12.75" customHeight="1" x14ac:dyDescent="0.3">
      <c r="A56" s="55"/>
      <c r="B56" s="56"/>
      <c r="C56" s="56"/>
      <c r="D56" s="56"/>
      <c r="E56" s="56"/>
      <c r="Z56" s="13"/>
    </row>
    <row r="57" spans="1:26" ht="12.75" customHeight="1" x14ac:dyDescent="0.3">
      <c r="A57" s="20" t="s">
        <v>37</v>
      </c>
      <c r="B57" s="27" t="s">
        <v>19</v>
      </c>
      <c r="C57" s="57" t="s">
        <v>50</v>
      </c>
      <c r="D57" s="58"/>
      <c r="E57" s="16">
        <v>8</v>
      </c>
      <c r="F57" s="16">
        <v>12</v>
      </c>
      <c r="G57" s="16">
        <v>12</v>
      </c>
      <c r="H57" s="16">
        <v>16</v>
      </c>
      <c r="I57" s="16">
        <v>17</v>
      </c>
      <c r="J57" s="16">
        <v>17</v>
      </c>
      <c r="K57" s="16">
        <v>5</v>
      </c>
      <c r="L57" s="16">
        <v>3</v>
      </c>
      <c r="M57" s="16">
        <v>14</v>
      </c>
      <c r="N57" s="16">
        <v>10</v>
      </c>
      <c r="O57" s="16">
        <v>7</v>
      </c>
      <c r="P57" s="16">
        <v>8</v>
      </c>
      <c r="Q57" s="16">
        <v>9</v>
      </c>
      <c r="R57" s="16">
        <v>4</v>
      </c>
      <c r="S57" s="16">
        <v>6</v>
      </c>
      <c r="T57" s="16">
        <v>6</v>
      </c>
      <c r="U57" s="16">
        <v>7</v>
      </c>
      <c r="V57" s="16">
        <v>13</v>
      </c>
      <c r="W57" s="16">
        <v>8</v>
      </c>
      <c r="X57" s="16">
        <v>15</v>
      </c>
      <c r="Y57" s="16">
        <v>5</v>
      </c>
      <c r="Z57" s="13">
        <f t="shared" ref="Z57:Z66" si="15">SUM(E57:Y57)</f>
        <v>202</v>
      </c>
    </row>
    <row r="58" spans="1:26" ht="12.75" customHeight="1" x14ac:dyDescent="0.3">
      <c r="A58" s="20" t="s">
        <v>39</v>
      </c>
      <c r="B58" s="28"/>
      <c r="C58" s="29" t="s">
        <v>51</v>
      </c>
      <c r="D58" s="30"/>
      <c r="E58" s="16">
        <v>5</v>
      </c>
      <c r="F58" s="16">
        <v>3</v>
      </c>
      <c r="G58" s="16">
        <v>2</v>
      </c>
      <c r="H58" s="16">
        <v>4</v>
      </c>
      <c r="I58" s="16">
        <v>39</v>
      </c>
      <c r="J58" s="16">
        <v>69</v>
      </c>
      <c r="K58" s="16">
        <v>4</v>
      </c>
      <c r="L58" s="16">
        <v>8</v>
      </c>
      <c r="M58" s="16">
        <v>6</v>
      </c>
      <c r="N58" s="16">
        <v>4</v>
      </c>
      <c r="O58" s="16">
        <v>2</v>
      </c>
      <c r="P58" s="16">
        <v>5</v>
      </c>
      <c r="Q58" s="16">
        <v>7</v>
      </c>
      <c r="R58" s="16">
        <v>2</v>
      </c>
      <c r="S58" s="16">
        <v>2</v>
      </c>
      <c r="T58" s="16">
        <v>7</v>
      </c>
      <c r="U58" s="16">
        <v>3</v>
      </c>
      <c r="V58" s="16">
        <v>2</v>
      </c>
      <c r="W58" s="16">
        <v>3</v>
      </c>
      <c r="X58" s="16">
        <v>4</v>
      </c>
      <c r="Y58" s="16">
        <v>4</v>
      </c>
      <c r="Z58" s="13">
        <f t="shared" si="15"/>
        <v>185</v>
      </c>
    </row>
    <row r="59" spans="1:26" ht="12.75" customHeight="1" x14ac:dyDescent="0.3">
      <c r="A59" s="15"/>
      <c r="B59" s="28"/>
      <c r="C59" s="29" t="s">
        <v>52</v>
      </c>
      <c r="D59" s="30"/>
      <c r="E59" s="16">
        <v>14</v>
      </c>
      <c r="F59" s="16">
        <v>13</v>
      </c>
      <c r="G59" s="16">
        <v>10</v>
      </c>
      <c r="H59" s="16">
        <v>8</v>
      </c>
      <c r="I59" s="16">
        <v>5</v>
      </c>
      <c r="J59" s="16">
        <v>3</v>
      </c>
      <c r="K59" s="16">
        <v>7</v>
      </c>
      <c r="L59" s="16">
        <v>7</v>
      </c>
      <c r="M59" s="16">
        <v>20</v>
      </c>
      <c r="N59" s="16">
        <v>9</v>
      </c>
      <c r="O59" s="16">
        <v>6</v>
      </c>
      <c r="P59" s="16">
        <v>29</v>
      </c>
      <c r="Q59" s="16">
        <v>23</v>
      </c>
      <c r="R59" s="16">
        <v>1</v>
      </c>
      <c r="S59" s="16">
        <v>5</v>
      </c>
      <c r="T59" s="16">
        <v>10</v>
      </c>
      <c r="U59" s="16">
        <v>8</v>
      </c>
      <c r="V59" s="16">
        <v>6</v>
      </c>
      <c r="W59" s="16">
        <v>10</v>
      </c>
      <c r="X59" s="16">
        <v>4</v>
      </c>
      <c r="Y59" s="16">
        <v>1</v>
      </c>
      <c r="Z59" s="13">
        <f t="shared" si="15"/>
        <v>199</v>
      </c>
    </row>
    <row r="60" spans="1:26" ht="12.75" customHeight="1" x14ac:dyDescent="0.3">
      <c r="A60" s="15"/>
      <c r="B60" s="28"/>
      <c r="C60" s="29" t="s">
        <v>53</v>
      </c>
      <c r="D60" s="30"/>
      <c r="E60" s="16">
        <v>1</v>
      </c>
      <c r="F60" s="16">
        <v>2</v>
      </c>
      <c r="G60" s="16">
        <v>1</v>
      </c>
      <c r="H60" s="16">
        <v>2</v>
      </c>
      <c r="I60" s="16">
        <v>1</v>
      </c>
      <c r="J60" s="16">
        <v>0</v>
      </c>
      <c r="K60" s="16">
        <v>2</v>
      </c>
      <c r="L60" s="16">
        <v>3</v>
      </c>
      <c r="M60" s="16">
        <v>1</v>
      </c>
      <c r="N60" s="16">
        <v>1</v>
      </c>
      <c r="O60" s="16">
        <v>2</v>
      </c>
      <c r="P60" s="16">
        <v>1</v>
      </c>
      <c r="Q60" s="16">
        <v>3</v>
      </c>
      <c r="R60" s="16">
        <v>0</v>
      </c>
      <c r="S60" s="16">
        <v>0</v>
      </c>
      <c r="T60" s="16">
        <v>1</v>
      </c>
      <c r="U60" s="16">
        <v>1</v>
      </c>
      <c r="V60" s="16">
        <v>1</v>
      </c>
      <c r="W60" s="16">
        <v>1</v>
      </c>
      <c r="X60" s="16">
        <v>2</v>
      </c>
      <c r="Y60" s="16">
        <v>1</v>
      </c>
      <c r="Z60" s="13">
        <f t="shared" si="15"/>
        <v>27</v>
      </c>
    </row>
    <row r="61" spans="1:26" ht="12.75" customHeight="1" x14ac:dyDescent="0.3">
      <c r="A61" s="15"/>
      <c r="B61" s="28"/>
      <c r="C61" s="29" t="s">
        <v>54</v>
      </c>
      <c r="D61" s="30"/>
      <c r="E61" s="16">
        <v>9</v>
      </c>
      <c r="F61" s="16">
        <v>2</v>
      </c>
      <c r="G61" s="16">
        <v>2</v>
      </c>
      <c r="H61" s="16">
        <v>0</v>
      </c>
      <c r="I61" s="16">
        <v>0</v>
      </c>
      <c r="J61" s="16">
        <v>2</v>
      </c>
      <c r="K61" s="16">
        <v>2</v>
      </c>
      <c r="L61" s="16">
        <v>10</v>
      </c>
      <c r="M61" s="16">
        <v>3</v>
      </c>
      <c r="N61" s="16">
        <v>6</v>
      </c>
      <c r="O61" s="16">
        <v>0</v>
      </c>
      <c r="P61" s="16">
        <v>3</v>
      </c>
      <c r="Q61" s="16">
        <v>3</v>
      </c>
      <c r="R61" s="16">
        <v>3</v>
      </c>
      <c r="S61" s="16">
        <v>2</v>
      </c>
      <c r="T61" s="16">
        <v>1</v>
      </c>
      <c r="U61" s="16">
        <v>2</v>
      </c>
      <c r="V61" s="16">
        <v>9</v>
      </c>
      <c r="W61" s="16">
        <v>0</v>
      </c>
      <c r="X61" s="16">
        <v>29</v>
      </c>
      <c r="Y61" s="16">
        <v>1</v>
      </c>
      <c r="Z61" s="13">
        <f t="shared" si="15"/>
        <v>89</v>
      </c>
    </row>
    <row r="62" spans="1:26" ht="12.75" customHeight="1" x14ac:dyDescent="0.3">
      <c r="A62" s="15"/>
      <c r="B62" s="28"/>
      <c r="C62" s="29" t="s">
        <v>55</v>
      </c>
      <c r="D62" s="30"/>
      <c r="E62" s="16">
        <v>0</v>
      </c>
      <c r="F62" s="16">
        <v>0</v>
      </c>
      <c r="G62" s="16">
        <v>0</v>
      </c>
      <c r="H62" s="16">
        <v>1</v>
      </c>
      <c r="I62" s="16">
        <v>0</v>
      </c>
      <c r="J62" s="16">
        <v>1</v>
      </c>
      <c r="K62" s="16">
        <v>0</v>
      </c>
      <c r="L62" s="16">
        <v>0</v>
      </c>
      <c r="M62" s="16">
        <v>0</v>
      </c>
      <c r="N62" s="16">
        <v>1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1</v>
      </c>
      <c r="V62" s="16">
        <v>0</v>
      </c>
      <c r="W62" s="16">
        <v>0</v>
      </c>
      <c r="X62" s="16">
        <v>1</v>
      </c>
      <c r="Y62" s="16">
        <v>0</v>
      </c>
      <c r="Z62" s="13">
        <f t="shared" si="15"/>
        <v>5</v>
      </c>
    </row>
    <row r="63" spans="1:26" ht="12.75" customHeight="1" x14ac:dyDescent="0.3">
      <c r="A63" s="15"/>
      <c r="B63" s="28"/>
      <c r="C63" s="29" t="s">
        <v>56</v>
      </c>
      <c r="D63" s="30"/>
      <c r="E63" s="16">
        <v>0</v>
      </c>
      <c r="F63" s="16">
        <v>1</v>
      </c>
      <c r="G63" s="16">
        <v>0</v>
      </c>
      <c r="H63" s="16">
        <v>1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1</v>
      </c>
      <c r="O63" s="16">
        <v>3</v>
      </c>
      <c r="P63" s="16">
        <v>0</v>
      </c>
      <c r="Q63" s="16">
        <v>0</v>
      </c>
      <c r="R63" s="16">
        <v>1</v>
      </c>
      <c r="S63" s="16">
        <v>0</v>
      </c>
      <c r="T63" s="16">
        <v>0</v>
      </c>
      <c r="U63" s="16">
        <v>0</v>
      </c>
      <c r="V63" s="16">
        <v>1</v>
      </c>
      <c r="W63" s="16">
        <v>0</v>
      </c>
      <c r="X63" s="16">
        <v>0</v>
      </c>
      <c r="Y63" s="16">
        <v>0</v>
      </c>
      <c r="Z63" s="13">
        <f t="shared" si="15"/>
        <v>8</v>
      </c>
    </row>
    <row r="64" spans="1:26" ht="12.75" customHeight="1" x14ac:dyDescent="0.3">
      <c r="A64" s="15"/>
      <c r="B64" s="28"/>
      <c r="C64" s="29" t="s">
        <v>57</v>
      </c>
      <c r="D64" s="30"/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1</v>
      </c>
      <c r="K64" s="16">
        <v>0</v>
      </c>
      <c r="L64" s="16">
        <v>1</v>
      </c>
      <c r="M64" s="16">
        <v>0</v>
      </c>
      <c r="N64" s="16">
        <v>1</v>
      </c>
      <c r="O64" s="16">
        <v>0</v>
      </c>
      <c r="P64" s="16">
        <v>0</v>
      </c>
      <c r="Q64" s="16">
        <v>0</v>
      </c>
      <c r="R64" s="16">
        <v>1</v>
      </c>
      <c r="S64" s="16">
        <v>1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3">
        <f t="shared" si="15"/>
        <v>5</v>
      </c>
    </row>
    <row r="65" spans="1:26" ht="12.75" customHeight="1" x14ac:dyDescent="0.3">
      <c r="A65" s="15"/>
      <c r="B65" s="28"/>
      <c r="C65" s="29" t="s">
        <v>58</v>
      </c>
      <c r="D65" s="30"/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2</v>
      </c>
      <c r="N65" s="16">
        <v>0</v>
      </c>
      <c r="O65" s="16">
        <v>0</v>
      </c>
      <c r="P65" s="16">
        <v>0</v>
      </c>
      <c r="Q65" s="16">
        <v>1</v>
      </c>
      <c r="R65" s="16">
        <v>0</v>
      </c>
      <c r="S65" s="16">
        <v>0</v>
      </c>
      <c r="T65" s="16">
        <v>0</v>
      </c>
      <c r="U65" s="16">
        <v>0</v>
      </c>
      <c r="V65" s="16">
        <v>1</v>
      </c>
      <c r="W65" s="16">
        <v>0</v>
      </c>
      <c r="X65" s="16">
        <v>0</v>
      </c>
      <c r="Y65" s="16">
        <v>1</v>
      </c>
      <c r="Z65" s="13">
        <f t="shared" si="15"/>
        <v>5</v>
      </c>
    </row>
    <row r="66" spans="1:26" ht="12.75" customHeight="1" x14ac:dyDescent="0.3">
      <c r="A66" s="15"/>
      <c r="B66" s="28"/>
      <c r="C66" s="29" t="s">
        <v>59</v>
      </c>
      <c r="D66" s="30"/>
      <c r="E66" s="16">
        <v>1</v>
      </c>
      <c r="F66" s="16">
        <v>0</v>
      </c>
      <c r="G66" s="16">
        <v>1</v>
      </c>
      <c r="H66" s="16">
        <v>1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1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3">
        <f t="shared" si="15"/>
        <v>4</v>
      </c>
    </row>
    <row r="67" spans="1:26" ht="12.75" customHeight="1" x14ac:dyDescent="0.3">
      <c r="A67" s="16" t="s">
        <v>15</v>
      </c>
      <c r="B67" s="59" t="s">
        <v>49</v>
      </c>
      <c r="C67" s="60"/>
      <c r="D67" s="58"/>
      <c r="E67" s="13">
        <f t="shared" ref="E67:Z67" si="16">SUM(E57:E66)</f>
        <v>38</v>
      </c>
      <c r="F67" s="13">
        <f t="shared" si="16"/>
        <v>33</v>
      </c>
      <c r="G67" s="13">
        <f t="shared" si="16"/>
        <v>28</v>
      </c>
      <c r="H67" s="13">
        <f t="shared" si="16"/>
        <v>33</v>
      </c>
      <c r="I67" s="13">
        <f t="shared" si="16"/>
        <v>62</v>
      </c>
      <c r="J67" s="13">
        <f t="shared" si="16"/>
        <v>93</v>
      </c>
      <c r="K67" s="13">
        <f t="shared" si="16"/>
        <v>20</v>
      </c>
      <c r="L67" s="13">
        <f t="shared" si="16"/>
        <v>32</v>
      </c>
      <c r="M67" s="13">
        <f t="shared" si="16"/>
        <v>46</v>
      </c>
      <c r="N67" s="13">
        <f t="shared" si="16"/>
        <v>33</v>
      </c>
      <c r="O67" s="13">
        <f t="shared" si="16"/>
        <v>20</v>
      </c>
      <c r="P67" s="13">
        <f t="shared" si="16"/>
        <v>47</v>
      </c>
      <c r="Q67" s="13">
        <f t="shared" si="16"/>
        <v>46</v>
      </c>
      <c r="R67" s="13">
        <f t="shared" si="16"/>
        <v>12</v>
      </c>
      <c r="S67" s="13">
        <f t="shared" si="16"/>
        <v>16</v>
      </c>
      <c r="T67" s="13">
        <f t="shared" si="16"/>
        <v>25</v>
      </c>
      <c r="U67" s="13">
        <f t="shared" si="16"/>
        <v>22</v>
      </c>
      <c r="V67" s="13">
        <f t="shared" si="16"/>
        <v>33</v>
      </c>
      <c r="W67" s="13">
        <f t="shared" si="16"/>
        <v>22</v>
      </c>
      <c r="X67" s="13">
        <f t="shared" si="16"/>
        <v>55</v>
      </c>
      <c r="Y67" s="13">
        <f t="shared" si="16"/>
        <v>13</v>
      </c>
      <c r="Z67" s="13">
        <f t="shared" si="16"/>
        <v>729</v>
      </c>
    </row>
    <row r="68" spans="1:26" ht="12.75" customHeight="1" x14ac:dyDescent="0.3">
      <c r="A68" s="55"/>
      <c r="B68" s="56"/>
      <c r="C68" s="56"/>
      <c r="D68" s="56"/>
      <c r="E68" s="56"/>
    </row>
    <row r="69" spans="1:26" ht="12.75" customHeight="1" x14ac:dyDescent="0.3">
      <c r="A69" s="20" t="s">
        <v>37</v>
      </c>
      <c r="B69" s="27" t="s">
        <v>21</v>
      </c>
      <c r="C69" s="57" t="s">
        <v>60</v>
      </c>
      <c r="D69" s="58"/>
      <c r="E69" s="16">
        <v>3</v>
      </c>
      <c r="F69" s="16">
        <v>2</v>
      </c>
      <c r="G69" s="16">
        <v>2</v>
      </c>
      <c r="H69" s="16">
        <v>7</v>
      </c>
      <c r="I69" s="16">
        <v>1</v>
      </c>
      <c r="J69" s="16">
        <v>2</v>
      </c>
      <c r="K69" s="16">
        <v>2</v>
      </c>
      <c r="L69" s="16">
        <v>0</v>
      </c>
      <c r="M69" s="16">
        <v>3</v>
      </c>
      <c r="N69" s="16">
        <v>2</v>
      </c>
      <c r="O69" s="16">
        <v>4</v>
      </c>
      <c r="P69" s="16">
        <v>1</v>
      </c>
      <c r="Q69" s="16">
        <v>2</v>
      </c>
      <c r="R69" s="16">
        <v>3</v>
      </c>
      <c r="S69" s="16">
        <v>4</v>
      </c>
      <c r="T69" s="16">
        <v>5</v>
      </c>
      <c r="U69" s="16">
        <v>6</v>
      </c>
      <c r="V69" s="16">
        <v>6</v>
      </c>
      <c r="W69" s="16">
        <v>12</v>
      </c>
      <c r="X69" s="16">
        <v>12</v>
      </c>
      <c r="Y69" s="16">
        <v>6</v>
      </c>
      <c r="Z69" s="13">
        <f t="shared" ref="Z69:Z78" si="17">SUM(E69:Y69)</f>
        <v>85</v>
      </c>
    </row>
    <row r="70" spans="1:26" ht="12.75" customHeight="1" x14ac:dyDescent="0.3">
      <c r="A70" s="20" t="s">
        <v>39</v>
      </c>
      <c r="B70" s="28"/>
      <c r="C70" s="29" t="s">
        <v>61</v>
      </c>
      <c r="D70" s="30"/>
      <c r="E70" s="16">
        <v>5</v>
      </c>
      <c r="F70" s="16">
        <v>4</v>
      </c>
      <c r="G70" s="16">
        <v>10</v>
      </c>
      <c r="H70" s="16">
        <v>3</v>
      </c>
      <c r="I70" s="16">
        <v>2</v>
      </c>
      <c r="J70" s="16">
        <v>1</v>
      </c>
      <c r="K70" s="16">
        <v>33</v>
      </c>
      <c r="L70" s="16">
        <v>7</v>
      </c>
      <c r="M70" s="16">
        <v>24</v>
      </c>
      <c r="N70" s="16">
        <v>2</v>
      </c>
      <c r="O70" s="16">
        <v>2</v>
      </c>
      <c r="P70" s="16">
        <v>2</v>
      </c>
      <c r="Q70" s="16">
        <v>2</v>
      </c>
      <c r="R70" s="16">
        <v>2</v>
      </c>
      <c r="S70" s="16">
        <v>4</v>
      </c>
      <c r="T70" s="16">
        <v>3</v>
      </c>
      <c r="U70" s="16">
        <v>2</v>
      </c>
      <c r="V70" s="16">
        <v>9</v>
      </c>
      <c r="W70" s="16">
        <v>3</v>
      </c>
      <c r="X70" s="16">
        <v>4</v>
      </c>
      <c r="Y70" s="16">
        <v>4</v>
      </c>
      <c r="Z70" s="13">
        <f t="shared" si="17"/>
        <v>128</v>
      </c>
    </row>
    <row r="71" spans="1:26" ht="12.75" customHeight="1" x14ac:dyDescent="0.3">
      <c r="A71" s="15"/>
      <c r="B71" s="28"/>
      <c r="C71" s="29" t="s">
        <v>62</v>
      </c>
      <c r="D71" s="30"/>
      <c r="E71" s="16">
        <v>2</v>
      </c>
      <c r="F71" s="16">
        <v>6</v>
      </c>
      <c r="G71" s="16">
        <v>4</v>
      </c>
      <c r="H71" s="16">
        <v>4</v>
      </c>
      <c r="I71" s="16">
        <v>1</v>
      </c>
      <c r="J71" s="16">
        <v>0</v>
      </c>
      <c r="K71" s="16">
        <v>1</v>
      </c>
      <c r="L71" s="16">
        <v>1</v>
      </c>
      <c r="M71" s="16">
        <v>0</v>
      </c>
      <c r="N71" s="16">
        <v>2</v>
      </c>
      <c r="O71" s="16">
        <v>3</v>
      </c>
      <c r="P71" s="16">
        <v>0</v>
      </c>
      <c r="Q71" s="16">
        <v>0</v>
      </c>
      <c r="R71" s="16">
        <v>1</v>
      </c>
      <c r="S71" s="16">
        <v>0</v>
      </c>
      <c r="T71" s="16">
        <v>7</v>
      </c>
      <c r="U71" s="16">
        <v>1</v>
      </c>
      <c r="V71" s="16">
        <v>3</v>
      </c>
      <c r="W71" s="16">
        <v>3</v>
      </c>
      <c r="X71" s="16">
        <v>3</v>
      </c>
      <c r="Y71" s="16">
        <v>1</v>
      </c>
      <c r="Z71" s="13">
        <f t="shared" si="17"/>
        <v>43</v>
      </c>
    </row>
    <row r="72" spans="1:26" ht="12.75" customHeight="1" x14ac:dyDescent="0.3">
      <c r="A72" s="15"/>
      <c r="B72" s="28"/>
      <c r="C72" s="29" t="s">
        <v>63</v>
      </c>
      <c r="D72" s="30"/>
      <c r="E72" s="16">
        <v>1</v>
      </c>
      <c r="F72" s="16">
        <v>2</v>
      </c>
      <c r="G72" s="16">
        <v>1</v>
      </c>
      <c r="H72" s="16">
        <v>0</v>
      </c>
      <c r="I72" s="16">
        <v>1</v>
      </c>
      <c r="J72" s="16">
        <v>1</v>
      </c>
      <c r="K72" s="16">
        <v>0</v>
      </c>
      <c r="L72" s="16">
        <v>1</v>
      </c>
      <c r="M72" s="16">
        <v>1</v>
      </c>
      <c r="N72" s="16">
        <v>0</v>
      </c>
      <c r="O72" s="16">
        <v>4</v>
      </c>
      <c r="P72" s="16">
        <v>0</v>
      </c>
      <c r="Q72" s="16">
        <v>1</v>
      </c>
      <c r="R72" s="16">
        <v>0</v>
      </c>
      <c r="S72" s="16">
        <v>0</v>
      </c>
      <c r="T72" s="16">
        <v>1</v>
      </c>
      <c r="U72" s="16">
        <v>2</v>
      </c>
      <c r="V72" s="16">
        <v>7</v>
      </c>
      <c r="W72" s="16">
        <v>3</v>
      </c>
      <c r="X72" s="16">
        <v>6</v>
      </c>
      <c r="Y72" s="16">
        <v>4</v>
      </c>
      <c r="Z72" s="13">
        <f t="shared" si="17"/>
        <v>36</v>
      </c>
    </row>
    <row r="73" spans="1:26" ht="12.75" customHeight="1" x14ac:dyDescent="0.3">
      <c r="A73" s="15"/>
      <c r="B73" s="28"/>
      <c r="C73" s="29" t="s">
        <v>64</v>
      </c>
      <c r="D73" s="30"/>
      <c r="E73" s="16">
        <v>1</v>
      </c>
      <c r="F73" s="16">
        <v>1</v>
      </c>
      <c r="G73" s="16">
        <v>0</v>
      </c>
      <c r="H73" s="16">
        <v>0</v>
      </c>
      <c r="I73" s="16">
        <v>0</v>
      </c>
      <c r="J73" s="16">
        <v>1</v>
      </c>
      <c r="K73" s="16">
        <v>0</v>
      </c>
      <c r="L73" s="16">
        <v>0</v>
      </c>
      <c r="M73" s="16">
        <v>1</v>
      </c>
      <c r="N73" s="16">
        <v>1</v>
      </c>
      <c r="O73" s="16">
        <v>7</v>
      </c>
      <c r="P73" s="16">
        <v>0</v>
      </c>
      <c r="Q73" s="16">
        <v>1</v>
      </c>
      <c r="R73" s="16">
        <v>1</v>
      </c>
      <c r="S73" s="16">
        <v>3</v>
      </c>
      <c r="T73" s="16">
        <v>1</v>
      </c>
      <c r="U73" s="16">
        <v>5</v>
      </c>
      <c r="V73" s="16">
        <v>12</v>
      </c>
      <c r="W73" s="16">
        <v>0</v>
      </c>
      <c r="X73" s="16">
        <v>1</v>
      </c>
      <c r="Y73" s="16">
        <v>5</v>
      </c>
      <c r="Z73" s="13">
        <f t="shared" si="17"/>
        <v>41</v>
      </c>
    </row>
    <row r="74" spans="1:26" ht="12.75" customHeight="1" x14ac:dyDescent="0.3">
      <c r="A74" s="15"/>
      <c r="B74" s="28"/>
      <c r="C74" s="29" t="s">
        <v>65</v>
      </c>
      <c r="D74" s="30"/>
      <c r="E74" s="16">
        <v>2</v>
      </c>
      <c r="F74" s="16">
        <v>0</v>
      </c>
      <c r="G74" s="16">
        <v>1</v>
      </c>
      <c r="H74" s="16">
        <v>0</v>
      </c>
      <c r="I74" s="16">
        <v>2</v>
      </c>
      <c r="J74" s="16">
        <v>1</v>
      </c>
      <c r="K74" s="16">
        <v>0</v>
      </c>
      <c r="L74" s="16">
        <v>0</v>
      </c>
      <c r="M74" s="16">
        <v>3</v>
      </c>
      <c r="N74" s="16">
        <v>2</v>
      </c>
      <c r="O74" s="16">
        <v>2</v>
      </c>
      <c r="P74" s="16">
        <v>0</v>
      </c>
      <c r="Q74" s="16">
        <v>2</v>
      </c>
      <c r="R74" s="16">
        <v>1</v>
      </c>
      <c r="S74" s="16">
        <v>1</v>
      </c>
      <c r="T74" s="16">
        <v>0</v>
      </c>
      <c r="U74" s="16">
        <v>1</v>
      </c>
      <c r="V74" s="16">
        <v>0</v>
      </c>
      <c r="W74" s="16">
        <v>1</v>
      </c>
      <c r="X74" s="16">
        <v>2</v>
      </c>
      <c r="Y74" s="16">
        <v>0</v>
      </c>
      <c r="Z74" s="13">
        <f t="shared" si="17"/>
        <v>21</v>
      </c>
    </row>
    <row r="75" spans="1:26" ht="12.75" customHeight="1" x14ac:dyDescent="0.3">
      <c r="A75" s="15"/>
      <c r="B75" s="28"/>
      <c r="C75" s="29" t="s">
        <v>66</v>
      </c>
      <c r="D75" s="30"/>
      <c r="E75" s="16">
        <v>1</v>
      </c>
      <c r="F75" s="16">
        <v>1</v>
      </c>
      <c r="G75" s="16">
        <v>0</v>
      </c>
      <c r="H75" s="16">
        <v>1</v>
      </c>
      <c r="I75" s="16">
        <v>0</v>
      </c>
      <c r="J75" s="16">
        <v>0</v>
      </c>
      <c r="K75" s="16">
        <v>1</v>
      </c>
      <c r="L75" s="16">
        <v>0</v>
      </c>
      <c r="M75" s="16">
        <v>0</v>
      </c>
      <c r="N75" s="16">
        <v>0</v>
      </c>
      <c r="O75" s="16">
        <v>2</v>
      </c>
      <c r="P75" s="16">
        <v>0</v>
      </c>
      <c r="Q75" s="16">
        <v>0</v>
      </c>
      <c r="R75" s="16">
        <v>0</v>
      </c>
      <c r="S75" s="16">
        <v>1</v>
      </c>
      <c r="T75" s="16">
        <v>0</v>
      </c>
      <c r="U75" s="16">
        <v>0</v>
      </c>
      <c r="V75" s="16">
        <v>1</v>
      </c>
      <c r="W75" s="16">
        <v>1</v>
      </c>
      <c r="X75" s="16">
        <v>0</v>
      </c>
      <c r="Y75" s="16">
        <v>0</v>
      </c>
      <c r="Z75" s="13">
        <f t="shared" si="17"/>
        <v>9</v>
      </c>
    </row>
    <row r="76" spans="1:26" ht="12.75" customHeight="1" x14ac:dyDescent="0.3">
      <c r="A76" s="15"/>
      <c r="B76" s="28"/>
      <c r="C76" s="29" t="s">
        <v>67</v>
      </c>
      <c r="D76" s="30"/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1</v>
      </c>
      <c r="U76" s="16">
        <v>0</v>
      </c>
      <c r="V76" s="16">
        <v>0</v>
      </c>
      <c r="W76" s="16">
        <v>2</v>
      </c>
      <c r="X76" s="16">
        <v>0</v>
      </c>
      <c r="Y76" s="16">
        <v>0</v>
      </c>
      <c r="Z76" s="13">
        <f t="shared" si="17"/>
        <v>3</v>
      </c>
    </row>
    <row r="77" spans="1:26" ht="12.75" customHeight="1" x14ac:dyDescent="0.3">
      <c r="A77" s="15"/>
      <c r="B77" s="28"/>
      <c r="C77" s="29" t="s">
        <v>68</v>
      </c>
      <c r="D77" s="30"/>
      <c r="E77" s="16">
        <v>0</v>
      </c>
      <c r="F77" s="16">
        <v>0</v>
      </c>
      <c r="G77" s="16">
        <v>0</v>
      </c>
      <c r="H77" s="16">
        <v>2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1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1</v>
      </c>
      <c r="V77" s="16">
        <v>0</v>
      </c>
      <c r="W77" s="16">
        <v>0</v>
      </c>
      <c r="X77" s="16">
        <v>1</v>
      </c>
      <c r="Y77" s="16">
        <v>1</v>
      </c>
      <c r="Z77" s="13">
        <f t="shared" si="17"/>
        <v>6</v>
      </c>
    </row>
    <row r="78" spans="1:26" ht="12.75" customHeight="1" x14ac:dyDescent="0.3">
      <c r="A78" s="15"/>
      <c r="B78" s="28"/>
      <c r="C78" s="29" t="s">
        <v>69</v>
      </c>
      <c r="D78" s="30"/>
      <c r="E78" s="16">
        <v>1</v>
      </c>
      <c r="F78" s="16">
        <v>0</v>
      </c>
      <c r="G78" s="16">
        <v>0</v>
      </c>
      <c r="H78" s="16">
        <v>1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1</v>
      </c>
      <c r="W78" s="16">
        <v>1</v>
      </c>
      <c r="X78" s="16">
        <v>1</v>
      </c>
      <c r="Y78" s="16">
        <v>0</v>
      </c>
      <c r="Z78" s="13">
        <f t="shared" si="17"/>
        <v>5</v>
      </c>
    </row>
    <row r="79" spans="1:26" ht="12.75" customHeight="1" x14ac:dyDescent="0.3">
      <c r="A79" s="16" t="s">
        <v>15</v>
      </c>
      <c r="B79" s="59" t="s">
        <v>49</v>
      </c>
      <c r="C79" s="60"/>
      <c r="D79" s="58"/>
      <c r="E79" s="13">
        <f t="shared" ref="E79:Z79" si="18">SUM(E69:E78)</f>
        <v>16</v>
      </c>
      <c r="F79" s="13">
        <f t="shared" si="18"/>
        <v>16</v>
      </c>
      <c r="G79" s="13">
        <f t="shared" si="18"/>
        <v>18</v>
      </c>
      <c r="H79" s="13">
        <f t="shared" si="18"/>
        <v>18</v>
      </c>
      <c r="I79" s="13">
        <f t="shared" si="18"/>
        <v>7</v>
      </c>
      <c r="J79" s="13">
        <f t="shared" si="18"/>
        <v>6</v>
      </c>
      <c r="K79" s="13">
        <f t="shared" si="18"/>
        <v>37</v>
      </c>
      <c r="L79" s="13">
        <f t="shared" si="18"/>
        <v>9</v>
      </c>
      <c r="M79" s="13">
        <f t="shared" si="18"/>
        <v>32</v>
      </c>
      <c r="N79" s="13">
        <f t="shared" si="18"/>
        <v>10</v>
      </c>
      <c r="O79" s="13">
        <f t="shared" si="18"/>
        <v>24</v>
      </c>
      <c r="P79" s="13">
        <f t="shared" si="18"/>
        <v>3</v>
      </c>
      <c r="Q79" s="13">
        <f t="shared" si="18"/>
        <v>8</v>
      </c>
      <c r="R79" s="13">
        <f t="shared" si="18"/>
        <v>8</v>
      </c>
      <c r="S79" s="13">
        <f t="shared" si="18"/>
        <v>13</v>
      </c>
      <c r="T79" s="13">
        <f t="shared" si="18"/>
        <v>18</v>
      </c>
      <c r="U79" s="13">
        <f t="shared" si="18"/>
        <v>18</v>
      </c>
      <c r="V79" s="13">
        <f t="shared" si="18"/>
        <v>39</v>
      </c>
      <c r="W79" s="13">
        <f t="shared" si="18"/>
        <v>26</v>
      </c>
      <c r="X79" s="13">
        <f t="shared" si="18"/>
        <v>30</v>
      </c>
      <c r="Y79" s="13">
        <f t="shared" si="18"/>
        <v>21</v>
      </c>
      <c r="Z79" s="13">
        <f t="shared" si="18"/>
        <v>377</v>
      </c>
    </row>
    <row r="80" spans="1:26" ht="12.75" customHeight="1" x14ac:dyDescent="0.3">
      <c r="A80" s="55"/>
      <c r="B80" s="56"/>
      <c r="C80" s="56"/>
      <c r="D80" s="56"/>
      <c r="E80" s="56"/>
    </row>
    <row r="81" spans="1:26" ht="12.75" customHeight="1" x14ac:dyDescent="0.3">
      <c r="A81" s="20" t="s">
        <v>37</v>
      </c>
      <c r="B81" s="27" t="s">
        <v>23</v>
      </c>
      <c r="C81" s="57" t="s">
        <v>70</v>
      </c>
      <c r="D81" s="58"/>
      <c r="E81" s="16">
        <v>2</v>
      </c>
      <c r="F81" s="16">
        <v>3</v>
      </c>
      <c r="G81" s="16">
        <v>3</v>
      </c>
      <c r="H81" s="16">
        <v>3</v>
      </c>
      <c r="I81" s="16">
        <v>5</v>
      </c>
      <c r="J81" s="16">
        <v>0</v>
      </c>
      <c r="K81" s="16">
        <v>0</v>
      </c>
      <c r="L81" s="16">
        <v>0</v>
      </c>
      <c r="M81" s="16">
        <v>1</v>
      </c>
      <c r="N81" s="16">
        <v>1</v>
      </c>
      <c r="O81" s="16">
        <v>3</v>
      </c>
      <c r="P81" s="16">
        <v>1</v>
      </c>
      <c r="Q81" s="16">
        <v>0</v>
      </c>
      <c r="R81" s="16">
        <v>1</v>
      </c>
      <c r="S81" s="16">
        <v>0</v>
      </c>
      <c r="T81" s="16">
        <v>4</v>
      </c>
      <c r="U81" s="16">
        <v>0</v>
      </c>
      <c r="V81" s="16">
        <v>3</v>
      </c>
      <c r="W81" s="16">
        <v>0</v>
      </c>
      <c r="X81" s="16">
        <v>1</v>
      </c>
      <c r="Y81" s="16">
        <v>4</v>
      </c>
      <c r="Z81" s="13">
        <f t="shared" ref="Z81:Z90" si="19">SUM(E81:Y81)</f>
        <v>35</v>
      </c>
    </row>
    <row r="82" spans="1:26" ht="12.75" customHeight="1" x14ac:dyDescent="0.3">
      <c r="A82" s="20" t="s">
        <v>39</v>
      </c>
      <c r="B82" s="28"/>
      <c r="C82" s="29" t="s">
        <v>71</v>
      </c>
      <c r="D82" s="30"/>
      <c r="E82" s="16">
        <v>0</v>
      </c>
      <c r="F82" s="16">
        <v>2</v>
      </c>
      <c r="G82" s="16">
        <v>5</v>
      </c>
      <c r="H82" s="16">
        <v>1</v>
      </c>
      <c r="I82" s="16">
        <v>2</v>
      </c>
      <c r="J82" s="16">
        <v>0</v>
      </c>
      <c r="K82" s="16">
        <v>1</v>
      </c>
      <c r="L82" s="16">
        <v>0</v>
      </c>
      <c r="M82" s="16">
        <v>1</v>
      </c>
      <c r="N82" s="16">
        <v>1</v>
      </c>
      <c r="O82" s="16">
        <v>0</v>
      </c>
      <c r="P82" s="16">
        <v>1</v>
      </c>
      <c r="Q82" s="16">
        <v>0</v>
      </c>
      <c r="R82" s="16">
        <v>0</v>
      </c>
      <c r="S82" s="16">
        <v>3</v>
      </c>
      <c r="T82" s="16">
        <v>5</v>
      </c>
      <c r="U82" s="16">
        <v>3</v>
      </c>
      <c r="V82" s="16">
        <v>2</v>
      </c>
      <c r="W82" s="16">
        <v>4</v>
      </c>
      <c r="X82" s="16">
        <v>0</v>
      </c>
      <c r="Y82" s="16">
        <v>0</v>
      </c>
      <c r="Z82" s="13">
        <f t="shared" si="19"/>
        <v>31</v>
      </c>
    </row>
    <row r="83" spans="1:26" ht="12.75" customHeight="1" x14ac:dyDescent="0.3">
      <c r="A83" s="15"/>
      <c r="B83" s="28"/>
      <c r="C83" s="29" t="s">
        <v>72</v>
      </c>
      <c r="D83" s="30"/>
      <c r="E83" s="16">
        <v>3</v>
      </c>
      <c r="F83" s="16">
        <v>0</v>
      </c>
      <c r="G83" s="16">
        <v>0</v>
      </c>
      <c r="H83" s="16">
        <v>4</v>
      </c>
      <c r="I83" s="16">
        <v>1</v>
      </c>
      <c r="J83" s="16">
        <v>0</v>
      </c>
      <c r="K83" s="16">
        <v>0</v>
      </c>
      <c r="L83" s="16">
        <v>0</v>
      </c>
      <c r="M83" s="16">
        <v>0</v>
      </c>
      <c r="N83" s="16">
        <v>1</v>
      </c>
      <c r="O83" s="16">
        <v>1</v>
      </c>
      <c r="P83" s="16">
        <v>1</v>
      </c>
      <c r="Q83" s="16">
        <v>1</v>
      </c>
      <c r="R83" s="16">
        <v>0</v>
      </c>
      <c r="S83" s="16">
        <v>0</v>
      </c>
      <c r="T83" s="16">
        <v>1</v>
      </c>
      <c r="U83" s="16">
        <v>0</v>
      </c>
      <c r="V83" s="16">
        <v>0</v>
      </c>
      <c r="W83" s="16">
        <v>1</v>
      </c>
      <c r="X83" s="16">
        <v>0</v>
      </c>
      <c r="Y83" s="16">
        <v>3</v>
      </c>
      <c r="Z83" s="13">
        <f t="shared" si="19"/>
        <v>17</v>
      </c>
    </row>
    <row r="84" spans="1:26" ht="12.75" customHeight="1" x14ac:dyDescent="0.3">
      <c r="A84" s="15"/>
      <c r="B84" s="28"/>
      <c r="C84" s="29" t="s">
        <v>73</v>
      </c>
      <c r="D84" s="30"/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1</v>
      </c>
      <c r="P84" s="16">
        <v>1</v>
      </c>
      <c r="Q84" s="16">
        <v>0</v>
      </c>
      <c r="R84" s="16">
        <v>1</v>
      </c>
      <c r="S84" s="16">
        <v>0</v>
      </c>
      <c r="T84" s="16">
        <v>2</v>
      </c>
      <c r="U84" s="16">
        <v>0</v>
      </c>
      <c r="V84" s="16">
        <v>1</v>
      </c>
      <c r="W84" s="16">
        <v>0</v>
      </c>
      <c r="X84" s="16">
        <v>0</v>
      </c>
      <c r="Y84" s="16">
        <v>1</v>
      </c>
      <c r="Z84" s="13">
        <f t="shared" si="19"/>
        <v>7</v>
      </c>
    </row>
    <row r="85" spans="1:26" ht="12.75" customHeight="1" x14ac:dyDescent="0.3">
      <c r="A85" s="15"/>
      <c r="B85" s="28"/>
      <c r="C85" s="29" t="s">
        <v>74</v>
      </c>
      <c r="D85" s="30"/>
      <c r="E85" s="16">
        <v>0</v>
      </c>
      <c r="F85" s="16">
        <v>4</v>
      </c>
      <c r="G85" s="16">
        <v>2</v>
      </c>
      <c r="H85" s="16">
        <v>0</v>
      </c>
      <c r="I85" s="16">
        <v>0</v>
      </c>
      <c r="J85" s="16">
        <v>0</v>
      </c>
      <c r="K85" s="16">
        <v>1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1</v>
      </c>
      <c r="V85" s="16">
        <v>0</v>
      </c>
      <c r="W85" s="16">
        <v>0</v>
      </c>
      <c r="X85" s="16">
        <v>1</v>
      </c>
      <c r="Y85" s="16">
        <v>0</v>
      </c>
      <c r="Z85" s="13">
        <f t="shared" si="19"/>
        <v>9</v>
      </c>
    </row>
    <row r="86" spans="1:26" ht="12.75" customHeight="1" x14ac:dyDescent="0.3">
      <c r="A86" s="15"/>
      <c r="B86" s="28"/>
      <c r="C86" s="29" t="s">
        <v>75</v>
      </c>
      <c r="D86" s="30"/>
      <c r="E86" s="16">
        <v>4</v>
      </c>
      <c r="F86" s="16">
        <v>2</v>
      </c>
      <c r="G86" s="16">
        <v>3</v>
      </c>
      <c r="H86" s="16">
        <v>0</v>
      </c>
      <c r="I86" s="16">
        <v>2</v>
      </c>
      <c r="J86" s="16">
        <v>1</v>
      </c>
      <c r="K86" s="16">
        <v>0</v>
      </c>
      <c r="L86" s="16">
        <v>0</v>
      </c>
      <c r="M86" s="16">
        <v>1</v>
      </c>
      <c r="N86" s="16">
        <v>1</v>
      </c>
      <c r="O86" s="16">
        <v>4</v>
      </c>
      <c r="P86" s="16">
        <v>3</v>
      </c>
      <c r="Q86" s="16">
        <v>6</v>
      </c>
      <c r="R86" s="16">
        <v>3</v>
      </c>
      <c r="S86" s="16">
        <v>15</v>
      </c>
      <c r="T86" s="16">
        <v>11</v>
      </c>
      <c r="U86" s="16">
        <v>13</v>
      </c>
      <c r="V86" s="16">
        <v>5</v>
      </c>
      <c r="W86" s="16">
        <v>8</v>
      </c>
      <c r="X86" s="16">
        <v>16</v>
      </c>
      <c r="Y86" s="16">
        <v>11</v>
      </c>
      <c r="Z86" s="13">
        <f t="shared" si="19"/>
        <v>109</v>
      </c>
    </row>
    <row r="87" spans="1:26" ht="12.75" customHeight="1" x14ac:dyDescent="0.3">
      <c r="A87" s="15"/>
      <c r="B87" s="28"/>
      <c r="C87" s="29" t="s">
        <v>76</v>
      </c>
      <c r="D87" s="30"/>
      <c r="E87" s="16">
        <v>0</v>
      </c>
      <c r="F87" s="16">
        <v>0</v>
      </c>
      <c r="G87" s="16">
        <v>1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1</v>
      </c>
      <c r="P87" s="16">
        <v>0</v>
      </c>
      <c r="Q87" s="16">
        <v>1</v>
      </c>
      <c r="R87" s="16">
        <v>0</v>
      </c>
      <c r="S87" s="16">
        <v>1</v>
      </c>
      <c r="T87" s="16">
        <v>1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3">
        <f t="shared" si="19"/>
        <v>5</v>
      </c>
    </row>
    <row r="88" spans="1:26" ht="12.75" customHeight="1" x14ac:dyDescent="0.3">
      <c r="A88" s="15"/>
      <c r="B88" s="28"/>
      <c r="C88" s="29" t="s">
        <v>77</v>
      </c>
      <c r="D88" s="30"/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1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3">
        <f t="shared" si="19"/>
        <v>1</v>
      </c>
    </row>
    <row r="89" spans="1:26" ht="12.75" customHeight="1" x14ac:dyDescent="0.3">
      <c r="A89" s="15"/>
      <c r="B89" s="28"/>
      <c r="C89" s="29" t="s">
        <v>78</v>
      </c>
      <c r="D89" s="30"/>
      <c r="E89" s="16">
        <v>0</v>
      </c>
      <c r="F89" s="16">
        <v>0</v>
      </c>
      <c r="G89" s="16">
        <v>0</v>
      </c>
      <c r="H89" s="16">
        <v>1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3">
        <f t="shared" si="19"/>
        <v>1</v>
      </c>
    </row>
    <row r="90" spans="1:26" ht="12.75" customHeight="1" x14ac:dyDescent="0.3">
      <c r="A90" s="15"/>
      <c r="B90" s="28"/>
      <c r="C90" s="29" t="s">
        <v>79</v>
      </c>
      <c r="D90" s="30"/>
      <c r="E90" s="16">
        <v>0</v>
      </c>
      <c r="F90" s="16">
        <v>0</v>
      </c>
      <c r="G90" s="16">
        <v>0</v>
      </c>
      <c r="H90" s="16">
        <v>0</v>
      </c>
      <c r="I90" s="16">
        <v>1</v>
      </c>
      <c r="J90" s="16">
        <v>0</v>
      </c>
      <c r="K90" s="16">
        <v>0</v>
      </c>
      <c r="L90" s="16">
        <v>0</v>
      </c>
      <c r="M90" s="16">
        <v>1</v>
      </c>
      <c r="N90" s="16">
        <v>1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1</v>
      </c>
      <c r="W90" s="16">
        <v>0</v>
      </c>
      <c r="X90" s="16">
        <v>1</v>
      </c>
      <c r="Y90" s="16">
        <v>0</v>
      </c>
      <c r="Z90" s="13">
        <f t="shared" si="19"/>
        <v>5</v>
      </c>
    </row>
    <row r="91" spans="1:26" ht="12.75" customHeight="1" x14ac:dyDescent="0.3">
      <c r="A91" s="16" t="s">
        <v>15</v>
      </c>
      <c r="B91" s="59" t="s">
        <v>49</v>
      </c>
      <c r="C91" s="60"/>
      <c r="D91" s="58"/>
      <c r="E91" s="13">
        <f t="shared" ref="E91:Z91" si="20">SUM(E81:E90)</f>
        <v>9</v>
      </c>
      <c r="F91" s="13">
        <f t="shared" si="20"/>
        <v>11</v>
      </c>
      <c r="G91" s="13">
        <f t="shared" si="20"/>
        <v>14</v>
      </c>
      <c r="H91" s="13">
        <f t="shared" si="20"/>
        <v>9</v>
      </c>
      <c r="I91" s="13">
        <f t="shared" si="20"/>
        <v>11</v>
      </c>
      <c r="J91" s="13">
        <f t="shared" si="20"/>
        <v>1</v>
      </c>
      <c r="K91" s="13">
        <f t="shared" si="20"/>
        <v>2</v>
      </c>
      <c r="L91" s="13">
        <f t="shared" si="20"/>
        <v>0</v>
      </c>
      <c r="M91" s="13">
        <f t="shared" si="20"/>
        <v>4</v>
      </c>
      <c r="N91" s="13">
        <f t="shared" si="20"/>
        <v>5</v>
      </c>
      <c r="O91" s="13">
        <f t="shared" si="20"/>
        <v>10</v>
      </c>
      <c r="P91" s="13">
        <f t="shared" si="20"/>
        <v>7</v>
      </c>
      <c r="Q91" s="13">
        <f t="shared" si="20"/>
        <v>9</v>
      </c>
      <c r="R91" s="13">
        <f t="shared" si="20"/>
        <v>5</v>
      </c>
      <c r="S91" s="13">
        <f t="shared" si="20"/>
        <v>19</v>
      </c>
      <c r="T91" s="13">
        <f t="shared" si="20"/>
        <v>24</v>
      </c>
      <c r="U91" s="13">
        <f t="shared" si="20"/>
        <v>17</v>
      </c>
      <c r="V91" s="13">
        <f t="shared" si="20"/>
        <v>12</v>
      </c>
      <c r="W91" s="13">
        <f t="shared" si="20"/>
        <v>13</v>
      </c>
      <c r="X91" s="13">
        <f t="shared" si="20"/>
        <v>19</v>
      </c>
      <c r="Y91" s="13">
        <f t="shared" si="20"/>
        <v>19</v>
      </c>
      <c r="Z91" s="13">
        <f t="shared" si="20"/>
        <v>220</v>
      </c>
    </row>
    <row r="92" spans="1:26" ht="12.75" customHeight="1" x14ac:dyDescent="0.3">
      <c r="A92" s="55"/>
      <c r="B92" s="56"/>
      <c r="C92" s="56"/>
      <c r="D92" s="56"/>
      <c r="E92" s="56"/>
    </row>
    <row r="93" spans="1:26" ht="12.75" customHeight="1" x14ac:dyDescent="0.3">
      <c r="A93" s="20" t="s">
        <v>37</v>
      </c>
      <c r="B93" s="27" t="s">
        <v>80</v>
      </c>
      <c r="C93" s="57" t="s">
        <v>81</v>
      </c>
      <c r="D93" s="58"/>
      <c r="E93" s="16">
        <v>0</v>
      </c>
      <c r="F93" s="16">
        <v>1</v>
      </c>
      <c r="G93" s="16">
        <v>0</v>
      </c>
      <c r="H93" s="16">
        <v>1</v>
      </c>
      <c r="I93" s="16">
        <v>0</v>
      </c>
      <c r="J93" s="16">
        <v>0</v>
      </c>
      <c r="K93" s="16">
        <v>5</v>
      </c>
      <c r="L93" s="16">
        <v>0</v>
      </c>
      <c r="M93" s="16">
        <v>1</v>
      </c>
      <c r="N93" s="16">
        <v>0</v>
      </c>
      <c r="O93" s="16">
        <v>0</v>
      </c>
      <c r="P93" s="16">
        <v>2</v>
      </c>
      <c r="Q93" s="16">
        <v>1</v>
      </c>
      <c r="R93" s="16">
        <v>2</v>
      </c>
      <c r="S93" s="16">
        <v>5</v>
      </c>
      <c r="T93" s="16">
        <v>2</v>
      </c>
      <c r="U93" s="16">
        <v>6</v>
      </c>
      <c r="V93" s="16">
        <v>2</v>
      </c>
      <c r="W93" s="16">
        <v>2</v>
      </c>
      <c r="X93" s="16">
        <v>3</v>
      </c>
      <c r="Y93" s="16">
        <v>0</v>
      </c>
      <c r="Z93" s="13">
        <f t="shared" ref="Z93:Z102" si="21">SUM(E93:Y93)</f>
        <v>33</v>
      </c>
    </row>
    <row r="94" spans="1:26" ht="12.75" customHeight="1" x14ac:dyDescent="0.3">
      <c r="A94" s="20" t="s">
        <v>39</v>
      </c>
      <c r="B94" s="28"/>
      <c r="C94" s="29" t="s">
        <v>82</v>
      </c>
      <c r="D94" s="35"/>
      <c r="E94" s="16">
        <v>6</v>
      </c>
      <c r="F94" s="16">
        <v>2</v>
      </c>
      <c r="G94" s="16">
        <v>0</v>
      </c>
      <c r="H94" s="16">
        <v>0</v>
      </c>
      <c r="I94" s="16">
        <v>0</v>
      </c>
      <c r="J94" s="16">
        <v>0</v>
      </c>
      <c r="K94" s="16">
        <v>4</v>
      </c>
      <c r="L94" s="16">
        <v>4</v>
      </c>
      <c r="M94" s="16">
        <v>1</v>
      </c>
      <c r="N94" s="16">
        <v>0</v>
      </c>
      <c r="O94" s="16">
        <v>2</v>
      </c>
      <c r="P94" s="16">
        <v>5</v>
      </c>
      <c r="Q94" s="16">
        <v>0</v>
      </c>
      <c r="R94" s="16">
        <v>0</v>
      </c>
      <c r="S94" s="16">
        <v>4</v>
      </c>
      <c r="T94" s="16">
        <v>3</v>
      </c>
      <c r="U94" s="16">
        <v>9</v>
      </c>
      <c r="V94" s="16">
        <v>0</v>
      </c>
      <c r="W94" s="16">
        <v>3</v>
      </c>
      <c r="X94" s="16">
        <v>0</v>
      </c>
      <c r="Y94" s="16">
        <v>4</v>
      </c>
      <c r="Z94" s="13">
        <f t="shared" si="21"/>
        <v>47</v>
      </c>
    </row>
    <row r="95" spans="1:26" ht="12.75" customHeight="1" x14ac:dyDescent="0.3">
      <c r="A95" s="15"/>
      <c r="B95" s="28"/>
      <c r="C95" s="29" t="s">
        <v>83</v>
      </c>
      <c r="D95" s="35"/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1</v>
      </c>
      <c r="Q95" s="16">
        <v>5</v>
      </c>
      <c r="R95" s="16">
        <v>0</v>
      </c>
      <c r="S95" s="16">
        <v>4</v>
      </c>
      <c r="T95" s="16">
        <v>0</v>
      </c>
      <c r="U95" s="16">
        <v>2</v>
      </c>
      <c r="V95" s="16">
        <v>0</v>
      </c>
      <c r="W95" s="16">
        <v>2</v>
      </c>
      <c r="X95" s="16">
        <v>0</v>
      </c>
      <c r="Y95" s="16">
        <v>0</v>
      </c>
      <c r="Z95" s="13">
        <f t="shared" si="21"/>
        <v>14</v>
      </c>
    </row>
    <row r="96" spans="1:26" ht="12.75" customHeight="1" x14ac:dyDescent="0.3">
      <c r="A96" s="15"/>
      <c r="B96" s="28"/>
      <c r="C96" s="29" t="s">
        <v>84</v>
      </c>
      <c r="D96" s="35"/>
      <c r="E96" s="16">
        <v>1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1</v>
      </c>
      <c r="M96" s="16">
        <v>0</v>
      </c>
      <c r="N96" s="16">
        <v>0</v>
      </c>
      <c r="O96" s="16">
        <v>0</v>
      </c>
      <c r="P96" s="16">
        <v>2</v>
      </c>
      <c r="Q96" s="16">
        <v>2</v>
      </c>
      <c r="R96" s="16">
        <v>0</v>
      </c>
      <c r="S96" s="16">
        <v>3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3">
        <f t="shared" si="21"/>
        <v>9</v>
      </c>
    </row>
    <row r="97" spans="1:26" ht="12.75" customHeight="1" x14ac:dyDescent="0.3">
      <c r="A97" s="15"/>
      <c r="B97" s="28"/>
      <c r="C97" s="29" t="s">
        <v>85</v>
      </c>
      <c r="D97" s="35"/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1</v>
      </c>
      <c r="L97" s="16">
        <v>0</v>
      </c>
      <c r="M97" s="16">
        <v>0</v>
      </c>
      <c r="N97" s="16">
        <v>0</v>
      </c>
      <c r="O97" s="16">
        <v>0</v>
      </c>
      <c r="P97" s="16">
        <v>1</v>
      </c>
      <c r="Q97" s="16">
        <v>1</v>
      </c>
      <c r="R97" s="16">
        <v>0</v>
      </c>
      <c r="S97" s="16">
        <v>2</v>
      </c>
      <c r="T97" s="16">
        <v>0</v>
      </c>
      <c r="U97" s="16">
        <v>1</v>
      </c>
      <c r="V97" s="16">
        <v>1</v>
      </c>
      <c r="W97" s="16">
        <v>1</v>
      </c>
      <c r="X97" s="16">
        <v>0</v>
      </c>
      <c r="Y97" s="16">
        <v>0</v>
      </c>
      <c r="Z97" s="13">
        <f t="shared" si="21"/>
        <v>8</v>
      </c>
    </row>
    <row r="98" spans="1:26" ht="12.75" customHeight="1" x14ac:dyDescent="0.3">
      <c r="A98" s="15"/>
      <c r="B98" s="28"/>
      <c r="C98" s="29" t="s">
        <v>86</v>
      </c>
      <c r="D98" s="30"/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5</v>
      </c>
      <c r="L98" s="16">
        <v>0</v>
      </c>
      <c r="M98" s="16">
        <v>0</v>
      </c>
      <c r="N98" s="16">
        <v>1</v>
      </c>
      <c r="O98" s="16">
        <v>1</v>
      </c>
      <c r="P98" s="16">
        <v>0</v>
      </c>
      <c r="Q98" s="16">
        <v>0</v>
      </c>
      <c r="R98" s="16">
        <v>0</v>
      </c>
      <c r="S98" s="16">
        <v>1</v>
      </c>
      <c r="T98" s="16">
        <v>0</v>
      </c>
      <c r="U98" s="16">
        <v>0</v>
      </c>
      <c r="V98" s="16">
        <v>3</v>
      </c>
      <c r="W98" s="16">
        <v>1</v>
      </c>
      <c r="X98" s="16">
        <v>0</v>
      </c>
      <c r="Y98" s="16">
        <v>0</v>
      </c>
      <c r="Z98" s="13">
        <f t="shared" si="21"/>
        <v>12</v>
      </c>
    </row>
    <row r="99" spans="1:26" ht="12.75" customHeight="1" x14ac:dyDescent="0.3">
      <c r="A99" s="15"/>
      <c r="B99" s="28"/>
      <c r="C99" s="29" t="s">
        <v>87</v>
      </c>
      <c r="D99" s="30"/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1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1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3">
        <f t="shared" si="21"/>
        <v>2</v>
      </c>
    </row>
    <row r="100" spans="1:26" ht="12.75" customHeight="1" x14ac:dyDescent="0.3">
      <c r="A100" s="15"/>
      <c r="B100" s="28"/>
      <c r="C100" s="29" t="s">
        <v>88</v>
      </c>
      <c r="D100" s="35"/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3">
        <f t="shared" si="21"/>
        <v>0</v>
      </c>
    </row>
    <row r="101" spans="1:26" ht="12.75" customHeight="1" x14ac:dyDescent="0.3">
      <c r="A101" s="15"/>
      <c r="B101" s="28"/>
      <c r="C101" s="29" t="s">
        <v>89</v>
      </c>
      <c r="D101" s="35"/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1</v>
      </c>
      <c r="T101" s="16">
        <v>0</v>
      </c>
      <c r="U101" s="16">
        <v>3</v>
      </c>
      <c r="V101" s="16">
        <v>0</v>
      </c>
      <c r="W101" s="16">
        <v>0</v>
      </c>
      <c r="X101" s="16">
        <v>0</v>
      </c>
      <c r="Y101" s="16">
        <v>0</v>
      </c>
      <c r="Z101" s="13">
        <f t="shared" si="21"/>
        <v>4</v>
      </c>
    </row>
    <row r="102" spans="1:26" ht="12.75" customHeight="1" x14ac:dyDescent="0.3">
      <c r="A102" s="15"/>
      <c r="B102" s="28"/>
      <c r="C102" s="29" t="s">
        <v>90</v>
      </c>
      <c r="D102" s="35"/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1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3">
        <f t="shared" si="21"/>
        <v>1</v>
      </c>
    </row>
    <row r="103" spans="1:26" ht="12.75" customHeight="1" x14ac:dyDescent="0.3">
      <c r="A103" s="16" t="s">
        <v>15</v>
      </c>
      <c r="B103" s="59" t="s">
        <v>49</v>
      </c>
      <c r="C103" s="60"/>
      <c r="D103" s="58"/>
      <c r="E103" s="13">
        <f t="shared" ref="E103:Z103" si="22">SUM(E93:E102)</f>
        <v>7</v>
      </c>
      <c r="F103" s="13">
        <f t="shared" si="22"/>
        <v>3</v>
      </c>
      <c r="G103" s="13">
        <f t="shared" si="22"/>
        <v>0</v>
      </c>
      <c r="H103" s="13">
        <f t="shared" si="22"/>
        <v>1</v>
      </c>
      <c r="I103" s="13">
        <f t="shared" si="22"/>
        <v>0</v>
      </c>
      <c r="J103" s="13">
        <f t="shared" si="22"/>
        <v>0</v>
      </c>
      <c r="K103" s="13">
        <f t="shared" si="22"/>
        <v>17</v>
      </c>
      <c r="L103" s="13">
        <f t="shared" si="22"/>
        <v>5</v>
      </c>
      <c r="M103" s="13">
        <f t="shared" si="22"/>
        <v>2</v>
      </c>
      <c r="N103" s="13">
        <f t="shared" si="22"/>
        <v>1</v>
      </c>
      <c r="O103" s="13">
        <f t="shared" si="22"/>
        <v>3</v>
      </c>
      <c r="P103" s="13">
        <f t="shared" si="22"/>
        <v>11</v>
      </c>
      <c r="Q103" s="13">
        <f t="shared" si="22"/>
        <v>9</v>
      </c>
      <c r="R103" s="13">
        <f t="shared" si="22"/>
        <v>2</v>
      </c>
      <c r="S103" s="13">
        <f t="shared" si="22"/>
        <v>21</v>
      </c>
      <c r="T103" s="13">
        <f t="shared" si="22"/>
        <v>5</v>
      </c>
      <c r="U103" s="13">
        <f t="shared" si="22"/>
        <v>21</v>
      </c>
      <c r="V103" s="13">
        <f t="shared" si="22"/>
        <v>6</v>
      </c>
      <c r="W103" s="13">
        <f t="shared" si="22"/>
        <v>9</v>
      </c>
      <c r="X103" s="13">
        <f t="shared" si="22"/>
        <v>3</v>
      </c>
      <c r="Y103" s="13">
        <f t="shared" si="22"/>
        <v>4</v>
      </c>
      <c r="Z103" s="13">
        <f t="shared" si="22"/>
        <v>130</v>
      </c>
    </row>
    <row r="104" spans="1:26" ht="12.75" customHeight="1" x14ac:dyDescent="0.3">
      <c r="A104" s="55"/>
      <c r="B104" s="56"/>
      <c r="C104" s="56"/>
      <c r="D104" s="56"/>
      <c r="E104" s="56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 ht="12.75" customHeight="1" x14ac:dyDescent="0.3">
      <c r="A105" s="20" t="s">
        <v>37</v>
      </c>
      <c r="B105" s="27" t="s">
        <v>91</v>
      </c>
      <c r="C105" s="57" t="s">
        <v>92</v>
      </c>
      <c r="D105" s="58"/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1</v>
      </c>
      <c r="S105" s="16">
        <v>2</v>
      </c>
      <c r="T105" s="16">
        <v>1</v>
      </c>
      <c r="U105" s="16">
        <v>0</v>
      </c>
      <c r="V105" s="16">
        <v>0</v>
      </c>
      <c r="W105" s="16">
        <v>1</v>
      </c>
      <c r="X105" s="16">
        <v>0</v>
      </c>
      <c r="Y105" s="16">
        <v>0</v>
      </c>
      <c r="Z105" s="13">
        <f t="shared" ref="Z105:Z114" si="23">SUM(E105:Y105)</f>
        <v>5</v>
      </c>
    </row>
    <row r="106" spans="1:26" ht="12.75" customHeight="1" x14ac:dyDescent="0.3">
      <c r="A106" s="20" t="s">
        <v>39</v>
      </c>
      <c r="B106" s="28"/>
      <c r="C106" s="29" t="s">
        <v>93</v>
      </c>
      <c r="D106" s="30"/>
      <c r="E106" s="16">
        <v>0</v>
      </c>
      <c r="F106" s="16">
        <v>0</v>
      </c>
      <c r="G106" s="16">
        <v>1</v>
      </c>
      <c r="H106" s="16">
        <v>1</v>
      </c>
      <c r="I106" s="16">
        <v>1</v>
      </c>
      <c r="J106" s="16">
        <v>0</v>
      </c>
      <c r="K106" s="16">
        <v>0</v>
      </c>
      <c r="L106" s="16">
        <v>1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3">
        <f t="shared" si="23"/>
        <v>4</v>
      </c>
    </row>
    <row r="107" spans="1:26" ht="12.75" customHeight="1" x14ac:dyDescent="0.3">
      <c r="A107" s="15"/>
      <c r="B107" s="28"/>
      <c r="C107" s="29" t="s">
        <v>94</v>
      </c>
      <c r="D107" s="30"/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3">
        <f t="shared" si="23"/>
        <v>0</v>
      </c>
    </row>
    <row r="108" spans="1:26" ht="12.75" customHeight="1" x14ac:dyDescent="0.3">
      <c r="A108" s="15"/>
      <c r="B108" s="36"/>
      <c r="C108" s="37"/>
      <c r="D108" s="38"/>
      <c r="E108" s="52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3">
        <f t="shared" si="23"/>
        <v>0</v>
      </c>
    </row>
    <row r="109" spans="1:26" ht="12.75" customHeight="1" x14ac:dyDescent="0.3">
      <c r="A109" s="15"/>
      <c r="B109" s="36"/>
      <c r="C109" s="37"/>
      <c r="D109" s="38"/>
      <c r="E109" s="52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3">
        <f t="shared" si="23"/>
        <v>0</v>
      </c>
    </row>
    <row r="110" spans="1:26" ht="12.75" customHeight="1" x14ac:dyDescent="0.3">
      <c r="A110" s="15"/>
      <c r="B110" s="36"/>
      <c r="C110" s="37"/>
      <c r="D110" s="38"/>
      <c r="E110" s="52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3">
        <f t="shared" si="23"/>
        <v>0</v>
      </c>
    </row>
    <row r="111" spans="1:26" ht="12.75" customHeight="1" x14ac:dyDescent="0.3">
      <c r="A111" s="15"/>
      <c r="B111" s="36"/>
      <c r="C111" s="37"/>
      <c r="D111" s="38"/>
      <c r="E111" s="52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3">
        <f t="shared" si="23"/>
        <v>0</v>
      </c>
    </row>
    <row r="112" spans="1:26" ht="12.75" customHeight="1" x14ac:dyDescent="0.3">
      <c r="A112" s="15"/>
      <c r="B112" s="36"/>
      <c r="C112" s="37"/>
      <c r="D112" s="38"/>
      <c r="E112" s="52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3">
        <f t="shared" si="23"/>
        <v>0</v>
      </c>
    </row>
    <row r="113" spans="1:26" ht="12.75" customHeight="1" x14ac:dyDescent="0.3">
      <c r="A113" s="15"/>
      <c r="B113" s="36"/>
      <c r="C113" s="37"/>
      <c r="D113" s="38"/>
      <c r="E113" s="52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3">
        <f t="shared" si="23"/>
        <v>0</v>
      </c>
    </row>
    <row r="114" spans="1:26" ht="12.75" customHeight="1" x14ac:dyDescent="0.3">
      <c r="A114" s="15"/>
      <c r="B114" s="36"/>
      <c r="C114" s="37"/>
      <c r="D114" s="38"/>
      <c r="E114" s="52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3">
        <f t="shared" si="23"/>
        <v>0</v>
      </c>
    </row>
    <row r="115" spans="1:26" ht="12.75" customHeight="1" x14ac:dyDescent="0.3">
      <c r="A115" s="16" t="s">
        <v>15</v>
      </c>
      <c r="B115" s="59" t="s">
        <v>49</v>
      </c>
      <c r="C115" s="60"/>
      <c r="D115" s="58"/>
      <c r="E115" s="13">
        <f t="shared" ref="E115:Z115" si="24">SUM(E105:E114)</f>
        <v>0</v>
      </c>
      <c r="F115" s="13">
        <f t="shared" si="24"/>
        <v>0</v>
      </c>
      <c r="G115" s="13">
        <f t="shared" si="24"/>
        <v>1</v>
      </c>
      <c r="H115" s="13">
        <f t="shared" si="24"/>
        <v>1</v>
      </c>
      <c r="I115" s="13">
        <f t="shared" si="24"/>
        <v>1</v>
      </c>
      <c r="J115" s="13">
        <f t="shared" si="24"/>
        <v>0</v>
      </c>
      <c r="K115" s="13">
        <f t="shared" si="24"/>
        <v>0</v>
      </c>
      <c r="L115" s="13">
        <f t="shared" si="24"/>
        <v>1</v>
      </c>
      <c r="M115" s="13">
        <f t="shared" si="24"/>
        <v>0</v>
      </c>
      <c r="N115" s="13">
        <f t="shared" si="24"/>
        <v>0</v>
      </c>
      <c r="O115" s="13">
        <f t="shared" si="24"/>
        <v>0</v>
      </c>
      <c r="P115" s="13">
        <f t="shared" si="24"/>
        <v>0</v>
      </c>
      <c r="Q115" s="13">
        <f t="shared" si="24"/>
        <v>0</v>
      </c>
      <c r="R115" s="13">
        <f t="shared" si="24"/>
        <v>1</v>
      </c>
      <c r="S115" s="13">
        <f t="shared" si="24"/>
        <v>2</v>
      </c>
      <c r="T115" s="13">
        <f t="shared" si="24"/>
        <v>1</v>
      </c>
      <c r="U115" s="13">
        <f t="shared" si="24"/>
        <v>0</v>
      </c>
      <c r="V115" s="13">
        <f t="shared" si="24"/>
        <v>0</v>
      </c>
      <c r="W115" s="13">
        <f t="shared" si="24"/>
        <v>1</v>
      </c>
      <c r="X115" s="13">
        <f t="shared" si="24"/>
        <v>0</v>
      </c>
      <c r="Y115" s="13">
        <f t="shared" si="24"/>
        <v>0</v>
      </c>
      <c r="Z115" s="13">
        <f t="shared" si="24"/>
        <v>9</v>
      </c>
    </row>
    <row r="116" spans="1:26" ht="12.75" customHeight="1" x14ac:dyDescent="0.3">
      <c r="A116" s="61"/>
      <c r="B116" s="60"/>
      <c r="C116" s="60"/>
      <c r="D116" s="60"/>
      <c r="E116" s="58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13"/>
    </row>
    <row r="117" spans="1:26" ht="12.75" customHeight="1" x14ac:dyDescent="0.3">
      <c r="A117" s="20" t="s">
        <v>37</v>
      </c>
      <c r="B117" s="27" t="s">
        <v>95</v>
      </c>
      <c r="C117" s="57" t="s">
        <v>96</v>
      </c>
      <c r="D117" s="58"/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1</v>
      </c>
      <c r="O117" s="16">
        <v>1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1</v>
      </c>
      <c r="W117" s="16">
        <v>0</v>
      </c>
      <c r="X117" s="16">
        <v>1</v>
      </c>
      <c r="Y117" s="16">
        <v>0</v>
      </c>
      <c r="Z117" s="13">
        <f t="shared" ref="Z117:Z126" si="25">SUM(E117:Y117)</f>
        <v>4</v>
      </c>
    </row>
    <row r="118" spans="1:26" ht="12.75" customHeight="1" x14ac:dyDescent="0.3">
      <c r="A118" s="20" t="s">
        <v>39</v>
      </c>
      <c r="B118" s="28"/>
      <c r="C118" s="29" t="s">
        <v>97</v>
      </c>
      <c r="D118" s="30"/>
      <c r="E118" s="16">
        <v>0</v>
      </c>
      <c r="F118" s="16">
        <v>0</v>
      </c>
      <c r="G118" s="16">
        <v>0</v>
      </c>
      <c r="H118" s="16">
        <v>0</v>
      </c>
      <c r="I118" s="16">
        <v>1</v>
      </c>
      <c r="J118" s="16">
        <v>1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1</v>
      </c>
      <c r="V118" s="16">
        <v>1</v>
      </c>
      <c r="W118" s="16">
        <v>0</v>
      </c>
      <c r="X118" s="16">
        <v>1</v>
      </c>
      <c r="Y118" s="16">
        <v>0</v>
      </c>
      <c r="Z118" s="13">
        <f t="shared" si="25"/>
        <v>5</v>
      </c>
    </row>
    <row r="119" spans="1:26" ht="12.75" customHeight="1" x14ac:dyDescent="0.3">
      <c r="A119" s="15"/>
      <c r="B119" s="28"/>
      <c r="C119" s="29" t="s">
        <v>98</v>
      </c>
      <c r="D119" s="30"/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1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1</v>
      </c>
      <c r="R119" s="16">
        <v>0</v>
      </c>
      <c r="S119" s="16">
        <v>2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3">
        <f t="shared" si="25"/>
        <v>4</v>
      </c>
    </row>
    <row r="120" spans="1:26" ht="12.75" customHeight="1" x14ac:dyDescent="0.3">
      <c r="A120" s="15"/>
      <c r="B120" s="28"/>
      <c r="C120" s="29" t="s">
        <v>99</v>
      </c>
      <c r="D120" s="30"/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3">
        <f t="shared" si="25"/>
        <v>0</v>
      </c>
    </row>
    <row r="121" spans="1:26" ht="12.75" customHeight="1" x14ac:dyDescent="0.3">
      <c r="A121" s="15"/>
      <c r="B121" s="28"/>
      <c r="C121" s="29" t="s">
        <v>100</v>
      </c>
      <c r="D121" s="30"/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3">
        <f t="shared" si="25"/>
        <v>0</v>
      </c>
    </row>
    <row r="122" spans="1:26" ht="12.75" customHeight="1" x14ac:dyDescent="0.3">
      <c r="A122" s="15"/>
      <c r="B122" s="28"/>
      <c r="C122" s="29" t="s">
        <v>101</v>
      </c>
      <c r="D122" s="30"/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1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3">
        <f t="shared" si="25"/>
        <v>1</v>
      </c>
    </row>
    <row r="123" spans="1:26" ht="12.75" customHeight="1" x14ac:dyDescent="0.3">
      <c r="A123" s="15"/>
      <c r="B123" s="36"/>
      <c r="C123" s="37"/>
      <c r="D123" s="40"/>
      <c r="E123" s="41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13">
        <f t="shared" si="25"/>
        <v>0</v>
      </c>
    </row>
    <row r="124" spans="1:26" ht="12.75" customHeight="1" x14ac:dyDescent="0.3">
      <c r="A124" s="15"/>
      <c r="B124" s="36"/>
      <c r="C124" s="37"/>
      <c r="D124" s="38"/>
      <c r="E124" s="41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13">
        <f t="shared" si="25"/>
        <v>0</v>
      </c>
    </row>
    <row r="125" spans="1:26" ht="12.75" customHeight="1" x14ac:dyDescent="0.3">
      <c r="A125" s="15"/>
      <c r="B125" s="36"/>
      <c r="C125" s="37"/>
      <c r="D125" s="38"/>
      <c r="E125" s="41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13">
        <f t="shared" si="25"/>
        <v>0</v>
      </c>
    </row>
    <row r="126" spans="1:26" ht="12.75" customHeight="1" x14ac:dyDescent="0.3">
      <c r="A126" s="15"/>
      <c r="B126" s="36"/>
      <c r="C126" s="37"/>
      <c r="D126" s="38"/>
      <c r="E126" s="41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13">
        <f t="shared" si="25"/>
        <v>0</v>
      </c>
    </row>
    <row r="127" spans="1:26" ht="12.75" customHeight="1" x14ac:dyDescent="0.3">
      <c r="A127" s="16" t="s">
        <v>15</v>
      </c>
      <c r="B127" s="59" t="s">
        <v>49</v>
      </c>
      <c r="C127" s="60"/>
      <c r="D127" s="58"/>
      <c r="E127" s="13">
        <f t="shared" ref="E127:Z127" si="26">SUM(E117:E126)</f>
        <v>0</v>
      </c>
      <c r="F127" s="13">
        <f t="shared" si="26"/>
        <v>0</v>
      </c>
      <c r="G127" s="13">
        <f t="shared" si="26"/>
        <v>0</v>
      </c>
      <c r="H127" s="13">
        <f t="shared" si="26"/>
        <v>0</v>
      </c>
      <c r="I127" s="13">
        <f t="shared" si="26"/>
        <v>1</v>
      </c>
      <c r="J127" s="13">
        <f t="shared" si="26"/>
        <v>2</v>
      </c>
      <c r="K127" s="13">
        <f t="shared" si="26"/>
        <v>1</v>
      </c>
      <c r="L127" s="13">
        <f t="shared" si="26"/>
        <v>0</v>
      </c>
      <c r="M127" s="13">
        <f t="shared" si="26"/>
        <v>0</v>
      </c>
      <c r="N127" s="13">
        <f t="shared" si="26"/>
        <v>1</v>
      </c>
      <c r="O127" s="13">
        <f t="shared" si="26"/>
        <v>1</v>
      </c>
      <c r="P127" s="13">
        <f t="shared" si="26"/>
        <v>0</v>
      </c>
      <c r="Q127" s="13">
        <f t="shared" si="26"/>
        <v>1</v>
      </c>
      <c r="R127" s="13">
        <f t="shared" si="26"/>
        <v>0</v>
      </c>
      <c r="S127" s="13">
        <f t="shared" si="26"/>
        <v>2</v>
      </c>
      <c r="T127" s="13">
        <f t="shared" si="26"/>
        <v>0</v>
      </c>
      <c r="U127" s="13">
        <f t="shared" si="26"/>
        <v>1</v>
      </c>
      <c r="V127" s="13">
        <f t="shared" si="26"/>
        <v>2</v>
      </c>
      <c r="W127" s="13">
        <f t="shared" si="26"/>
        <v>0</v>
      </c>
      <c r="X127" s="13">
        <f t="shared" si="26"/>
        <v>2</v>
      </c>
      <c r="Y127" s="13">
        <f t="shared" si="26"/>
        <v>0</v>
      </c>
      <c r="Z127" s="13">
        <f t="shared" si="26"/>
        <v>14</v>
      </c>
    </row>
    <row r="128" spans="1:26" ht="12.75" customHeight="1" x14ac:dyDescent="0.3">
      <c r="A128" s="61"/>
      <c r="B128" s="60"/>
      <c r="C128" s="60"/>
      <c r="D128" s="60"/>
      <c r="E128" s="58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1:26" ht="12.75" customHeight="1" x14ac:dyDescent="0.3">
      <c r="A129" s="20" t="s">
        <v>37</v>
      </c>
      <c r="B129" s="27" t="s">
        <v>102</v>
      </c>
      <c r="C129" s="57" t="s">
        <v>103</v>
      </c>
      <c r="D129" s="58"/>
      <c r="E129" s="16">
        <v>0</v>
      </c>
      <c r="F129" s="16">
        <v>1</v>
      </c>
      <c r="G129" s="16">
        <v>0</v>
      </c>
      <c r="H129" s="16">
        <v>1</v>
      </c>
      <c r="I129" s="16">
        <v>0</v>
      </c>
      <c r="J129" s="16">
        <v>0</v>
      </c>
      <c r="K129" s="16">
        <v>0</v>
      </c>
      <c r="L129" s="16">
        <v>1</v>
      </c>
      <c r="M129" s="16">
        <v>0</v>
      </c>
      <c r="N129" s="16">
        <v>1</v>
      </c>
      <c r="O129" s="16">
        <v>0</v>
      </c>
      <c r="P129" s="16">
        <v>1</v>
      </c>
      <c r="Q129" s="16">
        <v>0</v>
      </c>
      <c r="R129" s="16">
        <v>0</v>
      </c>
      <c r="S129" s="16">
        <v>1</v>
      </c>
      <c r="T129" s="16">
        <v>2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3">
        <f t="shared" ref="Z129:Z138" si="27">SUM(E129:Y129)</f>
        <v>8</v>
      </c>
    </row>
    <row r="130" spans="1:26" ht="12.75" customHeight="1" x14ac:dyDescent="0.3">
      <c r="A130" s="20" t="s">
        <v>39</v>
      </c>
      <c r="B130" s="28"/>
      <c r="C130" s="29" t="s">
        <v>104</v>
      </c>
      <c r="D130" s="30"/>
      <c r="E130" s="16">
        <v>0</v>
      </c>
      <c r="F130" s="16">
        <v>4</v>
      </c>
      <c r="G130" s="16">
        <v>0</v>
      </c>
      <c r="H130" s="16">
        <v>1</v>
      </c>
      <c r="I130" s="16">
        <v>0</v>
      </c>
      <c r="J130" s="16">
        <v>0</v>
      </c>
      <c r="K130" s="16">
        <v>2</v>
      </c>
      <c r="L130" s="16">
        <v>0</v>
      </c>
      <c r="M130" s="16">
        <v>1</v>
      </c>
      <c r="N130" s="16">
        <v>0</v>
      </c>
      <c r="O130" s="16">
        <v>4</v>
      </c>
      <c r="P130" s="16">
        <v>0</v>
      </c>
      <c r="Q130" s="16">
        <v>0</v>
      </c>
      <c r="R130" s="16">
        <v>0</v>
      </c>
      <c r="S130" s="16">
        <v>0</v>
      </c>
      <c r="T130" s="16">
        <v>1</v>
      </c>
      <c r="U130" s="16">
        <v>1</v>
      </c>
      <c r="V130" s="16">
        <v>0</v>
      </c>
      <c r="W130" s="16">
        <v>3</v>
      </c>
      <c r="X130" s="16">
        <v>0</v>
      </c>
      <c r="Y130" s="16">
        <v>1</v>
      </c>
      <c r="Z130" s="13">
        <f t="shared" si="27"/>
        <v>18</v>
      </c>
    </row>
    <row r="131" spans="1:26" ht="12.75" customHeight="1" x14ac:dyDescent="0.3">
      <c r="A131" s="15"/>
      <c r="B131" s="28"/>
      <c r="C131" s="29" t="s">
        <v>105</v>
      </c>
      <c r="D131" s="30"/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1</v>
      </c>
      <c r="M131" s="16">
        <v>1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3">
        <f t="shared" si="27"/>
        <v>2</v>
      </c>
    </row>
    <row r="132" spans="1:26" ht="12.75" customHeight="1" x14ac:dyDescent="0.3">
      <c r="A132" s="15"/>
      <c r="B132" s="28"/>
      <c r="C132" s="29" t="s">
        <v>106</v>
      </c>
      <c r="D132" s="30"/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1</v>
      </c>
      <c r="W132" s="16">
        <v>0</v>
      </c>
      <c r="X132" s="16">
        <v>0</v>
      </c>
      <c r="Y132" s="16">
        <v>0</v>
      </c>
      <c r="Z132" s="13">
        <f t="shared" si="27"/>
        <v>1</v>
      </c>
    </row>
    <row r="133" spans="1:26" ht="12.75" customHeight="1" x14ac:dyDescent="0.3">
      <c r="A133" s="15"/>
      <c r="B133" s="28"/>
      <c r="C133" s="29" t="s">
        <v>107</v>
      </c>
      <c r="D133" s="30"/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1</v>
      </c>
      <c r="V133" s="16">
        <v>0</v>
      </c>
      <c r="W133" s="16">
        <v>0</v>
      </c>
      <c r="X133" s="16">
        <v>0</v>
      </c>
      <c r="Y133" s="16">
        <v>0</v>
      </c>
      <c r="Z133" s="13">
        <f t="shared" si="27"/>
        <v>1</v>
      </c>
    </row>
    <row r="134" spans="1:26" ht="12.75" customHeight="1" x14ac:dyDescent="0.3">
      <c r="A134" s="15"/>
      <c r="B134" s="28"/>
      <c r="C134" s="29" t="s">
        <v>108</v>
      </c>
      <c r="D134" s="30"/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1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1</v>
      </c>
      <c r="V134" s="16">
        <v>0</v>
      </c>
      <c r="W134" s="16">
        <v>0</v>
      </c>
      <c r="X134" s="16">
        <v>0</v>
      </c>
      <c r="Y134" s="16">
        <v>0</v>
      </c>
      <c r="Z134" s="13">
        <f t="shared" si="27"/>
        <v>2</v>
      </c>
    </row>
    <row r="135" spans="1:26" ht="12.75" customHeight="1" x14ac:dyDescent="0.3">
      <c r="A135" s="15"/>
      <c r="B135" s="28"/>
      <c r="C135" s="29" t="s">
        <v>109</v>
      </c>
      <c r="D135" s="30"/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1</v>
      </c>
      <c r="P135" s="16">
        <v>0</v>
      </c>
      <c r="Q135" s="16">
        <v>0</v>
      </c>
      <c r="R135" s="16">
        <v>0</v>
      </c>
      <c r="S135" s="16">
        <v>1</v>
      </c>
      <c r="T135" s="16">
        <v>0</v>
      </c>
      <c r="U135" s="16">
        <v>0</v>
      </c>
      <c r="V135" s="16">
        <v>1</v>
      </c>
      <c r="W135" s="16">
        <v>0</v>
      </c>
      <c r="X135" s="16">
        <v>0</v>
      </c>
      <c r="Y135" s="16">
        <v>0</v>
      </c>
      <c r="Z135" s="13">
        <f t="shared" si="27"/>
        <v>3</v>
      </c>
    </row>
    <row r="136" spans="1:26" ht="12.75" customHeight="1" x14ac:dyDescent="0.3">
      <c r="A136" s="15"/>
      <c r="B136" s="28"/>
      <c r="C136" s="29" t="s">
        <v>110</v>
      </c>
      <c r="D136" s="30"/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1</v>
      </c>
      <c r="V136" s="16">
        <v>0</v>
      </c>
      <c r="W136" s="16">
        <v>0</v>
      </c>
      <c r="X136" s="16">
        <v>0</v>
      </c>
      <c r="Y136" s="16">
        <v>0</v>
      </c>
      <c r="Z136" s="13">
        <f t="shared" si="27"/>
        <v>1</v>
      </c>
    </row>
    <row r="137" spans="1:26" ht="12.75" customHeight="1" x14ac:dyDescent="0.3">
      <c r="A137" s="15"/>
      <c r="B137" s="28"/>
      <c r="C137" s="29" t="s">
        <v>111</v>
      </c>
      <c r="D137" s="30"/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1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1</v>
      </c>
      <c r="W137" s="16">
        <v>0</v>
      </c>
      <c r="X137" s="16">
        <v>0</v>
      </c>
      <c r="Y137" s="16">
        <v>0</v>
      </c>
      <c r="Z137" s="13">
        <f t="shared" si="27"/>
        <v>2</v>
      </c>
    </row>
    <row r="138" spans="1:26" ht="12.75" customHeight="1" x14ac:dyDescent="0.3">
      <c r="A138" s="15"/>
      <c r="B138" s="28"/>
      <c r="C138" s="29" t="s">
        <v>112</v>
      </c>
      <c r="D138" s="30"/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1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1</v>
      </c>
      <c r="X138" s="16">
        <v>0</v>
      </c>
      <c r="Y138" s="16">
        <v>0</v>
      </c>
      <c r="Z138" s="13">
        <f t="shared" si="27"/>
        <v>2</v>
      </c>
    </row>
    <row r="139" spans="1:26" ht="12.75" customHeight="1" x14ac:dyDescent="0.3">
      <c r="A139" s="16" t="s">
        <v>15</v>
      </c>
      <c r="B139" s="59" t="s">
        <v>49</v>
      </c>
      <c r="C139" s="60"/>
      <c r="D139" s="58"/>
      <c r="E139" s="13">
        <f t="shared" ref="E139:Z139" si="28">SUM(E129:E138)</f>
        <v>0</v>
      </c>
      <c r="F139" s="13">
        <f t="shared" si="28"/>
        <v>5</v>
      </c>
      <c r="G139" s="13">
        <f t="shared" si="28"/>
        <v>0</v>
      </c>
      <c r="H139" s="13">
        <f t="shared" si="28"/>
        <v>2</v>
      </c>
      <c r="I139" s="13">
        <f t="shared" si="28"/>
        <v>0</v>
      </c>
      <c r="J139" s="13">
        <f t="shared" si="28"/>
        <v>1</v>
      </c>
      <c r="K139" s="13">
        <f t="shared" si="28"/>
        <v>2</v>
      </c>
      <c r="L139" s="13">
        <f t="shared" si="28"/>
        <v>2</v>
      </c>
      <c r="M139" s="13">
        <f t="shared" si="28"/>
        <v>2</v>
      </c>
      <c r="N139" s="13">
        <f t="shared" si="28"/>
        <v>1</v>
      </c>
      <c r="O139" s="13">
        <f t="shared" si="28"/>
        <v>7</v>
      </c>
      <c r="P139" s="13">
        <f t="shared" si="28"/>
        <v>1</v>
      </c>
      <c r="Q139" s="13">
        <f t="shared" si="28"/>
        <v>0</v>
      </c>
      <c r="R139" s="13">
        <f t="shared" si="28"/>
        <v>0</v>
      </c>
      <c r="S139" s="13">
        <f t="shared" si="28"/>
        <v>2</v>
      </c>
      <c r="T139" s="13">
        <f t="shared" si="28"/>
        <v>3</v>
      </c>
      <c r="U139" s="13">
        <f t="shared" si="28"/>
        <v>4</v>
      </c>
      <c r="V139" s="13">
        <f t="shared" si="28"/>
        <v>3</v>
      </c>
      <c r="W139" s="13">
        <f t="shared" si="28"/>
        <v>4</v>
      </c>
      <c r="X139" s="13">
        <f t="shared" si="28"/>
        <v>0</v>
      </c>
      <c r="Y139" s="13">
        <f t="shared" si="28"/>
        <v>1</v>
      </c>
      <c r="Z139" s="13">
        <f t="shared" si="28"/>
        <v>40</v>
      </c>
    </row>
    <row r="140" spans="1:26" ht="12.75" customHeight="1" x14ac:dyDescent="0.3">
      <c r="A140" s="61"/>
      <c r="B140" s="60"/>
      <c r="C140" s="60"/>
      <c r="D140" s="60"/>
      <c r="E140" s="58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1:26" ht="12.75" customHeight="1" x14ac:dyDescent="0.3">
      <c r="A141" s="20" t="s">
        <v>37</v>
      </c>
      <c r="B141" s="27" t="s">
        <v>113</v>
      </c>
      <c r="C141" s="57" t="s">
        <v>114</v>
      </c>
      <c r="D141" s="58"/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1</v>
      </c>
      <c r="T141" s="16">
        <v>1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3">
        <f t="shared" ref="Z141:Z150" si="29">SUM(E141:Y141)</f>
        <v>2</v>
      </c>
    </row>
    <row r="142" spans="1:26" ht="12.75" customHeight="1" x14ac:dyDescent="0.3">
      <c r="A142" s="20" t="s">
        <v>39</v>
      </c>
      <c r="B142" s="28"/>
      <c r="C142" s="29" t="s">
        <v>115</v>
      </c>
      <c r="D142" s="30"/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3">
        <f t="shared" si="29"/>
        <v>0</v>
      </c>
    </row>
    <row r="143" spans="1:26" ht="12.75" customHeight="1" x14ac:dyDescent="0.3">
      <c r="A143" s="15"/>
      <c r="B143" s="28"/>
      <c r="C143" s="29" t="s">
        <v>116</v>
      </c>
      <c r="D143" s="30"/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3">
        <f t="shared" si="29"/>
        <v>0</v>
      </c>
    </row>
    <row r="144" spans="1:26" ht="12.75" customHeight="1" x14ac:dyDescent="0.3">
      <c r="A144" s="15"/>
      <c r="B144" s="28"/>
      <c r="C144" s="29" t="s">
        <v>117</v>
      </c>
      <c r="D144" s="30"/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3">
        <f t="shared" si="29"/>
        <v>0</v>
      </c>
    </row>
    <row r="145" spans="1:26" ht="12.75" customHeight="1" x14ac:dyDescent="0.3">
      <c r="A145" s="15"/>
      <c r="B145" s="36"/>
      <c r="C145" s="37"/>
      <c r="D145" s="40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3">
        <f t="shared" si="29"/>
        <v>0</v>
      </c>
    </row>
    <row r="146" spans="1:26" ht="12.75" customHeight="1" x14ac:dyDescent="0.3">
      <c r="A146" s="15"/>
      <c r="B146" s="36"/>
      <c r="C146" s="37"/>
      <c r="D146" s="40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3">
        <f t="shared" si="29"/>
        <v>0</v>
      </c>
    </row>
    <row r="147" spans="1:26" ht="12.75" customHeight="1" x14ac:dyDescent="0.3">
      <c r="A147" s="15"/>
      <c r="B147" s="36"/>
      <c r="C147" s="37"/>
      <c r="D147" s="40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3">
        <f t="shared" si="29"/>
        <v>0</v>
      </c>
    </row>
    <row r="148" spans="1:26" ht="12.75" customHeight="1" x14ac:dyDescent="0.3">
      <c r="A148" s="15"/>
      <c r="B148" s="36"/>
      <c r="C148" s="37"/>
      <c r="D148" s="38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3">
        <f t="shared" si="29"/>
        <v>0</v>
      </c>
    </row>
    <row r="149" spans="1:26" ht="12.75" customHeight="1" x14ac:dyDescent="0.3">
      <c r="A149" s="15"/>
      <c r="B149" s="36"/>
      <c r="C149" s="37"/>
      <c r="D149" s="38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3">
        <f t="shared" si="29"/>
        <v>0</v>
      </c>
    </row>
    <row r="150" spans="1:26" ht="12.75" customHeight="1" x14ac:dyDescent="0.3">
      <c r="A150" s="15"/>
      <c r="B150" s="36"/>
      <c r="C150" s="37"/>
      <c r="D150" s="38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3">
        <f t="shared" si="29"/>
        <v>0</v>
      </c>
    </row>
    <row r="151" spans="1:26" ht="12.75" customHeight="1" x14ac:dyDescent="0.3">
      <c r="A151" s="16" t="s">
        <v>15</v>
      </c>
      <c r="B151" s="59" t="s">
        <v>49</v>
      </c>
      <c r="C151" s="60"/>
      <c r="D151" s="58"/>
      <c r="E151" s="13">
        <f t="shared" ref="E151:Z151" si="30">SUM(E141:E150)</f>
        <v>0</v>
      </c>
      <c r="F151" s="13">
        <f t="shared" si="30"/>
        <v>0</v>
      </c>
      <c r="G151" s="13">
        <f t="shared" si="30"/>
        <v>0</v>
      </c>
      <c r="H151" s="13">
        <f t="shared" si="30"/>
        <v>0</v>
      </c>
      <c r="I151" s="13">
        <f t="shared" si="30"/>
        <v>0</v>
      </c>
      <c r="J151" s="13">
        <f t="shared" si="30"/>
        <v>0</v>
      </c>
      <c r="K151" s="13">
        <f t="shared" si="30"/>
        <v>0</v>
      </c>
      <c r="L151" s="13">
        <f t="shared" si="30"/>
        <v>0</v>
      </c>
      <c r="M151" s="13">
        <f t="shared" si="30"/>
        <v>0</v>
      </c>
      <c r="N151" s="13">
        <f t="shared" si="30"/>
        <v>0</v>
      </c>
      <c r="O151" s="13">
        <f t="shared" si="30"/>
        <v>0</v>
      </c>
      <c r="P151" s="13">
        <f t="shared" si="30"/>
        <v>0</v>
      </c>
      <c r="Q151" s="13">
        <f t="shared" si="30"/>
        <v>0</v>
      </c>
      <c r="R151" s="13">
        <f t="shared" si="30"/>
        <v>0</v>
      </c>
      <c r="S151" s="13">
        <f t="shared" si="30"/>
        <v>1</v>
      </c>
      <c r="T151" s="13">
        <f t="shared" si="30"/>
        <v>1</v>
      </c>
      <c r="U151" s="13">
        <f t="shared" si="30"/>
        <v>0</v>
      </c>
      <c r="V151" s="13">
        <f t="shared" si="30"/>
        <v>0</v>
      </c>
      <c r="W151" s="13">
        <f t="shared" si="30"/>
        <v>0</v>
      </c>
      <c r="X151" s="13">
        <f t="shared" si="30"/>
        <v>0</v>
      </c>
      <c r="Y151" s="13">
        <f t="shared" si="30"/>
        <v>0</v>
      </c>
      <c r="Z151" s="13">
        <f t="shared" si="30"/>
        <v>2</v>
      </c>
    </row>
    <row r="152" spans="1:26" ht="12.75" customHeight="1" x14ac:dyDescent="0.3">
      <c r="A152" s="61"/>
      <c r="B152" s="60"/>
      <c r="C152" s="60"/>
      <c r="D152" s="60"/>
      <c r="E152" s="58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13"/>
    </row>
    <row r="153" spans="1:26" ht="12.75" customHeight="1" x14ac:dyDescent="0.3">
      <c r="A153" s="20" t="s">
        <v>37</v>
      </c>
      <c r="B153" s="14" t="s">
        <v>118</v>
      </c>
      <c r="C153" s="62" t="s">
        <v>119</v>
      </c>
      <c r="D153" s="63"/>
      <c r="E153" s="16">
        <v>0</v>
      </c>
      <c r="F153" s="16">
        <v>0</v>
      </c>
      <c r="G153" s="16">
        <v>0</v>
      </c>
      <c r="H153" s="16">
        <v>0</v>
      </c>
      <c r="I153" s="16">
        <v>1</v>
      </c>
      <c r="J153" s="16">
        <v>1</v>
      </c>
      <c r="K153" s="16">
        <v>0</v>
      </c>
      <c r="L153" s="16">
        <v>1</v>
      </c>
      <c r="M153" s="16">
        <v>0</v>
      </c>
      <c r="N153" s="16">
        <v>0</v>
      </c>
      <c r="O153" s="16">
        <v>0</v>
      </c>
      <c r="P153" s="16">
        <v>1</v>
      </c>
      <c r="Q153" s="16">
        <v>0</v>
      </c>
      <c r="R153" s="16">
        <v>0</v>
      </c>
      <c r="S153" s="16">
        <v>2</v>
      </c>
      <c r="T153" s="16">
        <v>0</v>
      </c>
      <c r="U153" s="16">
        <v>1</v>
      </c>
      <c r="V153" s="16">
        <v>1</v>
      </c>
      <c r="W153" s="16">
        <v>0</v>
      </c>
      <c r="X153" s="16">
        <v>0</v>
      </c>
      <c r="Y153" s="16">
        <v>1</v>
      </c>
      <c r="Z153" s="13">
        <f t="shared" ref="Z153:Z156" si="31">SUM(E154:Y154)</f>
        <v>3</v>
      </c>
    </row>
    <row r="154" spans="1:26" ht="12.75" customHeight="1" x14ac:dyDescent="0.3">
      <c r="A154" s="42" t="s">
        <v>39</v>
      </c>
      <c r="B154" s="28"/>
      <c r="C154" s="29" t="s">
        <v>120</v>
      </c>
      <c r="D154" s="30"/>
      <c r="E154" s="53">
        <v>0</v>
      </c>
      <c r="F154" s="16">
        <v>0</v>
      </c>
      <c r="G154" s="16">
        <v>0</v>
      </c>
      <c r="H154" s="16">
        <v>0</v>
      </c>
      <c r="I154" s="16">
        <v>1</v>
      </c>
      <c r="J154" s="16">
        <v>0</v>
      </c>
      <c r="K154" s="16">
        <v>1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1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3">
        <f t="shared" si="31"/>
        <v>1</v>
      </c>
    </row>
    <row r="155" spans="1:26" ht="12.75" customHeight="1" x14ac:dyDescent="0.3">
      <c r="A155" s="15"/>
      <c r="B155" s="28"/>
      <c r="C155" s="29" t="s">
        <v>121</v>
      </c>
      <c r="D155" s="30"/>
      <c r="E155" s="53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1</v>
      </c>
      <c r="V155" s="16">
        <v>0</v>
      </c>
      <c r="W155" s="16">
        <v>0</v>
      </c>
      <c r="X155" s="16">
        <v>0</v>
      </c>
      <c r="Y155" s="16">
        <v>0</v>
      </c>
      <c r="Z155" s="13">
        <f t="shared" si="31"/>
        <v>3</v>
      </c>
    </row>
    <row r="156" spans="1:26" ht="12.75" customHeight="1" x14ac:dyDescent="0.3">
      <c r="A156" s="15"/>
      <c r="B156" s="28"/>
      <c r="C156" s="29" t="s">
        <v>122</v>
      </c>
      <c r="D156" s="30"/>
      <c r="E156" s="53">
        <v>1</v>
      </c>
      <c r="F156" s="16">
        <v>0</v>
      </c>
      <c r="G156" s="16">
        <v>0</v>
      </c>
      <c r="H156" s="16">
        <v>1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1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3">
        <f t="shared" si="31"/>
        <v>1</v>
      </c>
    </row>
    <row r="157" spans="1:26" ht="12.75" customHeight="1" x14ac:dyDescent="0.3">
      <c r="A157" s="15"/>
      <c r="B157" s="28"/>
      <c r="C157" s="29" t="s">
        <v>123</v>
      </c>
      <c r="D157" s="30"/>
      <c r="E157" s="53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1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3">
        <f t="shared" ref="Z157:Z162" si="32">SUM(E163:Y163)</f>
        <v>18</v>
      </c>
    </row>
    <row r="158" spans="1:26" ht="12.75" customHeight="1" x14ac:dyDescent="0.3">
      <c r="A158" s="15"/>
      <c r="B158" s="28"/>
      <c r="C158" s="29" t="s">
        <v>124</v>
      </c>
      <c r="D158" s="30"/>
      <c r="E158" s="53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3">
        <f t="shared" si="32"/>
        <v>0</v>
      </c>
    </row>
    <row r="159" spans="1:26" ht="12.75" customHeight="1" x14ac:dyDescent="0.3">
      <c r="A159" s="15"/>
      <c r="B159" s="28"/>
      <c r="C159" s="29" t="s">
        <v>125</v>
      </c>
      <c r="D159" s="30"/>
      <c r="E159" s="53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1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3">
        <f t="shared" si="32"/>
        <v>3</v>
      </c>
    </row>
    <row r="160" spans="1:26" ht="12.75" customHeight="1" x14ac:dyDescent="0.3">
      <c r="A160" s="15"/>
      <c r="B160" s="28"/>
      <c r="C160" s="29" t="s">
        <v>126</v>
      </c>
      <c r="D160" s="30"/>
      <c r="E160" s="53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3">
        <f t="shared" si="32"/>
        <v>2</v>
      </c>
    </row>
    <row r="161" spans="1:26" ht="12.75" customHeight="1" x14ac:dyDescent="0.3">
      <c r="A161" s="15"/>
      <c r="B161" s="36"/>
      <c r="C161" s="43"/>
      <c r="D161" s="38"/>
      <c r="E161" s="53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3">
        <f t="shared" si="32"/>
        <v>0</v>
      </c>
    </row>
    <row r="162" spans="1:26" ht="12.75" customHeight="1" x14ac:dyDescent="0.3">
      <c r="A162" s="15"/>
      <c r="B162" s="36"/>
      <c r="C162" s="43"/>
      <c r="D162" s="38"/>
      <c r="E162" s="53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3">
        <f t="shared" si="32"/>
        <v>0</v>
      </c>
    </row>
    <row r="163" spans="1:26" ht="12.75" customHeight="1" x14ac:dyDescent="0.3">
      <c r="A163" s="16" t="s">
        <v>15</v>
      </c>
      <c r="B163" s="64" t="s">
        <v>49</v>
      </c>
      <c r="C163" s="56"/>
      <c r="D163" s="65"/>
      <c r="E163" s="13">
        <f t="shared" ref="E163:Z163" si="33">SUM(E153:E162)</f>
        <v>1</v>
      </c>
      <c r="F163" s="13">
        <f t="shared" si="33"/>
        <v>0</v>
      </c>
      <c r="G163" s="13">
        <f t="shared" si="33"/>
        <v>0</v>
      </c>
      <c r="H163" s="13">
        <f t="shared" si="33"/>
        <v>1</v>
      </c>
      <c r="I163" s="13">
        <f t="shared" si="33"/>
        <v>2</v>
      </c>
      <c r="J163" s="13">
        <f t="shared" si="33"/>
        <v>1</v>
      </c>
      <c r="K163" s="13">
        <f t="shared" si="33"/>
        <v>1</v>
      </c>
      <c r="L163" s="13">
        <f t="shared" si="33"/>
        <v>1</v>
      </c>
      <c r="M163" s="13">
        <f t="shared" si="33"/>
        <v>0</v>
      </c>
      <c r="N163" s="13">
        <f t="shared" si="33"/>
        <v>1</v>
      </c>
      <c r="O163" s="13">
        <f t="shared" si="33"/>
        <v>1</v>
      </c>
      <c r="P163" s="13">
        <f t="shared" si="33"/>
        <v>1</v>
      </c>
      <c r="Q163" s="13">
        <f t="shared" si="33"/>
        <v>1</v>
      </c>
      <c r="R163" s="13">
        <f t="shared" si="33"/>
        <v>0</v>
      </c>
      <c r="S163" s="13">
        <f t="shared" si="33"/>
        <v>3</v>
      </c>
      <c r="T163" s="13">
        <f t="shared" si="33"/>
        <v>0</v>
      </c>
      <c r="U163" s="13">
        <f t="shared" si="33"/>
        <v>2</v>
      </c>
      <c r="V163" s="13">
        <f t="shared" si="33"/>
        <v>1</v>
      </c>
      <c r="W163" s="13">
        <f t="shared" si="33"/>
        <v>0</v>
      </c>
      <c r="X163" s="13">
        <f t="shared" si="33"/>
        <v>0</v>
      </c>
      <c r="Y163" s="13">
        <f t="shared" si="33"/>
        <v>1</v>
      </c>
      <c r="Z163" s="13">
        <f t="shared" si="33"/>
        <v>31</v>
      </c>
    </row>
    <row r="164" spans="1:26" ht="12.75" customHeight="1" x14ac:dyDescent="0.3">
      <c r="A164" s="61"/>
      <c r="B164" s="60"/>
      <c r="C164" s="60"/>
      <c r="D164" s="60"/>
      <c r="E164" s="58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spans="1:26" ht="12.75" customHeight="1" x14ac:dyDescent="0.3">
      <c r="A165" s="20" t="s">
        <v>37</v>
      </c>
      <c r="B165" s="27" t="s">
        <v>127</v>
      </c>
      <c r="C165" s="57" t="s">
        <v>128</v>
      </c>
      <c r="D165" s="58"/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1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1</v>
      </c>
      <c r="U165" s="16">
        <v>0</v>
      </c>
      <c r="V165" s="16">
        <v>0</v>
      </c>
      <c r="W165" s="16">
        <v>1</v>
      </c>
      <c r="X165" s="16">
        <v>0</v>
      </c>
      <c r="Y165" s="16">
        <v>0</v>
      </c>
      <c r="Z165" s="13">
        <f t="shared" ref="Z165:Z174" si="34">SUM(E165:Y165)</f>
        <v>3</v>
      </c>
    </row>
    <row r="166" spans="1:26" ht="12.75" customHeight="1" x14ac:dyDescent="0.3">
      <c r="A166" s="20" t="s">
        <v>39</v>
      </c>
      <c r="B166" s="28"/>
      <c r="C166" s="29" t="s">
        <v>129</v>
      </c>
      <c r="D166" s="30"/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1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1</v>
      </c>
      <c r="W166" s="16">
        <v>0</v>
      </c>
      <c r="X166" s="16">
        <v>0</v>
      </c>
      <c r="Y166" s="16">
        <v>0</v>
      </c>
      <c r="Z166" s="13">
        <f t="shared" si="34"/>
        <v>2</v>
      </c>
    </row>
    <row r="167" spans="1:26" ht="12.75" customHeight="1" x14ac:dyDescent="0.3">
      <c r="A167" s="15"/>
      <c r="B167" s="36"/>
      <c r="C167" s="37"/>
      <c r="D167" s="38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3">
        <f t="shared" si="34"/>
        <v>0</v>
      </c>
    </row>
    <row r="168" spans="1:26" ht="12.75" customHeight="1" x14ac:dyDescent="0.3">
      <c r="A168" s="15"/>
      <c r="B168" s="36"/>
      <c r="C168" s="37"/>
      <c r="D168" s="38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3">
        <f t="shared" si="34"/>
        <v>0</v>
      </c>
    </row>
    <row r="169" spans="1:26" ht="12.75" customHeight="1" x14ac:dyDescent="0.3">
      <c r="A169" s="15"/>
      <c r="B169" s="36"/>
      <c r="C169" s="37"/>
      <c r="D169" s="38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3">
        <f t="shared" si="34"/>
        <v>0</v>
      </c>
    </row>
    <row r="170" spans="1:26" ht="12.75" customHeight="1" x14ac:dyDescent="0.3">
      <c r="A170" s="15"/>
      <c r="B170" s="36"/>
      <c r="C170" s="37"/>
      <c r="D170" s="38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3">
        <f t="shared" si="34"/>
        <v>0</v>
      </c>
    </row>
    <row r="171" spans="1:26" ht="12.75" customHeight="1" x14ac:dyDescent="0.3">
      <c r="A171" s="15"/>
      <c r="B171" s="36"/>
      <c r="C171" s="37"/>
      <c r="D171" s="38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3">
        <f t="shared" si="34"/>
        <v>0</v>
      </c>
    </row>
    <row r="172" spans="1:26" ht="12.75" customHeight="1" x14ac:dyDescent="0.3">
      <c r="A172" s="15"/>
      <c r="B172" s="36"/>
      <c r="C172" s="37"/>
      <c r="D172" s="38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3">
        <f t="shared" si="34"/>
        <v>0</v>
      </c>
    </row>
    <row r="173" spans="1:26" ht="12.75" customHeight="1" x14ac:dyDescent="0.3">
      <c r="A173" s="15"/>
      <c r="B173" s="36"/>
      <c r="C173" s="37"/>
      <c r="D173" s="38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3">
        <f t="shared" si="34"/>
        <v>0</v>
      </c>
    </row>
    <row r="174" spans="1:26" ht="12.75" customHeight="1" x14ac:dyDescent="0.3">
      <c r="A174" s="15"/>
      <c r="B174" s="36"/>
      <c r="C174" s="37"/>
      <c r="D174" s="38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3">
        <f t="shared" si="34"/>
        <v>0</v>
      </c>
    </row>
    <row r="175" spans="1:26" ht="12.75" customHeight="1" x14ac:dyDescent="0.3">
      <c r="A175" s="16" t="s">
        <v>15</v>
      </c>
      <c r="B175" s="59" t="s">
        <v>49</v>
      </c>
      <c r="C175" s="60"/>
      <c r="D175" s="58"/>
      <c r="E175" s="13">
        <f t="shared" ref="E175:Z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1</v>
      </c>
      <c r="N175" s="13">
        <f t="shared" si="35"/>
        <v>1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1</v>
      </c>
      <c r="U175" s="13">
        <f t="shared" si="35"/>
        <v>0</v>
      </c>
      <c r="V175" s="13">
        <f t="shared" si="35"/>
        <v>1</v>
      </c>
      <c r="W175" s="13">
        <f t="shared" si="35"/>
        <v>1</v>
      </c>
      <c r="X175" s="13">
        <f t="shared" si="35"/>
        <v>0</v>
      </c>
      <c r="Y175" s="13">
        <f t="shared" si="35"/>
        <v>0</v>
      </c>
      <c r="Z175" s="13">
        <f t="shared" si="35"/>
        <v>5</v>
      </c>
    </row>
    <row r="176" spans="1:26" ht="12.75" customHeight="1" x14ac:dyDescent="0.3">
      <c r="A176" s="61"/>
      <c r="B176" s="60"/>
      <c r="C176" s="60"/>
      <c r="D176" s="60"/>
      <c r="E176" s="58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spans="1:26" ht="12.75" customHeight="1" x14ac:dyDescent="0.3">
      <c r="A177" s="20" t="s">
        <v>37</v>
      </c>
      <c r="B177" s="27" t="s">
        <v>130</v>
      </c>
      <c r="C177" s="57" t="s">
        <v>131</v>
      </c>
      <c r="D177" s="58"/>
      <c r="E177" s="16">
        <v>1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1</v>
      </c>
      <c r="L177" s="16">
        <v>1</v>
      </c>
      <c r="M177" s="16">
        <v>0</v>
      </c>
      <c r="N177" s="16">
        <v>1</v>
      </c>
      <c r="O177" s="16">
        <v>0</v>
      </c>
      <c r="P177" s="16">
        <v>2</v>
      </c>
      <c r="Q177" s="16">
        <v>1</v>
      </c>
      <c r="R177" s="16">
        <v>0</v>
      </c>
      <c r="S177" s="16">
        <v>4</v>
      </c>
      <c r="T177" s="16">
        <v>0</v>
      </c>
      <c r="U177" s="16">
        <v>1</v>
      </c>
      <c r="V177" s="16">
        <v>1</v>
      </c>
      <c r="W177" s="16">
        <v>4</v>
      </c>
      <c r="X177" s="16">
        <v>0</v>
      </c>
      <c r="Y177" s="16">
        <v>0</v>
      </c>
      <c r="Z177" s="13">
        <f t="shared" ref="Z177:Z186" si="36">SUM(E177:Y177)</f>
        <v>17</v>
      </c>
    </row>
    <row r="178" spans="1:26" ht="12.75" customHeight="1" x14ac:dyDescent="0.3">
      <c r="A178" s="20" t="s">
        <v>39</v>
      </c>
      <c r="B178" s="28"/>
      <c r="C178" s="29" t="s">
        <v>132</v>
      </c>
      <c r="D178" s="30"/>
      <c r="E178" s="16">
        <v>0</v>
      </c>
      <c r="F178" s="16">
        <v>0</v>
      </c>
      <c r="G178" s="16">
        <v>1</v>
      </c>
      <c r="H178" s="16">
        <v>0</v>
      </c>
      <c r="I178" s="16">
        <v>0</v>
      </c>
      <c r="J178" s="16">
        <v>0</v>
      </c>
      <c r="K178" s="16">
        <v>7</v>
      </c>
      <c r="L178" s="16">
        <v>0</v>
      </c>
      <c r="M178" s="16">
        <v>0</v>
      </c>
      <c r="N178" s="16">
        <v>0</v>
      </c>
      <c r="O178" s="16">
        <v>14</v>
      </c>
      <c r="P178" s="16">
        <v>0</v>
      </c>
      <c r="Q178" s="16">
        <v>0</v>
      </c>
      <c r="R178" s="16">
        <v>0</v>
      </c>
      <c r="S178" s="16">
        <v>3</v>
      </c>
      <c r="T178" s="16">
        <v>0</v>
      </c>
      <c r="U178" s="16">
        <v>0</v>
      </c>
      <c r="V178" s="16">
        <v>0</v>
      </c>
      <c r="W178" s="16">
        <v>2</v>
      </c>
      <c r="X178" s="16">
        <v>0</v>
      </c>
      <c r="Y178" s="16">
        <v>0</v>
      </c>
      <c r="Z178" s="13">
        <f t="shared" si="36"/>
        <v>27</v>
      </c>
    </row>
    <row r="179" spans="1:26" ht="12.75" customHeight="1" x14ac:dyDescent="0.3">
      <c r="A179" s="15"/>
      <c r="B179" s="28"/>
      <c r="C179" s="29" t="s">
        <v>133</v>
      </c>
      <c r="D179" s="30"/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1</v>
      </c>
      <c r="N179" s="16">
        <v>1</v>
      </c>
      <c r="O179" s="16">
        <v>0</v>
      </c>
      <c r="P179" s="16">
        <v>0</v>
      </c>
      <c r="Q179" s="16">
        <v>0</v>
      </c>
      <c r="R179" s="16">
        <v>0</v>
      </c>
      <c r="S179" s="16">
        <v>3</v>
      </c>
      <c r="T179" s="16">
        <v>0</v>
      </c>
      <c r="U179" s="16">
        <v>0</v>
      </c>
      <c r="V179" s="16">
        <v>0</v>
      </c>
      <c r="W179" s="16">
        <v>0</v>
      </c>
      <c r="X179" s="16">
        <v>1</v>
      </c>
      <c r="Y179" s="16">
        <v>0</v>
      </c>
      <c r="Z179" s="13">
        <f t="shared" si="36"/>
        <v>6</v>
      </c>
    </row>
    <row r="180" spans="1:26" ht="12.75" customHeight="1" x14ac:dyDescent="0.3">
      <c r="A180" s="15"/>
      <c r="B180" s="28"/>
      <c r="C180" s="29" t="s">
        <v>134</v>
      </c>
      <c r="D180" s="30"/>
      <c r="E180" s="16">
        <v>0</v>
      </c>
      <c r="F180" s="16">
        <v>0</v>
      </c>
      <c r="G180" s="16">
        <v>0</v>
      </c>
      <c r="H180" s="16">
        <v>1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1</v>
      </c>
      <c r="P180" s="16">
        <v>0</v>
      </c>
      <c r="Q180" s="16">
        <v>0</v>
      </c>
      <c r="R180" s="16">
        <v>0</v>
      </c>
      <c r="S180" s="16">
        <v>1</v>
      </c>
      <c r="T180" s="16">
        <v>1</v>
      </c>
      <c r="U180" s="16">
        <v>2</v>
      </c>
      <c r="V180" s="16">
        <v>1</v>
      </c>
      <c r="W180" s="16">
        <v>1</v>
      </c>
      <c r="X180" s="16">
        <v>0</v>
      </c>
      <c r="Y180" s="16">
        <v>0</v>
      </c>
      <c r="Z180" s="13">
        <f t="shared" si="36"/>
        <v>8</v>
      </c>
    </row>
    <row r="181" spans="1:26" ht="12.75" customHeight="1" x14ac:dyDescent="0.3">
      <c r="A181" s="15"/>
      <c r="B181" s="28"/>
      <c r="C181" s="29" t="s">
        <v>135</v>
      </c>
      <c r="D181" s="30"/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1</v>
      </c>
      <c r="O181" s="16">
        <v>0</v>
      </c>
      <c r="P181" s="16">
        <v>1</v>
      </c>
      <c r="Q181" s="16">
        <v>0</v>
      </c>
      <c r="R181" s="16">
        <v>0</v>
      </c>
      <c r="S181" s="16">
        <v>0</v>
      </c>
      <c r="T181" s="16">
        <v>1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3">
        <f t="shared" si="36"/>
        <v>3</v>
      </c>
    </row>
    <row r="182" spans="1:26" ht="12.75" customHeight="1" x14ac:dyDescent="0.3">
      <c r="A182" s="15"/>
      <c r="B182" s="28"/>
      <c r="C182" s="29" t="s">
        <v>136</v>
      </c>
      <c r="D182" s="30"/>
      <c r="E182" s="16">
        <v>0</v>
      </c>
      <c r="F182" s="16">
        <v>0</v>
      </c>
      <c r="G182" s="16">
        <v>0</v>
      </c>
      <c r="H182" s="16">
        <v>0</v>
      </c>
      <c r="I182" s="16">
        <v>1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2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3">
        <f t="shared" si="36"/>
        <v>3</v>
      </c>
    </row>
    <row r="183" spans="1:26" ht="12.75" customHeight="1" x14ac:dyDescent="0.3">
      <c r="A183" s="15"/>
      <c r="B183" s="28"/>
      <c r="C183" s="29" t="s">
        <v>137</v>
      </c>
      <c r="D183" s="30"/>
      <c r="E183" s="16">
        <v>1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1</v>
      </c>
      <c r="V183" s="16">
        <v>2</v>
      </c>
      <c r="W183" s="16">
        <v>1</v>
      </c>
      <c r="X183" s="16">
        <v>0</v>
      </c>
      <c r="Y183" s="16">
        <v>0</v>
      </c>
      <c r="Z183" s="13">
        <f t="shared" si="36"/>
        <v>5</v>
      </c>
    </row>
    <row r="184" spans="1:26" ht="12.75" customHeight="1" x14ac:dyDescent="0.3">
      <c r="A184" s="15"/>
      <c r="B184" s="28"/>
      <c r="C184" s="29" t="s">
        <v>138</v>
      </c>
      <c r="D184" s="30"/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3">
        <f t="shared" si="36"/>
        <v>0</v>
      </c>
    </row>
    <row r="185" spans="1:26" ht="12.75" customHeight="1" x14ac:dyDescent="0.3">
      <c r="A185" s="15"/>
      <c r="B185" s="28"/>
      <c r="C185" s="29" t="s">
        <v>139</v>
      </c>
      <c r="D185" s="30"/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1</v>
      </c>
      <c r="W185" s="16">
        <v>0</v>
      </c>
      <c r="X185" s="16">
        <v>0</v>
      </c>
      <c r="Y185" s="16">
        <v>0</v>
      </c>
      <c r="Z185" s="13">
        <f t="shared" si="36"/>
        <v>1</v>
      </c>
    </row>
    <row r="186" spans="1:26" ht="12.75" customHeight="1" x14ac:dyDescent="0.3">
      <c r="A186" s="15"/>
      <c r="B186" s="28"/>
      <c r="C186" s="29" t="s">
        <v>140</v>
      </c>
      <c r="D186" s="30"/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3">
        <f t="shared" si="36"/>
        <v>0</v>
      </c>
    </row>
    <row r="187" spans="1:26" ht="12.75" customHeight="1" x14ac:dyDescent="0.3">
      <c r="A187" s="16" t="s">
        <v>15</v>
      </c>
      <c r="B187" s="59" t="s">
        <v>49</v>
      </c>
      <c r="C187" s="60"/>
      <c r="D187" s="58"/>
      <c r="E187" s="13">
        <f t="shared" ref="E187:Z187" si="37">SUM(E177:E186)</f>
        <v>2</v>
      </c>
      <c r="F187" s="13">
        <f t="shared" si="37"/>
        <v>0</v>
      </c>
      <c r="G187" s="13">
        <f t="shared" si="37"/>
        <v>1</v>
      </c>
      <c r="H187" s="13">
        <f t="shared" si="37"/>
        <v>1</v>
      </c>
      <c r="I187" s="13">
        <f t="shared" si="37"/>
        <v>1</v>
      </c>
      <c r="J187" s="13">
        <f t="shared" si="37"/>
        <v>0</v>
      </c>
      <c r="K187" s="13">
        <f t="shared" si="37"/>
        <v>8</v>
      </c>
      <c r="L187" s="13">
        <f t="shared" si="37"/>
        <v>1</v>
      </c>
      <c r="M187" s="13">
        <f t="shared" si="37"/>
        <v>1</v>
      </c>
      <c r="N187" s="13">
        <f t="shared" si="37"/>
        <v>3</v>
      </c>
      <c r="O187" s="13">
        <f t="shared" si="37"/>
        <v>15</v>
      </c>
      <c r="P187" s="13">
        <f t="shared" si="37"/>
        <v>3</v>
      </c>
      <c r="Q187" s="13">
        <f t="shared" si="37"/>
        <v>1</v>
      </c>
      <c r="R187" s="13">
        <f t="shared" si="37"/>
        <v>0</v>
      </c>
      <c r="S187" s="13">
        <f t="shared" si="37"/>
        <v>11</v>
      </c>
      <c r="T187" s="13">
        <f t="shared" si="37"/>
        <v>4</v>
      </c>
      <c r="U187" s="13">
        <f t="shared" si="37"/>
        <v>4</v>
      </c>
      <c r="V187" s="13">
        <f t="shared" si="37"/>
        <v>5</v>
      </c>
      <c r="W187" s="13">
        <f t="shared" si="37"/>
        <v>8</v>
      </c>
      <c r="X187" s="13">
        <f t="shared" si="37"/>
        <v>1</v>
      </c>
      <c r="Y187" s="13">
        <f t="shared" si="37"/>
        <v>0</v>
      </c>
      <c r="Z187" s="13">
        <f t="shared" si="37"/>
        <v>70</v>
      </c>
    </row>
    <row r="188" spans="1:26" ht="12.75" customHeight="1" x14ac:dyDescent="0.3">
      <c r="A188" s="61"/>
      <c r="B188" s="60"/>
      <c r="C188" s="60"/>
      <c r="D188" s="60"/>
      <c r="E188" s="58"/>
      <c r="F188" s="51"/>
      <c r="G188" s="51"/>
      <c r="H188" s="51"/>
      <c r="I188" s="51"/>
      <c r="J188" s="51"/>
      <c r="K188" s="51"/>
      <c r="L188" s="51"/>
      <c r="M188" s="51"/>
      <c r="N188" s="51"/>
      <c r="R188" s="51"/>
      <c r="S188" s="51"/>
      <c r="T188" s="51"/>
      <c r="U188" s="51"/>
      <c r="Y188" s="51"/>
      <c r="Z188" s="13"/>
    </row>
    <row r="189" spans="1:26" ht="12.75" customHeight="1" x14ac:dyDescent="0.3">
      <c r="A189" s="20" t="s">
        <v>37</v>
      </c>
      <c r="B189" s="27" t="s">
        <v>141</v>
      </c>
      <c r="C189" s="57" t="s">
        <v>142</v>
      </c>
      <c r="D189" s="58"/>
      <c r="E189" s="16">
        <v>0</v>
      </c>
      <c r="F189" s="16">
        <v>0</v>
      </c>
      <c r="G189" s="16">
        <v>0</v>
      </c>
      <c r="H189" s="16">
        <v>0</v>
      </c>
      <c r="I189" s="16">
        <v>1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1</v>
      </c>
      <c r="U189" s="16">
        <v>0</v>
      </c>
      <c r="V189" s="16">
        <v>0</v>
      </c>
      <c r="W189" s="16">
        <v>1</v>
      </c>
      <c r="X189" s="16">
        <v>1</v>
      </c>
      <c r="Y189" s="16">
        <v>0</v>
      </c>
      <c r="Z189" s="13">
        <f t="shared" ref="Z189:Z198" si="38">SUM(E189:Y189)</f>
        <v>4</v>
      </c>
    </row>
    <row r="190" spans="1:26" ht="12.75" customHeight="1" x14ac:dyDescent="0.3">
      <c r="A190" s="20" t="s">
        <v>39</v>
      </c>
      <c r="B190" s="28"/>
      <c r="C190" s="29" t="s">
        <v>143</v>
      </c>
      <c r="D190" s="30"/>
      <c r="E190" s="16">
        <v>1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1</v>
      </c>
      <c r="R190" s="16">
        <v>0</v>
      </c>
      <c r="S190" s="16">
        <v>2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3">
        <f t="shared" si="38"/>
        <v>4</v>
      </c>
    </row>
    <row r="191" spans="1:26" ht="12.75" customHeight="1" x14ac:dyDescent="0.3">
      <c r="A191" s="15"/>
      <c r="B191" s="28"/>
      <c r="C191" s="29" t="s">
        <v>144</v>
      </c>
      <c r="D191" s="30"/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1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1</v>
      </c>
      <c r="T191" s="16">
        <v>0</v>
      </c>
      <c r="U191" s="16">
        <v>2</v>
      </c>
      <c r="V191" s="16">
        <v>0</v>
      </c>
      <c r="W191" s="16">
        <v>0</v>
      </c>
      <c r="X191" s="16">
        <v>0</v>
      </c>
      <c r="Y191" s="16">
        <v>0</v>
      </c>
      <c r="Z191" s="13">
        <f t="shared" si="38"/>
        <v>4</v>
      </c>
    </row>
    <row r="192" spans="1:26" ht="12.75" customHeight="1" x14ac:dyDescent="0.3">
      <c r="A192" s="15"/>
      <c r="B192" s="28"/>
      <c r="C192" s="29" t="s">
        <v>145</v>
      </c>
      <c r="D192" s="30"/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1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3">
        <f t="shared" si="38"/>
        <v>1</v>
      </c>
    </row>
    <row r="193" spans="1:26" ht="12.75" customHeight="1" x14ac:dyDescent="0.3">
      <c r="A193" s="15"/>
      <c r="B193" s="28"/>
      <c r="C193" s="29" t="s">
        <v>146</v>
      </c>
      <c r="D193" s="30"/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3">
        <f t="shared" si="38"/>
        <v>0</v>
      </c>
    </row>
    <row r="194" spans="1:26" ht="12.75" customHeight="1" x14ac:dyDescent="0.3">
      <c r="A194" s="15"/>
      <c r="B194" s="28"/>
      <c r="C194" s="29" t="s">
        <v>147</v>
      </c>
      <c r="D194" s="30"/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3">
        <f t="shared" si="38"/>
        <v>0</v>
      </c>
    </row>
    <row r="195" spans="1:26" ht="12.75" customHeight="1" x14ac:dyDescent="0.3">
      <c r="A195" s="15"/>
      <c r="B195" s="28"/>
      <c r="C195" s="29" t="s">
        <v>148</v>
      </c>
      <c r="D195" s="30"/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3">
        <f t="shared" si="38"/>
        <v>0</v>
      </c>
    </row>
    <row r="196" spans="1:26" ht="12.75" customHeight="1" x14ac:dyDescent="0.3">
      <c r="A196" s="15"/>
      <c r="B196" s="28"/>
      <c r="C196" s="29" t="s">
        <v>149</v>
      </c>
      <c r="D196" s="30"/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1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3">
        <f t="shared" si="38"/>
        <v>1</v>
      </c>
    </row>
    <row r="197" spans="1:26" ht="12.75" customHeight="1" x14ac:dyDescent="0.3">
      <c r="A197" s="15"/>
      <c r="B197" s="28"/>
      <c r="C197" s="29" t="s">
        <v>150</v>
      </c>
      <c r="D197" s="30"/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3">
        <f t="shared" si="38"/>
        <v>0</v>
      </c>
    </row>
    <row r="198" spans="1:26" ht="12.75" customHeight="1" x14ac:dyDescent="0.3">
      <c r="A198" s="15"/>
      <c r="B198" s="28"/>
      <c r="C198" s="29" t="s">
        <v>151</v>
      </c>
      <c r="D198" s="30"/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3">
        <f t="shared" si="38"/>
        <v>0</v>
      </c>
    </row>
    <row r="199" spans="1:26" ht="12.75" customHeight="1" x14ac:dyDescent="0.3">
      <c r="A199" s="16" t="s">
        <v>15</v>
      </c>
      <c r="B199" s="59" t="s">
        <v>49</v>
      </c>
      <c r="C199" s="60"/>
      <c r="D199" s="58"/>
      <c r="E199" s="13">
        <f t="shared" ref="E199:Z199" si="39">SUM(E189:E198)</f>
        <v>1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1</v>
      </c>
      <c r="J199" s="13">
        <f t="shared" si="39"/>
        <v>1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1</v>
      </c>
      <c r="Q199" s="13">
        <f t="shared" si="39"/>
        <v>2</v>
      </c>
      <c r="R199" s="13">
        <f t="shared" si="39"/>
        <v>0</v>
      </c>
      <c r="S199" s="13">
        <f t="shared" si="39"/>
        <v>3</v>
      </c>
      <c r="T199" s="13">
        <f t="shared" si="39"/>
        <v>1</v>
      </c>
      <c r="U199" s="13">
        <f t="shared" si="39"/>
        <v>2</v>
      </c>
      <c r="V199" s="13">
        <f t="shared" si="39"/>
        <v>0</v>
      </c>
      <c r="W199" s="13">
        <f t="shared" si="39"/>
        <v>1</v>
      </c>
      <c r="X199" s="13">
        <f t="shared" si="39"/>
        <v>1</v>
      </c>
      <c r="Y199" s="13">
        <f t="shared" si="39"/>
        <v>0</v>
      </c>
      <c r="Z199" s="13">
        <f t="shared" si="39"/>
        <v>14</v>
      </c>
    </row>
    <row r="200" spans="1:26" ht="12.75" customHeight="1" x14ac:dyDescent="0.3">
      <c r="A200" s="61"/>
      <c r="B200" s="60"/>
      <c r="C200" s="60"/>
      <c r="D200" s="60"/>
      <c r="E200" s="58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spans="1:26" ht="12.75" customHeight="1" x14ac:dyDescent="0.3">
      <c r="A201" s="20" t="s">
        <v>37</v>
      </c>
      <c r="B201" s="27" t="s">
        <v>152</v>
      </c>
      <c r="C201" s="57" t="s">
        <v>153</v>
      </c>
      <c r="D201" s="58"/>
      <c r="E201" s="16">
        <v>12</v>
      </c>
      <c r="F201" s="16">
        <v>41</v>
      </c>
      <c r="G201" s="16">
        <v>42</v>
      </c>
      <c r="H201" s="16">
        <v>36</v>
      </c>
      <c r="I201" s="16">
        <v>40</v>
      </c>
      <c r="J201" s="16">
        <v>21</v>
      </c>
      <c r="K201" s="16">
        <v>45</v>
      </c>
      <c r="L201" s="16">
        <v>32</v>
      </c>
      <c r="M201" s="16">
        <v>53</v>
      </c>
      <c r="N201" s="16">
        <v>26</v>
      </c>
      <c r="O201" s="16">
        <v>28</v>
      </c>
      <c r="P201" s="16">
        <v>21</v>
      </c>
      <c r="Q201" s="16">
        <v>19</v>
      </c>
      <c r="R201" s="16">
        <v>33</v>
      </c>
      <c r="S201" s="16">
        <v>13</v>
      </c>
      <c r="T201" s="16">
        <v>18</v>
      </c>
      <c r="U201" s="16">
        <v>9</v>
      </c>
      <c r="V201" s="16">
        <v>13</v>
      </c>
      <c r="W201" s="16">
        <v>20</v>
      </c>
      <c r="X201" s="16">
        <v>24</v>
      </c>
      <c r="Y201" s="16">
        <v>26</v>
      </c>
      <c r="Z201" s="13">
        <f t="shared" ref="Z201:Z210" si="40">SUM(E201:Y201)</f>
        <v>572</v>
      </c>
    </row>
    <row r="202" spans="1:26" ht="12.75" customHeight="1" x14ac:dyDescent="0.3">
      <c r="A202" s="20" t="s">
        <v>39</v>
      </c>
      <c r="B202" s="28"/>
      <c r="C202" s="29" t="s">
        <v>154</v>
      </c>
      <c r="D202" s="30"/>
      <c r="E202" s="16">
        <v>21</v>
      </c>
      <c r="F202" s="16">
        <v>10</v>
      </c>
      <c r="G202" s="16">
        <v>10</v>
      </c>
      <c r="H202" s="16">
        <v>13</v>
      </c>
      <c r="I202" s="16">
        <v>11</v>
      </c>
      <c r="J202" s="16">
        <v>6</v>
      </c>
      <c r="K202" s="16">
        <v>15</v>
      </c>
      <c r="L202" s="16">
        <v>9</v>
      </c>
      <c r="M202" s="16">
        <v>17</v>
      </c>
      <c r="N202" s="16">
        <v>37</v>
      </c>
      <c r="O202" s="16">
        <v>21</v>
      </c>
      <c r="P202" s="16">
        <v>5</v>
      </c>
      <c r="Q202" s="16">
        <v>13</v>
      </c>
      <c r="R202" s="16">
        <v>12</v>
      </c>
      <c r="S202" s="16">
        <v>13</v>
      </c>
      <c r="T202" s="16">
        <v>13</v>
      </c>
      <c r="U202" s="16">
        <v>5</v>
      </c>
      <c r="V202" s="16">
        <v>13</v>
      </c>
      <c r="W202" s="16">
        <v>22</v>
      </c>
      <c r="X202" s="16">
        <v>26</v>
      </c>
      <c r="Y202" s="16">
        <v>12</v>
      </c>
      <c r="Z202" s="13">
        <f t="shared" si="40"/>
        <v>304</v>
      </c>
    </row>
    <row r="203" spans="1:26" ht="12.75" customHeight="1" x14ac:dyDescent="0.3">
      <c r="A203" s="15"/>
      <c r="B203" s="28"/>
      <c r="C203" s="29" t="s">
        <v>155</v>
      </c>
      <c r="D203" s="30"/>
      <c r="E203" s="16">
        <v>17</v>
      </c>
      <c r="F203" s="16">
        <v>13</v>
      </c>
      <c r="G203" s="16">
        <v>25</v>
      </c>
      <c r="H203" s="16">
        <v>15</v>
      </c>
      <c r="I203" s="16">
        <v>32</v>
      </c>
      <c r="J203" s="16">
        <v>5</v>
      </c>
      <c r="K203" s="16">
        <v>48</v>
      </c>
      <c r="L203" s="16">
        <v>28</v>
      </c>
      <c r="M203" s="16">
        <v>13</v>
      </c>
      <c r="N203" s="16">
        <v>43</v>
      </c>
      <c r="O203" s="16">
        <v>26</v>
      </c>
      <c r="P203" s="16">
        <v>18</v>
      </c>
      <c r="Q203" s="16">
        <v>15</v>
      </c>
      <c r="R203" s="16">
        <v>63</v>
      </c>
      <c r="S203" s="16">
        <v>28</v>
      </c>
      <c r="T203" s="16">
        <v>37</v>
      </c>
      <c r="U203" s="16">
        <v>18</v>
      </c>
      <c r="V203" s="16">
        <v>20</v>
      </c>
      <c r="W203" s="16">
        <v>23</v>
      </c>
      <c r="X203" s="16">
        <v>26</v>
      </c>
      <c r="Y203" s="16">
        <v>4</v>
      </c>
      <c r="Z203" s="13">
        <f t="shared" si="40"/>
        <v>517</v>
      </c>
    </row>
    <row r="204" spans="1:26" ht="12.75" customHeight="1" x14ac:dyDescent="0.3">
      <c r="A204" s="15"/>
      <c r="B204" s="28"/>
      <c r="C204" s="29" t="s">
        <v>156</v>
      </c>
      <c r="D204" s="30"/>
      <c r="E204" s="16">
        <v>3</v>
      </c>
      <c r="F204" s="16">
        <v>1</v>
      </c>
      <c r="G204" s="16">
        <v>2</v>
      </c>
      <c r="H204" s="16">
        <v>3</v>
      </c>
      <c r="I204" s="16">
        <v>1</v>
      </c>
      <c r="J204" s="16">
        <v>1</v>
      </c>
      <c r="K204" s="16">
        <v>1</v>
      </c>
      <c r="L204" s="16">
        <v>1</v>
      </c>
      <c r="M204" s="16">
        <v>4</v>
      </c>
      <c r="N204" s="16">
        <v>1</v>
      </c>
      <c r="O204" s="16">
        <v>3</v>
      </c>
      <c r="P204" s="16">
        <v>1</v>
      </c>
      <c r="Q204" s="16">
        <v>0</v>
      </c>
      <c r="R204" s="16">
        <v>3</v>
      </c>
      <c r="S204" s="16">
        <v>3</v>
      </c>
      <c r="T204" s="16">
        <v>1</v>
      </c>
      <c r="U204" s="16">
        <v>2</v>
      </c>
      <c r="V204" s="16">
        <v>2</v>
      </c>
      <c r="W204" s="16">
        <v>3</v>
      </c>
      <c r="X204" s="16">
        <v>3</v>
      </c>
      <c r="Y204" s="16">
        <v>6</v>
      </c>
      <c r="Z204" s="13">
        <f t="shared" si="40"/>
        <v>45</v>
      </c>
    </row>
    <row r="205" spans="1:26" ht="12.75" customHeight="1" x14ac:dyDescent="0.3">
      <c r="A205" s="15"/>
      <c r="B205" s="28"/>
      <c r="C205" s="29" t="s">
        <v>157</v>
      </c>
      <c r="D205" s="30"/>
      <c r="E205" s="16">
        <v>2</v>
      </c>
      <c r="F205" s="16">
        <v>0</v>
      </c>
      <c r="G205" s="16">
        <v>1</v>
      </c>
      <c r="H205" s="16">
        <v>2</v>
      </c>
      <c r="I205" s="16">
        <v>2</v>
      </c>
      <c r="J205" s="16">
        <v>0</v>
      </c>
      <c r="K205" s="16">
        <v>2</v>
      </c>
      <c r="L205" s="16">
        <v>0</v>
      </c>
      <c r="M205" s="16">
        <v>4</v>
      </c>
      <c r="N205" s="16">
        <v>0</v>
      </c>
      <c r="O205" s="16">
        <v>1</v>
      </c>
      <c r="P205" s="16">
        <v>0</v>
      </c>
      <c r="Q205" s="16">
        <v>0</v>
      </c>
      <c r="R205" s="16">
        <v>0</v>
      </c>
      <c r="S205" s="16">
        <v>1</v>
      </c>
      <c r="T205" s="16">
        <v>1</v>
      </c>
      <c r="U205" s="16">
        <v>1</v>
      </c>
      <c r="V205" s="16">
        <v>0</v>
      </c>
      <c r="W205" s="16">
        <v>0</v>
      </c>
      <c r="X205" s="16">
        <v>4</v>
      </c>
      <c r="Y205" s="16">
        <v>2</v>
      </c>
      <c r="Z205" s="13">
        <f t="shared" si="40"/>
        <v>23</v>
      </c>
    </row>
    <row r="206" spans="1:26" ht="12.75" customHeight="1" x14ac:dyDescent="0.3">
      <c r="A206" s="15"/>
      <c r="B206" s="28"/>
      <c r="C206" s="29" t="s">
        <v>158</v>
      </c>
      <c r="D206" s="30"/>
      <c r="E206" s="16">
        <v>0</v>
      </c>
      <c r="F206" s="16">
        <v>1</v>
      </c>
      <c r="G206" s="16">
        <v>1</v>
      </c>
      <c r="H206" s="16">
        <v>0</v>
      </c>
      <c r="I206" s="16">
        <v>1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1</v>
      </c>
      <c r="P206" s="16">
        <v>1</v>
      </c>
      <c r="Q206" s="16">
        <v>0</v>
      </c>
      <c r="R206" s="16">
        <v>0</v>
      </c>
      <c r="S206" s="16">
        <v>0</v>
      </c>
      <c r="T206" s="16">
        <v>1</v>
      </c>
      <c r="U206" s="16">
        <v>0</v>
      </c>
      <c r="V206" s="16">
        <v>1</v>
      </c>
      <c r="W206" s="16">
        <v>0</v>
      </c>
      <c r="X206" s="16">
        <v>0</v>
      </c>
      <c r="Y206" s="16">
        <v>0</v>
      </c>
      <c r="Z206" s="13">
        <f t="shared" si="40"/>
        <v>7</v>
      </c>
    </row>
    <row r="207" spans="1:26" ht="12.75" customHeight="1" x14ac:dyDescent="0.3">
      <c r="A207" s="15"/>
      <c r="B207" s="28"/>
      <c r="C207" s="29" t="s">
        <v>159</v>
      </c>
      <c r="D207" s="30"/>
      <c r="E207" s="16">
        <v>2</v>
      </c>
      <c r="F207" s="16">
        <v>1</v>
      </c>
      <c r="G207" s="16">
        <v>0</v>
      </c>
      <c r="H207" s="16">
        <v>0</v>
      </c>
      <c r="I207" s="16">
        <v>0</v>
      </c>
      <c r="J207" s="16">
        <v>0</v>
      </c>
      <c r="K207" s="16">
        <v>1</v>
      </c>
      <c r="L207" s="16">
        <v>1</v>
      </c>
      <c r="M207" s="16">
        <v>0</v>
      </c>
      <c r="N207" s="16">
        <v>0</v>
      </c>
      <c r="O207" s="16">
        <v>0</v>
      </c>
      <c r="P207" s="16">
        <v>0</v>
      </c>
      <c r="Q207" s="16">
        <v>2</v>
      </c>
      <c r="R207" s="16">
        <v>0</v>
      </c>
      <c r="S207" s="16">
        <v>1</v>
      </c>
      <c r="T207" s="16">
        <v>0</v>
      </c>
      <c r="U207" s="16">
        <v>0</v>
      </c>
      <c r="V207" s="16">
        <v>1</v>
      </c>
      <c r="W207" s="16">
        <v>0</v>
      </c>
      <c r="X207" s="16">
        <v>0</v>
      </c>
      <c r="Y207" s="16">
        <v>1</v>
      </c>
      <c r="Z207" s="13">
        <f t="shared" si="40"/>
        <v>10</v>
      </c>
    </row>
    <row r="208" spans="1:26" ht="12.75" customHeight="1" x14ac:dyDescent="0.3">
      <c r="A208" s="15"/>
      <c r="B208" s="28"/>
      <c r="C208" s="29" t="s">
        <v>160</v>
      </c>
      <c r="D208" s="30"/>
      <c r="E208" s="16">
        <v>1</v>
      </c>
      <c r="F208" s="16">
        <v>0</v>
      </c>
      <c r="G208" s="16">
        <v>2</v>
      </c>
      <c r="H208" s="16">
        <v>2</v>
      </c>
      <c r="I208" s="16">
        <v>0</v>
      </c>
      <c r="J208" s="16">
        <v>2</v>
      </c>
      <c r="K208" s="16">
        <v>3</v>
      </c>
      <c r="L208" s="16">
        <v>2</v>
      </c>
      <c r="M208" s="16">
        <v>6</v>
      </c>
      <c r="N208" s="16">
        <v>2</v>
      </c>
      <c r="O208" s="16">
        <v>0</v>
      </c>
      <c r="P208" s="16">
        <v>1</v>
      </c>
      <c r="Q208" s="16">
        <v>0</v>
      </c>
      <c r="R208" s="16">
        <v>0</v>
      </c>
      <c r="S208" s="16">
        <v>1</v>
      </c>
      <c r="T208" s="16">
        <v>2</v>
      </c>
      <c r="U208" s="16">
        <v>3</v>
      </c>
      <c r="V208" s="16">
        <v>2</v>
      </c>
      <c r="W208" s="16">
        <v>0</v>
      </c>
      <c r="X208" s="16">
        <v>5</v>
      </c>
      <c r="Y208" s="16">
        <v>5</v>
      </c>
      <c r="Z208" s="13">
        <f t="shared" si="40"/>
        <v>39</v>
      </c>
    </row>
    <row r="209" spans="1:26" ht="12.75" customHeight="1" x14ac:dyDescent="0.3">
      <c r="A209" s="15"/>
      <c r="B209" s="28"/>
      <c r="C209" s="29" t="s">
        <v>161</v>
      </c>
      <c r="D209" s="30"/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1</v>
      </c>
      <c r="K209" s="16">
        <v>0</v>
      </c>
      <c r="L209" s="16">
        <v>0</v>
      </c>
      <c r="M209" s="16">
        <v>0</v>
      </c>
      <c r="N209" s="16">
        <v>0</v>
      </c>
      <c r="O209" s="16">
        <v>1</v>
      </c>
      <c r="P209" s="16">
        <v>0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1</v>
      </c>
      <c r="Z209" s="13">
        <f t="shared" si="40"/>
        <v>3</v>
      </c>
    </row>
    <row r="210" spans="1:26" ht="12.75" customHeight="1" x14ac:dyDescent="0.3">
      <c r="A210" s="15"/>
      <c r="B210" s="28"/>
      <c r="C210" s="29" t="s">
        <v>162</v>
      </c>
      <c r="D210" s="30"/>
      <c r="E210" s="16">
        <v>0</v>
      </c>
      <c r="F210" s="16">
        <v>0</v>
      </c>
      <c r="G210" s="16">
        <v>1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6">
        <v>0</v>
      </c>
      <c r="P210" s="16">
        <v>0</v>
      </c>
      <c r="Q210" s="16">
        <v>0</v>
      </c>
      <c r="R210" s="16">
        <v>0</v>
      </c>
      <c r="S210" s="16">
        <v>1</v>
      </c>
      <c r="T210" s="16">
        <v>1</v>
      </c>
      <c r="U210" s="16">
        <v>2</v>
      </c>
      <c r="V210" s="16">
        <v>1</v>
      </c>
      <c r="W210" s="16">
        <v>1</v>
      </c>
      <c r="X210" s="16">
        <v>0</v>
      </c>
      <c r="Y210" s="16">
        <v>0</v>
      </c>
      <c r="Z210" s="13">
        <f t="shared" si="40"/>
        <v>7</v>
      </c>
    </row>
    <row r="211" spans="1:26" ht="12.75" customHeight="1" x14ac:dyDescent="0.3">
      <c r="A211" s="16" t="s">
        <v>15</v>
      </c>
      <c r="B211" s="59" t="s">
        <v>49</v>
      </c>
      <c r="C211" s="60"/>
      <c r="D211" s="58"/>
      <c r="E211" s="13">
        <f t="shared" ref="E211:Z211" si="41">SUM(E201:E210)</f>
        <v>58</v>
      </c>
      <c r="F211" s="13">
        <f t="shared" si="41"/>
        <v>67</v>
      </c>
      <c r="G211" s="13">
        <f t="shared" si="41"/>
        <v>84</v>
      </c>
      <c r="H211" s="13">
        <f t="shared" si="41"/>
        <v>71</v>
      </c>
      <c r="I211" s="13">
        <f t="shared" si="41"/>
        <v>87</v>
      </c>
      <c r="J211" s="13">
        <f t="shared" si="41"/>
        <v>36</v>
      </c>
      <c r="K211" s="13">
        <f t="shared" si="41"/>
        <v>115</v>
      </c>
      <c r="L211" s="13">
        <f t="shared" si="41"/>
        <v>73</v>
      </c>
      <c r="M211" s="13">
        <f t="shared" si="41"/>
        <v>97</v>
      </c>
      <c r="N211" s="13">
        <f t="shared" si="41"/>
        <v>109</v>
      </c>
      <c r="O211" s="13">
        <f t="shared" si="41"/>
        <v>81</v>
      </c>
      <c r="P211" s="13">
        <f t="shared" si="41"/>
        <v>47</v>
      </c>
      <c r="Q211" s="13">
        <f t="shared" si="41"/>
        <v>49</v>
      </c>
      <c r="R211" s="13">
        <f t="shared" si="41"/>
        <v>111</v>
      </c>
      <c r="S211" s="13">
        <f t="shared" si="41"/>
        <v>61</v>
      </c>
      <c r="T211" s="13">
        <f t="shared" si="41"/>
        <v>74</v>
      </c>
      <c r="U211" s="13">
        <f t="shared" si="41"/>
        <v>40</v>
      </c>
      <c r="V211" s="13">
        <f t="shared" si="41"/>
        <v>53</v>
      </c>
      <c r="W211" s="13">
        <f t="shared" si="41"/>
        <v>69</v>
      </c>
      <c r="X211" s="13">
        <f t="shared" si="41"/>
        <v>88</v>
      </c>
      <c r="Y211" s="13">
        <f t="shared" si="41"/>
        <v>57</v>
      </c>
      <c r="Z211" s="13">
        <f t="shared" si="41"/>
        <v>1527</v>
      </c>
    </row>
    <row r="212" spans="1:26" ht="12.75" customHeight="1" x14ac:dyDescent="0.3">
      <c r="A212" s="61"/>
      <c r="B212" s="60"/>
      <c r="C212" s="60"/>
      <c r="D212" s="60"/>
      <c r="E212" s="58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 ht="12.75" customHeight="1" x14ac:dyDescent="0.3">
      <c r="A213" s="20" t="s">
        <v>37</v>
      </c>
      <c r="B213" s="27" t="s">
        <v>163</v>
      </c>
      <c r="C213" s="57" t="s">
        <v>164</v>
      </c>
      <c r="D213" s="58"/>
      <c r="E213" s="16">
        <v>1</v>
      </c>
      <c r="F213" s="16">
        <v>1</v>
      </c>
      <c r="G213" s="16">
        <v>0</v>
      </c>
      <c r="H213" s="16">
        <v>0</v>
      </c>
      <c r="I213" s="16">
        <v>2</v>
      </c>
      <c r="J213" s="16">
        <v>0</v>
      </c>
      <c r="K213" s="16">
        <v>2</v>
      </c>
      <c r="L213" s="16">
        <v>2</v>
      </c>
      <c r="M213" s="16">
        <v>2</v>
      </c>
      <c r="N213" s="16">
        <v>2</v>
      </c>
      <c r="O213" s="16">
        <v>2</v>
      </c>
      <c r="P213" s="16">
        <v>3</v>
      </c>
      <c r="Q213" s="16">
        <v>3</v>
      </c>
      <c r="R213" s="16">
        <v>0</v>
      </c>
      <c r="S213" s="16">
        <v>1</v>
      </c>
      <c r="T213" s="16">
        <v>0</v>
      </c>
      <c r="U213" s="16">
        <v>2</v>
      </c>
      <c r="V213" s="16">
        <v>3</v>
      </c>
      <c r="W213" s="16">
        <v>2</v>
      </c>
      <c r="X213" s="16">
        <v>4</v>
      </c>
      <c r="Y213" s="16">
        <v>1</v>
      </c>
      <c r="Z213" s="13">
        <f t="shared" ref="Z213:Z222" si="42">SUM(E213:Y213)</f>
        <v>33</v>
      </c>
    </row>
    <row r="214" spans="1:26" ht="12.75" customHeight="1" x14ac:dyDescent="0.3">
      <c r="A214" s="20" t="s">
        <v>39</v>
      </c>
      <c r="B214" s="28"/>
      <c r="C214" s="29" t="s">
        <v>165</v>
      </c>
      <c r="D214" s="30"/>
      <c r="E214" s="16">
        <v>1</v>
      </c>
      <c r="F214" s="16">
        <v>1</v>
      </c>
      <c r="G214" s="16">
        <v>0</v>
      </c>
      <c r="H214" s="16">
        <v>1</v>
      </c>
      <c r="I214" s="16">
        <v>2</v>
      </c>
      <c r="J214" s="16">
        <v>0</v>
      </c>
      <c r="K214" s="16">
        <v>1</v>
      </c>
      <c r="L214" s="16">
        <v>0</v>
      </c>
      <c r="M214" s="16">
        <v>1</v>
      </c>
      <c r="N214" s="16">
        <v>3</v>
      </c>
      <c r="O214" s="16">
        <v>3</v>
      </c>
      <c r="P214" s="16">
        <v>0</v>
      </c>
      <c r="Q214" s="16">
        <v>0</v>
      </c>
      <c r="R214" s="16">
        <v>0</v>
      </c>
      <c r="S214" s="16">
        <v>2</v>
      </c>
      <c r="T214" s="16">
        <v>0</v>
      </c>
      <c r="U214" s="16">
        <v>0</v>
      </c>
      <c r="V214" s="16">
        <v>0</v>
      </c>
      <c r="W214" s="16">
        <v>0</v>
      </c>
      <c r="X214" s="16">
        <v>0</v>
      </c>
      <c r="Y214" s="16">
        <v>1</v>
      </c>
      <c r="Z214" s="13">
        <f t="shared" si="42"/>
        <v>16</v>
      </c>
    </row>
    <row r="215" spans="1:26" ht="12.75" customHeight="1" x14ac:dyDescent="0.3">
      <c r="A215" s="15"/>
      <c r="B215" s="28"/>
      <c r="C215" s="29" t="s">
        <v>166</v>
      </c>
      <c r="D215" s="30"/>
      <c r="E215" s="16">
        <v>1</v>
      </c>
      <c r="F215" s="16">
        <v>0</v>
      </c>
      <c r="G215" s="16">
        <v>2</v>
      </c>
      <c r="H215" s="16">
        <v>1</v>
      </c>
      <c r="I215" s="16">
        <v>1</v>
      </c>
      <c r="J215" s="16">
        <v>0</v>
      </c>
      <c r="K215" s="16">
        <v>0</v>
      </c>
      <c r="L215" s="16">
        <v>0</v>
      </c>
      <c r="M215" s="16">
        <v>0</v>
      </c>
      <c r="N215" s="16">
        <v>1</v>
      </c>
      <c r="O215" s="16">
        <v>0</v>
      </c>
      <c r="P215" s="16">
        <v>2</v>
      </c>
      <c r="Q215" s="16">
        <v>3</v>
      </c>
      <c r="R215" s="16">
        <v>0</v>
      </c>
      <c r="S215" s="16">
        <v>0</v>
      </c>
      <c r="T215" s="16">
        <v>0</v>
      </c>
      <c r="U215" s="16">
        <v>2</v>
      </c>
      <c r="V215" s="16">
        <v>1</v>
      </c>
      <c r="W215" s="16">
        <v>3</v>
      </c>
      <c r="X215" s="16">
        <v>3</v>
      </c>
      <c r="Y215" s="16">
        <v>0</v>
      </c>
      <c r="Z215" s="13">
        <f t="shared" si="42"/>
        <v>20</v>
      </c>
    </row>
    <row r="216" spans="1:26" ht="12.75" customHeight="1" x14ac:dyDescent="0.3">
      <c r="A216" s="15"/>
      <c r="B216" s="28"/>
      <c r="C216" s="29" t="s">
        <v>167</v>
      </c>
      <c r="D216" s="30"/>
      <c r="E216" s="16">
        <v>0</v>
      </c>
      <c r="F216" s="16">
        <v>0</v>
      </c>
      <c r="G216" s="16">
        <v>0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0</v>
      </c>
      <c r="N216" s="16">
        <v>0</v>
      </c>
      <c r="O216" s="16">
        <v>1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1</v>
      </c>
      <c r="Y216" s="16">
        <v>0</v>
      </c>
      <c r="Z216" s="13">
        <f t="shared" si="42"/>
        <v>2</v>
      </c>
    </row>
    <row r="217" spans="1:26" ht="12.75" customHeight="1" x14ac:dyDescent="0.3">
      <c r="A217" s="15"/>
      <c r="B217" s="36"/>
      <c r="C217" s="37"/>
      <c r="D217" s="40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3">
        <f t="shared" si="42"/>
        <v>0</v>
      </c>
    </row>
    <row r="218" spans="1:26" ht="12.75" customHeight="1" x14ac:dyDescent="0.3">
      <c r="A218" s="15"/>
      <c r="B218" s="36"/>
      <c r="C218" s="37"/>
      <c r="D218" s="40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3">
        <f t="shared" si="42"/>
        <v>0</v>
      </c>
    </row>
    <row r="219" spans="1:26" ht="12.75" customHeight="1" x14ac:dyDescent="0.3">
      <c r="A219" s="15"/>
      <c r="B219" s="36"/>
      <c r="C219" s="37"/>
      <c r="D219" s="40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3">
        <f t="shared" si="42"/>
        <v>0</v>
      </c>
    </row>
    <row r="220" spans="1:26" ht="12.75" customHeight="1" x14ac:dyDescent="0.3">
      <c r="A220" s="15"/>
      <c r="B220" s="36"/>
      <c r="C220" s="37"/>
      <c r="D220" s="40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3">
        <f t="shared" si="42"/>
        <v>0</v>
      </c>
    </row>
    <row r="221" spans="1:26" ht="12.75" customHeight="1" x14ac:dyDescent="0.3">
      <c r="A221" s="15"/>
      <c r="B221" s="36"/>
      <c r="C221" s="37"/>
      <c r="D221" s="40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3">
        <f t="shared" si="42"/>
        <v>0</v>
      </c>
    </row>
    <row r="222" spans="1:26" ht="12.75" customHeight="1" x14ac:dyDescent="0.3">
      <c r="A222" s="15"/>
      <c r="B222" s="36"/>
      <c r="C222" s="37"/>
      <c r="D222" s="40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3">
        <f t="shared" si="42"/>
        <v>0</v>
      </c>
    </row>
    <row r="223" spans="1:26" ht="12.75" customHeight="1" x14ac:dyDescent="0.3">
      <c r="A223" s="16" t="s">
        <v>15</v>
      </c>
      <c r="B223" s="59" t="s">
        <v>49</v>
      </c>
      <c r="C223" s="60"/>
      <c r="D223" s="58"/>
      <c r="E223" s="13">
        <f t="shared" ref="E223:Z223" si="43">SUM(E213:E222)</f>
        <v>3</v>
      </c>
      <c r="F223" s="13">
        <f t="shared" si="43"/>
        <v>2</v>
      </c>
      <c r="G223" s="13">
        <f t="shared" si="43"/>
        <v>2</v>
      </c>
      <c r="H223" s="13">
        <f t="shared" si="43"/>
        <v>2</v>
      </c>
      <c r="I223" s="13">
        <f t="shared" si="43"/>
        <v>5</v>
      </c>
      <c r="J223" s="13">
        <f t="shared" si="43"/>
        <v>0</v>
      </c>
      <c r="K223" s="13">
        <f t="shared" si="43"/>
        <v>3</v>
      </c>
      <c r="L223" s="13">
        <f t="shared" si="43"/>
        <v>2</v>
      </c>
      <c r="M223" s="13">
        <f t="shared" si="43"/>
        <v>3</v>
      </c>
      <c r="N223" s="13">
        <f t="shared" si="43"/>
        <v>6</v>
      </c>
      <c r="O223" s="13">
        <f t="shared" si="43"/>
        <v>6</v>
      </c>
      <c r="P223" s="13">
        <f t="shared" si="43"/>
        <v>5</v>
      </c>
      <c r="Q223" s="13">
        <f t="shared" si="43"/>
        <v>6</v>
      </c>
      <c r="R223" s="13">
        <f t="shared" si="43"/>
        <v>0</v>
      </c>
      <c r="S223" s="13">
        <f t="shared" si="43"/>
        <v>3</v>
      </c>
      <c r="T223" s="13">
        <f t="shared" si="43"/>
        <v>0</v>
      </c>
      <c r="U223" s="13">
        <f t="shared" si="43"/>
        <v>4</v>
      </c>
      <c r="V223" s="13">
        <f t="shared" si="43"/>
        <v>4</v>
      </c>
      <c r="W223" s="13">
        <f t="shared" si="43"/>
        <v>5</v>
      </c>
      <c r="X223" s="13">
        <f t="shared" si="43"/>
        <v>8</v>
      </c>
      <c r="Y223" s="13">
        <f t="shared" si="43"/>
        <v>2</v>
      </c>
      <c r="Z223" s="13">
        <f t="shared" si="43"/>
        <v>71</v>
      </c>
    </row>
    <row r="224" spans="1:26" ht="12.75" customHeight="1" x14ac:dyDescent="0.3">
      <c r="A224" s="61"/>
      <c r="B224" s="60"/>
      <c r="C224" s="60"/>
      <c r="D224" s="60"/>
      <c r="E224" s="58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1:26" ht="12.75" customHeight="1" x14ac:dyDescent="0.3">
      <c r="A225" s="20" t="s">
        <v>37</v>
      </c>
      <c r="B225" s="27" t="s">
        <v>168</v>
      </c>
      <c r="C225" s="57" t="s">
        <v>169</v>
      </c>
      <c r="D225" s="58"/>
      <c r="E225" s="16">
        <v>0</v>
      </c>
      <c r="F225" s="16">
        <v>0</v>
      </c>
      <c r="G225" s="16">
        <v>0</v>
      </c>
      <c r="H225" s="16">
        <v>0</v>
      </c>
      <c r="I225" s="16">
        <v>2</v>
      </c>
      <c r="J225" s="16">
        <v>0</v>
      </c>
      <c r="K225" s="16">
        <v>0</v>
      </c>
      <c r="L225" s="16">
        <v>0</v>
      </c>
      <c r="M225" s="16">
        <v>0</v>
      </c>
      <c r="N225" s="16">
        <v>0</v>
      </c>
      <c r="O225" s="16">
        <v>0</v>
      </c>
      <c r="P225" s="16">
        <v>0</v>
      </c>
      <c r="Q225" s="16">
        <v>0</v>
      </c>
      <c r="R225" s="16">
        <v>0</v>
      </c>
      <c r="S225" s="16">
        <v>0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3">
        <f t="shared" ref="Z225:Z234" si="44">SUM(E225:Y225)</f>
        <v>2</v>
      </c>
    </row>
    <row r="226" spans="1:26" ht="12.75" customHeight="1" x14ac:dyDescent="0.3">
      <c r="A226" s="20" t="s">
        <v>39</v>
      </c>
      <c r="B226" s="28"/>
      <c r="C226" s="29" t="s">
        <v>170</v>
      </c>
      <c r="D226" s="30"/>
      <c r="E226" s="16">
        <v>0</v>
      </c>
      <c r="F226" s="16">
        <v>0</v>
      </c>
      <c r="G226" s="16">
        <v>0</v>
      </c>
      <c r="H226" s="16">
        <v>0</v>
      </c>
      <c r="I226" s="16">
        <v>0</v>
      </c>
      <c r="J226" s="16">
        <v>0</v>
      </c>
      <c r="K226" s="16">
        <v>1</v>
      </c>
      <c r="L226" s="16">
        <v>1</v>
      </c>
      <c r="M226" s="16">
        <v>1</v>
      </c>
      <c r="N226" s="16">
        <v>0</v>
      </c>
      <c r="O226" s="16">
        <v>0</v>
      </c>
      <c r="P226" s="16">
        <v>0</v>
      </c>
      <c r="Q226" s="16">
        <v>0</v>
      </c>
      <c r="R226" s="16">
        <v>0</v>
      </c>
      <c r="S226" s="16">
        <v>0</v>
      </c>
      <c r="T226" s="16">
        <v>0</v>
      </c>
      <c r="U226" s="16">
        <v>0</v>
      </c>
      <c r="V226" s="16">
        <v>0</v>
      </c>
      <c r="W226" s="16">
        <v>1</v>
      </c>
      <c r="X226" s="16">
        <v>0</v>
      </c>
      <c r="Y226" s="16">
        <v>0</v>
      </c>
      <c r="Z226" s="13">
        <f t="shared" si="44"/>
        <v>4</v>
      </c>
    </row>
    <row r="227" spans="1:26" ht="12.75" customHeight="1" x14ac:dyDescent="0.3">
      <c r="A227" s="15"/>
      <c r="B227" s="28"/>
      <c r="C227" s="29" t="s">
        <v>171</v>
      </c>
      <c r="D227" s="30"/>
      <c r="E227" s="16">
        <v>0</v>
      </c>
      <c r="F227" s="16">
        <v>0</v>
      </c>
      <c r="G227" s="16">
        <v>0</v>
      </c>
      <c r="H227" s="16">
        <v>0</v>
      </c>
      <c r="I227" s="16">
        <v>0</v>
      </c>
      <c r="J227" s="16">
        <v>0</v>
      </c>
      <c r="K227" s="16">
        <v>0</v>
      </c>
      <c r="L227" s="16">
        <v>0</v>
      </c>
      <c r="M227" s="16">
        <v>0</v>
      </c>
      <c r="N227" s="16">
        <v>1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1</v>
      </c>
      <c r="X227" s="16">
        <v>0</v>
      </c>
      <c r="Y227" s="16">
        <v>0</v>
      </c>
      <c r="Z227" s="13">
        <f t="shared" si="44"/>
        <v>2</v>
      </c>
    </row>
    <row r="228" spans="1:26" ht="12.75" customHeight="1" x14ac:dyDescent="0.3">
      <c r="A228" s="15"/>
      <c r="B228" s="28"/>
      <c r="C228" s="29" t="s">
        <v>172</v>
      </c>
      <c r="D228" s="30"/>
      <c r="E228" s="16">
        <v>0</v>
      </c>
      <c r="F228" s="16">
        <v>0</v>
      </c>
      <c r="G228" s="16">
        <v>0</v>
      </c>
      <c r="H228" s="16">
        <v>0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N228" s="16">
        <v>0</v>
      </c>
      <c r="O228" s="16">
        <v>0</v>
      </c>
      <c r="P228" s="16">
        <v>0</v>
      </c>
      <c r="Q228" s="16">
        <v>0</v>
      </c>
      <c r="R228" s="16">
        <v>0</v>
      </c>
      <c r="S228" s="16">
        <v>0</v>
      </c>
      <c r="T228" s="16">
        <v>0</v>
      </c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3">
        <f t="shared" si="44"/>
        <v>0</v>
      </c>
    </row>
    <row r="229" spans="1:26" ht="12.75" customHeight="1" x14ac:dyDescent="0.3">
      <c r="A229" s="15"/>
      <c r="B229" s="28"/>
      <c r="C229" s="29" t="s">
        <v>173</v>
      </c>
      <c r="D229" s="30"/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0</v>
      </c>
      <c r="M229" s="16">
        <v>1</v>
      </c>
      <c r="N229" s="16">
        <v>0</v>
      </c>
      <c r="O229" s="16">
        <v>1</v>
      </c>
      <c r="P229" s="16">
        <v>0</v>
      </c>
      <c r="Q229" s="16">
        <v>0</v>
      </c>
      <c r="R229" s="16">
        <v>0</v>
      </c>
      <c r="S229" s="16">
        <v>0</v>
      </c>
      <c r="T229" s="16">
        <v>0</v>
      </c>
      <c r="U229" s="16">
        <v>0</v>
      </c>
      <c r="V229" s="16">
        <v>0</v>
      </c>
      <c r="W229" s="16">
        <v>0</v>
      </c>
      <c r="X229" s="16">
        <v>0</v>
      </c>
      <c r="Y229" s="16">
        <v>0</v>
      </c>
      <c r="Z229" s="13">
        <f t="shared" si="44"/>
        <v>2</v>
      </c>
    </row>
    <row r="230" spans="1:26" ht="12.75" customHeight="1" x14ac:dyDescent="0.3">
      <c r="A230" s="15"/>
      <c r="B230" s="36"/>
      <c r="C230" s="37"/>
      <c r="D230" s="40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3">
        <f t="shared" si="44"/>
        <v>0</v>
      </c>
    </row>
    <row r="231" spans="1:26" ht="12.75" customHeight="1" x14ac:dyDescent="0.3">
      <c r="A231" s="15"/>
      <c r="B231" s="36"/>
      <c r="C231" s="37"/>
      <c r="D231" s="40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3">
        <f t="shared" si="44"/>
        <v>0</v>
      </c>
    </row>
    <row r="232" spans="1:26" ht="12.75" customHeight="1" x14ac:dyDescent="0.3">
      <c r="A232" s="15"/>
      <c r="B232" s="36"/>
      <c r="C232" s="37"/>
      <c r="D232" s="38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3">
        <f t="shared" si="44"/>
        <v>0</v>
      </c>
    </row>
    <row r="233" spans="1:26" ht="12.75" customHeight="1" x14ac:dyDescent="0.3">
      <c r="A233" s="15"/>
      <c r="B233" s="36"/>
      <c r="C233" s="37"/>
      <c r="D233" s="38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3">
        <f t="shared" si="44"/>
        <v>0</v>
      </c>
    </row>
    <row r="234" spans="1:26" ht="12.75" customHeight="1" x14ac:dyDescent="0.3">
      <c r="A234" s="15"/>
      <c r="B234" s="36"/>
      <c r="C234" s="37"/>
      <c r="D234" s="38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3">
        <f t="shared" si="44"/>
        <v>0</v>
      </c>
    </row>
    <row r="235" spans="1:26" ht="12.75" customHeight="1" x14ac:dyDescent="0.3">
      <c r="A235" s="16" t="s">
        <v>15</v>
      </c>
      <c r="B235" s="59" t="s">
        <v>49</v>
      </c>
      <c r="C235" s="60"/>
      <c r="D235" s="58"/>
      <c r="E235" s="13">
        <f t="shared" ref="E235:Z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2</v>
      </c>
      <c r="J235" s="13">
        <f t="shared" si="45"/>
        <v>0</v>
      </c>
      <c r="K235" s="13">
        <f t="shared" si="45"/>
        <v>1</v>
      </c>
      <c r="L235" s="13">
        <f t="shared" si="45"/>
        <v>1</v>
      </c>
      <c r="M235" s="13">
        <f t="shared" si="45"/>
        <v>2</v>
      </c>
      <c r="N235" s="13">
        <f t="shared" si="45"/>
        <v>1</v>
      </c>
      <c r="O235" s="13">
        <f t="shared" si="45"/>
        <v>1</v>
      </c>
      <c r="P235" s="13">
        <f t="shared" si="45"/>
        <v>0</v>
      </c>
      <c r="Q235" s="13">
        <f t="shared" si="45"/>
        <v>0</v>
      </c>
      <c r="R235" s="13">
        <f t="shared" si="45"/>
        <v>0</v>
      </c>
      <c r="S235" s="13">
        <f t="shared" si="45"/>
        <v>0</v>
      </c>
      <c r="T235" s="13">
        <f t="shared" si="45"/>
        <v>0</v>
      </c>
      <c r="U235" s="13">
        <f t="shared" si="45"/>
        <v>0</v>
      </c>
      <c r="V235" s="13">
        <f t="shared" si="45"/>
        <v>0</v>
      </c>
      <c r="W235" s="13">
        <f t="shared" si="45"/>
        <v>2</v>
      </c>
      <c r="X235" s="13">
        <f t="shared" si="45"/>
        <v>0</v>
      </c>
      <c r="Y235" s="13">
        <f t="shared" si="45"/>
        <v>0</v>
      </c>
      <c r="Z235" s="13">
        <f t="shared" si="45"/>
        <v>10</v>
      </c>
    </row>
    <row r="236" spans="1:26" ht="12.75" customHeight="1" x14ac:dyDescent="0.3">
      <c r="A236" s="61"/>
      <c r="B236" s="60"/>
      <c r="C236" s="60"/>
      <c r="D236" s="60"/>
      <c r="E236" s="58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spans="1:26" ht="12.75" customHeight="1" x14ac:dyDescent="0.3">
      <c r="A237" s="20" t="s">
        <v>37</v>
      </c>
      <c r="B237" s="27" t="s">
        <v>174</v>
      </c>
      <c r="C237" s="57" t="s">
        <v>175</v>
      </c>
      <c r="D237" s="58"/>
      <c r="E237" s="16">
        <v>1</v>
      </c>
      <c r="F237" s="16">
        <v>1</v>
      </c>
      <c r="G237" s="16">
        <v>0</v>
      </c>
      <c r="H237" s="16">
        <v>2</v>
      </c>
      <c r="I237" s="16">
        <v>2</v>
      </c>
      <c r="J237" s="16">
        <v>1</v>
      </c>
      <c r="K237" s="16">
        <v>1</v>
      </c>
      <c r="L237" s="16">
        <v>0</v>
      </c>
      <c r="M237" s="16">
        <v>0</v>
      </c>
      <c r="N237" s="16">
        <v>3</v>
      </c>
      <c r="O237" s="16">
        <v>2</v>
      </c>
      <c r="P237" s="16">
        <v>3</v>
      </c>
      <c r="Q237" s="16">
        <v>2</v>
      </c>
      <c r="R237" s="16">
        <v>0</v>
      </c>
      <c r="S237" s="16">
        <v>2</v>
      </c>
      <c r="T237" s="16">
        <v>3</v>
      </c>
      <c r="U237" s="16">
        <v>5</v>
      </c>
      <c r="V237" s="16">
        <v>0</v>
      </c>
      <c r="W237" s="16">
        <v>1</v>
      </c>
      <c r="X237" s="16">
        <v>0</v>
      </c>
      <c r="Y237" s="16">
        <v>0</v>
      </c>
      <c r="Z237" s="13">
        <f t="shared" ref="Z237:Z246" si="46">SUM(E237:Y237)</f>
        <v>29</v>
      </c>
    </row>
    <row r="238" spans="1:26" ht="12.75" customHeight="1" x14ac:dyDescent="0.3">
      <c r="A238" s="20" t="s">
        <v>39</v>
      </c>
      <c r="B238" s="28"/>
      <c r="C238" s="29" t="s">
        <v>176</v>
      </c>
      <c r="D238" s="30"/>
      <c r="E238" s="16">
        <v>1</v>
      </c>
      <c r="F238" s="16">
        <v>0</v>
      </c>
      <c r="G238" s="16">
        <v>1</v>
      </c>
      <c r="H238" s="16">
        <v>3</v>
      </c>
      <c r="I238" s="16">
        <v>0</v>
      </c>
      <c r="J238" s="16">
        <v>0</v>
      </c>
      <c r="K238" s="16">
        <v>0</v>
      </c>
      <c r="L238" s="16">
        <v>1</v>
      </c>
      <c r="M238" s="16">
        <v>1</v>
      </c>
      <c r="N238" s="16">
        <v>0</v>
      </c>
      <c r="O238" s="16">
        <v>1</v>
      </c>
      <c r="P238" s="16">
        <v>0</v>
      </c>
      <c r="Q238" s="16">
        <v>1</v>
      </c>
      <c r="R238" s="16">
        <v>0</v>
      </c>
      <c r="S238" s="16">
        <v>2</v>
      </c>
      <c r="T238" s="16">
        <v>3</v>
      </c>
      <c r="U238" s="16">
        <v>1</v>
      </c>
      <c r="V238" s="16">
        <v>0</v>
      </c>
      <c r="W238" s="16">
        <v>0</v>
      </c>
      <c r="X238" s="16">
        <v>0</v>
      </c>
      <c r="Y238" s="16">
        <v>0</v>
      </c>
      <c r="Z238" s="13">
        <f t="shared" si="46"/>
        <v>15</v>
      </c>
    </row>
    <row r="239" spans="1:26" ht="12.75" customHeight="1" x14ac:dyDescent="0.3">
      <c r="A239" s="15"/>
      <c r="B239" s="28"/>
      <c r="C239" s="29" t="s">
        <v>177</v>
      </c>
      <c r="D239" s="30"/>
      <c r="E239" s="16">
        <v>8</v>
      </c>
      <c r="F239" s="16">
        <v>7</v>
      </c>
      <c r="G239" s="16">
        <v>0</v>
      </c>
      <c r="H239" s="16">
        <v>4</v>
      </c>
      <c r="I239" s="16">
        <v>0</v>
      </c>
      <c r="J239" s="16">
        <v>1</v>
      </c>
      <c r="K239" s="16">
        <v>2</v>
      </c>
      <c r="L239" s="16">
        <v>4</v>
      </c>
      <c r="M239" s="16">
        <v>0</v>
      </c>
      <c r="N239" s="16">
        <v>4</v>
      </c>
      <c r="O239" s="16">
        <v>2</v>
      </c>
      <c r="P239" s="16">
        <v>7</v>
      </c>
      <c r="Q239" s="16">
        <v>3</v>
      </c>
      <c r="R239" s="16">
        <v>2</v>
      </c>
      <c r="S239" s="16">
        <v>1</v>
      </c>
      <c r="T239" s="16">
        <v>10</v>
      </c>
      <c r="U239" s="16">
        <v>7</v>
      </c>
      <c r="V239" s="16">
        <v>1</v>
      </c>
      <c r="W239" s="16">
        <v>0</v>
      </c>
      <c r="X239" s="16">
        <v>2</v>
      </c>
      <c r="Y239" s="16">
        <v>0</v>
      </c>
      <c r="Z239" s="13">
        <f t="shared" si="46"/>
        <v>65</v>
      </c>
    </row>
    <row r="240" spans="1:26" ht="12.75" customHeight="1" x14ac:dyDescent="0.3">
      <c r="A240" s="15"/>
      <c r="B240" s="28"/>
      <c r="C240" s="29" t="s">
        <v>178</v>
      </c>
      <c r="D240" s="30"/>
      <c r="E240" s="16">
        <v>0</v>
      </c>
      <c r="F240" s="16">
        <v>0</v>
      </c>
      <c r="G240" s="16">
        <v>0</v>
      </c>
      <c r="H240" s="16">
        <v>0</v>
      </c>
      <c r="I240" s="16">
        <v>0</v>
      </c>
      <c r="J240" s="16">
        <v>0</v>
      </c>
      <c r="K240" s="16">
        <v>0</v>
      </c>
      <c r="L240" s="16">
        <v>1</v>
      </c>
      <c r="M240" s="16">
        <v>0</v>
      </c>
      <c r="N240" s="16">
        <v>0</v>
      </c>
      <c r="O240" s="16">
        <v>0</v>
      </c>
      <c r="P240" s="16">
        <v>0</v>
      </c>
      <c r="Q240" s="16">
        <v>0</v>
      </c>
      <c r="R240" s="16">
        <v>0</v>
      </c>
      <c r="S240" s="16">
        <v>0</v>
      </c>
      <c r="T240" s="16">
        <v>0</v>
      </c>
      <c r="U240" s="16">
        <v>1</v>
      </c>
      <c r="V240" s="16">
        <v>0</v>
      </c>
      <c r="W240" s="16">
        <v>1</v>
      </c>
      <c r="X240" s="16">
        <v>0</v>
      </c>
      <c r="Y240" s="16">
        <v>0</v>
      </c>
      <c r="Z240" s="13">
        <f t="shared" si="46"/>
        <v>3</v>
      </c>
    </row>
    <row r="241" spans="1:26" ht="12.75" customHeight="1" x14ac:dyDescent="0.3">
      <c r="A241" s="15"/>
      <c r="B241" s="28"/>
      <c r="C241" s="29" t="s">
        <v>179</v>
      </c>
      <c r="D241" s="30"/>
      <c r="E241" s="16">
        <v>0</v>
      </c>
      <c r="F241" s="16">
        <v>0</v>
      </c>
      <c r="G241" s="16">
        <v>0</v>
      </c>
      <c r="H241" s="16">
        <v>0</v>
      </c>
      <c r="I241" s="16">
        <v>0</v>
      </c>
      <c r="J241" s="16">
        <v>0</v>
      </c>
      <c r="K241" s="16">
        <v>0</v>
      </c>
      <c r="L241" s="16">
        <v>0</v>
      </c>
      <c r="M241" s="16">
        <v>0</v>
      </c>
      <c r="N241" s="16">
        <v>0</v>
      </c>
      <c r="O241" s="16">
        <v>0</v>
      </c>
      <c r="P241" s="16">
        <v>0</v>
      </c>
      <c r="Q241" s="16">
        <v>0</v>
      </c>
      <c r="R241" s="16">
        <v>0</v>
      </c>
      <c r="S241" s="16">
        <v>0</v>
      </c>
      <c r="T241" s="16">
        <v>0</v>
      </c>
      <c r="U241" s="16">
        <v>0</v>
      </c>
      <c r="V241" s="16">
        <v>0</v>
      </c>
      <c r="W241" s="16">
        <v>0</v>
      </c>
      <c r="X241" s="16">
        <v>0</v>
      </c>
      <c r="Y241" s="16">
        <v>0</v>
      </c>
      <c r="Z241" s="13">
        <f t="shared" si="46"/>
        <v>0</v>
      </c>
    </row>
    <row r="242" spans="1:26" ht="12.75" customHeight="1" x14ac:dyDescent="0.3">
      <c r="A242" s="15"/>
      <c r="B242" s="28"/>
      <c r="C242" s="29" t="s">
        <v>180</v>
      </c>
      <c r="D242" s="30"/>
      <c r="E242" s="16">
        <v>0</v>
      </c>
      <c r="F242" s="16">
        <v>0</v>
      </c>
      <c r="G242" s="16">
        <v>0</v>
      </c>
      <c r="H242" s="16">
        <v>0</v>
      </c>
      <c r="I242" s="16">
        <v>0</v>
      </c>
      <c r="J242" s="16">
        <v>0</v>
      </c>
      <c r="K242" s="16">
        <v>0</v>
      </c>
      <c r="L242" s="16">
        <v>1</v>
      </c>
      <c r="M242" s="16">
        <v>0</v>
      </c>
      <c r="N242" s="16">
        <v>0</v>
      </c>
      <c r="O242" s="16">
        <v>0</v>
      </c>
      <c r="P242" s="16">
        <v>0</v>
      </c>
      <c r="Q242" s="16">
        <v>1</v>
      </c>
      <c r="R242" s="16">
        <v>0</v>
      </c>
      <c r="S242" s="16">
        <v>0</v>
      </c>
      <c r="T242" s="16">
        <v>0</v>
      </c>
      <c r="U242" s="16">
        <v>5</v>
      </c>
      <c r="V242" s="16">
        <v>0</v>
      </c>
      <c r="W242" s="16">
        <v>0</v>
      </c>
      <c r="X242" s="16">
        <v>0</v>
      </c>
      <c r="Y242" s="16">
        <v>0</v>
      </c>
      <c r="Z242" s="13">
        <f t="shared" si="46"/>
        <v>7</v>
      </c>
    </row>
    <row r="243" spans="1:26" ht="12.75" customHeight="1" x14ac:dyDescent="0.3">
      <c r="A243" s="15"/>
      <c r="B243" s="28"/>
      <c r="C243" s="29" t="s">
        <v>181</v>
      </c>
      <c r="D243" s="30"/>
      <c r="E243" s="16">
        <v>0</v>
      </c>
      <c r="F243" s="16">
        <v>0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0</v>
      </c>
      <c r="M243" s="16">
        <v>1</v>
      </c>
      <c r="N243" s="16">
        <v>1</v>
      </c>
      <c r="O243" s="16">
        <v>0</v>
      </c>
      <c r="P243" s="16">
        <v>0</v>
      </c>
      <c r="Q243" s="16">
        <v>0</v>
      </c>
      <c r="R243" s="16">
        <v>0</v>
      </c>
      <c r="S243" s="16">
        <v>0</v>
      </c>
      <c r="T243" s="16">
        <v>0</v>
      </c>
      <c r="U243" s="16">
        <v>0</v>
      </c>
      <c r="V243" s="16">
        <v>0</v>
      </c>
      <c r="W243" s="16">
        <v>0</v>
      </c>
      <c r="X243" s="16">
        <v>0</v>
      </c>
      <c r="Y243" s="16">
        <v>0</v>
      </c>
      <c r="Z243" s="13">
        <f t="shared" si="46"/>
        <v>2</v>
      </c>
    </row>
    <row r="244" spans="1:26" ht="12.75" customHeight="1" x14ac:dyDescent="0.3">
      <c r="A244" s="15"/>
      <c r="B244" s="28"/>
      <c r="C244" s="29" t="s">
        <v>182</v>
      </c>
      <c r="D244" s="30"/>
      <c r="E244" s="16">
        <v>0</v>
      </c>
      <c r="F244" s="16">
        <v>0</v>
      </c>
      <c r="G244" s="16">
        <v>0</v>
      </c>
      <c r="H244" s="16">
        <v>0</v>
      </c>
      <c r="I244" s="16">
        <v>0</v>
      </c>
      <c r="J244" s="16">
        <v>10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>
        <v>0</v>
      </c>
      <c r="Q244" s="16">
        <v>0</v>
      </c>
      <c r="R244" s="16">
        <v>0</v>
      </c>
      <c r="S244" s="16">
        <v>0</v>
      </c>
      <c r="T244" s="16">
        <v>0</v>
      </c>
      <c r="U244" s="16">
        <v>0</v>
      </c>
      <c r="V244" s="16">
        <v>1</v>
      </c>
      <c r="W244" s="16">
        <v>0</v>
      </c>
      <c r="X244" s="16">
        <v>0</v>
      </c>
      <c r="Y244" s="16">
        <v>0</v>
      </c>
      <c r="Z244" s="13">
        <f t="shared" si="46"/>
        <v>11</v>
      </c>
    </row>
    <row r="245" spans="1:26" ht="12.75" customHeight="1" x14ac:dyDescent="0.3">
      <c r="A245" s="15"/>
      <c r="B245" s="28"/>
      <c r="C245" s="29" t="s">
        <v>183</v>
      </c>
      <c r="D245" s="30"/>
      <c r="E245" s="16">
        <v>0</v>
      </c>
      <c r="F245" s="16">
        <v>0</v>
      </c>
      <c r="G245" s="16">
        <v>0</v>
      </c>
      <c r="H245" s="16">
        <v>0</v>
      </c>
      <c r="I245" s="16">
        <v>1</v>
      </c>
      <c r="J245" s="16">
        <v>0</v>
      </c>
      <c r="K245" s="16">
        <v>0</v>
      </c>
      <c r="L245" s="16">
        <v>0</v>
      </c>
      <c r="M245" s="16">
        <v>0</v>
      </c>
      <c r="N245" s="16">
        <v>0</v>
      </c>
      <c r="O245" s="16">
        <v>0</v>
      </c>
      <c r="P245" s="16">
        <v>0</v>
      </c>
      <c r="Q245" s="16">
        <v>0</v>
      </c>
      <c r="R245" s="16">
        <v>0</v>
      </c>
      <c r="S245" s="16">
        <v>0</v>
      </c>
      <c r="T245" s="16">
        <v>0</v>
      </c>
      <c r="U245" s="16">
        <v>1</v>
      </c>
      <c r="V245" s="16">
        <v>0</v>
      </c>
      <c r="W245" s="16">
        <v>0</v>
      </c>
      <c r="X245" s="16">
        <v>0</v>
      </c>
      <c r="Y245" s="16">
        <v>0</v>
      </c>
      <c r="Z245" s="13">
        <f t="shared" si="46"/>
        <v>2</v>
      </c>
    </row>
    <row r="246" spans="1:26" ht="12.75" customHeight="1" x14ac:dyDescent="0.3">
      <c r="A246" s="15"/>
      <c r="B246" s="28"/>
      <c r="C246" s="29" t="s">
        <v>184</v>
      </c>
      <c r="D246" s="30"/>
      <c r="E246" s="16">
        <v>0</v>
      </c>
      <c r="F246" s="16">
        <v>0</v>
      </c>
      <c r="G246" s="16">
        <v>0</v>
      </c>
      <c r="H246" s="16">
        <v>0</v>
      </c>
      <c r="I246" s="16">
        <v>0</v>
      </c>
      <c r="J246" s="16">
        <v>0</v>
      </c>
      <c r="K246" s="16">
        <v>0</v>
      </c>
      <c r="L246" s="16">
        <v>0</v>
      </c>
      <c r="M246" s="16">
        <v>0</v>
      </c>
      <c r="N246" s="16">
        <v>0</v>
      </c>
      <c r="O246" s="16">
        <v>0</v>
      </c>
      <c r="P246" s="16">
        <v>0</v>
      </c>
      <c r="Q246" s="16">
        <v>0</v>
      </c>
      <c r="R246" s="16">
        <v>0</v>
      </c>
      <c r="S246" s="16">
        <v>0</v>
      </c>
      <c r="T246" s="16">
        <v>2</v>
      </c>
      <c r="U246" s="16">
        <v>0</v>
      </c>
      <c r="V246" s="16">
        <v>1</v>
      </c>
      <c r="W246" s="16">
        <v>0</v>
      </c>
      <c r="X246" s="16">
        <v>0</v>
      </c>
      <c r="Y246" s="16">
        <v>0</v>
      </c>
      <c r="Z246" s="13">
        <f t="shared" si="46"/>
        <v>3</v>
      </c>
    </row>
    <row r="247" spans="1:26" ht="12.75" customHeight="1" x14ac:dyDescent="0.3">
      <c r="A247" s="16" t="s">
        <v>15</v>
      </c>
      <c r="B247" s="59" t="s">
        <v>49</v>
      </c>
      <c r="C247" s="60"/>
      <c r="D247" s="58"/>
      <c r="E247" s="13">
        <f t="shared" ref="E247:Z247" si="47">SUM(E237:E246)</f>
        <v>10</v>
      </c>
      <c r="F247" s="13">
        <f t="shared" si="47"/>
        <v>8</v>
      </c>
      <c r="G247" s="13">
        <f t="shared" si="47"/>
        <v>1</v>
      </c>
      <c r="H247" s="13">
        <f t="shared" si="47"/>
        <v>9</v>
      </c>
      <c r="I247" s="13">
        <f t="shared" si="47"/>
        <v>3</v>
      </c>
      <c r="J247" s="13">
        <f t="shared" si="47"/>
        <v>12</v>
      </c>
      <c r="K247" s="13">
        <f t="shared" si="47"/>
        <v>3</v>
      </c>
      <c r="L247" s="13">
        <f t="shared" si="47"/>
        <v>7</v>
      </c>
      <c r="M247" s="13">
        <f t="shared" si="47"/>
        <v>2</v>
      </c>
      <c r="N247" s="13">
        <f t="shared" si="47"/>
        <v>8</v>
      </c>
      <c r="O247" s="13">
        <f t="shared" si="47"/>
        <v>5</v>
      </c>
      <c r="P247" s="13">
        <f t="shared" si="47"/>
        <v>10</v>
      </c>
      <c r="Q247" s="13">
        <f t="shared" si="47"/>
        <v>7</v>
      </c>
      <c r="R247" s="13">
        <f t="shared" si="47"/>
        <v>2</v>
      </c>
      <c r="S247" s="13">
        <f t="shared" si="47"/>
        <v>5</v>
      </c>
      <c r="T247" s="13">
        <f t="shared" si="47"/>
        <v>18</v>
      </c>
      <c r="U247" s="13">
        <f t="shared" si="47"/>
        <v>20</v>
      </c>
      <c r="V247" s="13">
        <f t="shared" si="47"/>
        <v>3</v>
      </c>
      <c r="W247" s="13">
        <f t="shared" si="47"/>
        <v>2</v>
      </c>
      <c r="X247" s="13">
        <f t="shared" si="47"/>
        <v>2</v>
      </c>
      <c r="Y247" s="13">
        <f t="shared" si="47"/>
        <v>0</v>
      </c>
      <c r="Z247" s="13">
        <f t="shared" si="47"/>
        <v>137</v>
      </c>
    </row>
    <row r="248" spans="1:26" ht="12.75" customHeight="1" x14ac:dyDescent="0.3">
      <c r="A248" s="61"/>
      <c r="B248" s="60"/>
      <c r="C248" s="60"/>
      <c r="D248" s="60"/>
      <c r="E248" s="58"/>
    </row>
    <row r="249" spans="1:26" ht="12.75" customHeight="1" x14ac:dyDescent="0.3">
      <c r="A249" s="20" t="s">
        <v>37</v>
      </c>
      <c r="B249" s="27" t="s">
        <v>185</v>
      </c>
      <c r="C249" s="57" t="s">
        <v>186</v>
      </c>
      <c r="D249" s="58"/>
      <c r="E249" s="16">
        <v>0</v>
      </c>
      <c r="F249" s="16">
        <v>0</v>
      </c>
      <c r="G249" s="16">
        <v>0</v>
      </c>
      <c r="H249" s="16">
        <v>0</v>
      </c>
      <c r="I249" s="16">
        <v>0</v>
      </c>
      <c r="J249" s="16">
        <v>0</v>
      </c>
      <c r="K249" s="16">
        <v>0</v>
      </c>
      <c r="L249" s="16">
        <v>0</v>
      </c>
      <c r="M249" s="16">
        <v>0</v>
      </c>
      <c r="N249" s="16">
        <v>0</v>
      </c>
      <c r="O249" s="16">
        <v>1</v>
      </c>
      <c r="P249" s="16">
        <v>1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1</v>
      </c>
      <c r="W249" s="16">
        <v>0</v>
      </c>
      <c r="X249" s="16">
        <v>1</v>
      </c>
      <c r="Y249" s="16">
        <v>0</v>
      </c>
      <c r="Z249" s="13">
        <f t="shared" ref="Z249:Z258" si="48">SUM(E249:Y249)</f>
        <v>4</v>
      </c>
    </row>
    <row r="250" spans="1:26" ht="12.75" customHeight="1" x14ac:dyDescent="0.3">
      <c r="A250" s="20" t="s">
        <v>39</v>
      </c>
      <c r="B250" s="28"/>
      <c r="C250" s="29" t="s">
        <v>187</v>
      </c>
      <c r="D250" s="30"/>
      <c r="E250" s="16">
        <v>0</v>
      </c>
      <c r="F250" s="16">
        <v>0</v>
      </c>
      <c r="G250" s="16">
        <v>0</v>
      </c>
      <c r="H250" s="16">
        <v>0</v>
      </c>
      <c r="I250" s="16">
        <v>0</v>
      </c>
      <c r="J250" s="16">
        <v>0</v>
      </c>
      <c r="K250" s="16">
        <v>0</v>
      </c>
      <c r="L250" s="16">
        <v>0</v>
      </c>
      <c r="M250" s="16">
        <v>0</v>
      </c>
      <c r="N250" s="16">
        <v>0</v>
      </c>
      <c r="O250" s="16">
        <v>4</v>
      </c>
      <c r="P250" s="16">
        <v>0</v>
      </c>
      <c r="Q250" s="16">
        <v>0</v>
      </c>
      <c r="R250" s="16">
        <v>0</v>
      </c>
      <c r="S250" s="16">
        <v>0</v>
      </c>
      <c r="T250" s="16">
        <v>1</v>
      </c>
      <c r="U250" s="16">
        <v>0</v>
      </c>
      <c r="V250" s="16">
        <v>0</v>
      </c>
      <c r="W250" s="16">
        <v>1</v>
      </c>
      <c r="X250" s="16">
        <v>0</v>
      </c>
      <c r="Y250" s="16">
        <v>0</v>
      </c>
      <c r="Z250" s="13">
        <f t="shared" si="48"/>
        <v>6</v>
      </c>
    </row>
    <row r="251" spans="1:26" ht="12.75" customHeight="1" x14ac:dyDescent="0.3">
      <c r="A251" s="15"/>
      <c r="B251" s="28"/>
      <c r="C251" s="29" t="s">
        <v>188</v>
      </c>
      <c r="D251" s="30"/>
      <c r="E251" s="16">
        <v>0</v>
      </c>
      <c r="F251" s="16">
        <v>0</v>
      </c>
      <c r="G251" s="16">
        <v>0</v>
      </c>
      <c r="H251" s="16">
        <v>0</v>
      </c>
      <c r="I251" s="16">
        <v>0</v>
      </c>
      <c r="J251" s="16">
        <v>0</v>
      </c>
      <c r="K251" s="16">
        <v>0</v>
      </c>
      <c r="L251" s="16">
        <v>0</v>
      </c>
      <c r="M251" s="16">
        <v>0</v>
      </c>
      <c r="N251" s="16">
        <v>0</v>
      </c>
      <c r="O251" s="16">
        <v>0</v>
      </c>
      <c r="P251" s="16">
        <v>0</v>
      </c>
      <c r="Q251" s="16">
        <v>0</v>
      </c>
      <c r="R251" s="16">
        <v>0</v>
      </c>
      <c r="S251" s="16">
        <v>0</v>
      </c>
      <c r="T251" s="16">
        <v>0</v>
      </c>
      <c r="U251" s="16">
        <v>0</v>
      </c>
      <c r="V251" s="16">
        <v>1</v>
      </c>
      <c r="W251" s="16">
        <v>0</v>
      </c>
      <c r="X251" s="16">
        <v>0</v>
      </c>
      <c r="Y251" s="16">
        <v>0</v>
      </c>
      <c r="Z251" s="13">
        <f t="shared" si="48"/>
        <v>1</v>
      </c>
    </row>
    <row r="252" spans="1:26" ht="12.75" customHeight="1" x14ac:dyDescent="0.3">
      <c r="A252" s="15"/>
      <c r="B252" s="28"/>
      <c r="C252" s="29" t="s">
        <v>189</v>
      </c>
      <c r="D252" s="30"/>
      <c r="E252" s="16">
        <v>0</v>
      </c>
      <c r="F252" s="16">
        <v>0</v>
      </c>
      <c r="G252" s="16">
        <v>0</v>
      </c>
      <c r="H252" s="16">
        <v>0</v>
      </c>
      <c r="I252" s="16">
        <v>0</v>
      </c>
      <c r="J252" s="16">
        <v>0</v>
      </c>
      <c r="K252" s="16">
        <v>0</v>
      </c>
      <c r="L252" s="16">
        <v>0</v>
      </c>
      <c r="M252" s="16">
        <v>0</v>
      </c>
      <c r="N252" s="16">
        <v>0</v>
      </c>
      <c r="O252" s="16">
        <v>0</v>
      </c>
      <c r="P252" s="16">
        <v>0</v>
      </c>
      <c r="Q252" s="16">
        <v>0</v>
      </c>
      <c r="R252" s="16">
        <v>0</v>
      </c>
      <c r="S252" s="16">
        <v>0</v>
      </c>
      <c r="T252" s="16">
        <v>0</v>
      </c>
      <c r="U252" s="16">
        <v>0</v>
      </c>
      <c r="V252" s="16">
        <v>1</v>
      </c>
      <c r="W252" s="16">
        <v>0</v>
      </c>
      <c r="X252" s="16">
        <v>0</v>
      </c>
      <c r="Y252" s="16">
        <v>0</v>
      </c>
      <c r="Z252" s="13">
        <f t="shared" si="48"/>
        <v>1</v>
      </c>
    </row>
    <row r="253" spans="1:26" ht="12.75" customHeight="1" x14ac:dyDescent="0.3">
      <c r="A253" s="15"/>
      <c r="B253" s="36"/>
      <c r="C253" s="44"/>
      <c r="D253" s="38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3">
        <f t="shared" si="48"/>
        <v>0</v>
      </c>
    </row>
    <row r="254" spans="1:26" ht="12.75" customHeight="1" x14ac:dyDescent="0.3">
      <c r="A254" s="15"/>
      <c r="B254" s="36"/>
      <c r="C254" s="44"/>
      <c r="D254" s="38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3">
        <f t="shared" si="48"/>
        <v>0</v>
      </c>
    </row>
    <row r="255" spans="1:26" ht="12.75" customHeight="1" x14ac:dyDescent="0.3">
      <c r="A255" s="15"/>
      <c r="B255" s="36"/>
      <c r="C255" s="44"/>
      <c r="D255" s="38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3">
        <f t="shared" si="48"/>
        <v>0</v>
      </c>
    </row>
    <row r="256" spans="1:26" ht="12.75" customHeight="1" x14ac:dyDescent="0.3">
      <c r="A256" s="15"/>
      <c r="B256" s="36"/>
      <c r="C256" s="43"/>
      <c r="D256" s="38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3">
        <f t="shared" si="48"/>
        <v>0</v>
      </c>
    </row>
    <row r="257" spans="1:26" ht="12.75" customHeight="1" x14ac:dyDescent="0.3">
      <c r="A257" s="15"/>
      <c r="B257" s="36"/>
      <c r="C257" s="43"/>
      <c r="D257" s="38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3">
        <f t="shared" si="48"/>
        <v>0</v>
      </c>
    </row>
    <row r="258" spans="1:26" ht="12.75" customHeight="1" x14ac:dyDescent="0.3">
      <c r="A258" s="15"/>
      <c r="B258" s="36"/>
      <c r="C258" s="43"/>
      <c r="D258" s="38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3">
        <f t="shared" si="48"/>
        <v>0</v>
      </c>
    </row>
    <row r="259" spans="1:26" ht="12.75" customHeight="1" x14ac:dyDescent="0.3">
      <c r="A259" s="16" t="s">
        <v>15</v>
      </c>
      <c r="B259" s="59" t="s">
        <v>49</v>
      </c>
      <c r="C259" s="60"/>
      <c r="D259" s="58"/>
      <c r="E259" s="13">
        <f t="shared" ref="E259:Z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5</v>
      </c>
      <c r="P259" s="13">
        <f t="shared" si="49"/>
        <v>1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1</v>
      </c>
      <c r="U259" s="13">
        <f t="shared" si="49"/>
        <v>0</v>
      </c>
      <c r="V259" s="13">
        <f t="shared" si="49"/>
        <v>3</v>
      </c>
      <c r="W259" s="13">
        <f t="shared" si="49"/>
        <v>1</v>
      </c>
      <c r="X259" s="13">
        <f t="shared" si="49"/>
        <v>1</v>
      </c>
      <c r="Y259" s="13">
        <f t="shared" si="49"/>
        <v>0</v>
      </c>
      <c r="Z259" s="13">
        <f t="shared" si="49"/>
        <v>12</v>
      </c>
    </row>
    <row r="260" spans="1:26" ht="12.75" customHeight="1" x14ac:dyDescent="0.3"/>
    <row r="261" spans="1:26" ht="12.75" customHeight="1" x14ac:dyDescent="0.3">
      <c r="A261" s="26" t="s">
        <v>190</v>
      </c>
      <c r="B261" s="66" t="s">
        <v>191</v>
      </c>
      <c r="C261" s="60"/>
      <c r="D261" s="58"/>
      <c r="E261" s="13"/>
      <c r="F261" s="13"/>
      <c r="G261" s="13"/>
      <c r="H261" s="13"/>
      <c r="I261" s="13"/>
      <c r="J261" s="13"/>
      <c r="K261" s="13"/>
      <c r="L261" s="13"/>
      <c r="M261" s="13"/>
      <c r="N261" s="50"/>
      <c r="O261" s="50"/>
      <c r="P261" s="50"/>
      <c r="Q261" s="50"/>
      <c r="R261" s="13"/>
      <c r="S261" s="13"/>
      <c r="T261" s="13"/>
      <c r="U261" s="50"/>
      <c r="V261" s="50"/>
      <c r="W261" s="50"/>
      <c r="X261" s="50"/>
      <c r="Y261" s="13"/>
      <c r="Z261" s="13"/>
    </row>
    <row r="262" spans="1:26" ht="12.75" customHeight="1" x14ac:dyDescent="0.3">
      <c r="A262" s="26"/>
      <c r="B262" s="45" t="s">
        <v>192</v>
      </c>
      <c r="C262" s="67" t="s">
        <v>193</v>
      </c>
      <c r="D262" s="58"/>
      <c r="E262" s="16">
        <f t="shared" ref="E262:Y262" si="50">E55+E67+E79+E91+E103+E115+E127+E139+E151+E163+E175+E187+E199+E211+E223+E235+E247+E259</f>
        <v>166</v>
      </c>
      <c r="F262" s="16">
        <f t="shared" si="50"/>
        <v>164</v>
      </c>
      <c r="G262" s="16">
        <f t="shared" si="50"/>
        <v>184</v>
      </c>
      <c r="H262" s="16">
        <f t="shared" si="50"/>
        <v>179</v>
      </c>
      <c r="I262" s="16">
        <f t="shared" si="50"/>
        <v>198</v>
      </c>
      <c r="J262" s="16">
        <f t="shared" si="50"/>
        <v>172</v>
      </c>
      <c r="K262" s="16">
        <f t="shared" si="50"/>
        <v>218</v>
      </c>
      <c r="L262" s="16">
        <f t="shared" si="50"/>
        <v>137</v>
      </c>
      <c r="M262" s="16">
        <f t="shared" si="50"/>
        <v>214</v>
      </c>
      <c r="N262" s="16">
        <f t="shared" si="50"/>
        <v>200</v>
      </c>
      <c r="O262" s="16">
        <f t="shared" si="50"/>
        <v>195</v>
      </c>
      <c r="P262" s="16">
        <f t="shared" si="50"/>
        <v>152</v>
      </c>
      <c r="Q262" s="16">
        <f t="shared" si="50"/>
        <v>159</v>
      </c>
      <c r="R262" s="16">
        <f t="shared" si="50"/>
        <v>168</v>
      </c>
      <c r="S262" s="16">
        <f t="shared" si="50"/>
        <v>191</v>
      </c>
      <c r="T262" s="16">
        <f t="shared" si="50"/>
        <v>181</v>
      </c>
      <c r="U262" s="16">
        <f t="shared" si="50"/>
        <v>181</v>
      </c>
      <c r="V262" s="16">
        <f t="shared" si="50"/>
        <v>176</v>
      </c>
      <c r="W262" s="16">
        <f t="shared" si="50"/>
        <v>178</v>
      </c>
      <c r="X262" s="16">
        <f t="shared" si="50"/>
        <v>224</v>
      </c>
      <c r="Y262" s="16">
        <f t="shared" si="50"/>
        <v>128</v>
      </c>
      <c r="Z262" s="13">
        <f t="shared" ref="Z262:Z264" si="51">SUM(E262:Y262)</f>
        <v>3765</v>
      </c>
    </row>
    <row r="263" spans="1:26" ht="12.75" customHeight="1" x14ac:dyDescent="0.3">
      <c r="A263" s="22"/>
      <c r="B263" s="45" t="s">
        <v>194</v>
      </c>
      <c r="C263" s="67" t="s">
        <v>195</v>
      </c>
      <c r="D263" s="58"/>
      <c r="E263" s="16">
        <v>50</v>
      </c>
      <c r="F263" s="16">
        <v>43</v>
      </c>
      <c r="G263" s="16">
        <v>43</v>
      </c>
      <c r="H263" s="16">
        <v>46</v>
      </c>
      <c r="I263" s="16">
        <v>22</v>
      </c>
      <c r="J263" s="16">
        <v>19</v>
      </c>
      <c r="K263" s="16">
        <v>39</v>
      </c>
      <c r="L263" s="16">
        <v>74</v>
      </c>
      <c r="M263" s="16">
        <v>19</v>
      </c>
      <c r="N263" s="16">
        <v>9</v>
      </c>
      <c r="O263" s="16">
        <v>45</v>
      </c>
      <c r="P263" s="16">
        <v>38</v>
      </c>
      <c r="Q263" s="16">
        <v>66</v>
      </c>
      <c r="R263" s="16">
        <v>45</v>
      </c>
      <c r="S263" s="16">
        <v>38</v>
      </c>
      <c r="T263" s="16">
        <v>60</v>
      </c>
      <c r="U263" s="16">
        <v>42</v>
      </c>
      <c r="V263" s="16">
        <v>32</v>
      </c>
      <c r="W263" s="16">
        <v>20</v>
      </c>
      <c r="X263" s="16">
        <v>15</v>
      </c>
      <c r="Y263" s="16">
        <v>51</v>
      </c>
      <c r="Z263" s="13">
        <f t="shared" si="51"/>
        <v>816</v>
      </c>
    </row>
    <row r="264" spans="1:26" ht="12.75" customHeight="1" x14ac:dyDescent="0.3">
      <c r="A264" s="25"/>
      <c r="B264" s="45" t="s">
        <v>196</v>
      </c>
      <c r="C264" s="67" t="s">
        <v>197</v>
      </c>
      <c r="D264" s="58"/>
      <c r="E264" s="13">
        <f t="shared" ref="E264:Y264" si="52">SUM(E262:E263)</f>
        <v>216</v>
      </c>
      <c r="F264" s="13">
        <f t="shared" si="52"/>
        <v>207</v>
      </c>
      <c r="G264" s="13">
        <f t="shared" si="52"/>
        <v>227</v>
      </c>
      <c r="H264" s="13">
        <f t="shared" si="52"/>
        <v>225</v>
      </c>
      <c r="I264" s="13">
        <f t="shared" si="52"/>
        <v>220</v>
      </c>
      <c r="J264" s="13">
        <f t="shared" si="52"/>
        <v>191</v>
      </c>
      <c r="K264" s="13">
        <f t="shared" si="52"/>
        <v>257</v>
      </c>
      <c r="L264" s="13">
        <f t="shared" si="52"/>
        <v>211</v>
      </c>
      <c r="M264" s="13">
        <f t="shared" si="52"/>
        <v>233</v>
      </c>
      <c r="N264" s="13">
        <f t="shared" si="52"/>
        <v>209</v>
      </c>
      <c r="O264" s="13">
        <f t="shared" si="52"/>
        <v>240</v>
      </c>
      <c r="P264" s="13">
        <f t="shared" si="52"/>
        <v>190</v>
      </c>
      <c r="Q264" s="13">
        <f t="shared" si="52"/>
        <v>225</v>
      </c>
      <c r="R264" s="13">
        <f t="shared" si="52"/>
        <v>213</v>
      </c>
      <c r="S264" s="13">
        <f t="shared" si="52"/>
        <v>229</v>
      </c>
      <c r="T264" s="13">
        <f t="shared" si="52"/>
        <v>241</v>
      </c>
      <c r="U264" s="13">
        <f t="shared" si="52"/>
        <v>223</v>
      </c>
      <c r="V264" s="13">
        <f t="shared" si="52"/>
        <v>208</v>
      </c>
      <c r="W264" s="13">
        <f t="shared" si="52"/>
        <v>198</v>
      </c>
      <c r="X264" s="13">
        <f t="shared" si="52"/>
        <v>239</v>
      </c>
      <c r="Y264" s="13">
        <f t="shared" si="52"/>
        <v>179</v>
      </c>
      <c r="Z264" s="13">
        <f t="shared" si="51"/>
        <v>4581</v>
      </c>
    </row>
    <row r="265" spans="1:26" ht="12.75" customHeight="1" x14ac:dyDescent="0.3"/>
    <row r="266" spans="1:26" ht="12.75" customHeight="1" x14ac:dyDescent="0.3"/>
    <row r="267" spans="1:26" ht="12.75" customHeight="1" x14ac:dyDescent="0.3"/>
    <row r="268" spans="1:26" ht="12.75" customHeight="1" x14ac:dyDescent="0.3"/>
    <row r="269" spans="1:26" ht="12.75" customHeight="1" x14ac:dyDescent="0.3"/>
    <row r="270" spans="1:26" ht="12.75" customHeight="1" x14ac:dyDescent="0.3"/>
    <row r="271" spans="1:26" ht="12.75" customHeight="1" x14ac:dyDescent="0.3"/>
    <row r="272" spans="1:26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86">
    <mergeCell ref="C69:D69"/>
    <mergeCell ref="B79:D79"/>
    <mergeCell ref="B139:D139"/>
    <mergeCell ref="A140:E140"/>
    <mergeCell ref="C141:D141"/>
    <mergeCell ref="B55:D55"/>
    <mergeCell ref="A56:E56"/>
    <mergeCell ref="C57:D57"/>
    <mergeCell ref="B67:D67"/>
    <mergeCell ref="A68:E68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B25:B27"/>
    <mergeCell ref="C25:C27"/>
    <mergeCell ref="B28:B30"/>
    <mergeCell ref="A37:D37"/>
    <mergeCell ref="E37:I37"/>
    <mergeCell ref="A17:D17"/>
    <mergeCell ref="B18:D18"/>
    <mergeCell ref="B19:B21"/>
    <mergeCell ref="C19:C21"/>
    <mergeCell ref="B22:B24"/>
    <mergeCell ref="C22:C24"/>
    <mergeCell ref="B12:D12"/>
    <mergeCell ref="E12:Y12"/>
    <mergeCell ref="Z12:Z13"/>
    <mergeCell ref="B13:D13"/>
    <mergeCell ref="B14:C16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A212:E212"/>
    <mergeCell ref="C213:D213"/>
    <mergeCell ref="B223:D223"/>
    <mergeCell ref="A224:E224"/>
    <mergeCell ref="C225:D225"/>
    <mergeCell ref="C189:D189"/>
    <mergeCell ref="B199:D199"/>
    <mergeCell ref="A200:E200"/>
    <mergeCell ref="C201:D201"/>
    <mergeCell ref="B211:D211"/>
    <mergeCell ref="B175:D175"/>
    <mergeCell ref="A176:E176"/>
    <mergeCell ref="C177:D177"/>
    <mergeCell ref="B187:D187"/>
    <mergeCell ref="A188:E188"/>
    <mergeCell ref="A152:E152"/>
    <mergeCell ref="C153:D153"/>
    <mergeCell ref="B163:D163"/>
    <mergeCell ref="A164:E164"/>
    <mergeCell ref="C165:D165"/>
    <mergeCell ref="C117:D117"/>
    <mergeCell ref="B127:D127"/>
    <mergeCell ref="A128:E128"/>
    <mergeCell ref="C129:D129"/>
    <mergeCell ref="B151:D151"/>
    <mergeCell ref="B103:D103"/>
    <mergeCell ref="A104:E104"/>
    <mergeCell ref="C105:D105"/>
    <mergeCell ref="B115:D115"/>
    <mergeCell ref="A116:E116"/>
    <mergeCell ref="A80:E80"/>
    <mergeCell ref="C81:D81"/>
    <mergeCell ref="B91:D91"/>
    <mergeCell ref="A92:E92"/>
    <mergeCell ref="C93:D93"/>
  </mergeCells>
  <conditionalFormatting sqref="E14:Y15">
    <cfRule type="containsBlanks" dxfId="167" priority="1">
      <formula>LEN(TRIM(E14))=0</formula>
    </cfRule>
  </conditionalFormatting>
  <conditionalFormatting sqref="E19:Y20">
    <cfRule type="containsBlanks" dxfId="166" priority="2">
      <formula>LEN(TRIM(E19))=0</formula>
    </cfRule>
  </conditionalFormatting>
  <conditionalFormatting sqref="E22:Y23 E25:Y26 E33:Y33 E35:Y35 E39:Y40">
    <cfRule type="containsBlanks" dxfId="165" priority="3">
      <formula>LEN(TRIM(E22))=0</formula>
    </cfRule>
  </conditionalFormatting>
  <conditionalFormatting sqref="E30:Y30">
    <cfRule type="expression" dxfId="164" priority="4">
      <formula>E30&lt;&gt;E47</formula>
    </cfRule>
    <cfRule type="expression" dxfId="163" priority="5">
      <formula>E30&lt;&gt;E34</formula>
    </cfRule>
  </conditionalFormatting>
  <conditionalFormatting sqref="E34:Y34">
    <cfRule type="expression" dxfId="162" priority="6">
      <formula>E30&lt;&gt;E34</formula>
    </cfRule>
    <cfRule type="expression" dxfId="161" priority="7">
      <formula>E30=E34</formula>
    </cfRule>
    <cfRule type="expression" dxfId="160" priority="8">
      <formula>E34&lt;&gt;E30</formula>
    </cfRule>
    <cfRule type="expression" dxfId="159" priority="9">
      <formula>E34&lt;&gt;E64</formula>
    </cfRule>
  </conditionalFormatting>
  <conditionalFormatting sqref="E45:Y54">
    <cfRule type="containsBlanks" dxfId="158" priority="10">
      <formula>LEN(TRIM(E45))=0</formula>
    </cfRule>
  </conditionalFormatting>
  <conditionalFormatting sqref="E57:Y66">
    <cfRule type="containsBlanks" dxfId="157" priority="11">
      <formula>LEN(TRIM(E57))=0</formula>
    </cfRule>
  </conditionalFormatting>
  <conditionalFormatting sqref="E69:Y78">
    <cfRule type="containsBlanks" dxfId="156" priority="12">
      <formula>LEN(TRIM(E69))=0</formula>
    </cfRule>
  </conditionalFormatting>
  <conditionalFormatting sqref="E81:Y90">
    <cfRule type="containsBlanks" dxfId="155" priority="13">
      <formula>LEN(TRIM(E81))=0</formula>
    </cfRule>
  </conditionalFormatting>
  <conditionalFormatting sqref="E93:Y102">
    <cfRule type="containsBlanks" dxfId="154" priority="14">
      <formula>LEN(TRIM(E93))=0</formula>
    </cfRule>
  </conditionalFormatting>
  <conditionalFormatting sqref="E105:Y114">
    <cfRule type="containsBlanks" dxfId="153" priority="15">
      <formula>LEN(TRIM(E105))=0</formula>
    </cfRule>
  </conditionalFormatting>
  <conditionalFormatting sqref="E117:Y126">
    <cfRule type="containsBlanks" dxfId="152" priority="16">
      <formula>LEN(TRIM(E117))=0</formula>
    </cfRule>
  </conditionalFormatting>
  <conditionalFormatting sqref="E129:Y138">
    <cfRule type="containsBlanks" dxfId="151" priority="17">
      <formula>LEN(TRIM(E129))=0</formula>
    </cfRule>
  </conditionalFormatting>
  <conditionalFormatting sqref="E141:Y150">
    <cfRule type="containsBlanks" dxfId="150" priority="18">
      <formula>LEN(TRIM(E141))=0</formula>
    </cfRule>
  </conditionalFormatting>
  <conditionalFormatting sqref="E153:Y162">
    <cfRule type="containsBlanks" dxfId="149" priority="19">
      <formula>LEN(TRIM(E153))=0</formula>
    </cfRule>
  </conditionalFormatting>
  <conditionalFormatting sqref="E165:Y174">
    <cfRule type="containsBlanks" dxfId="148" priority="20">
      <formula>LEN(TRIM(E165))=0</formula>
    </cfRule>
  </conditionalFormatting>
  <conditionalFormatting sqref="E177:Y186">
    <cfRule type="containsBlanks" dxfId="147" priority="21">
      <formula>LEN(TRIM(E177))=0</formula>
    </cfRule>
  </conditionalFormatting>
  <conditionalFormatting sqref="E189:Y198">
    <cfRule type="containsBlanks" dxfId="146" priority="22">
      <formula>LEN(TRIM(E189))=0</formula>
    </cfRule>
  </conditionalFormatting>
  <conditionalFormatting sqref="E201:Y210">
    <cfRule type="containsBlanks" dxfId="145" priority="23">
      <formula>LEN(TRIM(E201))=0</formula>
    </cfRule>
  </conditionalFormatting>
  <conditionalFormatting sqref="E213:Y222">
    <cfRule type="containsBlanks" dxfId="144" priority="24">
      <formula>LEN(TRIM(E213))=0</formula>
    </cfRule>
  </conditionalFormatting>
  <conditionalFormatting sqref="E225:Y234">
    <cfRule type="containsBlanks" dxfId="143" priority="25">
      <formula>LEN(TRIM(E225))=0</formula>
    </cfRule>
  </conditionalFormatting>
  <conditionalFormatting sqref="E237:Y246">
    <cfRule type="containsBlanks" dxfId="142" priority="26">
      <formula>LEN(TRIM(E237))=0</formula>
    </cfRule>
  </conditionalFormatting>
  <conditionalFormatting sqref="E249:Y258">
    <cfRule type="containsBlanks" dxfId="141" priority="27">
      <formula>LEN(TRIM(E249))=0</formula>
    </cfRule>
  </conditionalFormatting>
  <conditionalFormatting sqref="E262:Y263">
    <cfRule type="containsBlanks" dxfId="140" priority="28">
      <formula>LEN(TRIM(E262))=0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000"/>
  <sheetViews>
    <sheetView topLeftCell="C245" workbookViewId="0">
      <selection activeCell="E263" sqref="E263:R263"/>
    </sheetView>
  </sheetViews>
  <sheetFormatPr defaultColWidth="14.3984375" defaultRowHeight="15" customHeight="1" x14ac:dyDescent="0.3"/>
  <cols>
    <col min="1" max="2" width="8.69921875" customWidth="1"/>
    <col min="3" max="3" width="67.09765625" customWidth="1"/>
    <col min="4" max="4" width="5.8984375" customWidth="1"/>
    <col min="5" max="18" width="8.69921875" customWidth="1"/>
    <col min="19" max="19" width="13.296875" customWidth="1"/>
    <col min="20" max="26" width="8.69921875" customWidth="1"/>
  </cols>
  <sheetData>
    <row r="1" spans="1:19" ht="12.75" customHeight="1" x14ac:dyDescent="0.3"/>
    <row r="2" spans="1:19" ht="12.75" customHeight="1" x14ac:dyDescent="0.3">
      <c r="C2" s="8" t="s">
        <v>0</v>
      </c>
      <c r="D2" s="8" t="s">
        <v>1</v>
      </c>
    </row>
    <row r="3" spans="1:19" ht="12.75" customHeight="1" x14ac:dyDescent="0.3">
      <c r="C3" s="8" t="s">
        <v>2</v>
      </c>
      <c r="D3" s="8" t="s">
        <v>3</v>
      </c>
    </row>
    <row r="4" spans="1:19" ht="12.75" customHeight="1" x14ac:dyDescent="0.3">
      <c r="C4" s="8" t="s">
        <v>4</v>
      </c>
      <c r="D4" s="8" t="s">
        <v>5</v>
      </c>
    </row>
    <row r="5" spans="1:19" ht="12.75" customHeight="1" x14ac:dyDescent="0.3">
      <c r="C5" s="8"/>
      <c r="D5" s="8"/>
    </row>
    <row r="6" spans="1:19" ht="12.75" customHeight="1" x14ac:dyDescent="0.3">
      <c r="C6" s="8"/>
      <c r="D6" s="8"/>
    </row>
    <row r="7" spans="1:19" ht="12.75" customHeight="1" x14ac:dyDescent="0.3">
      <c r="C7" s="8"/>
      <c r="D7" s="8"/>
    </row>
    <row r="8" spans="1:19" ht="12.75" customHeight="1" x14ac:dyDescent="0.3">
      <c r="C8" s="8"/>
      <c r="D8" s="8"/>
    </row>
    <row r="9" spans="1:19" ht="12.75" customHeight="1" x14ac:dyDescent="0.3">
      <c r="C9" s="8" t="s">
        <v>198</v>
      </c>
      <c r="D9" s="8" t="s">
        <v>225</v>
      </c>
    </row>
    <row r="10" spans="1:19" ht="12.75" customHeight="1" x14ac:dyDescent="0.3"/>
    <row r="11" spans="1:19" ht="12.75" customHeight="1" x14ac:dyDescent="0.3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Q11" s="2"/>
    </row>
    <row r="12" spans="1:19" ht="12.75" customHeight="1" x14ac:dyDescent="0.3">
      <c r="A12" s="13" t="s">
        <v>6</v>
      </c>
      <c r="B12" s="66" t="s">
        <v>7</v>
      </c>
      <c r="C12" s="60"/>
      <c r="D12" s="58"/>
      <c r="E12" s="83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84" t="s">
        <v>8</v>
      </c>
    </row>
    <row r="13" spans="1:19" ht="12.75" customHeight="1" x14ac:dyDescent="0.3">
      <c r="A13" s="16" t="s">
        <v>9</v>
      </c>
      <c r="B13" s="70" t="s">
        <v>10</v>
      </c>
      <c r="C13" s="60"/>
      <c r="D13" s="58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76"/>
    </row>
    <row r="14" spans="1:19" ht="12.75" customHeight="1" x14ac:dyDescent="0.3">
      <c r="A14" s="15"/>
      <c r="B14" s="71" t="s">
        <v>11</v>
      </c>
      <c r="C14" s="63"/>
      <c r="D14" s="16" t="s">
        <v>12</v>
      </c>
      <c r="E14" s="16">
        <v>130</v>
      </c>
      <c r="F14" s="16">
        <v>111</v>
      </c>
      <c r="G14" s="16">
        <v>108</v>
      </c>
      <c r="H14" s="16">
        <v>125</v>
      </c>
      <c r="I14" s="16">
        <v>145</v>
      </c>
      <c r="J14" s="16">
        <v>140</v>
      </c>
      <c r="K14" s="16">
        <v>136</v>
      </c>
      <c r="L14" s="16">
        <v>138</v>
      </c>
      <c r="M14" s="16">
        <v>131</v>
      </c>
      <c r="N14" s="16">
        <v>127</v>
      </c>
      <c r="O14" s="16">
        <v>145</v>
      </c>
      <c r="P14" s="16">
        <v>136</v>
      </c>
      <c r="Q14" s="16">
        <v>130</v>
      </c>
      <c r="R14" s="16">
        <v>144</v>
      </c>
      <c r="S14" s="13">
        <f t="shared" ref="S14:S16" si="0">SUM(E14:R14)</f>
        <v>1846</v>
      </c>
    </row>
    <row r="15" spans="1:19" ht="12.75" customHeight="1" x14ac:dyDescent="0.3">
      <c r="A15" s="15"/>
      <c r="B15" s="72"/>
      <c r="C15" s="73"/>
      <c r="D15" s="16" t="s">
        <v>13</v>
      </c>
      <c r="E15" s="16">
        <v>123</v>
      </c>
      <c r="F15" s="16">
        <v>102</v>
      </c>
      <c r="G15" s="16">
        <v>130</v>
      </c>
      <c r="H15" s="16">
        <v>130</v>
      </c>
      <c r="I15" s="16">
        <v>143</v>
      </c>
      <c r="J15" s="16">
        <v>139</v>
      </c>
      <c r="K15" s="16">
        <v>143</v>
      </c>
      <c r="L15" s="16">
        <v>148</v>
      </c>
      <c r="M15" s="16">
        <v>114</v>
      </c>
      <c r="N15" s="16">
        <v>123</v>
      </c>
      <c r="O15" s="16">
        <v>144</v>
      </c>
      <c r="P15" s="16">
        <v>129</v>
      </c>
      <c r="Q15" s="16">
        <v>132</v>
      </c>
      <c r="R15" s="16">
        <v>127</v>
      </c>
      <c r="S15" s="13">
        <f t="shared" si="0"/>
        <v>1827</v>
      </c>
    </row>
    <row r="16" spans="1:19" ht="12.75" customHeight="1" x14ac:dyDescent="0.3">
      <c r="A16" s="18"/>
      <c r="B16" s="69"/>
      <c r="C16" s="65"/>
      <c r="D16" s="13" t="s">
        <v>14</v>
      </c>
      <c r="E16" s="13">
        <f t="shared" ref="E16:R16" si="1">SUM(E14:E15)</f>
        <v>253</v>
      </c>
      <c r="F16" s="13">
        <f t="shared" si="1"/>
        <v>213</v>
      </c>
      <c r="G16" s="13">
        <f t="shared" si="1"/>
        <v>238</v>
      </c>
      <c r="H16" s="13">
        <f t="shared" si="1"/>
        <v>255</v>
      </c>
      <c r="I16" s="13">
        <f t="shared" si="1"/>
        <v>288</v>
      </c>
      <c r="J16" s="13">
        <f t="shared" si="1"/>
        <v>279</v>
      </c>
      <c r="K16" s="13">
        <f t="shared" si="1"/>
        <v>279</v>
      </c>
      <c r="L16" s="13">
        <f t="shared" si="1"/>
        <v>286</v>
      </c>
      <c r="M16" s="13">
        <f t="shared" si="1"/>
        <v>245</v>
      </c>
      <c r="N16" s="13">
        <f t="shared" si="1"/>
        <v>250</v>
      </c>
      <c r="O16" s="13">
        <f t="shared" si="1"/>
        <v>289</v>
      </c>
      <c r="P16" s="13">
        <f t="shared" si="1"/>
        <v>265</v>
      </c>
      <c r="Q16" s="13">
        <f t="shared" si="1"/>
        <v>262</v>
      </c>
      <c r="R16" s="13">
        <f t="shared" si="1"/>
        <v>271</v>
      </c>
      <c r="S16" s="13">
        <f t="shared" si="0"/>
        <v>3673</v>
      </c>
    </row>
    <row r="17" spans="1:19" ht="12.75" customHeight="1" x14ac:dyDescent="0.3">
      <c r="A17" s="61"/>
      <c r="B17" s="60"/>
      <c r="C17" s="60"/>
      <c r="D17" s="58"/>
      <c r="E17" s="16"/>
      <c r="F17" s="16"/>
      <c r="G17" s="16"/>
      <c r="H17" s="16"/>
      <c r="I17" s="16"/>
      <c r="J17" s="16"/>
      <c r="K17" s="16"/>
      <c r="L17" s="16"/>
      <c r="M17" s="16"/>
      <c r="N17" s="48"/>
      <c r="O17" s="48"/>
      <c r="P17" s="48"/>
      <c r="Q17" s="48"/>
      <c r="R17" s="48"/>
      <c r="S17" s="49"/>
    </row>
    <row r="18" spans="1:19" ht="12.75" customHeight="1" x14ac:dyDescent="0.3">
      <c r="A18" s="20" t="s">
        <v>15</v>
      </c>
      <c r="B18" s="70" t="s">
        <v>16</v>
      </c>
      <c r="C18" s="60"/>
      <c r="D18" s="58"/>
      <c r="E18" s="16"/>
      <c r="F18" s="16"/>
      <c r="G18" s="16"/>
      <c r="H18" s="16"/>
      <c r="I18" s="16"/>
      <c r="J18" s="16"/>
      <c r="K18" s="16"/>
      <c r="L18" s="16"/>
      <c r="M18" s="16"/>
      <c r="N18" s="48"/>
      <c r="O18" s="48"/>
      <c r="P18" s="48"/>
      <c r="Q18" s="48"/>
      <c r="R18" s="48"/>
      <c r="S18" s="49"/>
    </row>
    <row r="19" spans="1:19" ht="12.75" customHeight="1" x14ac:dyDescent="0.3">
      <c r="A19" s="20"/>
      <c r="B19" s="77" t="s">
        <v>17</v>
      </c>
      <c r="C19" s="74" t="s">
        <v>18</v>
      </c>
      <c r="D19" s="16" t="s">
        <v>12</v>
      </c>
      <c r="E19" s="16">
        <v>106</v>
      </c>
      <c r="F19" s="16">
        <v>77</v>
      </c>
      <c r="G19" s="16">
        <v>91</v>
      </c>
      <c r="H19" s="16">
        <v>95</v>
      </c>
      <c r="I19" s="16">
        <v>117</v>
      </c>
      <c r="J19" s="16">
        <v>114</v>
      </c>
      <c r="K19" s="16">
        <v>102</v>
      </c>
      <c r="L19" s="16">
        <v>109</v>
      </c>
      <c r="M19" s="16">
        <v>101</v>
      </c>
      <c r="N19" s="16">
        <v>104</v>
      </c>
      <c r="O19" s="16">
        <v>119</v>
      </c>
      <c r="P19" s="16">
        <v>122</v>
      </c>
      <c r="Q19" s="16">
        <v>112</v>
      </c>
      <c r="R19" s="16">
        <v>122</v>
      </c>
      <c r="S19" s="13">
        <f t="shared" ref="S19:S30" si="2">SUM(E19:R19)</f>
        <v>1491</v>
      </c>
    </row>
    <row r="20" spans="1:19" ht="12.75" customHeight="1" x14ac:dyDescent="0.3">
      <c r="A20" s="21"/>
      <c r="B20" s="73"/>
      <c r="C20" s="75"/>
      <c r="D20" s="16" t="s">
        <v>13</v>
      </c>
      <c r="E20" s="16">
        <v>107</v>
      </c>
      <c r="F20" s="16">
        <v>69</v>
      </c>
      <c r="G20" s="16">
        <v>103</v>
      </c>
      <c r="H20" s="16">
        <v>110</v>
      </c>
      <c r="I20" s="16">
        <v>93</v>
      </c>
      <c r="J20" s="16">
        <v>117</v>
      </c>
      <c r="K20" s="16">
        <v>120</v>
      </c>
      <c r="L20" s="16">
        <v>120</v>
      </c>
      <c r="M20" s="16">
        <v>94</v>
      </c>
      <c r="N20" s="16">
        <v>106</v>
      </c>
      <c r="O20" s="16">
        <v>117</v>
      </c>
      <c r="P20" s="16">
        <v>116</v>
      </c>
      <c r="Q20" s="16">
        <v>119</v>
      </c>
      <c r="R20" s="16">
        <v>111</v>
      </c>
      <c r="S20" s="13">
        <f t="shared" si="2"/>
        <v>1502</v>
      </c>
    </row>
    <row r="21" spans="1:19" ht="12.75" customHeight="1" x14ac:dyDescent="0.3">
      <c r="A21" s="22"/>
      <c r="B21" s="65"/>
      <c r="C21" s="76"/>
      <c r="D21" s="13" t="s">
        <v>14</v>
      </c>
      <c r="E21" s="13">
        <f t="shared" ref="E21:R21" si="3">SUM(E19:E20)</f>
        <v>213</v>
      </c>
      <c r="F21" s="13">
        <f t="shared" si="3"/>
        <v>146</v>
      </c>
      <c r="G21" s="13">
        <f t="shared" si="3"/>
        <v>194</v>
      </c>
      <c r="H21" s="13">
        <f t="shared" si="3"/>
        <v>205</v>
      </c>
      <c r="I21" s="13">
        <f t="shared" si="3"/>
        <v>210</v>
      </c>
      <c r="J21" s="13">
        <f t="shared" si="3"/>
        <v>231</v>
      </c>
      <c r="K21" s="13">
        <f t="shared" si="3"/>
        <v>222</v>
      </c>
      <c r="L21" s="13">
        <f t="shared" si="3"/>
        <v>229</v>
      </c>
      <c r="M21" s="13">
        <f t="shared" si="3"/>
        <v>195</v>
      </c>
      <c r="N21" s="13">
        <f t="shared" si="3"/>
        <v>210</v>
      </c>
      <c r="O21" s="13">
        <f t="shared" si="3"/>
        <v>236</v>
      </c>
      <c r="P21" s="13">
        <f t="shared" si="3"/>
        <v>238</v>
      </c>
      <c r="Q21" s="13">
        <f t="shared" si="3"/>
        <v>231</v>
      </c>
      <c r="R21" s="13">
        <f t="shared" si="3"/>
        <v>233</v>
      </c>
      <c r="S21" s="13">
        <f t="shared" si="2"/>
        <v>2993</v>
      </c>
    </row>
    <row r="22" spans="1:19" ht="12.75" customHeight="1" x14ac:dyDescent="0.3">
      <c r="A22" s="21"/>
      <c r="B22" s="77" t="s">
        <v>19</v>
      </c>
      <c r="C22" s="74" t="s">
        <v>20</v>
      </c>
      <c r="D22" s="16" t="s">
        <v>12</v>
      </c>
      <c r="E22" s="16">
        <v>2</v>
      </c>
      <c r="F22" s="16">
        <v>0</v>
      </c>
      <c r="G22" s="16">
        <v>0</v>
      </c>
      <c r="H22" s="16">
        <v>0</v>
      </c>
      <c r="I22" s="16">
        <v>2</v>
      </c>
      <c r="J22" s="16">
        <v>0</v>
      </c>
      <c r="K22" s="16">
        <v>0</v>
      </c>
      <c r="L22" s="16">
        <v>1</v>
      </c>
      <c r="M22" s="16">
        <v>0</v>
      </c>
      <c r="N22" s="16">
        <v>0</v>
      </c>
      <c r="O22" s="16">
        <v>0</v>
      </c>
      <c r="P22" s="16">
        <v>1</v>
      </c>
      <c r="Q22" s="16">
        <v>1</v>
      </c>
      <c r="R22" s="16">
        <v>0</v>
      </c>
      <c r="S22" s="13">
        <f t="shared" si="2"/>
        <v>7</v>
      </c>
    </row>
    <row r="23" spans="1:19" ht="12.75" customHeight="1" x14ac:dyDescent="0.3">
      <c r="A23" s="21"/>
      <c r="B23" s="73"/>
      <c r="C23" s="75"/>
      <c r="D23" s="16" t="s">
        <v>13</v>
      </c>
      <c r="E23" s="16">
        <v>3</v>
      </c>
      <c r="F23" s="16">
        <v>0</v>
      </c>
      <c r="G23" s="16">
        <v>0</v>
      </c>
      <c r="H23" s="16">
        <v>0</v>
      </c>
      <c r="I23" s="16">
        <v>1</v>
      </c>
      <c r="J23" s="16">
        <v>0</v>
      </c>
      <c r="K23" s="16">
        <v>1</v>
      </c>
      <c r="L23" s="16">
        <v>0</v>
      </c>
      <c r="M23" s="16">
        <v>0</v>
      </c>
      <c r="N23" s="16">
        <v>1</v>
      </c>
      <c r="O23" s="16">
        <v>2</v>
      </c>
      <c r="P23" s="16">
        <v>2</v>
      </c>
      <c r="Q23" s="16">
        <v>0</v>
      </c>
      <c r="R23" s="16">
        <v>0</v>
      </c>
      <c r="S23" s="13">
        <f t="shared" si="2"/>
        <v>10</v>
      </c>
    </row>
    <row r="24" spans="1:19" ht="12.75" customHeight="1" x14ac:dyDescent="0.3">
      <c r="A24" s="22"/>
      <c r="B24" s="65"/>
      <c r="C24" s="76"/>
      <c r="D24" s="13" t="s">
        <v>14</v>
      </c>
      <c r="E24" s="13">
        <f t="shared" ref="E24:R24" si="4">SUM(E22:E23)</f>
        <v>5</v>
      </c>
      <c r="F24" s="13">
        <f t="shared" si="4"/>
        <v>0</v>
      </c>
      <c r="G24" s="13">
        <f t="shared" si="4"/>
        <v>0</v>
      </c>
      <c r="H24" s="13">
        <f t="shared" si="4"/>
        <v>0</v>
      </c>
      <c r="I24" s="13">
        <f t="shared" si="4"/>
        <v>3</v>
      </c>
      <c r="J24" s="13">
        <f t="shared" si="4"/>
        <v>0</v>
      </c>
      <c r="K24" s="13">
        <f t="shared" si="4"/>
        <v>1</v>
      </c>
      <c r="L24" s="13">
        <f t="shared" si="4"/>
        <v>1</v>
      </c>
      <c r="M24" s="13">
        <f t="shared" si="4"/>
        <v>0</v>
      </c>
      <c r="N24" s="13">
        <f t="shared" si="4"/>
        <v>1</v>
      </c>
      <c r="O24" s="13">
        <f t="shared" si="4"/>
        <v>2</v>
      </c>
      <c r="P24" s="13">
        <f t="shared" si="4"/>
        <v>3</v>
      </c>
      <c r="Q24" s="13">
        <f t="shared" si="4"/>
        <v>1</v>
      </c>
      <c r="R24" s="13">
        <f t="shared" si="4"/>
        <v>0</v>
      </c>
      <c r="S24" s="13">
        <f t="shared" si="2"/>
        <v>17</v>
      </c>
    </row>
    <row r="25" spans="1:19" ht="12.75" customHeight="1" x14ac:dyDescent="0.3">
      <c r="A25" s="21"/>
      <c r="B25" s="77" t="s">
        <v>21</v>
      </c>
      <c r="C25" s="74" t="s">
        <v>22</v>
      </c>
      <c r="D25" s="16" t="s">
        <v>12</v>
      </c>
      <c r="E25" s="16">
        <v>3</v>
      </c>
      <c r="F25" s="16">
        <v>0</v>
      </c>
      <c r="G25" s="16">
        <v>1</v>
      </c>
      <c r="H25" s="16">
        <v>0</v>
      </c>
      <c r="I25" s="16">
        <v>0</v>
      </c>
      <c r="J25" s="16">
        <v>1</v>
      </c>
      <c r="K25" s="16">
        <v>0</v>
      </c>
      <c r="L25" s="16">
        <v>0</v>
      </c>
      <c r="M25" s="16">
        <v>1</v>
      </c>
      <c r="N25" s="16">
        <v>0</v>
      </c>
      <c r="O25" s="16">
        <v>1</v>
      </c>
      <c r="P25" s="16">
        <v>2</v>
      </c>
      <c r="Q25" s="16">
        <v>0</v>
      </c>
      <c r="R25" s="16">
        <v>0</v>
      </c>
      <c r="S25" s="13">
        <f t="shared" si="2"/>
        <v>9</v>
      </c>
    </row>
    <row r="26" spans="1:19" ht="12.75" customHeight="1" x14ac:dyDescent="0.3">
      <c r="A26" s="21"/>
      <c r="B26" s="73"/>
      <c r="C26" s="75"/>
      <c r="D26" s="16" t="s">
        <v>13</v>
      </c>
      <c r="E26" s="16">
        <v>1</v>
      </c>
      <c r="F26" s="16">
        <v>1</v>
      </c>
      <c r="G26" s="16">
        <v>4</v>
      </c>
      <c r="H26" s="16">
        <v>3</v>
      </c>
      <c r="I26" s="16">
        <v>0</v>
      </c>
      <c r="J26" s="16">
        <v>2</v>
      </c>
      <c r="K26" s="16">
        <v>0</v>
      </c>
      <c r="L26" s="16">
        <v>4</v>
      </c>
      <c r="M26" s="16">
        <v>2</v>
      </c>
      <c r="N26" s="16">
        <v>1</v>
      </c>
      <c r="O26" s="16">
        <v>1</v>
      </c>
      <c r="P26" s="16">
        <v>3</v>
      </c>
      <c r="Q26" s="16">
        <v>0</v>
      </c>
      <c r="R26" s="16">
        <v>0</v>
      </c>
      <c r="S26" s="13">
        <f t="shared" si="2"/>
        <v>22</v>
      </c>
    </row>
    <row r="27" spans="1:19" ht="12.75" customHeight="1" x14ac:dyDescent="0.3">
      <c r="A27" s="22"/>
      <c r="B27" s="65"/>
      <c r="C27" s="76"/>
      <c r="D27" s="13" t="s">
        <v>14</v>
      </c>
      <c r="E27" s="13">
        <f t="shared" ref="E27:R27" si="5">SUM(E25:E26)</f>
        <v>4</v>
      </c>
      <c r="F27" s="13">
        <f t="shared" si="5"/>
        <v>1</v>
      </c>
      <c r="G27" s="13">
        <f t="shared" si="5"/>
        <v>5</v>
      </c>
      <c r="H27" s="13">
        <f t="shared" si="5"/>
        <v>3</v>
      </c>
      <c r="I27" s="13">
        <f t="shared" si="5"/>
        <v>0</v>
      </c>
      <c r="J27" s="13">
        <f t="shared" si="5"/>
        <v>3</v>
      </c>
      <c r="K27" s="13">
        <f t="shared" si="5"/>
        <v>0</v>
      </c>
      <c r="L27" s="13">
        <f t="shared" si="5"/>
        <v>4</v>
      </c>
      <c r="M27" s="13">
        <f t="shared" si="5"/>
        <v>3</v>
      </c>
      <c r="N27" s="13">
        <f t="shared" si="5"/>
        <v>1</v>
      </c>
      <c r="O27" s="13">
        <f t="shared" si="5"/>
        <v>2</v>
      </c>
      <c r="P27" s="13">
        <f t="shared" si="5"/>
        <v>5</v>
      </c>
      <c r="Q27" s="13">
        <f t="shared" si="5"/>
        <v>0</v>
      </c>
      <c r="R27" s="13">
        <f t="shared" si="5"/>
        <v>0</v>
      </c>
      <c r="S27" s="13">
        <f t="shared" si="2"/>
        <v>31</v>
      </c>
    </row>
    <row r="28" spans="1:19" ht="12.75" customHeight="1" x14ac:dyDescent="0.3">
      <c r="A28" s="22"/>
      <c r="B28" s="78" t="s">
        <v>23</v>
      </c>
      <c r="C28" s="79" t="s">
        <v>24</v>
      </c>
      <c r="D28" s="13" t="s">
        <v>12</v>
      </c>
      <c r="E28" s="13">
        <f t="shared" ref="E28:R28" si="6">SUM(E19,E22,E25)</f>
        <v>111</v>
      </c>
      <c r="F28" s="13">
        <f t="shared" si="6"/>
        <v>77</v>
      </c>
      <c r="G28" s="13">
        <f t="shared" si="6"/>
        <v>92</v>
      </c>
      <c r="H28" s="13">
        <f t="shared" si="6"/>
        <v>95</v>
      </c>
      <c r="I28" s="13">
        <f t="shared" si="6"/>
        <v>119</v>
      </c>
      <c r="J28" s="13">
        <f t="shared" si="6"/>
        <v>115</v>
      </c>
      <c r="K28" s="13">
        <f t="shared" si="6"/>
        <v>102</v>
      </c>
      <c r="L28" s="13">
        <f t="shared" si="6"/>
        <v>110</v>
      </c>
      <c r="M28" s="13">
        <f t="shared" si="6"/>
        <v>102</v>
      </c>
      <c r="N28" s="13">
        <f t="shared" si="6"/>
        <v>104</v>
      </c>
      <c r="O28" s="13">
        <f t="shared" si="6"/>
        <v>120</v>
      </c>
      <c r="P28" s="13">
        <f t="shared" si="6"/>
        <v>125</v>
      </c>
      <c r="Q28" s="13">
        <f t="shared" si="6"/>
        <v>113</v>
      </c>
      <c r="R28" s="13">
        <f t="shared" si="6"/>
        <v>122</v>
      </c>
      <c r="S28" s="13">
        <f t="shared" si="2"/>
        <v>1507</v>
      </c>
    </row>
    <row r="29" spans="1:19" ht="12.75" customHeight="1" x14ac:dyDescent="0.3">
      <c r="A29" s="22"/>
      <c r="B29" s="73"/>
      <c r="C29" s="75"/>
      <c r="D29" s="13" t="s">
        <v>13</v>
      </c>
      <c r="E29" s="13">
        <f t="shared" ref="E29:R29" si="7">SUM(E20,E23,E26)</f>
        <v>111</v>
      </c>
      <c r="F29" s="13">
        <f t="shared" si="7"/>
        <v>70</v>
      </c>
      <c r="G29" s="13">
        <f t="shared" si="7"/>
        <v>107</v>
      </c>
      <c r="H29" s="13">
        <f t="shared" si="7"/>
        <v>113</v>
      </c>
      <c r="I29" s="13">
        <f t="shared" si="7"/>
        <v>94</v>
      </c>
      <c r="J29" s="13">
        <f t="shared" si="7"/>
        <v>119</v>
      </c>
      <c r="K29" s="13">
        <f t="shared" si="7"/>
        <v>121</v>
      </c>
      <c r="L29" s="13">
        <f t="shared" si="7"/>
        <v>124</v>
      </c>
      <c r="M29" s="13">
        <f t="shared" si="7"/>
        <v>96</v>
      </c>
      <c r="N29" s="13">
        <f t="shared" si="7"/>
        <v>108</v>
      </c>
      <c r="O29" s="13">
        <f t="shared" si="7"/>
        <v>120</v>
      </c>
      <c r="P29" s="13">
        <f t="shared" si="7"/>
        <v>121</v>
      </c>
      <c r="Q29" s="13">
        <f t="shared" si="7"/>
        <v>119</v>
      </c>
      <c r="R29" s="13">
        <f t="shared" si="7"/>
        <v>111</v>
      </c>
      <c r="S29" s="13">
        <f t="shared" si="2"/>
        <v>1534</v>
      </c>
    </row>
    <row r="30" spans="1:19" ht="12.75" customHeight="1" x14ac:dyDescent="0.3">
      <c r="A30" s="22"/>
      <c r="B30" s="65"/>
      <c r="C30" s="76"/>
      <c r="D30" s="13" t="s">
        <v>14</v>
      </c>
      <c r="E30" s="13">
        <f t="shared" ref="E30:R30" si="8">SUM(E28:E29)</f>
        <v>222</v>
      </c>
      <c r="F30" s="13">
        <f t="shared" si="8"/>
        <v>147</v>
      </c>
      <c r="G30" s="13">
        <f t="shared" si="8"/>
        <v>199</v>
      </c>
      <c r="H30" s="13">
        <f t="shared" si="8"/>
        <v>208</v>
      </c>
      <c r="I30" s="13">
        <f t="shared" si="8"/>
        <v>213</v>
      </c>
      <c r="J30" s="13">
        <f t="shared" si="8"/>
        <v>234</v>
      </c>
      <c r="K30" s="13">
        <f t="shared" si="8"/>
        <v>223</v>
      </c>
      <c r="L30" s="13">
        <f t="shared" si="8"/>
        <v>234</v>
      </c>
      <c r="M30" s="13">
        <f t="shared" si="8"/>
        <v>198</v>
      </c>
      <c r="N30" s="13">
        <f t="shared" si="8"/>
        <v>212</v>
      </c>
      <c r="O30" s="13">
        <f t="shared" si="8"/>
        <v>240</v>
      </c>
      <c r="P30" s="13">
        <f t="shared" si="8"/>
        <v>246</v>
      </c>
      <c r="Q30" s="13">
        <f t="shared" si="8"/>
        <v>232</v>
      </c>
      <c r="R30" s="13">
        <f t="shared" si="8"/>
        <v>233</v>
      </c>
      <c r="S30" s="13">
        <f t="shared" si="2"/>
        <v>3041</v>
      </c>
    </row>
    <row r="31" spans="1:19" ht="12.75" customHeight="1" x14ac:dyDescent="0.3">
      <c r="A31" s="61"/>
      <c r="B31" s="60"/>
      <c r="C31" s="60"/>
      <c r="D31" s="58"/>
      <c r="E31" s="16"/>
      <c r="F31" s="16"/>
      <c r="G31" s="16"/>
      <c r="H31" s="16"/>
      <c r="I31" s="16"/>
      <c r="J31" s="16"/>
      <c r="K31" s="16"/>
      <c r="L31" s="16"/>
      <c r="M31" s="16"/>
      <c r="N31" s="48"/>
      <c r="O31" s="48"/>
      <c r="P31" s="48"/>
      <c r="Q31" s="48"/>
      <c r="R31" s="48"/>
      <c r="S31" s="49"/>
    </row>
    <row r="32" spans="1:19" ht="12.75" customHeight="1" x14ac:dyDescent="0.3">
      <c r="A32" s="25" t="s">
        <v>25</v>
      </c>
      <c r="B32" s="66" t="s">
        <v>26</v>
      </c>
      <c r="C32" s="60"/>
      <c r="D32" s="58"/>
      <c r="E32" s="13"/>
      <c r="F32" s="13"/>
      <c r="G32" s="13"/>
      <c r="H32" s="13"/>
      <c r="I32" s="13"/>
      <c r="J32" s="13"/>
      <c r="K32" s="13"/>
      <c r="L32" s="13"/>
      <c r="M32" s="13"/>
      <c r="N32" s="50"/>
      <c r="O32" s="50"/>
      <c r="P32" s="50"/>
      <c r="Q32" s="50"/>
      <c r="R32" s="50"/>
      <c r="S32" s="49"/>
    </row>
    <row r="33" spans="1:19" ht="12.75" customHeight="1" x14ac:dyDescent="0.3">
      <c r="A33" s="16">
        <v>1</v>
      </c>
      <c r="B33" s="70" t="s">
        <v>27</v>
      </c>
      <c r="C33" s="60"/>
      <c r="D33" s="58"/>
      <c r="E33" s="16">
        <v>259</v>
      </c>
      <c r="F33" s="16">
        <v>218</v>
      </c>
      <c r="G33" s="16">
        <v>244</v>
      </c>
      <c r="H33" s="16">
        <v>261</v>
      </c>
      <c r="I33" s="16">
        <v>295</v>
      </c>
      <c r="J33" s="16">
        <v>285</v>
      </c>
      <c r="K33" s="16">
        <v>285</v>
      </c>
      <c r="L33" s="16">
        <v>292</v>
      </c>
      <c r="M33" s="16">
        <v>250</v>
      </c>
      <c r="N33" s="16">
        <v>255</v>
      </c>
      <c r="O33" s="16">
        <v>295</v>
      </c>
      <c r="P33" s="16">
        <v>271</v>
      </c>
      <c r="Q33" s="16">
        <v>268</v>
      </c>
      <c r="R33" s="16">
        <v>277</v>
      </c>
      <c r="S33" s="13">
        <f t="shared" ref="S33:S36" si="9">SUM(E33:R33)</f>
        <v>3755</v>
      </c>
    </row>
    <row r="34" spans="1:19" ht="12.75" customHeight="1" x14ac:dyDescent="0.3">
      <c r="A34" s="16">
        <v>2</v>
      </c>
      <c r="B34" s="70" t="s">
        <v>28</v>
      </c>
      <c r="C34" s="60"/>
      <c r="D34" s="58"/>
      <c r="E34" s="13">
        <v>222</v>
      </c>
      <c r="F34" s="13">
        <v>147</v>
      </c>
      <c r="G34" s="13">
        <v>199</v>
      </c>
      <c r="H34" s="13">
        <v>208</v>
      </c>
      <c r="I34" s="13">
        <v>213</v>
      </c>
      <c r="J34" s="13">
        <v>234</v>
      </c>
      <c r="K34" s="13">
        <v>223</v>
      </c>
      <c r="L34" s="13">
        <v>234</v>
      </c>
      <c r="M34" s="13">
        <v>198</v>
      </c>
      <c r="N34" s="13">
        <v>212</v>
      </c>
      <c r="O34" s="13">
        <v>240</v>
      </c>
      <c r="P34" s="13">
        <v>246</v>
      </c>
      <c r="Q34" s="13">
        <v>232</v>
      </c>
      <c r="R34" s="13">
        <v>233</v>
      </c>
      <c r="S34" s="13">
        <f t="shared" si="9"/>
        <v>3041</v>
      </c>
    </row>
    <row r="35" spans="1:19" ht="12.75" customHeight="1" x14ac:dyDescent="0.3">
      <c r="A35" s="16">
        <v>3</v>
      </c>
      <c r="B35" s="70" t="s">
        <v>29</v>
      </c>
      <c r="C35" s="60"/>
      <c r="D35" s="58"/>
      <c r="E35" s="16">
        <v>0</v>
      </c>
      <c r="F35" s="16">
        <v>0</v>
      </c>
      <c r="G35" s="16">
        <v>2</v>
      </c>
      <c r="H35" s="16">
        <v>1</v>
      </c>
      <c r="I35" s="16">
        <v>0</v>
      </c>
      <c r="J35" s="16">
        <v>0</v>
      </c>
      <c r="K35" s="16">
        <v>1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3">
        <f t="shared" si="9"/>
        <v>4</v>
      </c>
    </row>
    <row r="36" spans="1:19" ht="12.75" customHeight="1" x14ac:dyDescent="0.3">
      <c r="A36" s="16">
        <v>4</v>
      </c>
      <c r="B36" s="70" t="s">
        <v>30</v>
      </c>
      <c r="C36" s="60"/>
      <c r="D36" s="58"/>
      <c r="E36" s="13">
        <f t="shared" ref="E36:R36" si="10">E33-(E34+E35)</f>
        <v>37</v>
      </c>
      <c r="F36" s="13">
        <f t="shared" si="10"/>
        <v>71</v>
      </c>
      <c r="G36" s="13">
        <f t="shared" si="10"/>
        <v>43</v>
      </c>
      <c r="H36" s="13">
        <f t="shared" si="10"/>
        <v>52</v>
      </c>
      <c r="I36" s="13">
        <f t="shared" si="10"/>
        <v>82</v>
      </c>
      <c r="J36" s="13">
        <f t="shared" si="10"/>
        <v>51</v>
      </c>
      <c r="K36" s="13">
        <f t="shared" si="10"/>
        <v>61</v>
      </c>
      <c r="L36" s="13">
        <f t="shared" si="10"/>
        <v>58</v>
      </c>
      <c r="M36" s="13">
        <f t="shared" si="10"/>
        <v>52</v>
      </c>
      <c r="N36" s="13">
        <f t="shared" si="10"/>
        <v>43</v>
      </c>
      <c r="O36" s="13">
        <f t="shared" si="10"/>
        <v>55</v>
      </c>
      <c r="P36" s="13">
        <f t="shared" si="10"/>
        <v>25</v>
      </c>
      <c r="Q36" s="13">
        <f t="shared" si="10"/>
        <v>36</v>
      </c>
      <c r="R36" s="13">
        <f t="shared" si="10"/>
        <v>44</v>
      </c>
      <c r="S36" s="13">
        <f t="shared" si="9"/>
        <v>710</v>
      </c>
    </row>
    <row r="37" spans="1:19" ht="12.75" customHeight="1" x14ac:dyDescent="0.3">
      <c r="A37" s="61"/>
      <c r="B37" s="60"/>
      <c r="C37" s="60"/>
      <c r="D37" s="60"/>
      <c r="E37" s="61"/>
      <c r="F37" s="60"/>
      <c r="G37" s="60"/>
      <c r="H37" s="60"/>
      <c r="I37" s="58"/>
      <c r="J37" s="16"/>
      <c r="K37" s="16"/>
      <c r="L37" s="16"/>
      <c r="M37" s="16"/>
      <c r="N37" s="48"/>
      <c r="O37" s="54"/>
      <c r="P37" s="54"/>
      <c r="Q37" s="48"/>
      <c r="R37" s="54"/>
      <c r="S37" s="49"/>
    </row>
    <row r="38" spans="1:19" ht="12.75" customHeight="1" x14ac:dyDescent="0.3">
      <c r="A38" s="26" t="s">
        <v>31</v>
      </c>
      <c r="B38" s="66" t="s">
        <v>32</v>
      </c>
      <c r="C38" s="60"/>
      <c r="D38" s="58"/>
      <c r="E38" s="13"/>
      <c r="F38" s="13"/>
      <c r="G38" s="13"/>
      <c r="H38" s="13"/>
      <c r="I38" s="13"/>
      <c r="J38" s="13"/>
      <c r="K38" s="13"/>
      <c r="L38" s="13"/>
      <c r="M38" s="13"/>
      <c r="N38" s="50"/>
      <c r="O38" s="50"/>
      <c r="P38" s="50"/>
      <c r="Q38" s="50"/>
      <c r="R38" s="50"/>
      <c r="S38" s="49"/>
    </row>
    <row r="39" spans="1:19" ht="12.75" customHeight="1" x14ac:dyDescent="0.3">
      <c r="A39" s="20"/>
      <c r="B39" s="80" t="s">
        <v>33</v>
      </c>
      <c r="C39" s="63"/>
      <c r="D39" s="16" t="s">
        <v>12</v>
      </c>
      <c r="E39" s="16">
        <v>0</v>
      </c>
      <c r="F39" s="16">
        <v>0</v>
      </c>
      <c r="G39" s="16">
        <v>0</v>
      </c>
      <c r="H39" s="16">
        <v>0</v>
      </c>
      <c r="I39" s="16">
        <v>1</v>
      </c>
      <c r="J39" s="16">
        <v>0</v>
      </c>
      <c r="K39" s="16">
        <v>1</v>
      </c>
      <c r="L39" s="16">
        <v>0</v>
      </c>
      <c r="M39" s="16">
        <v>0</v>
      </c>
      <c r="N39" s="16">
        <v>0</v>
      </c>
      <c r="O39" s="16">
        <v>1</v>
      </c>
      <c r="P39" s="16">
        <v>0</v>
      </c>
      <c r="Q39" s="16">
        <v>0</v>
      </c>
      <c r="R39" s="16">
        <v>0</v>
      </c>
      <c r="S39" s="13">
        <f t="shared" ref="S39:S41" si="11">SUM(E39:R39)</f>
        <v>3</v>
      </c>
    </row>
    <row r="40" spans="1:19" ht="12.75" customHeight="1" x14ac:dyDescent="0.3">
      <c r="A40" s="21"/>
      <c r="B40" s="81"/>
      <c r="C40" s="73"/>
      <c r="D40" s="16" t="s">
        <v>13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</v>
      </c>
      <c r="K40" s="16">
        <v>0</v>
      </c>
      <c r="L40" s="16">
        <v>0</v>
      </c>
      <c r="M40" s="16">
        <v>0</v>
      </c>
      <c r="N40" s="16">
        <v>0</v>
      </c>
      <c r="O40" s="16">
        <v>3</v>
      </c>
      <c r="P40" s="16">
        <v>0</v>
      </c>
      <c r="Q40" s="16">
        <v>0</v>
      </c>
      <c r="R40" s="16">
        <v>0</v>
      </c>
      <c r="S40" s="13">
        <f t="shared" si="11"/>
        <v>4</v>
      </c>
    </row>
    <row r="41" spans="1:19" ht="12.75" customHeight="1" x14ac:dyDescent="0.3">
      <c r="A41" s="25"/>
      <c r="B41" s="56"/>
      <c r="C41" s="65"/>
      <c r="D41" s="13" t="s">
        <v>14</v>
      </c>
      <c r="E41" s="13">
        <f t="shared" ref="E41:R41" si="12">SUM(E39:E40)</f>
        <v>0</v>
      </c>
      <c r="F41" s="13">
        <f t="shared" si="12"/>
        <v>0</v>
      </c>
      <c r="G41" s="13">
        <f t="shared" si="12"/>
        <v>0</v>
      </c>
      <c r="H41" s="13">
        <f t="shared" si="12"/>
        <v>0</v>
      </c>
      <c r="I41" s="13">
        <f t="shared" si="12"/>
        <v>1</v>
      </c>
      <c r="J41" s="13">
        <f t="shared" si="12"/>
        <v>1</v>
      </c>
      <c r="K41" s="13">
        <f t="shared" si="12"/>
        <v>1</v>
      </c>
      <c r="L41" s="13">
        <f t="shared" si="12"/>
        <v>0</v>
      </c>
      <c r="M41" s="13">
        <f t="shared" si="12"/>
        <v>0</v>
      </c>
      <c r="N41" s="13">
        <f t="shared" si="12"/>
        <v>0</v>
      </c>
      <c r="O41" s="13">
        <f t="shared" si="12"/>
        <v>4</v>
      </c>
      <c r="P41" s="13">
        <f t="shared" si="12"/>
        <v>0</v>
      </c>
      <c r="Q41" s="13">
        <f t="shared" si="12"/>
        <v>0</v>
      </c>
      <c r="R41" s="13">
        <f t="shared" si="12"/>
        <v>0</v>
      </c>
      <c r="S41" s="13">
        <f t="shared" si="11"/>
        <v>7</v>
      </c>
    </row>
    <row r="42" spans="1:19" ht="12.75" customHeight="1" x14ac:dyDescent="0.3">
      <c r="A42" s="55"/>
      <c r="B42" s="56"/>
      <c r="C42" s="56"/>
      <c r="D42" s="65"/>
      <c r="E42" s="61"/>
      <c r="F42" s="60"/>
      <c r="G42" s="60"/>
      <c r="H42" s="60"/>
      <c r="I42" s="58"/>
      <c r="J42" s="16"/>
      <c r="K42" s="16"/>
      <c r="L42" s="16"/>
      <c r="M42" s="16"/>
      <c r="N42" s="48"/>
      <c r="O42" s="16"/>
      <c r="P42" s="48"/>
      <c r="Q42" s="48"/>
      <c r="R42" s="16"/>
      <c r="S42" s="13"/>
    </row>
    <row r="43" spans="1:19" ht="12.75" customHeight="1" x14ac:dyDescent="0.3">
      <c r="A43" s="26" t="s">
        <v>34</v>
      </c>
      <c r="B43" s="66" t="s">
        <v>35</v>
      </c>
      <c r="C43" s="60"/>
      <c r="D43" s="58"/>
      <c r="E43" s="19"/>
      <c r="F43" s="13"/>
      <c r="G43" s="13"/>
      <c r="H43" s="13"/>
      <c r="I43" s="13"/>
      <c r="J43" s="13"/>
      <c r="K43" s="13"/>
      <c r="L43" s="13"/>
      <c r="M43" s="13"/>
      <c r="N43" s="50"/>
      <c r="O43" s="13"/>
      <c r="P43" s="50"/>
      <c r="Q43" s="50"/>
      <c r="R43" s="13"/>
      <c r="S43" s="13"/>
    </row>
    <row r="44" spans="1:19" ht="12.75" customHeight="1" x14ac:dyDescent="0.3">
      <c r="A44" s="80" t="s">
        <v>36</v>
      </c>
      <c r="B44" s="82"/>
      <c r="C44" s="82"/>
      <c r="D44" s="63"/>
      <c r="E44" s="17"/>
      <c r="F44" s="16"/>
      <c r="G44" s="16"/>
      <c r="H44" s="16"/>
      <c r="I44" s="16"/>
      <c r="J44" s="16"/>
      <c r="K44" s="16"/>
      <c r="L44" s="16"/>
      <c r="M44" s="16"/>
      <c r="N44" s="48"/>
      <c r="O44" s="16"/>
      <c r="P44" s="48"/>
      <c r="Q44" s="48"/>
      <c r="R44" s="16"/>
      <c r="S44" s="13"/>
    </row>
    <row r="45" spans="1:19" ht="12.75" customHeight="1" x14ac:dyDescent="0.3">
      <c r="A45" s="20" t="s">
        <v>37</v>
      </c>
      <c r="B45" s="27" t="s">
        <v>17</v>
      </c>
      <c r="C45" s="57" t="s">
        <v>38</v>
      </c>
      <c r="D45" s="58"/>
      <c r="E45" s="16">
        <v>13</v>
      </c>
      <c r="F45" s="16">
        <v>13</v>
      </c>
      <c r="G45" s="16">
        <v>3</v>
      </c>
      <c r="H45" s="16">
        <v>2</v>
      </c>
      <c r="I45" s="16">
        <v>7</v>
      </c>
      <c r="J45" s="16">
        <v>6</v>
      </c>
      <c r="K45" s="16">
        <v>4</v>
      </c>
      <c r="L45" s="16">
        <v>8</v>
      </c>
      <c r="M45" s="16">
        <v>10</v>
      </c>
      <c r="N45" s="16">
        <v>2</v>
      </c>
      <c r="O45" s="16">
        <v>4</v>
      </c>
      <c r="P45" s="16">
        <v>6</v>
      </c>
      <c r="Q45" s="16">
        <v>4</v>
      </c>
      <c r="R45" s="16">
        <v>10</v>
      </c>
      <c r="S45" s="13">
        <f t="shared" ref="S45:S54" si="13">SUM(E45:R45)</f>
        <v>92</v>
      </c>
    </row>
    <row r="46" spans="1:19" ht="12.75" customHeight="1" x14ac:dyDescent="0.3">
      <c r="A46" s="20" t="s">
        <v>39</v>
      </c>
      <c r="B46" s="28"/>
      <c r="C46" s="29" t="s">
        <v>40</v>
      </c>
      <c r="D46" s="30"/>
      <c r="E46" s="16">
        <v>20</v>
      </c>
      <c r="F46" s="16">
        <v>12</v>
      </c>
      <c r="G46" s="16">
        <v>9</v>
      </c>
      <c r="H46" s="16">
        <v>2</v>
      </c>
      <c r="I46" s="16">
        <v>4</v>
      </c>
      <c r="J46" s="16">
        <v>12</v>
      </c>
      <c r="K46" s="16">
        <v>11</v>
      </c>
      <c r="L46" s="16">
        <v>11</v>
      </c>
      <c r="M46" s="16">
        <v>13</v>
      </c>
      <c r="N46" s="16">
        <v>7</v>
      </c>
      <c r="O46" s="16">
        <v>9</v>
      </c>
      <c r="P46" s="16">
        <v>13</v>
      </c>
      <c r="Q46" s="16">
        <v>7</v>
      </c>
      <c r="R46" s="16">
        <v>26</v>
      </c>
      <c r="S46" s="13">
        <f t="shared" si="13"/>
        <v>156</v>
      </c>
    </row>
    <row r="47" spans="1:19" ht="12.75" customHeight="1" x14ac:dyDescent="0.3">
      <c r="A47" s="15"/>
      <c r="B47" s="28"/>
      <c r="C47" s="29" t="s">
        <v>41</v>
      </c>
      <c r="D47" s="30"/>
      <c r="E47" s="16">
        <v>2</v>
      </c>
      <c r="F47" s="16">
        <v>8</v>
      </c>
      <c r="G47" s="16">
        <v>2</v>
      </c>
      <c r="H47" s="16">
        <v>4</v>
      </c>
      <c r="I47" s="16">
        <v>2</v>
      </c>
      <c r="J47" s="16">
        <v>3</v>
      </c>
      <c r="K47" s="16">
        <v>7</v>
      </c>
      <c r="L47" s="16">
        <v>7</v>
      </c>
      <c r="M47" s="16">
        <v>1</v>
      </c>
      <c r="N47" s="16">
        <v>3</v>
      </c>
      <c r="O47" s="16">
        <v>2</v>
      </c>
      <c r="P47" s="16">
        <v>10</v>
      </c>
      <c r="Q47" s="16">
        <v>0</v>
      </c>
      <c r="R47" s="16">
        <v>1</v>
      </c>
      <c r="S47" s="13">
        <f t="shared" si="13"/>
        <v>52</v>
      </c>
    </row>
    <row r="48" spans="1:19" ht="12.75" customHeight="1" x14ac:dyDescent="0.3">
      <c r="A48" s="15"/>
      <c r="B48" s="28"/>
      <c r="C48" s="29" t="s">
        <v>42</v>
      </c>
      <c r="D48" s="30"/>
      <c r="E48" s="16">
        <v>2</v>
      </c>
      <c r="F48" s="16">
        <v>1</v>
      </c>
      <c r="G48" s="16">
        <v>0</v>
      </c>
      <c r="H48" s="16">
        <v>0</v>
      </c>
      <c r="I48" s="16">
        <v>0</v>
      </c>
      <c r="J48" s="16">
        <v>2</v>
      </c>
      <c r="K48" s="16">
        <v>0</v>
      </c>
      <c r="L48" s="16">
        <v>1</v>
      </c>
      <c r="M48" s="16">
        <v>0</v>
      </c>
      <c r="N48" s="16">
        <v>2</v>
      </c>
      <c r="O48" s="16">
        <v>0</v>
      </c>
      <c r="P48" s="16">
        <v>0</v>
      </c>
      <c r="Q48" s="16">
        <v>1</v>
      </c>
      <c r="R48" s="16">
        <v>1</v>
      </c>
      <c r="S48" s="13">
        <f t="shared" si="13"/>
        <v>10</v>
      </c>
    </row>
    <row r="49" spans="1:19" ht="12.75" customHeight="1" x14ac:dyDescent="0.3">
      <c r="A49" s="15"/>
      <c r="B49" s="28"/>
      <c r="C49" s="29" t="s">
        <v>43</v>
      </c>
      <c r="D49" s="30"/>
      <c r="E49" s="16">
        <v>6</v>
      </c>
      <c r="F49" s="16">
        <v>0</v>
      </c>
      <c r="G49" s="16">
        <v>1</v>
      </c>
      <c r="H49" s="16">
        <v>0</v>
      </c>
      <c r="I49" s="16">
        <v>0</v>
      </c>
      <c r="J49" s="16">
        <v>2</v>
      </c>
      <c r="K49" s="16">
        <v>1</v>
      </c>
      <c r="L49" s="16">
        <v>1</v>
      </c>
      <c r="M49" s="16">
        <v>0</v>
      </c>
      <c r="N49" s="16">
        <v>0</v>
      </c>
      <c r="O49" s="16">
        <v>2</v>
      </c>
      <c r="P49" s="16">
        <v>1</v>
      </c>
      <c r="Q49" s="16">
        <v>0</v>
      </c>
      <c r="R49" s="16">
        <v>1</v>
      </c>
      <c r="S49" s="13">
        <f t="shared" si="13"/>
        <v>15</v>
      </c>
    </row>
    <row r="50" spans="1:19" ht="12.75" customHeight="1" x14ac:dyDescent="0.3">
      <c r="A50" s="15"/>
      <c r="B50" s="28"/>
      <c r="C50" s="29" t="s">
        <v>44</v>
      </c>
      <c r="D50" s="30"/>
      <c r="E50" s="16">
        <v>0</v>
      </c>
      <c r="F50" s="16">
        <v>0</v>
      </c>
      <c r="G50" s="16">
        <v>1</v>
      </c>
      <c r="H50" s="16">
        <v>0</v>
      </c>
      <c r="I50" s="16">
        <v>3</v>
      </c>
      <c r="J50" s="16">
        <v>0</v>
      </c>
      <c r="K50" s="16">
        <v>0</v>
      </c>
      <c r="L50" s="16">
        <v>4</v>
      </c>
      <c r="M50" s="16">
        <v>2</v>
      </c>
      <c r="N50" s="16">
        <v>1</v>
      </c>
      <c r="O50" s="16">
        <v>0</v>
      </c>
      <c r="P50" s="16">
        <v>1</v>
      </c>
      <c r="Q50" s="16">
        <v>0</v>
      </c>
      <c r="R50" s="16">
        <v>0</v>
      </c>
      <c r="S50" s="13">
        <f t="shared" si="13"/>
        <v>12</v>
      </c>
    </row>
    <row r="51" spans="1:19" ht="12.75" customHeight="1" x14ac:dyDescent="0.3">
      <c r="A51" s="15"/>
      <c r="B51" s="28"/>
      <c r="C51" s="29" t="s">
        <v>45</v>
      </c>
      <c r="D51" s="30"/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1</v>
      </c>
      <c r="K51" s="16">
        <v>0</v>
      </c>
      <c r="L51" s="16">
        <v>0</v>
      </c>
      <c r="M51" s="16">
        <v>1</v>
      </c>
      <c r="N51" s="16">
        <v>0</v>
      </c>
      <c r="O51" s="16">
        <v>0</v>
      </c>
      <c r="P51" s="16">
        <v>0</v>
      </c>
      <c r="Q51" s="16">
        <v>1</v>
      </c>
      <c r="R51" s="16">
        <v>0</v>
      </c>
      <c r="S51" s="13">
        <f t="shared" si="13"/>
        <v>3</v>
      </c>
    </row>
    <row r="52" spans="1:19" ht="12.75" customHeight="1" x14ac:dyDescent="0.3">
      <c r="A52" s="15"/>
      <c r="B52" s="28"/>
      <c r="C52" s="29" t="s">
        <v>46</v>
      </c>
      <c r="D52" s="30"/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1</v>
      </c>
      <c r="O52" s="16">
        <v>0</v>
      </c>
      <c r="P52" s="16">
        <v>1</v>
      </c>
      <c r="Q52" s="16">
        <v>0</v>
      </c>
      <c r="R52" s="16">
        <v>0</v>
      </c>
      <c r="S52" s="13">
        <f t="shared" si="13"/>
        <v>2</v>
      </c>
    </row>
    <row r="53" spans="1:19" ht="12.75" customHeight="1" x14ac:dyDescent="0.3">
      <c r="A53" s="15"/>
      <c r="B53" s="28"/>
      <c r="C53" s="29" t="s">
        <v>47</v>
      </c>
      <c r="D53" s="35"/>
      <c r="E53" s="16">
        <v>1</v>
      </c>
      <c r="F53" s="16">
        <v>1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3">
        <f t="shared" si="13"/>
        <v>2</v>
      </c>
    </row>
    <row r="54" spans="1:19" ht="12.75" customHeight="1" x14ac:dyDescent="0.3">
      <c r="A54" s="15"/>
      <c r="B54" s="28"/>
      <c r="C54" s="29" t="s">
        <v>48</v>
      </c>
      <c r="D54" s="30"/>
      <c r="E54" s="16">
        <v>0</v>
      </c>
      <c r="F54" s="16">
        <v>1</v>
      </c>
      <c r="G54" s="16">
        <v>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3">
        <f t="shared" si="13"/>
        <v>2</v>
      </c>
    </row>
    <row r="55" spans="1:19" ht="12.75" customHeight="1" x14ac:dyDescent="0.3">
      <c r="A55" s="16" t="s">
        <v>15</v>
      </c>
      <c r="B55" s="59" t="s">
        <v>49</v>
      </c>
      <c r="C55" s="60"/>
      <c r="D55" s="58"/>
      <c r="E55" s="13">
        <f t="shared" ref="E55:S55" si="14">SUM(E45:E54)</f>
        <v>44</v>
      </c>
      <c r="F55" s="13">
        <f t="shared" si="14"/>
        <v>36</v>
      </c>
      <c r="G55" s="13">
        <f t="shared" si="14"/>
        <v>17</v>
      </c>
      <c r="H55" s="13">
        <f t="shared" si="14"/>
        <v>8</v>
      </c>
      <c r="I55" s="13">
        <f t="shared" si="14"/>
        <v>16</v>
      </c>
      <c r="J55" s="13">
        <f t="shared" si="14"/>
        <v>26</v>
      </c>
      <c r="K55" s="13">
        <f t="shared" si="14"/>
        <v>23</v>
      </c>
      <c r="L55" s="13">
        <f t="shared" si="14"/>
        <v>32</v>
      </c>
      <c r="M55" s="13">
        <f t="shared" si="14"/>
        <v>27</v>
      </c>
      <c r="N55" s="13">
        <f t="shared" si="14"/>
        <v>16</v>
      </c>
      <c r="O55" s="13">
        <f t="shared" si="14"/>
        <v>17</v>
      </c>
      <c r="P55" s="13">
        <f t="shared" si="14"/>
        <v>32</v>
      </c>
      <c r="Q55" s="13">
        <f t="shared" si="14"/>
        <v>13</v>
      </c>
      <c r="R55" s="13">
        <f t="shared" si="14"/>
        <v>39</v>
      </c>
      <c r="S55" s="13">
        <f t="shared" si="14"/>
        <v>346</v>
      </c>
    </row>
    <row r="56" spans="1:19" ht="12.75" customHeight="1" x14ac:dyDescent="0.3">
      <c r="A56" s="55"/>
      <c r="B56" s="56"/>
      <c r="C56" s="56"/>
      <c r="D56" s="56"/>
      <c r="E56" s="56"/>
      <c r="S56" s="13"/>
    </row>
    <row r="57" spans="1:19" ht="12.75" customHeight="1" x14ac:dyDescent="0.3">
      <c r="A57" s="20" t="s">
        <v>37</v>
      </c>
      <c r="B57" s="27" t="s">
        <v>19</v>
      </c>
      <c r="C57" s="57" t="s">
        <v>50</v>
      </c>
      <c r="D57" s="58"/>
      <c r="E57" s="16">
        <v>9</v>
      </c>
      <c r="F57" s="16">
        <v>3</v>
      </c>
      <c r="G57" s="16">
        <v>7</v>
      </c>
      <c r="H57" s="16">
        <v>9</v>
      </c>
      <c r="I57" s="16">
        <v>7</v>
      </c>
      <c r="J57" s="16">
        <v>16</v>
      </c>
      <c r="K57" s="16">
        <v>12</v>
      </c>
      <c r="L57" s="16">
        <v>7</v>
      </c>
      <c r="M57" s="16">
        <v>13</v>
      </c>
      <c r="N57" s="16">
        <v>15</v>
      </c>
      <c r="O57" s="16">
        <v>11</v>
      </c>
      <c r="P57" s="16">
        <v>10</v>
      </c>
      <c r="Q57" s="16">
        <v>13</v>
      </c>
      <c r="R57" s="16">
        <v>7</v>
      </c>
      <c r="S57" s="13">
        <f t="shared" ref="S57:S66" si="15">SUM(E57:R57)</f>
        <v>139</v>
      </c>
    </row>
    <row r="58" spans="1:19" ht="12.75" customHeight="1" x14ac:dyDescent="0.3">
      <c r="A58" s="20" t="s">
        <v>39</v>
      </c>
      <c r="B58" s="28"/>
      <c r="C58" s="29" t="s">
        <v>51</v>
      </c>
      <c r="D58" s="30"/>
      <c r="E58" s="16">
        <v>3</v>
      </c>
      <c r="F58" s="16">
        <v>4</v>
      </c>
      <c r="G58" s="16">
        <v>5</v>
      </c>
      <c r="H58" s="16">
        <v>0</v>
      </c>
      <c r="I58" s="16">
        <v>3</v>
      </c>
      <c r="J58" s="16">
        <v>3</v>
      </c>
      <c r="K58" s="16">
        <v>2</v>
      </c>
      <c r="L58" s="16">
        <v>4</v>
      </c>
      <c r="M58" s="16">
        <v>5</v>
      </c>
      <c r="N58" s="16">
        <v>1</v>
      </c>
      <c r="O58" s="16">
        <v>3</v>
      </c>
      <c r="P58" s="16">
        <v>6</v>
      </c>
      <c r="Q58" s="16">
        <v>5</v>
      </c>
      <c r="R58" s="16">
        <v>3</v>
      </c>
      <c r="S58" s="13">
        <f t="shared" si="15"/>
        <v>47</v>
      </c>
    </row>
    <row r="59" spans="1:19" ht="12.75" customHeight="1" x14ac:dyDescent="0.3">
      <c r="A59" s="15"/>
      <c r="B59" s="28"/>
      <c r="C59" s="29" t="s">
        <v>52</v>
      </c>
      <c r="D59" s="30"/>
      <c r="E59" s="16">
        <v>3</v>
      </c>
      <c r="F59" s="16">
        <v>2</v>
      </c>
      <c r="G59" s="16">
        <v>5</v>
      </c>
      <c r="H59" s="16">
        <v>5</v>
      </c>
      <c r="I59" s="16">
        <v>8</v>
      </c>
      <c r="J59" s="16">
        <v>3</v>
      </c>
      <c r="K59" s="16">
        <v>4</v>
      </c>
      <c r="L59" s="16">
        <v>7</v>
      </c>
      <c r="M59" s="16">
        <v>6</v>
      </c>
      <c r="N59" s="16">
        <v>3</v>
      </c>
      <c r="O59" s="16">
        <v>4</v>
      </c>
      <c r="P59" s="16">
        <v>7</v>
      </c>
      <c r="Q59" s="16">
        <v>7</v>
      </c>
      <c r="R59" s="16">
        <v>3</v>
      </c>
      <c r="S59" s="13">
        <f t="shared" si="15"/>
        <v>67</v>
      </c>
    </row>
    <row r="60" spans="1:19" ht="12.75" customHeight="1" x14ac:dyDescent="0.3">
      <c r="A60" s="15"/>
      <c r="B60" s="28"/>
      <c r="C60" s="29" t="s">
        <v>53</v>
      </c>
      <c r="D60" s="30"/>
      <c r="E60" s="16">
        <v>1</v>
      </c>
      <c r="F60" s="16">
        <v>1</v>
      </c>
      <c r="G60" s="16">
        <v>0</v>
      </c>
      <c r="H60" s="16">
        <v>2</v>
      </c>
      <c r="I60" s="16">
        <v>1</v>
      </c>
      <c r="J60" s="16">
        <v>2</v>
      </c>
      <c r="K60" s="16">
        <v>2</v>
      </c>
      <c r="L60" s="16">
        <v>1</v>
      </c>
      <c r="M60" s="16">
        <v>1</v>
      </c>
      <c r="N60" s="16">
        <v>0</v>
      </c>
      <c r="O60" s="16">
        <v>3</v>
      </c>
      <c r="P60" s="16">
        <v>0</v>
      </c>
      <c r="Q60" s="16">
        <v>0</v>
      </c>
      <c r="R60" s="16">
        <v>3</v>
      </c>
      <c r="S60" s="13">
        <f t="shared" si="15"/>
        <v>17</v>
      </c>
    </row>
    <row r="61" spans="1:19" ht="12.75" customHeight="1" x14ac:dyDescent="0.3">
      <c r="A61" s="15"/>
      <c r="B61" s="28"/>
      <c r="C61" s="29" t="s">
        <v>54</v>
      </c>
      <c r="D61" s="30"/>
      <c r="E61" s="16">
        <v>26</v>
      </c>
      <c r="F61" s="16">
        <v>11</v>
      </c>
      <c r="G61" s="16">
        <v>35</v>
      </c>
      <c r="H61" s="16">
        <v>54</v>
      </c>
      <c r="I61" s="16">
        <v>8</v>
      </c>
      <c r="J61" s="16">
        <v>13</v>
      </c>
      <c r="K61" s="16">
        <v>14</v>
      </c>
      <c r="L61" s="16">
        <v>5</v>
      </c>
      <c r="M61" s="16">
        <v>26</v>
      </c>
      <c r="N61" s="16">
        <v>31</v>
      </c>
      <c r="O61" s="16">
        <v>72</v>
      </c>
      <c r="P61" s="16">
        <v>20</v>
      </c>
      <c r="Q61" s="16">
        <v>22</v>
      </c>
      <c r="R61" s="16">
        <v>16</v>
      </c>
      <c r="S61" s="13">
        <f t="shared" si="15"/>
        <v>353</v>
      </c>
    </row>
    <row r="62" spans="1:19" ht="12.75" customHeight="1" x14ac:dyDescent="0.3">
      <c r="A62" s="15"/>
      <c r="B62" s="28"/>
      <c r="C62" s="29" t="s">
        <v>55</v>
      </c>
      <c r="D62" s="30"/>
      <c r="E62" s="16">
        <v>0</v>
      </c>
      <c r="F62" s="16">
        <v>1</v>
      </c>
      <c r="G62" s="16">
        <v>1</v>
      </c>
      <c r="H62" s="16">
        <v>2</v>
      </c>
      <c r="I62" s="16">
        <v>1</v>
      </c>
      <c r="J62" s="16">
        <v>1</v>
      </c>
      <c r="K62" s="16">
        <v>1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1</v>
      </c>
      <c r="R62" s="16">
        <v>1</v>
      </c>
      <c r="S62" s="13">
        <f t="shared" si="15"/>
        <v>9</v>
      </c>
    </row>
    <row r="63" spans="1:19" ht="12.75" customHeight="1" x14ac:dyDescent="0.3">
      <c r="A63" s="15"/>
      <c r="B63" s="28"/>
      <c r="C63" s="29" t="s">
        <v>56</v>
      </c>
      <c r="D63" s="30"/>
      <c r="E63" s="16">
        <v>0</v>
      </c>
      <c r="F63" s="16">
        <v>0</v>
      </c>
      <c r="G63" s="16">
        <v>0</v>
      </c>
      <c r="H63" s="16">
        <v>0</v>
      </c>
      <c r="I63" s="16">
        <v>2</v>
      </c>
      <c r="J63" s="16">
        <v>1</v>
      </c>
      <c r="K63" s="16">
        <v>0</v>
      </c>
      <c r="L63" s="16">
        <v>0</v>
      </c>
      <c r="M63" s="16">
        <v>0</v>
      </c>
      <c r="N63" s="16">
        <v>1</v>
      </c>
      <c r="O63" s="16">
        <v>0</v>
      </c>
      <c r="P63" s="16">
        <v>1</v>
      </c>
      <c r="Q63" s="16">
        <v>0</v>
      </c>
      <c r="R63" s="16">
        <v>0</v>
      </c>
      <c r="S63" s="13">
        <f t="shared" si="15"/>
        <v>5</v>
      </c>
    </row>
    <row r="64" spans="1:19" ht="12.75" customHeight="1" x14ac:dyDescent="0.3">
      <c r="A64" s="15"/>
      <c r="B64" s="28"/>
      <c r="C64" s="29" t="s">
        <v>57</v>
      </c>
      <c r="D64" s="30"/>
      <c r="E64" s="16">
        <v>0</v>
      </c>
      <c r="F64" s="16">
        <v>0</v>
      </c>
      <c r="G64" s="16">
        <v>1</v>
      </c>
      <c r="H64" s="16">
        <v>0</v>
      </c>
      <c r="I64" s="16">
        <v>0</v>
      </c>
      <c r="J64" s="16">
        <v>0</v>
      </c>
      <c r="K64" s="16">
        <v>1</v>
      </c>
      <c r="L64" s="16">
        <v>1</v>
      </c>
      <c r="M64" s="16">
        <v>0</v>
      </c>
      <c r="N64" s="16">
        <v>0</v>
      </c>
      <c r="O64" s="16">
        <v>1</v>
      </c>
      <c r="P64" s="16">
        <v>0</v>
      </c>
      <c r="Q64" s="16">
        <v>0</v>
      </c>
      <c r="R64" s="16">
        <v>1</v>
      </c>
      <c r="S64" s="13">
        <f t="shared" si="15"/>
        <v>5</v>
      </c>
    </row>
    <row r="65" spans="1:19" ht="12.75" customHeight="1" x14ac:dyDescent="0.3">
      <c r="A65" s="15"/>
      <c r="B65" s="28"/>
      <c r="C65" s="29" t="s">
        <v>58</v>
      </c>
      <c r="D65" s="30"/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1</v>
      </c>
      <c r="O65" s="16">
        <v>0</v>
      </c>
      <c r="P65" s="16">
        <v>0</v>
      </c>
      <c r="Q65" s="16">
        <v>0</v>
      </c>
      <c r="R65" s="16">
        <v>0</v>
      </c>
      <c r="S65" s="13">
        <f t="shared" si="15"/>
        <v>1</v>
      </c>
    </row>
    <row r="66" spans="1:19" ht="12.75" customHeight="1" x14ac:dyDescent="0.3">
      <c r="A66" s="15"/>
      <c r="B66" s="28"/>
      <c r="C66" s="29" t="s">
        <v>59</v>
      </c>
      <c r="D66" s="30"/>
      <c r="E66" s="16">
        <v>1</v>
      </c>
      <c r="F66" s="16">
        <v>0</v>
      </c>
      <c r="G66" s="16">
        <v>0</v>
      </c>
      <c r="H66" s="16">
        <v>0</v>
      </c>
      <c r="I66" s="16">
        <v>1</v>
      </c>
      <c r="J66" s="16">
        <v>0</v>
      </c>
      <c r="K66" s="16">
        <v>1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1</v>
      </c>
      <c r="S66" s="13">
        <f t="shared" si="15"/>
        <v>4</v>
      </c>
    </row>
    <row r="67" spans="1:19" ht="12.75" customHeight="1" x14ac:dyDescent="0.3">
      <c r="A67" s="16" t="s">
        <v>15</v>
      </c>
      <c r="B67" s="59" t="s">
        <v>49</v>
      </c>
      <c r="C67" s="60"/>
      <c r="D67" s="58"/>
      <c r="E67" s="13">
        <f t="shared" ref="E67:S67" si="16">SUM(E57:E66)</f>
        <v>43</v>
      </c>
      <c r="F67" s="13">
        <f t="shared" si="16"/>
        <v>22</v>
      </c>
      <c r="G67" s="13">
        <f t="shared" si="16"/>
        <v>54</v>
      </c>
      <c r="H67" s="13">
        <f t="shared" si="16"/>
        <v>72</v>
      </c>
      <c r="I67" s="13">
        <f t="shared" si="16"/>
        <v>31</v>
      </c>
      <c r="J67" s="13">
        <f t="shared" si="16"/>
        <v>39</v>
      </c>
      <c r="K67" s="13">
        <f t="shared" si="16"/>
        <v>37</v>
      </c>
      <c r="L67" s="13">
        <f t="shared" si="16"/>
        <v>25</v>
      </c>
      <c r="M67" s="13">
        <f t="shared" si="16"/>
        <v>51</v>
      </c>
      <c r="N67" s="13">
        <f t="shared" si="16"/>
        <v>52</v>
      </c>
      <c r="O67" s="13">
        <f t="shared" si="16"/>
        <v>94</v>
      </c>
      <c r="P67" s="13">
        <f t="shared" si="16"/>
        <v>44</v>
      </c>
      <c r="Q67" s="13">
        <f t="shared" si="16"/>
        <v>48</v>
      </c>
      <c r="R67" s="13">
        <f t="shared" si="16"/>
        <v>35</v>
      </c>
      <c r="S67" s="13">
        <f t="shared" si="16"/>
        <v>647</v>
      </c>
    </row>
    <row r="68" spans="1:19" ht="12.75" customHeight="1" x14ac:dyDescent="0.3">
      <c r="A68" s="55"/>
      <c r="B68" s="56"/>
      <c r="C68" s="56"/>
      <c r="D68" s="56"/>
      <c r="E68" s="56"/>
    </row>
    <row r="69" spans="1:19" ht="12.75" customHeight="1" x14ac:dyDescent="0.3">
      <c r="A69" s="20" t="s">
        <v>37</v>
      </c>
      <c r="B69" s="27" t="s">
        <v>21</v>
      </c>
      <c r="C69" s="57" t="s">
        <v>60</v>
      </c>
      <c r="D69" s="58"/>
      <c r="E69" s="16">
        <v>5</v>
      </c>
      <c r="F69" s="16">
        <v>6</v>
      </c>
      <c r="G69" s="16">
        <v>4</v>
      </c>
      <c r="H69" s="16">
        <v>5</v>
      </c>
      <c r="I69" s="16">
        <v>7</v>
      </c>
      <c r="J69" s="16">
        <v>10</v>
      </c>
      <c r="K69" s="16">
        <v>14</v>
      </c>
      <c r="L69" s="16">
        <v>8</v>
      </c>
      <c r="M69" s="16">
        <v>3</v>
      </c>
      <c r="N69" s="16">
        <v>3</v>
      </c>
      <c r="O69" s="16">
        <v>7</v>
      </c>
      <c r="P69" s="16">
        <v>7</v>
      </c>
      <c r="Q69" s="16">
        <v>7</v>
      </c>
      <c r="R69" s="16">
        <v>7</v>
      </c>
      <c r="S69" s="13">
        <f t="shared" ref="S69:S78" si="17">SUM(E69:R69)</f>
        <v>93</v>
      </c>
    </row>
    <row r="70" spans="1:19" ht="12.75" customHeight="1" x14ac:dyDescent="0.3">
      <c r="A70" s="20" t="s">
        <v>39</v>
      </c>
      <c r="B70" s="28"/>
      <c r="C70" s="29" t="s">
        <v>61</v>
      </c>
      <c r="D70" s="30"/>
      <c r="E70" s="16">
        <v>0</v>
      </c>
      <c r="F70" s="16">
        <v>2</v>
      </c>
      <c r="G70" s="16">
        <v>3</v>
      </c>
      <c r="H70" s="16">
        <v>4</v>
      </c>
      <c r="I70" s="16">
        <v>5</v>
      </c>
      <c r="J70" s="16">
        <v>8</v>
      </c>
      <c r="K70" s="16">
        <v>2</v>
      </c>
      <c r="L70" s="16">
        <v>6</v>
      </c>
      <c r="M70" s="16">
        <v>4</v>
      </c>
      <c r="N70" s="16">
        <v>6</v>
      </c>
      <c r="O70" s="16">
        <v>5</v>
      </c>
      <c r="P70" s="16">
        <v>9</v>
      </c>
      <c r="Q70" s="16">
        <v>8</v>
      </c>
      <c r="R70" s="16">
        <v>11</v>
      </c>
      <c r="S70" s="13">
        <f t="shared" si="17"/>
        <v>73</v>
      </c>
    </row>
    <row r="71" spans="1:19" ht="12.75" customHeight="1" x14ac:dyDescent="0.3">
      <c r="A71" s="15"/>
      <c r="B71" s="28"/>
      <c r="C71" s="29" t="s">
        <v>62</v>
      </c>
      <c r="D71" s="30"/>
      <c r="E71" s="16">
        <v>2</v>
      </c>
      <c r="F71" s="16">
        <v>3</v>
      </c>
      <c r="G71" s="16">
        <v>1</v>
      </c>
      <c r="H71" s="16">
        <v>7</v>
      </c>
      <c r="I71" s="16">
        <v>4</v>
      </c>
      <c r="J71" s="16">
        <v>3</v>
      </c>
      <c r="K71" s="16">
        <v>6</v>
      </c>
      <c r="L71" s="16">
        <v>3</v>
      </c>
      <c r="M71" s="16">
        <v>3</v>
      </c>
      <c r="N71" s="16">
        <v>0</v>
      </c>
      <c r="O71" s="16">
        <v>2</v>
      </c>
      <c r="P71" s="16">
        <v>7</v>
      </c>
      <c r="Q71" s="16">
        <v>1</v>
      </c>
      <c r="R71" s="16">
        <v>5</v>
      </c>
      <c r="S71" s="13">
        <f t="shared" si="17"/>
        <v>47</v>
      </c>
    </row>
    <row r="72" spans="1:19" ht="12.75" customHeight="1" x14ac:dyDescent="0.3">
      <c r="A72" s="15"/>
      <c r="B72" s="28"/>
      <c r="C72" s="29" t="s">
        <v>63</v>
      </c>
      <c r="D72" s="30"/>
      <c r="E72" s="16">
        <v>1</v>
      </c>
      <c r="F72" s="16">
        <v>0</v>
      </c>
      <c r="G72" s="16">
        <v>4</v>
      </c>
      <c r="H72" s="16">
        <v>3</v>
      </c>
      <c r="I72" s="16">
        <v>10</v>
      </c>
      <c r="J72" s="16">
        <v>8</v>
      </c>
      <c r="K72" s="16">
        <v>3</v>
      </c>
      <c r="L72" s="16">
        <v>5</v>
      </c>
      <c r="M72" s="16">
        <v>2</v>
      </c>
      <c r="N72" s="16">
        <v>1</v>
      </c>
      <c r="O72" s="16">
        <v>3</v>
      </c>
      <c r="P72" s="16">
        <v>4</v>
      </c>
      <c r="Q72" s="16">
        <v>2</v>
      </c>
      <c r="R72" s="16">
        <v>3</v>
      </c>
      <c r="S72" s="13">
        <f t="shared" si="17"/>
        <v>49</v>
      </c>
    </row>
    <row r="73" spans="1:19" ht="12.75" customHeight="1" x14ac:dyDescent="0.3">
      <c r="A73" s="15"/>
      <c r="B73" s="28"/>
      <c r="C73" s="29" t="s">
        <v>64</v>
      </c>
      <c r="D73" s="30"/>
      <c r="E73" s="16">
        <v>2</v>
      </c>
      <c r="F73" s="16">
        <v>1</v>
      </c>
      <c r="G73" s="16">
        <v>2</v>
      </c>
      <c r="H73" s="16">
        <v>0</v>
      </c>
      <c r="I73" s="16">
        <v>6</v>
      </c>
      <c r="J73" s="16">
        <v>5</v>
      </c>
      <c r="K73" s="16">
        <v>1</v>
      </c>
      <c r="L73" s="16">
        <v>0</v>
      </c>
      <c r="M73" s="16">
        <v>1</v>
      </c>
      <c r="N73" s="16">
        <v>2</v>
      </c>
      <c r="O73" s="16">
        <v>2</v>
      </c>
      <c r="P73" s="16">
        <v>2</v>
      </c>
      <c r="Q73" s="16">
        <v>2</v>
      </c>
      <c r="R73" s="16">
        <v>18</v>
      </c>
      <c r="S73" s="13">
        <f t="shared" si="17"/>
        <v>44</v>
      </c>
    </row>
    <row r="74" spans="1:19" ht="12.75" customHeight="1" x14ac:dyDescent="0.3">
      <c r="A74" s="15"/>
      <c r="B74" s="28"/>
      <c r="C74" s="29" t="s">
        <v>65</v>
      </c>
      <c r="D74" s="30"/>
      <c r="E74" s="16">
        <v>0</v>
      </c>
      <c r="F74" s="16">
        <v>1</v>
      </c>
      <c r="G74" s="16">
        <v>0</v>
      </c>
      <c r="H74" s="16">
        <v>0</v>
      </c>
      <c r="I74" s="16">
        <v>0</v>
      </c>
      <c r="J74" s="16">
        <v>2</v>
      </c>
      <c r="K74" s="16">
        <v>3</v>
      </c>
      <c r="L74" s="16">
        <v>3</v>
      </c>
      <c r="M74" s="16">
        <v>1</v>
      </c>
      <c r="N74" s="16">
        <v>1</v>
      </c>
      <c r="O74" s="16">
        <v>1</v>
      </c>
      <c r="P74" s="16">
        <v>1</v>
      </c>
      <c r="Q74" s="16">
        <v>4</v>
      </c>
      <c r="R74" s="16">
        <v>1</v>
      </c>
      <c r="S74" s="13">
        <f t="shared" si="17"/>
        <v>18</v>
      </c>
    </row>
    <row r="75" spans="1:19" ht="12.75" customHeight="1" x14ac:dyDescent="0.3">
      <c r="A75" s="15"/>
      <c r="B75" s="28"/>
      <c r="C75" s="29" t="s">
        <v>66</v>
      </c>
      <c r="D75" s="30"/>
      <c r="E75" s="16">
        <v>1</v>
      </c>
      <c r="F75" s="16">
        <v>0</v>
      </c>
      <c r="G75" s="16">
        <v>0</v>
      </c>
      <c r="H75" s="16">
        <v>0</v>
      </c>
      <c r="I75" s="16">
        <v>1</v>
      </c>
      <c r="J75" s="16">
        <v>0</v>
      </c>
      <c r="K75" s="16">
        <v>2</v>
      </c>
      <c r="L75" s="16">
        <v>1</v>
      </c>
      <c r="M75" s="16">
        <v>0</v>
      </c>
      <c r="N75" s="16">
        <v>0</v>
      </c>
      <c r="O75" s="16">
        <v>1</v>
      </c>
      <c r="P75" s="16">
        <v>0</v>
      </c>
      <c r="Q75" s="16">
        <v>0</v>
      </c>
      <c r="R75" s="16">
        <v>1</v>
      </c>
      <c r="S75" s="13">
        <f t="shared" si="17"/>
        <v>7</v>
      </c>
    </row>
    <row r="76" spans="1:19" ht="12.75" customHeight="1" x14ac:dyDescent="0.3">
      <c r="A76" s="15"/>
      <c r="B76" s="28"/>
      <c r="C76" s="29" t="s">
        <v>67</v>
      </c>
      <c r="D76" s="30"/>
      <c r="E76" s="16">
        <v>0</v>
      </c>
      <c r="F76" s="16">
        <v>0</v>
      </c>
      <c r="G76" s="16">
        <v>1</v>
      </c>
      <c r="H76" s="16">
        <v>0</v>
      </c>
      <c r="I76" s="16">
        <v>0</v>
      </c>
      <c r="J76" s="16">
        <v>1</v>
      </c>
      <c r="K76" s="16">
        <v>2</v>
      </c>
      <c r="L76" s="16">
        <v>0</v>
      </c>
      <c r="M76" s="16">
        <v>1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3">
        <f t="shared" si="17"/>
        <v>5</v>
      </c>
    </row>
    <row r="77" spans="1:19" ht="12.75" customHeight="1" x14ac:dyDescent="0.3">
      <c r="A77" s="15"/>
      <c r="B77" s="28"/>
      <c r="C77" s="29" t="s">
        <v>68</v>
      </c>
      <c r="D77" s="30"/>
      <c r="E77" s="16">
        <v>0</v>
      </c>
      <c r="F77" s="16">
        <v>0</v>
      </c>
      <c r="G77" s="16">
        <v>0</v>
      </c>
      <c r="H77" s="16">
        <v>0</v>
      </c>
      <c r="I77" s="16">
        <v>1</v>
      </c>
      <c r="J77" s="16">
        <v>1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3">
        <f t="shared" si="17"/>
        <v>2</v>
      </c>
    </row>
    <row r="78" spans="1:19" ht="12.75" customHeight="1" x14ac:dyDescent="0.3">
      <c r="A78" s="15"/>
      <c r="B78" s="28"/>
      <c r="C78" s="29" t="s">
        <v>69</v>
      </c>
      <c r="D78" s="30"/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1</v>
      </c>
      <c r="L78" s="16">
        <v>1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1</v>
      </c>
      <c r="S78" s="13">
        <f t="shared" si="17"/>
        <v>3</v>
      </c>
    </row>
    <row r="79" spans="1:19" ht="12.75" customHeight="1" x14ac:dyDescent="0.3">
      <c r="A79" s="16" t="s">
        <v>15</v>
      </c>
      <c r="B79" s="59" t="s">
        <v>49</v>
      </c>
      <c r="C79" s="60"/>
      <c r="D79" s="58"/>
      <c r="E79" s="13">
        <f t="shared" ref="E79:S79" si="18">SUM(E69:E78)</f>
        <v>11</v>
      </c>
      <c r="F79" s="13">
        <f t="shared" si="18"/>
        <v>13</v>
      </c>
      <c r="G79" s="13">
        <f t="shared" si="18"/>
        <v>15</v>
      </c>
      <c r="H79" s="13">
        <f t="shared" si="18"/>
        <v>19</v>
      </c>
      <c r="I79" s="13">
        <f t="shared" si="18"/>
        <v>34</v>
      </c>
      <c r="J79" s="13">
        <f t="shared" si="18"/>
        <v>38</v>
      </c>
      <c r="K79" s="13">
        <f t="shared" si="18"/>
        <v>34</v>
      </c>
      <c r="L79" s="13">
        <f t="shared" si="18"/>
        <v>27</v>
      </c>
      <c r="M79" s="13">
        <f t="shared" si="18"/>
        <v>15</v>
      </c>
      <c r="N79" s="13">
        <f t="shared" si="18"/>
        <v>13</v>
      </c>
      <c r="O79" s="13">
        <f t="shared" si="18"/>
        <v>21</v>
      </c>
      <c r="P79" s="13">
        <f t="shared" si="18"/>
        <v>30</v>
      </c>
      <c r="Q79" s="13">
        <f t="shared" si="18"/>
        <v>24</v>
      </c>
      <c r="R79" s="13">
        <f t="shared" si="18"/>
        <v>47</v>
      </c>
      <c r="S79" s="13">
        <f t="shared" si="18"/>
        <v>341</v>
      </c>
    </row>
    <row r="80" spans="1:19" ht="12.75" customHeight="1" x14ac:dyDescent="0.3">
      <c r="A80" s="55"/>
      <c r="B80" s="56"/>
      <c r="C80" s="56"/>
      <c r="D80" s="56"/>
      <c r="E80" s="56"/>
    </row>
    <row r="81" spans="1:19" ht="12.75" customHeight="1" x14ac:dyDescent="0.3">
      <c r="A81" s="20" t="s">
        <v>37</v>
      </c>
      <c r="B81" s="27" t="s">
        <v>23</v>
      </c>
      <c r="C81" s="57" t="s">
        <v>70</v>
      </c>
      <c r="D81" s="58"/>
      <c r="E81" s="16">
        <v>3</v>
      </c>
      <c r="F81" s="16">
        <v>1</v>
      </c>
      <c r="G81" s="16">
        <v>3</v>
      </c>
      <c r="H81" s="16">
        <v>5</v>
      </c>
      <c r="I81" s="16">
        <v>0</v>
      </c>
      <c r="J81" s="16">
        <v>2</v>
      </c>
      <c r="K81" s="16">
        <v>3</v>
      </c>
      <c r="L81" s="16">
        <v>2</v>
      </c>
      <c r="M81" s="16">
        <v>3</v>
      </c>
      <c r="N81" s="16">
        <v>5</v>
      </c>
      <c r="O81" s="16">
        <v>4</v>
      </c>
      <c r="P81" s="16">
        <v>5</v>
      </c>
      <c r="Q81" s="16">
        <v>1</v>
      </c>
      <c r="R81" s="16">
        <v>1</v>
      </c>
      <c r="S81" s="13">
        <f t="shared" ref="S81:S90" si="19">SUM(E81:R81)</f>
        <v>38</v>
      </c>
    </row>
    <row r="82" spans="1:19" ht="12.75" customHeight="1" x14ac:dyDescent="0.3">
      <c r="A82" s="20" t="s">
        <v>39</v>
      </c>
      <c r="B82" s="28"/>
      <c r="C82" s="29" t="s">
        <v>71</v>
      </c>
      <c r="D82" s="30"/>
      <c r="E82" s="16">
        <v>4</v>
      </c>
      <c r="F82" s="16">
        <v>3</v>
      </c>
      <c r="G82" s="16">
        <v>4</v>
      </c>
      <c r="H82" s="16">
        <v>4</v>
      </c>
      <c r="I82" s="16">
        <v>4</v>
      </c>
      <c r="J82" s="16">
        <v>3</v>
      </c>
      <c r="K82" s="16">
        <v>5</v>
      </c>
      <c r="L82" s="16">
        <v>3</v>
      </c>
      <c r="M82" s="16">
        <v>2</v>
      </c>
      <c r="N82" s="16">
        <v>5</v>
      </c>
      <c r="O82" s="16">
        <v>1</v>
      </c>
      <c r="P82" s="16">
        <v>7</v>
      </c>
      <c r="Q82" s="16">
        <v>5</v>
      </c>
      <c r="R82" s="16">
        <v>6</v>
      </c>
      <c r="S82" s="13">
        <f t="shared" si="19"/>
        <v>56</v>
      </c>
    </row>
    <row r="83" spans="1:19" ht="12.75" customHeight="1" x14ac:dyDescent="0.3">
      <c r="A83" s="15"/>
      <c r="B83" s="28"/>
      <c r="C83" s="29" t="s">
        <v>72</v>
      </c>
      <c r="D83" s="30"/>
      <c r="E83" s="16">
        <v>2</v>
      </c>
      <c r="F83" s="16">
        <v>0</v>
      </c>
      <c r="G83" s="16">
        <v>0</v>
      </c>
      <c r="H83" s="16">
        <v>0</v>
      </c>
      <c r="I83" s="16">
        <v>3</v>
      </c>
      <c r="J83" s="16">
        <v>3</v>
      </c>
      <c r="K83" s="16">
        <v>2</v>
      </c>
      <c r="L83" s="16">
        <v>1</v>
      </c>
      <c r="M83" s="16">
        <v>1</v>
      </c>
      <c r="N83" s="16">
        <v>0</v>
      </c>
      <c r="O83" s="16">
        <v>0</v>
      </c>
      <c r="P83" s="16">
        <v>0</v>
      </c>
      <c r="Q83" s="16">
        <v>3</v>
      </c>
      <c r="R83" s="16">
        <v>0</v>
      </c>
      <c r="S83" s="13">
        <f t="shared" si="19"/>
        <v>15</v>
      </c>
    </row>
    <row r="84" spans="1:19" ht="12.75" customHeight="1" x14ac:dyDescent="0.3">
      <c r="A84" s="15"/>
      <c r="B84" s="28"/>
      <c r="C84" s="29" t="s">
        <v>73</v>
      </c>
      <c r="D84" s="30"/>
      <c r="E84" s="16">
        <v>0</v>
      </c>
      <c r="F84" s="16">
        <v>0</v>
      </c>
      <c r="G84" s="16">
        <v>1</v>
      </c>
      <c r="H84" s="16">
        <v>0</v>
      </c>
      <c r="I84" s="16">
        <v>1</v>
      </c>
      <c r="J84" s="16">
        <v>0</v>
      </c>
      <c r="K84" s="16">
        <v>2</v>
      </c>
      <c r="L84" s="16">
        <v>0</v>
      </c>
      <c r="M84" s="16">
        <v>0</v>
      </c>
      <c r="N84" s="16">
        <v>0</v>
      </c>
      <c r="O84" s="16">
        <v>0</v>
      </c>
      <c r="P84" s="16">
        <v>1</v>
      </c>
      <c r="Q84" s="16">
        <v>0</v>
      </c>
      <c r="R84" s="16">
        <v>0</v>
      </c>
      <c r="S84" s="13">
        <f t="shared" si="19"/>
        <v>5</v>
      </c>
    </row>
    <row r="85" spans="1:19" ht="12.75" customHeight="1" x14ac:dyDescent="0.3">
      <c r="A85" s="15"/>
      <c r="B85" s="28"/>
      <c r="C85" s="29" t="s">
        <v>74</v>
      </c>
      <c r="D85" s="30"/>
      <c r="E85" s="16">
        <v>14</v>
      </c>
      <c r="F85" s="16">
        <v>4</v>
      </c>
      <c r="G85" s="16">
        <v>1</v>
      </c>
      <c r="H85" s="16">
        <v>0</v>
      </c>
      <c r="I85" s="16">
        <v>1</v>
      </c>
      <c r="J85" s="16">
        <v>1</v>
      </c>
      <c r="K85" s="16">
        <v>1</v>
      </c>
      <c r="L85" s="16">
        <v>0</v>
      </c>
      <c r="M85" s="16">
        <v>1</v>
      </c>
      <c r="N85" s="16">
        <v>0</v>
      </c>
      <c r="O85" s="16">
        <v>0</v>
      </c>
      <c r="P85" s="16">
        <v>0</v>
      </c>
      <c r="Q85" s="16">
        <v>0</v>
      </c>
      <c r="R85" s="16">
        <v>1</v>
      </c>
      <c r="S85" s="13">
        <f t="shared" si="19"/>
        <v>24</v>
      </c>
    </row>
    <row r="86" spans="1:19" ht="12.75" customHeight="1" x14ac:dyDescent="0.3">
      <c r="A86" s="15"/>
      <c r="B86" s="28"/>
      <c r="C86" s="29" t="s">
        <v>75</v>
      </c>
      <c r="D86" s="30"/>
      <c r="E86" s="16">
        <v>16</v>
      </c>
      <c r="F86" s="16">
        <v>6</v>
      </c>
      <c r="G86" s="16">
        <v>11</v>
      </c>
      <c r="H86" s="16">
        <v>6</v>
      </c>
      <c r="I86" s="16">
        <v>43</v>
      </c>
      <c r="J86" s="16">
        <v>12</v>
      </c>
      <c r="K86" s="16">
        <v>12</v>
      </c>
      <c r="L86" s="16">
        <v>60</v>
      </c>
      <c r="M86" s="16">
        <v>51</v>
      </c>
      <c r="N86" s="16">
        <v>45</v>
      </c>
      <c r="O86" s="16">
        <v>20</v>
      </c>
      <c r="P86" s="16">
        <v>15</v>
      </c>
      <c r="Q86" s="16">
        <v>3</v>
      </c>
      <c r="R86" s="16">
        <v>13</v>
      </c>
      <c r="S86" s="13">
        <f t="shared" si="19"/>
        <v>313</v>
      </c>
    </row>
    <row r="87" spans="1:19" ht="12.75" customHeight="1" x14ac:dyDescent="0.3">
      <c r="A87" s="15"/>
      <c r="B87" s="28"/>
      <c r="C87" s="29" t="s">
        <v>76</v>
      </c>
      <c r="D87" s="30"/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2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3">
        <f t="shared" si="19"/>
        <v>2</v>
      </c>
    </row>
    <row r="88" spans="1:19" ht="12.75" customHeight="1" x14ac:dyDescent="0.3">
      <c r="A88" s="15"/>
      <c r="B88" s="28"/>
      <c r="C88" s="29" t="s">
        <v>77</v>
      </c>
      <c r="D88" s="30"/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3">
        <f t="shared" si="19"/>
        <v>0</v>
      </c>
    </row>
    <row r="89" spans="1:19" ht="12.75" customHeight="1" x14ac:dyDescent="0.3">
      <c r="A89" s="15"/>
      <c r="B89" s="28"/>
      <c r="C89" s="29" t="s">
        <v>78</v>
      </c>
      <c r="D89" s="30"/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3">
        <f t="shared" si="19"/>
        <v>0</v>
      </c>
    </row>
    <row r="90" spans="1:19" ht="12.75" customHeight="1" x14ac:dyDescent="0.3">
      <c r="A90" s="15"/>
      <c r="B90" s="28"/>
      <c r="C90" s="29" t="s">
        <v>79</v>
      </c>
      <c r="D90" s="30"/>
      <c r="E90" s="16">
        <v>0</v>
      </c>
      <c r="F90" s="16">
        <v>1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1</v>
      </c>
      <c r="S90" s="13">
        <f t="shared" si="19"/>
        <v>2</v>
      </c>
    </row>
    <row r="91" spans="1:19" ht="12.75" customHeight="1" x14ac:dyDescent="0.3">
      <c r="A91" s="16" t="s">
        <v>15</v>
      </c>
      <c r="B91" s="59" t="s">
        <v>49</v>
      </c>
      <c r="C91" s="60"/>
      <c r="D91" s="58"/>
      <c r="E91" s="13">
        <f t="shared" ref="E91:S91" si="20">SUM(E81:E90)</f>
        <v>39</v>
      </c>
      <c r="F91" s="13">
        <f t="shared" si="20"/>
        <v>15</v>
      </c>
      <c r="G91" s="13">
        <f t="shared" si="20"/>
        <v>20</v>
      </c>
      <c r="H91" s="13">
        <f t="shared" si="20"/>
        <v>15</v>
      </c>
      <c r="I91" s="13">
        <f t="shared" si="20"/>
        <v>52</v>
      </c>
      <c r="J91" s="13">
        <f t="shared" si="20"/>
        <v>21</v>
      </c>
      <c r="K91" s="13">
        <f t="shared" si="20"/>
        <v>27</v>
      </c>
      <c r="L91" s="13">
        <f t="shared" si="20"/>
        <v>66</v>
      </c>
      <c r="M91" s="13">
        <f t="shared" si="20"/>
        <v>58</v>
      </c>
      <c r="N91" s="13">
        <f t="shared" si="20"/>
        <v>55</v>
      </c>
      <c r="O91" s="13">
        <f t="shared" si="20"/>
        <v>25</v>
      </c>
      <c r="P91" s="13">
        <f t="shared" si="20"/>
        <v>28</v>
      </c>
      <c r="Q91" s="13">
        <f t="shared" si="20"/>
        <v>12</v>
      </c>
      <c r="R91" s="13">
        <f t="shared" si="20"/>
        <v>22</v>
      </c>
      <c r="S91" s="13">
        <f t="shared" si="20"/>
        <v>455</v>
      </c>
    </row>
    <row r="92" spans="1:19" ht="12.75" customHeight="1" x14ac:dyDescent="0.3">
      <c r="A92" s="55"/>
      <c r="B92" s="56"/>
      <c r="C92" s="56"/>
      <c r="D92" s="56"/>
      <c r="E92" s="56"/>
    </row>
    <row r="93" spans="1:19" ht="12.75" customHeight="1" x14ac:dyDescent="0.3">
      <c r="A93" s="20" t="s">
        <v>37</v>
      </c>
      <c r="B93" s="27" t="s">
        <v>80</v>
      </c>
      <c r="C93" s="57" t="s">
        <v>81</v>
      </c>
      <c r="D93" s="58"/>
      <c r="E93" s="16">
        <v>1</v>
      </c>
      <c r="F93" s="16">
        <v>0</v>
      </c>
      <c r="G93" s="16">
        <v>1</v>
      </c>
      <c r="H93" s="16">
        <v>1</v>
      </c>
      <c r="I93" s="16">
        <v>0</v>
      </c>
      <c r="J93" s="16">
        <v>1</v>
      </c>
      <c r="K93" s="16">
        <v>1</v>
      </c>
      <c r="L93" s="16">
        <v>2</v>
      </c>
      <c r="M93" s="16">
        <v>2</v>
      </c>
      <c r="N93" s="16">
        <v>4</v>
      </c>
      <c r="O93" s="16">
        <v>0</v>
      </c>
      <c r="P93" s="16">
        <v>4</v>
      </c>
      <c r="Q93" s="16">
        <v>5</v>
      </c>
      <c r="R93" s="16">
        <v>4</v>
      </c>
      <c r="S93" s="13">
        <f t="shared" ref="S93:S102" si="21">SUM(E93:R93)</f>
        <v>26</v>
      </c>
    </row>
    <row r="94" spans="1:19" ht="12.75" customHeight="1" x14ac:dyDescent="0.3">
      <c r="A94" s="20" t="s">
        <v>39</v>
      </c>
      <c r="B94" s="28"/>
      <c r="C94" s="29" t="s">
        <v>82</v>
      </c>
      <c r="D94" s="35"/>
      <c r="E94" s="16">
        <v>0</v>
      </c>
      <c r="F94" s="16">
        <v>2</v>
      </c>
      <c r="G94" s="16">
        <v>2</v>
      </c>
      <c r="H94" s="16">
        <v>5</v>
      </c>
      <c r="I94" s="16">
        <v>2</v>
      </c>
      <c r="J94" s="16">
        <v>3</v>
      </c>
      <c r="K94" s="16">
        <v>2</v>
      </c>
      <c r="L94" s="16">
        <v>2</v>
      </c>
      <c r="M94" s="16">
        <v>2</v>
      </c>
      <c r="N94" s="16">
        <v>1</v>
      </c>
      <c r="O94" s="16">
        <v>1</v>
      </c>
      <c r="P94" s="16">
        <v>2</v>
      </c>
      <c r="Q94" s="16">
        <v>8</v>
      </c>
      <c r="R94" s="16">
        <v>7</v>
      </c>
      <c r="S94" s="13">
        <f t="shared" si="21"/>
        <v>39</v>
      </c>
    </row>
    <row r="95" spans="1:19" ht="12.75" customHeight="1" x14ac:dyDescent="0.3">
      <c r="A95" s="15"/>
      <c r="B95" s="28"/>
      <c r="C95" s="29" t="s">
        <v>83</v>
      </c>
      <c r="D95" s="35"/>
      <c r="E95" s="16">
        <v>0</v>
      </c>
      <c r="F95" s="16">
        <v>0</v>
      </c>
      <c r="G95" s="16">
        <v>2</v>
      </c>
      <c r="H95" s="16">
        <v>0</v>
      </c>
      <c r="I95" s="16">
        <v>0</v>
      </c>
      <c r="J95" s="16">
        <v>0</v>
      </c>
      <c r="K95" s="16">
        <v>1</v>
      </c>
      <c r="L95" s="16">
        <v>0</v>
      </c>
      <c r="M95" s="16">
        <v>0</v>
      </c>
      <c r="N95" s="16">
        <v>1</v>
      </c>
      <c r="O95" s="16">
        <v>0</v>
      </c>
      <c r="P95" s="16">
        <v>0</v>
      </c>
      <c r="Q95" s="16">
        <v>1</v>
      </c>
      <c r="R95" s="16">
        <v>1</v>
      </c>
      <c r="S95" s="13">
        <f t="shared" si="21"/>
        <v>6</v>
      </c>
    </row>
    <row r="96" spans="1:19" ht="12.75" customHeight="1" x14ac:dyDescent="0.3">
      <c r="A96" s="15"/>
      <c r="B96" s="28"/>
      <c r="C96" s="29" t="s">
        <v>84</v>
      </c>
      <c r="D96" s="35"/>
      <c r="E96" s="16">
        <v>0</v>
      </c>
      <c r="F96" s="16">
        <v>0</v>
      </c>
      <c r="G96" s="16">
        <v>1</v>
      </c>
      <c r="H96" s="16">
        <v>1</v>
      </c>
      <c r="I96" s="16">
        <v>0</v>
      </c>
      <c r="J96" s="16">
        <v>0</v>
      </c>
      <c r="K96" s="16">
        <v>0</v>
      </c>
      <c r="L96" s="16">
        <v>2</v>
      </c>
      <c r="M96" s="16">
        <v>0</v>
      </c>
      <c r="N96" s="16">
        <v>0</v>
      </c>
      <c r="O96" s="16">
        <v>0</v>
      </c>
      <c r="P96" s="16">
        <v>0</v>
      </c>
      <c r="Q96" s="16">
        <v>1</v>
      </c>
      <c r="R96" s="16">
        <v>0</v>
      </c>
      <c r="S96" s="13">
        <f t="shared" si="21"/>
        <v>5</v>
      </c>
    </row>
    <row r="97" spans="1:19" ht="12.75" customHeight="1" x14ac:dyDescent="0.3">
      <c r="A97" s="15"/>
      <c r="B97" s="28"/>
      <c r="C97" s="29" t="s">
        <v>85</v>
      </c>
      <c r="D97" s="35"/>
      <c r="E97" s="16">
        <v>2</v>
      </c>
      <c r="F97" s="16">
        <v>0</v>
      </c>
      <c r="G97" s="16">
        <v>0</v>
      </c>
      <c r="H97" s="16">
        <v>0</v>
      </c>
      <c r="I97" s="16">
        <v>0</v>
      </c>
      <c r="J97" s="16">
        <v>1</v>
      </c>
      <c r="K97" s="16">
        <v>1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3">
        <f t="shared" si="21"/>
        <v>4</v>
      </c>
    </row>
    <row r="98" spans="1:19" ht="12.75" customHeight="1" x14ac:dyDescent="0.3">
      <c r="A98" s="15"/>
      <c r="B98" s="28"/>
      <c r="C98" s="29" t="s">
        <v>86</v>
      </c>
      <c r="D98" s="30"/>
      <c r="E98" s="16">
        <v>1</v>
      </c>
      <c r="F98" s="16">
        <v>0</v>
      </c>
      <c r="G98" s="16">
        <v>0</v>
      </c>
      <c r="H98" s="16">
        <v>1</v>
      </c>
      <c r="I98" s="16">
        <v>1</v>
      </c>
      <c r="J98" s="16">
        <v>0</v>
      </c>
      <c r="K98" s="16">
        <v>0</v>
      </c>
      <c r="L98" s="16">
        <v>0</v>
      </c>
      <c r="M98" s="16">
        <v>1</v>
      </c>
      <c r="N98" s="16">
        <v>0</v>
      </c>
      <c r="O98" s="16">
        <v>1</v>
      </c>
      <c r="P98" s="16">
        <v>0</v>
      </c>
      <c r="Q98" s="16">
        <v>3</v>
      </c>
      <c r="R98" s="16">
        <v>0</v>
      </c>
      <c r="S98" s="13">
        <f t="shared" si="21"/>
        <v>8</v>
      </c>
    </row>
    <row r="99" spans="1:19" ht="12.75" customHeight="1" x14ac:dyDescent="0.3">
      <c r="A99" s="15"/>
      <c r="B99" s="28"/>
      <c r="C99" s="29" t="s">
        <v>87</v>
      </c>
      <c r="D99" s="30"/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3">
        <f t="shared" si="21"/>
        <v>0</v>
      </c>
    </row>
    <row r="100" spans="1:19" ht="12.75" customHeight="1" x14ac:dyDescent="0.3">
      <c r="A100" s="15"/>
      <c r="B100" s="28"/>
      <c r="C100" s="29" t="s">
        <v>88</v>
      </c>
      <c r="D100" s="35"/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3">
        <f t="shared" si="21"/>
        <v>0</v>
      </c>
    </row>
    <row r="101" spans="1:19" ht="12.75" customHeight="1" x14ac:dyDescent="0.3">
      <c r="A101" s="15"/>
      <c r="B101" s="28"/>
      <c r="C101" s="29" t="s">
        <v>89</v>
      </c>
      <c r="D101" s="35"/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3">
        <f t="shared" si="21"/>
        <v>0</v>
      </c>
    </row>
    <row r="102" spans="1:19" ht="12.75" customHeight="1" x14ac:dyDescent="0.3">
      <c r="A102" s="15"/>
      <c r="B102" s="28"/>
      <c r="C102" s="29" t="s">
        <v>90</v>
      </c>
      <c r="D102" s="35"/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3">
        <f t="shared" si="21"/>
        <v>0</v>
      </c>
    </row>
    <row r="103" spans="1:19" ht="12.75" customHeight="1" x14ac:dyDescent="0.3">
      <c r="A103" s="16" t="s">
        <v>15</v>
      </c>
      <c r="B103" s="59" t="s">
        <v>49</v>
      </c>
      <c r="C103" s="60"/>
      <c r="D103" s="58"/>
      <c r="E103" s="13">
        <f t="shared" ref="E103:S103" si="22">SUM(E93:E102)</f>
        <v>4</v>
      </c>
      <c r="F103" s="13">
        <f t="shared" si="22"/>
        <v>2</v>
      </c>
      <c r="G103" s="13">
        <f t="shared" si="22"/>
        <v>6</v>
      </c>
      <c r="H103" s="13">
        <f t="shared" si="22"/>
        <v>8</v>
      </c>
      <c r="I103" s="13">
        <f t="shared" si="22"/>
        <v>3</v>
      </c>
      <c r="J103" s="13">
        <f t="shared" si="22"/>
        <v>5</v>
      </c>
      <c r="K103" s="13">
        <f t="shared" si="22"/>
        <v>5</v>
      </c>
      <c r="L103" s="13">
        <f t="shared" si="22"/>
        <v>6</v>
      </c>
      <c r="M103" s="13">
        <f t="shared" si="22"/>
        <v>5</v>
      </c>
      <c r="N103" s="13">
        <f t="shared" si="22"/>
        <v>6</v>
      </c>
      <c r="O103" s="13">
        <f t="shared" si="22"/>
        <v>2</v>
      </c>
      <c r="P103" s="13">
        <f t="shared" si="22"/>
        <v>6</v>
      </c>
      <c r="Q103" s="13">
        <f t="shared" si="22"/>
        <v>18</v>
      </c>
      <c r="R103" s="13">
        <f t="shared" si="22"/>
        <v>12</v>
      </c>
      <c r="S103" s="13">
        <f t="shared" si="22"/>
        <v>88</v>
      </c>
    </row>
    <row r="104" spans="1:19" ht="12.75" customHeight="1" x14ac:dyDescent="0.3">
      <c r="A104" s="55"/>
      <c r="B104" s="56"/>
      <c r="C104" s="56"/>
      <c r="D104" s="56"/>
      <c r="E104" s="56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</row>
    <row r="105" spans="1:19" ht="12.75" customHeight="1" x14ac:dyDescent="0.3">
      <c r="A105" s="20" t="s">
        <v>37</v>
      </c>
      <c r="B105" s="27" t="s">
        <v>91</v>
      </c>
      <c r="C105" s="57" t="s">
        <v>92</v>
      </c>
      <c r="D105" s="58"/>
      <c r="E105" s="16">
        <v>0</v>
      </c>
      <c r="F105" s="16">
        <v>0</v>
      </c>
      <c r="G105" s="16">
        <v>0</v>
      </c>
      <c r="H105" s="16">
        <v>0</v>
      </c>
      <c r="I105" s="16">
        <v>1</v>
      </c>
      <c r="J105" s="16">
        <v>1</v>
      </c>
      <c r="K105" s="16">
        <v>1</v>
      </c>
      <c r="L105" s="16">
        <v>1</v>
      </c>
      <c r="M105" s="16">
        <v>0</v>
      </c>
      <c r="N105" s="16">
        <v>1</v>
      </c>
      <c r="O105" s="16">
        <v>1</v>
      </c>
      <c r="P105" s="16">
        <v>1</v>
      </c>
      <c r="Q105" s="16">
        <v>0</v>
      </c>
      <c r="R105" s="16">
        <v>1</v>
      </c>
      <c r="S105" s="13">
        <f t="shared" ref="S105:S114" si="23">SUM(E105:R105)</f>
        <v>8</v>
      </c>
    </row>
    <row r="106" spans="1:19" ht="12.75" customHeight="1" x14ac:dyDescent="0.3">
      <c r="A106" s="20" t="s">
        <v>39</v>
      </c>
      <c r="B106" s="28"/>
      <c r="C106" s="29" t="s">
        <v>93</v>
      </c>
      <c r="D106" s="30"/>
      <c r="E106" s="16">
        <v>0</v>
      </c>
      <c r="F106" s="16">
        <v>0</v>
      </c>
      <c r="G106" s="16">
        <v>0</v>
      </c>
      <c r="H106" s="16">
        <v>0</v>
      </c>
      <c r="I106" s="16">
        <v>1</v>
      </c>
      <c r="J106" s="16">
        <v>0</v>
      </c>
      <c r="K106" s="16">
        <v>2</v>
      </c>
      <c r="L106" s="16">
        <v>0</v>
      </c>
      <c r="M106" s="16">
        <v>1</v>
      </c>
      <c r="N106" s="16">
        <v>0</v>
      </c>
      <c r="O106" s="16">
        <v>0</v>
      </c>
      <c r="P106" s="16">
        <v>0</v>
      </c>
      <c r="Q106" s="16">
        <v>1</v>
      </c>
      <c r="R106" s="16">
        <v>0</v>
      </c>
      <c r="S106" s="13">
        <f t="shared" si="23"/>
        <v>5</v>
      </c>
    </row>
    <row r="107" spans="1:19" ht="12.75" customHeight="1" x14ac:dyDescent="0.3">
      <c r="A107" s="15"/>
      <c r="B107" s="28"/>
      <c r="C107" s="29" t="s">
        <v>94</v>
      </c>
      <c r="D107" s="30"/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1</v>
      </c>
      <c r="Q107" s="16">
        <v>0</v>
      </c>
      <c r="R107" s="16">
        <v>0</v>
      </c>
      <c r="S107" s="13">
        <f t="shared" si="23"/>
        <v>1</v>
      </c>
    </row>
    <row r="108" spans="1:19" ht="12.75" customHeight="1" x14ac:dyDescent="0.3">
      <c r="A108" s="15"/>
      <c r="B108" s="36"/>
      <c r="C108" s="37"/>
      <c r="D108" s="38"/>
      <c r="E108" s="52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3">
        <f t="shared" si="23"/>
        <v>0</v>
      </c>
    </row>
    <row r="109" spans="1:19" ht="12.75" customHeight="1" x14ac:dyDescent="0.3">
      <c r="A109" s="15"/>
      <c r="B109" s="36"/>
      <c r="C109" s="37"/>
      <c r="D109" s="38"/>
      <c r="E109" s="52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3">
        <f t="shared" si="23"/>
        <v>0</v>
      </c>
    </row>
    <row r="110" spans="1:19" ht="12.75" customHeight="1" x14ac:dyDescent="0.3">
      <c r="A110" s="15"/>
      <c r="B110" s="36"/>
      <c r="C110" s="37"/>
      <c r="D110" s="38"/>
      <c r="E110" s="52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3">
        <f t="shared" si="23"/>
        <v>0</v>
      </c>
    </row>
    <row r="111" spans="1:19" ht="12.75" customHeight="1" x14ac:dyDescent="0.3">
      <c r="A111" s="15"/>
      <c r="B111" s="36"/>
      <c r="C111" s="37"/>
      <c r="D111" s="38"/>
      <c r="E111" s="52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3">
        <f t="shared" si="23"/>
        <v>0</v>
      </c>
    </row>
    <row r="112" spans="1:19" ht="12.75" customHeight="1" x14ac:dyDescent="0.3">
      <c r="A112" s="15"/>
      <c r="B112" s="36"/>
      <c r="C112" s="37"/>
      <c r="D112" s="38"/>
      <c r="E112" s="52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3">
        <f t="shared" si="23"/>
        <v>0</v>
      </c>
    </row>
    <row r="113" spans="1:19" ht="12.75" customHeight="1" x14ac:dyDescent="0.3">
      <c r="A113" s="15"/>
      <c r="B113" s="36"/>
      <c r="C113" s="37"/>
      <c r="D113" s="38"/>
      <c r="E113" s="52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3">
        <f t="shared" si="23"/>
        <v>0</v>
      </c>
    </row>
    <row r="114" spans="1:19" ht="12.75" customHeight="1" x14ac:dyDescent="0.3">
      <c r="A114" s="15"/>
      <c r="B114" s="36"/>
      <c r="C114" s="37"/>
      <c r="D114" s="38"/>
      <c r="E114" s="52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3">
        <f t="shared" si="23"/>
        <v>0</v>
      </c>
    </row>
    <row r="115" spans="1:19" ht="12.75" customHeight="1" x14ac:dyDescent="0.3">
      <c r="A115" s="16" t="s">
        <v>15</v>
      </c>
      <c r="B115" s="59" t="s">
        <v>49</v>
      </c>
      <c r="C115" s="60"/>
      <c r="D115" s="58"/>
      <c r="E115" s="13">
        <f t="shared" ref="E115:S115" si="24">SUM(E105:E114)</f>
        <v>0</v>
      </c>
      <c r="F115" s="13">
        <f t="shared" si="24"/>
        <v>0</v>
      </c>
      <c r="G115" s="13">
        <f t="shared" si="24"/>
        <v>0</v>
      </c>
      <c r="H115" s="13">
        <f t="shared" si="24"/>
        <v>0</v>
      </c>
      <c r="I115" s="13">
        <f t="shared" si="24"/>
        <v>2</v>
      </c>
      <c r="J115" s="13">
        <f t="shared" si="24"/>
        <v>1</v>
      </c>
      <c r="K115" s="13">
        <f t="shared" si="24"/>
        <v>3</v>
      </c>
      <c r="L115" s="13">
        <f t="shared" si="24"/>
        <v>1</v>
      </c>
      <c r="M115" s="13">
        <f t="shared" si="24"/>
        <v>1</v>
      </c>
      <c r="N115" s="13">
        <f t="shared" si="24"/>
        <v>1</v>
      </c>
      <c r="O115" s="13">
        <f t="shared" si="24"/>
        <v>1</v>
      </c>
      <c r="P115" s="13">
        <f t="shared" si="24"/>
        <v>2</v>
      </c>
      <c r="Q115" s="13">
        <f t="shared" si="24"/>
        <v>1</v>
      </c>
      <c r="R115" s="13">
        <f t="shared" si="24"/>
        <v>1</v>
      </c>
      <c r="S115" s="13">
        <f t="shared" si="24"/>
        <v>14</v>
      </c>
    </row>
    <row r="116" spans="1:19" ht="12.75" customHeight="1" x14ac:dyDescent="0.3">
      <c r="A116" s="61"/>
      <c r="B116" s="60"/>
      <c r="C116" s="60"/>
      <c r="D116" s="60"/>
      <c r="E116" s="58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13"/>
    </row>
    <row r="117" spans="1:19" ht="12.75" customHeight="1" x14ac:dyDescent="0.3">
      <c r="A117" s="20" t="s">
        <v>37</v>
      </c>
      <c r="B117" s="27" t="s">
        <v>95</v>
      </c>
      <c r="C117" s="57" t="s">
        <v>96</v>
      </c>
      <c r="D117" s="58"/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1</v>
      </c>
      <c r="K117" s="16">
        <v>1</v>
      </c>
      <c r="L117" s="16">
        <v>1</v>
      </c>
      <c r="M117" s="16">
        <v>0</v>
      </c>
      <c r="N117" s="16">
        <v>2</v>
      </c>
      <c r="O117" s="16">
        <v>0</v>
      </c>
      <c r="P117" s="16">
        <v>2</v>
      </c>
      <c r="Q117" s="16">
        <v>0</v>
      </c>
      <c r="R117" s="16">
        <v>1</v>
      </c>
      <c r="S117" s="13">
        <f t="shared" ref="S117:S126" si="25">SUM(E117:R117)</f>
        <v>8</v>
      </c>
    </row>
    <row r="118" spans="1:19" ht="12.75" customHeight="1" x14ac:dyDescent="0.3">
      <c r="A118" s="20" t="s">
        <v>39</v>
      </c>
      <c r="B118" s="28"/>
      <c r="C118" s="29" t="s">
        <v>97</v>
      </c>
      <c r="D118" s="30"/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3</v>
      </c>
      <c r="K118" s="16">
        <v>6</v>
      </c>
      <c r="L118" s="16">
        <v>1</v>
      </c>
      <c r="M118" s="16">
        <v>1</v>
      </c>
      <c r="N118" s="16">
        <v>1</v>
      </c>
      <c r="O118" s="16">
        <v>0</v>
      </c>
      <c r="P118" s="16">
        <v>0</v>
      </c>
      <c r="Q118" s="16">
        <v>0</v>
      </c>
      <c r="R118" s="16">
        <v>0</v>
      </c>
      <c r="S118" s="13">
        <f t="shared" si="25"/>
        <v>12</v>
      </c>
    </row>
    <row r="119" spans="1:19" ht="12.75" customHeight="1" x14ac:dyDescent="0.3">
      <c r="A119" s="15"/>
      <c r="B119" s="28"/>
      <c r="C119" s="29" t="s">
        <v>98</v>
      </c>
      <c r="D119" s="30"/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2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3">
        <f t="shared" si="25"/>
        <v>2</v>
      </c>
    </row>
    <row r="120" spans="1:19" ht="12.75" customHeight="1" x14ac:dyDescent="0.3">
      <c r="A120" s="15"/>
      <c r="B120" s="28"/>
      <c r="C120" s="29" t="s">
        <v>99</v>
      </c>
      <c r="D120" s="30"/>
      <c r="E120" s="16">
        <v>0</v>
      </c>
      <c r="F120" s="16">
        <v>0</v>
      </c>
      <c r="G120" s="16">
        <v>0</v>
      </c>
      <c r="H120" s="16">
        <v>0</v>
      </c>
      <c r="I120" s="16">
        <v>1</v>
      </c>
      <c r="J120" s="16">
        <v>0</v>
      </c>
      <c r="K120" s="16">
        <v>1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1</v>
      </c>
      <c r="R120" s="16">
        <v>0</v>
      </c>
      <c r="S120" s="13">
        <f t="shared" si="25"/>
        <v>3</v>
      </c>
    </row>
    <row r="121" spans="1:19" ht="12.75" customHeight="1" x14ac:dyDescent="0.3">
      <c r="A121" s="15"/>
      <c r="B121" s="28"/>
      <c r="C121" s="29" t="s">
        <v>100</v>
      </c>
      <c r="D121" s="30"/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1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3">
        <f t="shared" si="25"/>
        <v>1</v>
      </c>
    </row>
    <row r="122" spans="1:19" ht="12.75" customHeight="1" x14ac:dyDescent="0.3">
      <c r="A122" s="15"/>
      <c r="B122" s="28"/>
      <c r="C122" s="29" t="s">
        <v>101</v>
      </c>
      <c r="D122" s="30"/>
      <c r="E122" s="16">
        <v>0</v>
      </c>
      <c r="F122" s="16">
        <v>0</v>
      </c>
      <c r="G122" s="16">
        <v>0</v>
      </c>
      <c r="H122" s="16">
        <v>0</v>
      </c>
      <c r="I122" s="16">
        <v>1</v>
      </c>
      <c r="J122" s="16">
        <v>0</v>
      </c>
      <c r="K122" s="16">
        <v>2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3">
        <f t="shared" si="25"/>
        <v>3</v>
      </c>
    </row>
    <row r="123" spans="1:19" ht="12.75" customHeight="1" x14ac:dyDescent="0.3">
      <c r="A123" s="15"/>
      <c r="B123" s="36"/>
      <c r="C123" s="37"/>
      <c r="D123" s="40"/>
      <c r="E123" s="41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13">
        <f t="shared" si="25"/>
        <v>0</v>
      </c>
    </row>
    <row r="124" spans="1:19" ht="12.75" customHeight="1" x14ac:dyDescent="0.3">
      <c r="A124" s="15"/>
      <c r="B124" s="36"/>
      <c r="C124" s="37"/>
      <c r="D124" s="38"/>
      <c r="E124" s="41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13">
        <f t="shared" si="25"/>
        <v>0</v>
      </c>
    </row>
    <row r="125" spans="1:19" ht="12.75" customHeight="1" x14ac:dyDescent="0.3">
      <c r="A125" s="15"/>
      <c r="B125" s="36"/>
      <c r="C125" s="37"/>
      <c r="D125" s="38"/>
      <c r="E125" s="41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13">
        <f t="shared" si="25"/>
        <v>0</v>
      </c>
    </row>
    <row r="126" spans="1:19" ht="12.75" customHeight="1" x14ac:dyDescent="0.3">
      <c r="A126" s="15"/>
      <c r="B126" s="36"/>
      <c r="C126" s="37"/>
      <c r="D126" s="38"/>
      <c r="E126" s="41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13">
        <f t="shared" si="25"/>
        <v>0</v>
      </c>
    </row>
    <row r="127" spans="1:19" ht="12.75" customHeight="1" x14ac:dyDescent="0.3">
      <c r="A127" s="16" t="s">
        <v>15</v>
      </c>
      <c r="B127" s="59" t="s">
        <v>49</v>
      </c>
      <c r="C127" s="60"/>
      <c r="D127" s="58"/>
      <c r="E127" s="13">
        <f t="shared" ref="E127:S127" si="26">SUM(E117:E126)</f>
        <v>0</v>
      </c>
      <c r="F127" s="13">
        <f t="shared" si="26"/>
        <v>0</v>
      </c>
      <c r="G127" s="13">
        <f t="shared" si="26"/>
        <v>0</v>
      </c>
      <c r="H127" s="13">
        <f t="shared" si="26"/>
        <v>0</v>
      </c>
      <c r="I127" s="13">
        <f t="shared" si="26"/>
        <v>2</v>
      </c>
      <c r="J127" s="13">
        <f t="shared" si="26"/>
        <v>7</v>
      </c>
      <c r="K127" s="13">
        <f t="shared" si="26"/>
        <v>10</v>
      </c>
      <c r="L127" s="13">
        <f t="shared" si="26"/>
        <v>2</v>
      </c>
      <c r="M127" s="13">
        <f t="shared" si="26"/>
        <v>1</v>
      </c>
      <c r="N127" s="13">
        <f t="shared" si="26"/>
        <v>3</v>
      </c>
      <c r="O127" s="13">
        <f t="shared" si="26"/>
        <v>0</v>
      </c>
      <c r="P127" s="13">
        <f t="shared" si="26"/>
        <v>2</v>
      </c>
      <c r="Q127" s="13">
        <f t="shared" si="26"/>
        <v>1</v>
      </c>
      <c r="R127" s="13">
        <f t="shared" si="26"/>
        <v>1</v>
      </c>
      <c r="S127" s="13">
        <f t="shared" si="26"/>
        <v>29</v>
      </c>
    </row>
    <row r="128" spans="1:19" ht="12.75" customHeight="1" x14ac:dyDescent="0.3">
      <c r="A128" s="61"/>
      <c r="B128" s="60"/>
      <c r="C128" s="60"/>
      <c r="D128" s="60"/>
      <c r="E128" s="58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</row>
    <row r="129" spans="1:19" ht="12.75" customHeight="1" x14ac:dyDescent="0.3">
      <c r="A129" s="20" t="s">
        <v>37</v>
      </c>
      <c r="B129" s="27" t="s">
        <v>102</v>
      </c>
      <c r="C129" s="57" t="s">
        <v>103</v>
      </c>
      <c r="D129" s="58"/>
      <c r="E129" s="16">
        <v>1</v>
      </c>
      <c r="F129" s="16">
        <v>0</v>
      </c>
      <c r="G129" s="16">
        <v>2</v>
      </c>
      <c r="H129" s="16">
        <v>0</v>
      </c>
      <c r="I129" s="16">
        <v>2</v>
      </c>
      <c r="J129" s="16">
        <v>2</v>
      </c>
      <c r="K129" s="16">
        <v>4</v>
      </c>
      <c r="L129" s="16">
        <v>0</v>
      </c>
      <c r="M129" s="16">
        <v>1</v>
      </c>
      <c r="N129" s="16">
        <v>0</v>
      </c>
      <c r="O129" s="16">
        <v>0</v>
      </c>
      <c r="P129" s="16">
        <v>0</v>
      </c>
      <c r="Q129" s="16">
        <v>0</v>
      </c>
      <c r="R129" s="16">
        <v>1</v>
      </c>
      <c r="S129" s="13">
        <f t="shared" ref="S129:S138" si="27">SUM(E129:R129)</f>
        <v>13</v>
      </c>
    </row>
    <row r="130" spans="1:19" ht="12.75" customHeight="1" x14ac:dyDescent="0.3">
      <c r="A130" s="20" t="s">
        <v>39</v>
      </c>
      <c r="B130" s="28"/>
      <c r="C130" s="29" t="s">
        <v>104</v>
      </c>
      <c r="D130" s="30"/>
      <c r="E130" s="16">
        <v>0</v>
      </c>
      <c r="F130" s="16">
        <v>0</v>
      </c>
      <c r="G130" s="16">
        <v>2</v>
      </c>
      <c r="H130" s="16">
        <v>0</v>
      </c>
      <c r="I130" s="16">
        <v>12</v>
      </c>
      <c r="J130" s="16">
        <v>2</v>
      </c>
      <c r="K130" s="16">
        <v>1</v>
      </c>
      <c r="L130" s="16">
        <v>7</v>
      </c>
      <c r="M130" s="16">
        <v>3</v>
      </c>
      <c r="N130" s="16">
        <v>0</v>
      </c>
      <c r="O130" s="16">
        <v>2</v>
      </c>
      <c r="P130" s="16">
        <v>1</v>
      </c>
      <c r="Q130" s="16">
        <v>6</v>
      </c>
      <c r="R130" s="16">
        <v>2</v>
      </c>
      <c r="S130" s="13">
        <f t="shared" si="27"/>
        <v>38</v>
      </c>
    </row>
    <row r="131" spans="1:19" ht="12.75" customHeight="1" x14ac:dyDescent="0.3">
      <c r="A131" s="15"/>
      <c r="B131" s="28"/>
      <c r="C131" s="29" t="s">
        <v>105</v>
      </c>
      <c r="D131" s="30"/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3">
        <f t="shared" si="27"/>
        <v>0</v>
      </c>
    </row>
    <row r="132" spans="1:19" ht="12.75" customHeight="1" x14ac:dyDescent="0.3">
      <c r="A132" s="15"/>
      <c r="B132" s="28"/>
      <c r="C132" s="29" t="s">
        <v>106</v>
      </c>
      <c r="D132" s="30"/>
      <c r="E132" s="16">
        <v>0</v>
      </c>
      <c r="F132" s="16">
        <v>3</v>
      </c>
      <c r="G132" s="16">
        <v>1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1</v>
      </c>
      <c r="Q132" s="16">
        <v>0</v>
      </c>
      <c r="R132" s="16">
        <v>0</v>
      </c>
      <c r="S132" s="13">
        <f t="shared" si="27"/>
        <v>5</v>
      </c>
    </row>
    <row r="133" spans="1:19" ht="12.75" customHeight="1" x14ac:dyDescent="0.3">
      <c r="A133" s="15"/>
      <c r="B133" s="28"/>
      <c r="C133" s="29" t="s">
        <v>107</v>
      </c>
      <c r="D133" s="30"/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3">
        <f t="shared" si="27"/>
        <v>0</v>
      </c>
    </row>
    <row r="134" spans="1:19" ht="12.75" customHeight="1" x14ac:dyDescent="0.3">
      <c r="A134" s="15"/>
      <c r="B134" s="28"/>
      <c r="C134" s="29" t="s">
        <v>108</v>
      </c>
      <c r="D134" s="30"/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1</v>
      </c>
      <c r="L134" s="16">
        <v>1</v>
      </c>
      <c r="M134" s="16">
        <v>0</v>
      </c>
      <c r="N134" s="16">
        <v>0</v>
      </c>
      <c r="O134" s="16">
        <v>0</v>
      </c>
      <c r="P134" s="16">
        <v>0</v>
      </c>
      <c r="Q134" s="16">
        <v>1</v>
      </c>
      <c r="R134" s="16">
        <v>0</v>
      </c>
      <c r="S134" s="13">
        <f t="shared" si="27"/>
        <v>3</v>
      </c>
    </row>
    <row r="135" spans="1:19" ht="12.75" customHeight="1" x14ac:dyDescent="0.3">
      <c r="A135" s="15"/>
      <c r="B135" s="28"/>
      <c r="C135" s="29" t="s">
        <v>109</v>
      </c>
      <c r="D135" s="30"/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6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3">
        <f t="shared" si="27"/>
        <v>6</v>
      </c>
    </row>
    <row r="136" spans="1:19" ht="12.75" customHeight="1" x14ac:dyDescent="0.3">
      <c r="A136" s="15"/>
      <c r="B136" s="28"/>
      <c r="C136" s="29" t="s">
        <v>110</v>
      </c>
      <c r="D136" s="30"/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1</v>
      </c>
      <c r="L136" s="16">
        <v>0</v>
      </c>
      <c r="M136" s="16">
        <v>0</v>
      </c>
      <c r="N136" s="16">
        <v>3</v>
      </c>
      <c r="O136" s="16">
        <v>2</v>
      </c>
      <c r="P136" s="16">
        <v>0</v>
      </c>
      <c r="Q136" s="16">
        <v>0</v>
      </c>
      <c r="R136" s="16">
        <v>0</v>
      </c>
      <c r="S136" s="13">
        <f t="shared" si="27"/>
        <v>6</v>
      </c>
    </row>
    <row r="137" spans="1:19" ht="12.75" customHeight="1" x14ac:dyDescent="0.3">
      <c r="A137" s="15"/>
      <c r="B137" s="28"/>
      <c r="C137" s="29" t="s">
        <v>111</v>
      </c>
      <c r="D137" s="30"/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3">
        <f t="shared" si="27"/>
        <v>0</v>
      </c>
    </row>
    <row r="138" spans="1:19" ht="12.75" customHeight="1" x14ac:dyDescent="0.3">
      <c r="A138" s="15"/>
      <c r="B138" s="28"/>
      <c r="C138" s="29" t="s">
        <v>112</v>
      </c>
      <c r="D138" s="30"/>
      <c r="E138" s="16">
        <v>0</v>
      </c>
      <c r="F138" s="16">
        <v>0</v>
      </c>
      <c r="G138" s="16">
        <v>1</v>
      </c>
      <c r="H138" s="16">
        <v>0</v>
      </c>
      <c r="I138" s="16">
        <v>0</v>
      </c>
      <c r="J138" s="16">
        <v>1</v>
      </c>
      <c r="K138" s="16">
        <v>1</v>
      </c>
      <c r="L138" s="16">
        <v>0</v>
      </c>
      <c r="M138" s="16">
        <v>1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3">
        <f t="shared" si="27"/>
        <v>4</v>
      </c>
    </row>
    <row r="139" spans="1:19" ht="12.75" customHeight="1" x14ac:dyDescent="0.3">
      <c r="A139" s="16" t="s">
        <v>15</v>
      </c>
      <c r="B139" s="59" t="s">
        <v>49</v>
      </c>
      <c r="C139" s="60"/>
      <c r="D139" s="58"/>
      <c r="E139" s="13">
        <f t="shared" ref="E139:S139" si="28">SUM(E129:E138)</f>
        <v>1</v>
      </c>
      <c r="F139" s="13">
        <f t="shared" si="28"/>
        <v>3</v>
      </c>
      <c r="G139" s="13">
        <f t="shared" si="28"/>
        <v>6</v>
      </c>
      <c r="H139" s="13">
        <f t="shared" si="28"/>
        <v>0</v>
      </c>
      <c r="I139" s="13">
        <f t="shared" si="28"/>
        <v>14</v>
      </c>
      <c r="J139" s="13">
        <f t="shared" si="28"/>
        <v>5</v>
      </c>
      <c r="K139" s="13">
        <f t="shared" si="28"/>
        <v>14</v>
      </c>
      <c r="L139" s="13">
        <f t="shared" si="28"/>
        <v>8</v>
      </c>
      <c r="M139" s="13">
        <f t="shared" si="28"/>
        <v>5</v>
      </c>
      <c r="N139" s="13">
        <f t="shared" si="28"/>
        <v>3</v>
      </c>
      <c r="O139" s="13">
        <f t="shared" si="28"/>
        <v>4</v>
      </c>
      <c r="P139" s="13">
        <f t="shared" si="28"/>
        <v>2</v>
      </c>
      <c r="Q139" s="13">
        <f t="shared" si="28"/>
        <v>7</v>
      </c>
      <c r="R139" s="13">
        <f t="shared" si="28"/>
        <v>3</v>
      </c>
      <c r="S139" s="13">
        <f t="shared" si="28"/>
        <v>75</v>
      </c>
    </row>
    <row r="140" spans="1:19" ht="12.75" customHeight="1" x14ac:dyDescent="0.3">
      <c r="A140" s="61"/>
      <c r="B140" s="60"/>
      <c r="C140" s="60"/>
      <c r="D140" s="60"/>
      <c r="E140" s="58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</row>
    <row r="141" spans="1:19" ht="12.75" customHeight="1" x14ac:dyDescent="0.3">
      <c r="A141" s="20" t="s">
        <v>37</v>
      </c>
      <c r="B141" s="27" t="s">
        <v>113</v>
      </c>
      <c r="C141" s="57" t="s">
        <v>114</v>
      </c>
      <c r="D141" s="58"/>
      <c r="E141" s="16">
        <v>0</v>
      </c>
      <c r="F141" s="16">
        <v>0</v>
      </c>
      <c r="G141" s="16">
        <v>0</v>
      </c>
      <c r="H141" s="16">
        <v>0</v>
      </c>
      <c r="I141" s="16">
        <v>1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3">
        <f t="shared" ref="S141:S150" si="29">SUM(E141:R141)</f>
        <v>1</v>
      </c>
    </row>
    <row r="142" spans="1:19" ht="12.75" customHeight="1" x14ac:dyDescent="0.3">
      <c r="A142" s="20" t="s">
        <v>39</v>
      </c>
      <c r="B142" s="28"/>
      <c r="C142" s="29" t="s">
        <v>115</v>
      </c>
      <c r="D142" s="30"/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3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3">
        <f t="shared" si="29"/>
        <v>3</v>
      </c>
    </row>
    <row r="143" spans="1:19" ht="12.75" customHeight="1" x14ac:dyDescent="0.3">
      <c r="A143" s="15"/>
      <c r="B143" s="28"/>
      <c r="C143" s="29" t="s">
        <v>116</v>
      </c>
      <c r="D143" s="30"/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3">
        <f t="shared" si="29"/>
        <v>0</v>
      </c>
    </row>
    <row r="144" spans="1:19" ht="12.75" customHeight="1" x14ac:dyDescent="0.3">
      <c r="A144" s="15"/>
      <c r="B144" s="28"/>
      <c r="C144" s="29" t="s">
        <v>117</v>
      </c>
      <c r="D144" s="30"/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1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3">
        <f t="shared" si="29"/>
        <v>1</v>
      </c>
    </row>
    <row r="145" spans="1:19" ht="12.75" customHeight="1" x14ac:dyDescent="0.3">
      <c r="A145" s="15"/>
      <c r="B145" s="36"/>
      <c r="C145" s="37"/>
      <c r="D145" s="40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3">
        <f t="shared" si="29"/>
        <v>0</v>
      </c>
    </row>
    <row r="146" spans="1:19" ht="12.75" customHeight="1" x14ac:dyDescent="0.3">
      <c r="A146" s="15"/>
      <c r="B146" s="36"/>
      <c r="C146" s="37"/>
      <c r="D146" s="40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3">
        <f t="shared" si="29"/>
        <v>0</v>
      </c>
    </row>
    <row r="147" spans="1:19" ht="12.75" customHeight="1" x14ac:dyDescent="0.3">
      <c r="A147" s="15"/>
      <c r="B147" s="36"/>
      <c r="C147" s="37"/>
      <c r="D147" s="40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3">
        <f t="shared" si="29"/>
        <v>0</v>
      </c>
    </row>
    <row r="148" spans="1:19" ht="12.75" customHeight="1" x14ac:dyDescent="0.3">
      <c r="A148" s="15"/>
      <c r="B148" s="36"/>
      <c r="C148" s="37"/>
      <c r="D148" s="38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3">
        <f t="shared" si="29"/>
        <v>0</v>
      </c>
    </row>
    <row r="149" spans="1:19" ht="12.75" customHeight="1" x14ac:dyDescent="0.3">
      <c r="A149" s="15"/>
      <c r="B149" s="36"/>
      <c r="C149" s="37"/>
      <c r="D149" s="38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3">
        <f t="shared" si="29"/>
        <v>0</v>
      </c>
    </row>
    <row r="150" spans="1:19" ht="12.75" customHeight="1" x14ac:dyDescent="0.3">
      <c r="A150" s="15"/>
      <c r="B150" s="36"/>
      <c r="C150" s="37"/>
      <c r="D150" s="38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3">
        <f t="shared" si="29"/>
        <v>0</v>
      </c>
    </row>
    <row r="151" spans="1:19" ht="12.75" customHeight="1" x14ac:dyDescent="0.3">
      <c r="A151" s="16" t="s">
        <v>15</v>
      </c>
      <c r="B151" s="59" t="s">
        <v>49</v>
      </c>
      <c r="C151" s="60"/>
      <c r="D151" s="58"/>
      <c r="E151" s="13">
        <f t="shared" ref="E151:S151" si="30">SUM(E141:E150)</f>
        <v>0</v>
      </c>
      <c r="F151" s="13">
        <f t="shared" si="30"/>
        <v>0</v>
      </c>
      <c r="G151" s="13">
        <f t="shared" si="30"/>
        <v>0</v>
      </c>
      <c r="H151" s="13">
        <f t="shared" si="30"/>
        <v>0</v>
      </c>
      <c r="I151" s="13">
        <f t="shared" si="30"/>
        <v>1</v>
      </c>
      <c r="J151" s="13">
        <f t="shared" si="30"/>
        <v>4</v>
      </c>
      <c r="K151" s="13">
        <f t="shared" si="30"/>
        <v>0</v>
      </c>
      <c r="L151" s="13">
        <f t="shared" si="30"/>
        <v>0</v>
      </c>
      <c r="M151" s="13">
        <f t="shared" si="30"/>
        <v>0</v>
      </c>
      <c r="N151" s="13">
        <f t="shared" si="30"/>
        <v>0</v>
      </c>
      <c r="O151" s="13">
        <f t="shared" si="30"/>
        <v>0</v>
      </c>
      <c r="P151" s="13">
        <f t="shared" si="30"/>
        <v>0</v>
      </c>
      <c r="Q151" s="13">
        <f t="shared" si="30"/>
        <v>0</v>
      </c>
      <c r="R151" s="13">
        <f t="shared" si="30"/>
        <v>0</v>
      </c>
      <c r="S151" s="13">
        <f t="shared" si="30"/>
        <v>5</v>
      </c>
    </row>
    <row r="152" spans="1:19" ht="12.75" customHeight="1" x14ac:dyDescent="0.3">
      <c r="A152" s="61"/>
      <c r="B152" s="60"/>
      <c r="C152" s="60"/>
      <c r="D152" s="60"/>
      <c r="E152" s="58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13"/>
    </row>
    <row r="153" spans="1:19" ht="12.75" customHeight="1" x14ac:dyDescent="0.3">
      <c r="A153" s="20" t="s">
        <v>37</v>
      </c>
      <c r="B153" s="14" t="s">
        <v>118</v>
      </c>
      <c r="C153" s="62" t="s">
        <v>119</v>
      </c>
      <c r="D153" s="63"/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1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1</v>
      </c>
      <c r="Q153" s="16">
        <v>0</v>
      </c>
      <c r="R153" s="16">
        <v>1</v>
      </c>
      <c r="S153" s="13">
        <f t="shared" ref="S153:S156" si="31">SUM(E154:R154)</f>
        <v>7</v>
      </c>
    </row>
    <row r="154" spans="1:19" ht="12.75" customHeight="1" x14ac:dyDescent="0.3">
      <c r="A154" s="42" t="s">
        <v>39</v>
      </c>
      <c r="B154" s="28"/>
      <c r="C154" s="29" t="s">
        <v>120</v>
      </c>
      <c r="D154" s="30"/>
      <c r="E154" s="53">
        <v>1</v>
      </c>
      <c r="F154" s="16">
        <v>1</v>
      </c>
      <c r="G154" s="16">
        <v>0</v>
      </c>
      <c r="H154" s="16">
        <v>0</v>
      </c>
      <c r="I154" s="16">
        <v>1</v>
      </c>
      <c r="J154" s="16">
        <v>1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2</v>
      </c>
      <c r="R154" s="16">
        <v>1</v>
      </c>
      <c r="S154" s="13">
        <f t="shared" si="31"/>
        <v>6</v>
      </c>
    </row>
    <row r="155" spans="1:19" ht="12.75" customHeight="1" x14ac:dyDescent="0.3">
      <c r="A155" s="15"/>
      <c r="B155" s="28"/>
      <c r="C155" s="29" t="s">
        <v>121</v>
      </c>
      <c r="D155" s="30"/>
      <c r="E155" s="53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2</v>
      </c>
      <c r="M155" s="16">
        <v>0</v>
      </c>
      <c r="N155" s="16">
        <v>1</v>
      </c>
      <c r="O155" s="16">
        <v>2</v>
      </c>
      <c r="P155" s="16">
        <v>1</v>
      </c>
      <c r="Q155" s="16">
        <v>0</v>
      </c>
      <c r="R155" s="16">
        <v>0</v>
      </c>
      <c r="S155" s="13">
        <f t="shared" si="31"/>
        <v>3</v>
      </c>
    </row>
    <row r="156" spans="1:19" ht="12.75" customHeight="1" x14ac:dyDescent="0.3">
      <c r="A156" s="15"/>
      <c r="B156" s="28"/>
      <c r="C156" s="29" t="s">
        <v>122</v>
      </c>
      <c r="D156" s="30"/>
      <c r="E156" s="53">
        <v>0</v>
      </c>
      <c r="F156" s="16">
        <v>0</v>
      </c>
      <c r="G156" s="16">
        <v>0</v>
      </c>
      <c r="H156" s="16">
        <v>2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1</v>
      </c>
      <c r="Q156" s="16">
        <v>0</v>
      </c>
      <c r="R156" s="16">
        <v>0</v>
      </c>
      <c r="S156" s="13">
        <f t="shared" si="31"/>
        <v>2</v>
      </c>
    </row>
    <row r="157" spans="1:19" ht="12.75" customHeight="1" x14ac:dyDescent="0.3">
      <c r="A157" s="15"/>
      <c r="B157" s="28"/>
      <c r="C157" s="29" t="s">
        <v>123</v>
      </c>
      <c r="D157" s="30"/>
      <c r="E157" s="53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1</v>
      </c>
      <c r="K157" s="16">
        <v>0</v>
      </c>
      <c r="L157" s="16">
        <v>0</v>
      </c>
      <c r="M157" s="16">
        <v>0</v>
      </c>
      <c r="N157" s="16">
        <v>0</v>
      </c>
      <c r="O157" s="16">
        <v>1</v>
      </c>
      <c r="P157" s="16">
        <v>0</v>
      </c>
      <c r="Q157" s="16">
        <v>0</v>
      </c>
      <c r="R157" s="16">
        <v>0</v>
      </c>
      <c r="S157" s="13">
        <f t="shared" ref="S157:S162" si="32">SUM(E163:R163)</f>
        <v>23</v>
      </c>
    </row>
    <row r="158" spans="1:19" ht="12.75" customHeight="1" x14ac:dyDescent="0.3">
      <c r="A158" s="15"/>
      <c r="B158" s="28"/>
      <c r="C158" s="29" t="s">
        <v>124</v>
      </c>
      <c r="D158" s="30"/>
      <c r="E158" s="53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1</v>
      </c>
      <c r="R158" s="16">
        <v>1</v>
      </c>
      <c r="S158" s="13">
        <f t="shared" si="32"/>
        <v>0</v>
      </c>
    </row>
    <row r="159" spans="1:19" ht="12.75" customHeight="1" x14ac:dyDescent="0.3">
      <c r="A159" s="15"/>
      <c r="B159" s="28"/>
      <c r="C159" s="29" t="s">
        <v>125</v>
      </c>
      <c r="D159" s="30"/>
      <c r="E159" s="53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3">
        <f t="shared" si="32"/>
        <v>3</v>
      </c>
    </row>
    <row r="160" spans="1:19" ht="12.75" customHeight="1" x14ac:dyDescent="0.3">
      <c r="A160" s="15"/>
      <c r="B160" s="28"/>
      <c r="C160" s="29" t="s">
        <v>126</v>
      </c>
      <c r="D160" s="30"/>
      <c r="E160" s="53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3">
        <f t="shared" si="32"/>
        <v>6</v>
      </c>
    </row>
    <row r="161" spans="1:19" ht="12.75" customHeight="1" x14ac:dyDescent="0.3">
      <c r="A161" s="15"/>
      <c r="B161" s="36"/>
      <c r="C161" s="43"/>
      <c r="D161" s="38"/>
      <c r="E161" s="53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3">
        <f t="shared" si="32"/>
        <v>0</v>
      </c>
    </row>
    <row r="162" spans="1:19" ht="12.75" customHeight="1" x14ac:dyDescent="0.3">
      <c r="A162" s="15"/>
      <c r="B162" s="36"/>
      <c r="C162" s="43"/>
      <c r="D162" s="38"/>
      <c r="E162" s="53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3">
        <f t="shared" si="32"/>
        <v>0</v>
      </c>
    </row>
    <row r="163" spans="1:19" ht="12.75" customHeight="1" x14ac:dyDescent="0.3">
      <c r="A163" s="16" t="s">
        <v>15</v>
      </c>
      <c r="B163" s="64" t="s">
        <v>49</v>
      </c>
      <c r="C163" s="56"/>
      <c r="D163" s="65"/>
      <c r="E163" s="13">
        <f t="shared" ref="E163:S163" si="33">SUM(E153:E162)</f>
        <v>1</v>
      </c>
      <c r="F163" s="13">
        <f t="shared" si="33"/>
        <v>1</v>
      </c>
      <c r="G163" s="13">
        <f t="shared" si="33"/>
        <v>0</v>
      </c>
      <c r="H163" s="13">
        <f t="shared" si="33"/>
        <v>2</v>
      </c>
      <c r="I163" s="13">
        <f t="shared" si="33"/>
        <v>1</v>
      </c>
      <c r="J163" s="13">
        <f t="shared" si="33"/>
        <v>3</v>
      </c>
      <c r="K163" s="13">
        <f t="shared" si="33"/>
        <v>0</v>
      </c>
      <c r="L163" s="13">
        <f t="shared" si="33"/>
        <v>2</v>
      </c>
      <c r="M163" s="13">
        <f t="shared" si="33"/>
        <v>0</v>
      </c>
      <c r="N163" s="13">
        <f t="shared" si="33"/>
        <v>1</v>
      </c>
      <c r="O163" s="13">
        <f t="shared" si="33"/>
        <v>3</v>
      </c>
      <c r="P163" s="13">
        <f t="shared" si="33"/>
        <v>3</v>
      </c>
      <c r="Q163" s="13">
        <f t="shared" si="33"/>
        <v>3</v>
      </c>
      <c r="R163" s="13">
        <f t="shared" si="33"/>
        <v>3</v>
      </c>
      <c r="S163" s="13">
        <f t="shared" si="33"/>
        <v>50</v>
      </c>
    </row>
    <row r="164" spans="1:19" ht="12.75" customHeight="1" x14ac:dyDescent="0.3">
      <c r="A164" s="61"/>
      <c r="B164" s="60"/>
      <c r="C164" s="60"/>
      <c r="D164" s="60"/>
      <c r="E164" s="58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</row>
    <row r="165" spans="1:19" ht="12.75" customHeight="1" x14ac:dyDescent="0.3">
      <c r="A165" s="20" t="s">
        <v>37</v>
      </c>
      <c r="B165" s="27" t="s">
        <v>127</v>
      </c>
      <c r="C165" s="57" t="s">
        <v>128</v>
      </c>
      <c r="D165" s="58"/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1</v>
      </c>
      <c r="L165" s="16">
        <v>0</v>
      </c>
      <c r="M165" s="16">
        <v>0</v>
      </c>
      <c r="N165" s="16">
        <v>2</v>
      </c>
      <c r="O165" s="16">
        <v>0</v>
      </c>
      <c r="P165" s="16">
        <v>0</v>
      </c>
      <c r="Q165" s="16">
        <v>0</v>
      </c>
      <c r="R165" s="16">
        <v>0</v>
      </c>
      <c r="S165" s="13">
        <f t="shared" ref="S165:S174" si="34">SUM(E165:R165)</f>
        <v>3</v>
      </c>
    </row>
    <row r="166" spans="1:19" ht="12.75" customHeight="1" x14ac:dyDescent="0.3">
      <c r="A166" s="20" t="s">
        <v>39</v>
      </c>
      <c r="B166" s="28"/>
      <c r="C166" s="29" t="s">
        <v>129</v>
      </c>
      <c r="D166" s="30"/>
      <c r="E166" s="16">
        <v>1</v>
      </c>
      <c r="F166" s="16">
        <v>0</v>
      </c>
      <c r="G166" s="16">
        <v>0</v>
      </c>
      <c r="H166" s="16">
        <v>1</v>
      </c>
      <c r="I166" s="16">
        <v>0</v>
      </c>
      <c r="J166" s="16">
        <v>1</v>
      </c>
      <c r="K166" s="16">
        <v>0</v>
      </c>
      <c r="L166" s="16">
        <v>0</v>
      </c>
      <c r="M166" s="16">
        <v>0</v>
      </c>
      <c r="N166" s="16">
        <v>1</v>
      </c>
      <c r="O166" s="16">
        <v>0</v>
      </c>
      <c r="P166" s="16">
        <v>0</v>
      </c>
      <c r="Q166" s="16">
        <v>1</v>
      </c>
      <c r="R166" s="16">
        <v>1</v>
      </c>
      <c r="S166" s="13">
        <f t="shared" si="34"/>
        <v>6</v>
      </c>
    </row>
    <row r="167" spans="1:19" ht="12.75" customHeight="1" x14ac:dyDescent="0.3">
      <c r="A167" s="15"/>
      <c r="B167" s="36"/>
      <c r="C167" s="37"/>
      <c r="D167" s="38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3">
        <f t="shared" si="34"/>
        <v>0</v>
      </c>
    </row>
    <row r="168" spans="1:19" ht="12.75" customHeight="1" x14ac:dyDescent="0.3">
      <c r="A168" s="15"/>
      <c r="B168" s="36"/>
      <c r="C168" s="37"/>
      <c r="D168" s="38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3">
        <f t="shared" si="34"/>
        <v>0</v>
      </c>
    </row>
    <row r="169" spans="1:19" ht="12.75" customHeight="1" x14ac:dyDescent="0.3">
      <c r="A169" s="15"/>
      <c r="B169" s="36"/>
      <c r="C169" s="37"/>
      <c r="D169" s="38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3">
        <f t="shared" si="34"/>
        <v>0</v>
      </c>
    </row>
    <row r="170" spans="1:19" ht="12.75" customHeight="1" x14ac:dyDescent="0.3">
      <c r="A170" s="15"/>
      <c r="B170" s="36"/>
      <c r="C170" s="37"/>
      <c r="D170" s="38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3">
        <f t="shared" si="34"/>
        <v>0</v>
      </c>
    </row>
    <row r="171" spans="1:19" ht="12.75" customHeight="1" x14ac:dyDescent="0.3">
      <c r="A171" s="15"/>
      <c r="B171" s="36"/>
      <c r="C171" s="37"/>
      <c r="D171" s="38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3">
        <f t="shared" si="34"/>
        <v>0</v>
      </c>
    </row>
    <row r="172" spans="1:19" ht="12.75" customHeight="1" x14ac:dyDescent="0.3">
      <c r="A172" s="15"/>
      <c r="B172" s="36"/>
      <c r="C172" s="37"/>
      <c r="D172" s="38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3">
        <f t="shared" si="34"/>
        <v>0</v>
      </c>
    </row>
    <row r="173" spans="1:19" ht="12.75" customHeight="1" x14ac:dyDescent="0.3">
      <c r="A173" s="15"/>
      <c r="B173" s="36"/>
      <c r="C173" s="37"/>
      <c r="D173" s="38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3">
        <f t="shared" si="34"/>
        <v>0</v>
      </c>
    </row>
    <row r="174" spans="1:19" ht="12.75" customHeight="1" x14ac:dyDescent="0.3">
      <c r="A174" s="15"/>
      <c r="B174" s="36"/>
      <c r="C174" s="37"/>
      <c r="D174" s="38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3">
        <f t="shared" si="34"/>
        <v>0</v>
      </c>
    </row>
    <row r="175" spans="1:19" ht="12.75" customHeight="1" x14ac:dyDescent="0.3">
      <c r="A175" s="16" t="s">
        <v>15</v>
      </c>
      <c r="B175" s="59" t="s">
        <v>49</v>
      </c>
      <c r="C175" s="60"/>
      <c r="D175" s="58"/>
      <c r="E175" s="13">
        <f t="shared" ref="E175:S175" si="35">SUM(E165:E174)</f>
        <v>1</v>
      </c>
      <c r="F175" s="13">
        <f t="shared" si="35"/>
        <v>0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1</v>
      </c>
      <c r="K175" s="13">
        <f t="shared" si="35"/>
        <v>1</v>
      </c>
      <c r="L175" s="13">
        <f t="shared" si="35"/>
        <v>0</v>
      </c>
      <c r="M175" s="13">
        <f t="shared" si="35"/>
        <v>0</v>
      </c>
      <c r="N175" s="13">
        <f t="shared" si="35"/>
        <v>3</v>
      </c>
      <c r="O175" s="13">
        <f t="shared" si="35"/>
        <v>0</v>
      </c>
      <c r="P175" s="13">
        <f t="shared" si="35"/>
        <v>0</v>
      </c>
      <c r="Q175" s="13">
        <f t="shared" si="35"/>
        <v>1</v>
      </c>
      <c r="R175" s="13">
        <f t="shared" si="35"/>
        <v>1</v>
      </c>
      <c r="S175" s="13">
        <f t="shared" si="35"/>
        <v>9</v>
      </c>
    </row>
    <row r="176" spans="1:19" ht="12.75" customHeight="1" x14ac:dyDescent="0.3">
      <c r="A176" s="61"/>
      <c r="B176" s="60"/>
      <c r="C176" s="60"/>
      <c r="D176" s="60"/>
      <c r="E176" s="58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</row>
    <row r="177" spans="1:19" ht="12.75" customHeight="1" x14ac:dyDescent="0.3">
      <c r="A177" s="20" t="s">
        <v>37</v>
      </c>
      <c r="B177" s="27" t="s">
        <v>130</v>
      </c>
      <c r="C177" s="57" t="s">
        <v>131</v>
      </c>
      <c r="D177" s="58"/>
      <c r="E177" s="16">
        <v>2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1</v>
      </c>
      <c r="M177" s="16">
        <v>1</v>
      </c>
      <c r="N177" s="16">
        <v>0</v>
      </c>
      <c r="O177" s="16">
        <v>0</v>
      </c>
      <c r="P177" s="16">
        <v>1</v>
      </c>
      <c r="Q177" s="16">
        <v>2</v>
      </c>
      <c r="R177" s="16">
        <v>1</v>
      </c>
      <c r="S177" s="13">
        <f t="shared" ref="S177:S186" si="36">SUM(E177:R177)</f>
        <v>8</v>
      </c>
    </row>
    <row r="178" spans="1:19" ht="12.75" customHeight="1" x14ac:dyDescent="0.3">
      <c r="A178" s="20" t="s">
        <v>39</v>
      </c>
      <c r="B178" s="28"/>
      <c r="C178" s="29" t="s">
        <v>132</v>
      </c>
      <c r="D178" s="30"/>
      <c r="E178" s="16">
        <v>1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1</v>
      </c>
      <c r="L178" s="16">
        <v>0</v>
      </c>
      <c r="M178" s="16">
        <v>1</v>
      </c>
      <c r="N178" s="16">
        <v>0</v>
      </c>
      <c r="O178" s="16">
        <v>0</v>
      </c>
      <c r="P178" s="16">
        <v>1</v>
      </c>
      <c r="Q178" s="16">
        <v>1</v>
      </c>
      <c r="R178" s="16">
        <v>0</v>
      </c>
      <c r="S178" s="13">
        <f t="shared" si="36"/>
        <v>5</v>
      </c>
    </row>
    <row r="179" spans="1:19" ht="12.75" customHeight="1" x14ac:dyDescent="0.3">
      <c r="A179" s="15"/>
      <c r="B179" s="28"/>
      <c r="C179" s="29" t="s">
        <v>133</v>
      </c>
      <c r="D179" s="30"/>
      <c r="E179" s="16">
        <v>0</v>
      </c>
      <c r="F179" s="16">
        <v>0</v>
      </c>
      <c r="G179" s="16">
        <v>1</v>
      </c>
      <c r="H179" s="16">
        <v>0</v>
      </c>
      <c r="I179" s="16">
        <v>0</v>
      </c>
      <c r="J179" s="16">
        <v>0</v>
      </c>
      <c r="K179" s="16">
        <v>1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1</v>
      </c>
      <c r="S179" s="13">
        <f t="shared" si="36"/>
        <v>3</v>
      </c>
    </row>
    <row r="180" spans="1:19" ht="12.75" customHeight="1" x14ac:dyDescent="0.3">
      <c r="A180" s="15"/>
      <c r="B180" s="28"/>
      <c r="C180" s="29" t="s">
        <v>134</v>
      </c>
      <c r="D180" s="30"/>
      <c r="E180" s="16">
        <v>0</v>
      </c>
      <c r="F180" s="16">
        <v>1</v>
      </c>
      <c r="G180" s="16">
        <v>0</v>
      </c>
      <c r="H180" s="16">
        <v>0</v>
      </c>
      <c r="I180" s="16">
        <v>1</v>
      </c>
      <c r="J180" s="16">
        <v>3</v>
      </c>
      <c r="K180" s="16">
        <v>0</v>
      </c>
      <c r="L180" s="16">
        <v>0</v>
      </c>
      <c r="M180" s="16">
        <v>2</v>
      </c>
      <c r="N180" s="16">
        <v>0</v>
      </c>
      <c r="O180" s="16">
        <v>0</v>
      </c>
      <c r="P180" s="16">
        <v>0</v>
      </c>
      <c r="Q180" s="16">
        <v>1</v>
      </c>
      <c r="R180" s="16">
        <v>0</v>
      </c>
      <c r="S180" s="13">
        <f t="shared" si="36"/>
        <v>8</v>
      </c>
    </row>
    <row r="181" spans="1:19" ht="12.75" customHeight="1" x14ac:dyDescent="0.3">
      <c r="A181" s="15"/>
      <c r="B181" s="28"/>
      <c r="C181" s="29" t="s">
        <v>135</v>
      </c>
      <c r="D181" s="30"/>
      <c r="E181" s="16">
        <v>0</v>
      </c>
      <c r="F181" s="16">
        <v>0</v>
      </c>
      <c r="G181" s="16">
        <v>0</v>
      </c>
      <c r="H181" s="16">
        <v>2</v>
      </c>
      <c r="I181" s="16">
        <v>2</v>
      </c>
      <c r="J181" s="16">
        <v>1</v>
      </c>
      <c r="K181" s="16">
        <v>0</v>
      </c>
      <c r="L181" s="16">
        <v>0</v>
      </c>
      <c r="M181" s="16">
        <v>1</v>
      </c>
      <c r="N181" s="16">
        <v>0</v>
      </c>
      <c r="O181" s="16">
        <v>0</v>
      </c>
      <c r="P181" s="16">
        <v>0</v>
      </c>
      <c r="Q181" s="16">
        <v>0</v>
      </c>
      <c r="R181" s="16">
        <v>1</v>
      </c>
      <c r="S181" s="13">
        <f t="shared" si="36"/>
        <v>7</v>
      </c>
    </row>
    <row r="182" spans="1:19" ht="12.75" customHeight="1" x14ac:dyDescent="0.3">
      <c r="A182" s="15"/>
      <c r="B182" s="28"/>
      <c r="C182" s="29" t="s">
        <v>136</v>
      </c>
      <c r="D182" s="30"/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3">
        <f t="shared" si="36"/>
        <v>0</v>
      </c>
    </row>
    <row r="183" spans="1:19" ht="12.75" customHeight="1" x14ac:dyDescent="0.3">
      <c r="A183" s="15"/>
      <c r="B183" s="28"/>
      <c r="C183" s="29" t="s">
        <v>137</v>
      </c>
      <c r="D183" s="30"/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1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3">
        <f t="shared" si="36"/>
        <v>1</v>
      </c>
    </row>
    <row r="184" spans="1:19" ht="12.75" customHeight="1" x14ac:dyDescent="0.3">
      <c r="A184" s="15"/>
      <c r="B184" s="28"/>
      <c r="C184" s="29" t="s">
        <v>138</v>
      </c>
      <c r="D184" s="30"/>
      <c r="E184" s="16">
        <v>0</v>
      </c>
      <c r="F184" s="16">
        <v>0</v>
      </c>
      <c r="G184" s="16">
        <v>0</v>
      </c>
      <c r="H184" s="16">
        <v>1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3">
        <f t="shared" si="36"/>
        <v>1</v>
      </c>
    </row>
    <row r="185" spans="1:19" ht="12.75" customHeight="1" x14ac:dyDescent="0.3">
      <c r="A185" s="15"/>
      <c r="B185" s="28"/>
      <c r="C185" s="29" t="s">
        <v>139</v>
      </c>
      <c r="D185" s="30"/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1</v>
      </c>
      <c r="S185" s="13">
        <f t="shared" si="36"/>
        <v>1</v>
      </c>
    </row>
    <row r="186" spans="1:19" ht="12.75" customHeight="1" x14ac:dyDescent="0.3">
      <c r="A186" s="15"/>
      <c r="B186" s="28"/>
      <c r="C186" s="29" t="s">
        <v>140</v>
      </c>
      <c r="D186" s="30"/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3">
        <f t="shared" si="36"/>
        <v>0</v>
      </c>
    </row>
    <row r="187" spans="1:19" ht="12.75" customHeight="1" x14ac:dyDescent="0.3">
      <c r="A187" s="16" t="s">
        <v>15</v>
      </c>
      <c r="B187" s="59" t="s">
        <v>49</v>
      </c>
      <c r="C187" s="60"/>
      <c r="D187" s="58"/>
      <c r="E187" s="13">
        <f t="shared" ref="E187:S187" si="37">SUM(E177:E186)</f>
        <v>3</v>
      </c>
      <c r="F187" s="13">
        <f t="shared" si="37"/>
        <v>1</v>
      </c>
      <c r="G187" s="13">
        <f t="shared" si="37"/>
        <v>1</v>
      </c>
      <c r="H187" s="13">
        <f t="shared" si="37"/>
        <v>3</v>
      </c>
      <c r="I187" s="13">
        <f t="shared" si="37"/>
        <v>3</v>
      </c>
      <c r="J187" s="13">
        <f t="shared" si="37"/>
        <v>5</v>
      </c>
      <c r="K187" s="13">
        <f t="shared" si="37"/>
        <v>2</v>
      </c>
      <c r="L187" s="13">
        <f t="shared" si="37"/>
        <v>1</v>
      </c>
      <c r="M187" s="13">
        <f t="shared" si="37"/>
        <v>5</v>
      </c>
      <c r="N187" s="13">
        <f t="shared" si="37"/>
        <v>0</v>
      </c>
      <c r="O187" s="13">
        <f t="shared" si="37"/>
        <v>0</v>
      </c>
      <c r="P187" s="13">
        <f t="shared" si="37"/>
        <v>2</v>
      </c>
      <c r="Q187" s="13">
        <f t="shared" si="37"/>
        <v>4</v>
      </c>
      <c r="R187" s="13">
        <f t="shared" si="37"/>
        <v>4</v>
      </c>
      <c r="S187" s="13">
        <f t="shared" si="37"/>
        <v>34</v>
      </c>
    </row>
    <row r="188" spans="1:19" ht="12.75" customHeight="1" x14ac:dyDescent="0.3">
      <c r="A188" s="61"/>
      <c r="B188" s="60"/>
      <c r="C188" s="60"/>
      <c r="D188" s="60"/>
      <c r="E188" s="58"/>
      <c r="F188" s="51"/>
      <c r="G188" s="51"/>
      <c r="H188" s="51"/>
      <c r="I188" s="51"/>
      <c r="J188" s="51"/>
      <c r="K188" s="51"/>
      <c r="L188" s="51"/>
      <c r="M188" s="51"/>
      <c r="N188" s="51"/>
      <c r="Q188" s="51"/>
      <c r="S188" s="13"/>
    </row>
    <row r="189" spans="1:19" ht="12.75" customHeight="1" x14ac:dyDescent="0.3">
      <c r="A189" s="20" t="s">
        <v>37</v>
      </c>
      <c r="B189" s="27" t="s">
        <v>141</v>
      </c>
      <c r="C189" s="57" t="s">
        <v>142</v>
      </c>
      <c r="D189" s="58"/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1</v>
      </c>
      <c r="R189" s="16">
        <v>0</v>
      </c>
      <c r="S189" s="13">
        <f t="shared" ref="S189:S198" si="38">SUM(E189:R189)</f>
        <v>1</v>
      </c>
    </row>
    <row r="190" spans="1:19" ht="12.75" customHeight="1" x14ac:dyDescent="0.3">
      <c r="A190" s="20" t="s">
        <v>39</v>
      </c>
      <c r="B190" s="28"/>
      <c r="C190" s="29" t="s">
        <v>143</v>
      </c>
      <c r="D190" s="30"/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1</v>
      </c>
      <c r="R190" s="16">
        <v>0</v>
      </c>
      <c r="S190" s="13">
        <f t="shared" si="38"/>
        <v>1</v>
      </c>
    </row>
    <row r="191" spans="1:19" ht="12.75" customHeight="1" x14ac:dyDescent="0.3">
      <c r="A191" s="15"/>
      <c r="B191" s="28"/>
      <c r="C191" s="29" t="s">
        <v>144</v>
      </c>
      <c r="D191" s="30"/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1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3">
        <f t="shared" si="38"/>
        <v>1</v>
      </c>
    </row>
    <row r="192" spans="1:19" ht="12.75" customHeight="1" x14ac:dyDescent="0.3">
      <c r="A192" s="15"/>
      <c r="B192" s="28"/>
      <c r="C192" s="29" t="s">
        <v>145</v>
      </c>
      <c r="D192" s="30"/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3">
        <f t="shared" si="38"/>
        <v>0</v>
      </c>
    </row>
    <row r="193" spans="1:19" ht="12.75" customHeight="1" x14ac:dyDescent="0.3">
      <c r="A193" s="15"/>
      <c r="B193" s="28"/>
      <c r="C193" s="29" t="s">
        <v>146</v>
      </c>
      <c r="D193" s="30"/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3">
        <f t="shared" si="38"/>
        <v>0</v>
      </c>
    </row>
    <row r="194" spans="1:19" ht="12.75" customHeight="1" x14ac:dyDescent="0.3">
      <c r="A194" s="15"/>
      <c r="B194" s="28"/>
      <c r="C194" s="29" t="s">
        <v>147</v>
      </c>
      <c r="D194" s="30"/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3">
        <f t="shared" si="38"/>
        <v>0</v>
      </c>
    </row>
    <row r="195" spans="1:19" ht="12.75" customHeight="1" x14ac:dyDescent="0.3">
      <c r="A195" s="15"/>
      <c r="B195" s="28"/>
      <c r="C195" s="29" t="s">
        <v>148</v>
      </c>
      <c r="D195" s="30"/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3">
        <f t="shared" si="38"/>
        <v>0</v>
      </c>
    </row>
    <row r="196" spans="1:19" ht="12.75" customHeight="1" x14ac:dyDescent="0.3">
      <c r="A196" s="15"/>
      <c r="B196" s="28"/>
      <c r="C196" s="29" t="s">
        <v>149</v>
      </c>
      <c r="D196" s="30"/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3">
        <f t="shared" si="38"/>
        <v>0</v>
      </c>
    </row>
    <row r="197" spans="1:19" ht="12.75" customHeight="1" x14ac:dyDescent="0.3">
      <c r="A197" s="15"/>
      <c r="B197" s="28"/>
      <c r="C197" s="29" t="s">
        <v>150</v>
      </c>
      <c r="D197" s="30"/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3">
        <f t="shared" si="38"/>
        <v>0</v>
      </c>
    </row>
    <row r="198" spans="1:19" ht="12.75" customHeight="1" x14ac:dyDescent="0.3">
      <c r="A198" s="15"/>
      <c r="B198" s="28"/>
      <c r="C198" s="29" t="s">
        <v>151</v>
      </c>
      <c r="D198" s="30"/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3">
        <f t="shared" si="38"/>
        <v>0</v>
      </c>
    </row>
    <row r="199" spans="1:19" ht="12.75" customHeight="1" x14ac:dyDescent="0.3">
      <c r="A199" s="16" t="s">
        <v>15</v>
      </c>
      <c r="B199" s="59" t="s">
        <v>49</v>
      </c>
      <c r="C199" s="60"/>
      <c r="D199" s="58"/>
      <c r="E199" s="13">
        <f t="shared" ref="E199:S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1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2</v>
      </c>
      <c r="R199" s="13">
        <f t="shared" si="39"/>
        <v>0</v>
      </c>
      <c r="S199" s="13">
        <f t="shared" si="39"/>
        <v>3</v>
      </c>
    </row>
    <row r="200" spans="1:19" ht="12.75" customHeight="1" x14ac:dyDescent="0.3">
      <c r="A200" s="61"/>
      <c r="B200" s="60"/>
      <c r="C200" s="60"/>
      <c r="D200" s="60"/>
      <c r="E200" s="58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</row>
    <row r="201" spans="1:19" ht="12.75" customHeight="1" x14ac:dyDescent="0.3">
      <c r="A201" s="20" t="s">
        <v>37</v>
      </c>
      <c r="B201" s="27" t="s">
        <v>152</v>
      </c>
      <c r="C201" s="57" t="s">
        <v>153</v>
      </c>
      <c r="D201" s="58"/>
      <c r="E201" s="16">
        <v>12</v>
      </c>
      <c r="F201" s="16">
        <v>10</v>
      </c>
      <c r="G201" s="16">
        <v>14</v>
      </c>
      <c r="H201" s="16">
        <v>5</v>
      </c>
      <c r="I201" s="16">
        <v>4</v>
      </c>
      <c r="J201" s="16">
        <v>8</v>
      </c>
      <c r="K201" s="16">
        <v>3</v>
      </c>
      <c r="L201" s="16">
        <v>2</v>
      </c>
      <c r="M201" s="16">
        <v>8</v>
      </c>
      <c r="N201" s="16">
        <v>5</v>
      </c>
      <c r="O201" s="16">
        <v>14</v>
      </c>
      <c r="P201" s="16">
        <v>21</v>
      </c>
      <c r="Q201" s="16">
        <v>4</v>
      </c>
      <c r="R201" s="16">
        <v>10</v>
      </c>
      <c r="S201" s="13">
        <f t="shared" ref="S201:S210" si="40">SUM(E201:R201)</f>
        <v>120</v>
      </c>
    </row>
    <row r="202" spans="1:19" ht="12.75" customHeight="1" x14ac:dyDescent="0.3">
      <c r="A202" s="20" t="s">
        <v>39</v>
      </c>
      <c r="B202" s="28"/>
      <c r="C202" s="29" t="s">
        <v>154</v>
      </c>
      <c r="D202" s="30"/>
      <c r="E202" s="16">
        <v>6</v>
      </c>
      <c r="F202" s="16">
        <v>2</v>
      </c>
      <c r="G202" s="16">
        <v>6</v>
      </c>
      <c r="H202" s="16">
        <v>9</v>
      </c>
      <c r="I202" s="16">
        <v>8</v>
      </c>
      <c r="J202" s="16">
        <v>7</v>
      </c>
      <c r="K202" s="16">
        <v>4</v>
      </c>
      <c r="L202" s="16">
        <v>3</v>
      </c>
      <c r="M202" s="16">
        <v>1</v>
      </c>
      <c r="N202" s="16">
        <v>7</v>
      </c>
      <c r="O202" s="16">
        <v>9</v>
      </c>
      <c r="P202" s="16">
        <v>14</v>
      </c>
      <c r="Q202" s="16">
        <v>6</v>
      </c>
      <c r="R202" s="16">
        <v>6</v>
      </c>
      <c r="S202" s="13">
        <f t="shared" si="40"/>
        <v>88</v>
      </c>
    </row>
    <row r="203" spans="1:19" ht="12.75" customHeight="1" x14ac:dyDescent="0.3">
      <c r="A203" s="15"/>
      <c r="B203" s="28"/>
      <c r="C203" s="29" t="s">
        <v>155</v>
      </c>
      <c r="D203" s="30"/>
      <c r="E203" s="16">
        <v>7</v>
      </c>
      <c r="F203" s="16">
        <v>11</v>
      </c>
      <c r="G203" s="16">
        <v>22</v>
      </c>
      <c r="H203" s="16">
        <v>11</v>
      </c>
      <c r="I203" s="16">
        <v>2</v>
      </c>
      <c r="J203" s="16">
        <v>8</v>
      </c>
      <c r="K203" s="16">
        <v>2</v>
      </c>
      <c r="L203" s="16">
        <v>8</v>
      </c>
      <c r="M203" s="16">
        <v>5</v>
      </c>
      <c r="N203" s="16">
        <v>7</v>
      </c>
      <c r="O203" s="16">
        <v>11</v>
      </c>
      <c r="P203" s="16">
        <v>15</v>
      </c>
      <c r="Q203" s="16">
        <v>8</v>
      </c>
      <c r="R203" s="16">
        <v>4</v>
      </c>
      <c r="S203" s="13">
        <f t="shared" si="40"/>
        <v>121</v>
      </c>
    </row>
    <row r="204" spans="1:19" ht="12.75" customHeight="1" x14ac:dyDescent="0.3">
      <c r="A204" s="15"/>
      <c r="B204" s="28"/>
      <c r="C204" s="29" t="s">
        <v>156</v>
      </c>
      <c r="D204" s="30"/>
      <c r="E204" s="16">
        <v>1</v>
      </c>
      <c r="F204" s="16">
        <v>2</v>
      </c>
      <c r="G204" s="16">
        <v>0</v>
      </c>
      <c r="H204" s="16">
        <v>1</v>
      </c>
      <c r="I204" s="16">
        <v>1</v>
      </c>
      <c r="J204" s="16">
        <v>0</v>
      </c>
      <c r="K204" s="16">
        <v>1</v>
      </c>
      <c r="L204" s="16">
        <v>1</v>
      </c>
      <c r="M204" s="16">
        <v>0</v>
      </c>
      <c r="N204" s="16">
        <v>1</v>
      </c>
      <c r="O204" s="16">
        <v>0</v>
      </c>
      <c r="P204" s="16">
        <v>3</v>
      </c>
      <c r="Q204" s="16">
        <v>0</v>
      </c>
      <c r="R204" s="16">
        <v>0</v>
      </c>
      <c r="S204" s="13">
        <f t="shared" si="40"/>
        <v>11</v>
      </c>
    </row>
    <row r="205" spans="1:19" ht="12.75" customHeight="1" x14ac:dyDescent="0.3">
      <c r="A205" s="15"/>
      <c r="B205" s="28"/>
      <c r="C205" s="29" t="s">
        <v>157</v>
      </c>
      <c r="D205" s="30"/>
      <c r="E205" s="16">
        <v>0</v>
      </c>
      <c r="F205" s="16">
        <v>0</v>
      </c>
      <c r="G205" s="16">
        <v>0</v>
      </c>
      <c r="H205" s="16">
        <v>0</v>
      </c>
      <c r="I205" s="16">
        <v>1</v>
      </c>
      <c r="J205" s="16">
        <v>1</v>
      </c>
      <c r="K205" s="16">
        <v>0</v>
      </c>
      <c r="L205" s="16">
        <v>0</v>
      </c>
      <c r="M205" s="16">
        <v>1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3">
        <f t="shared" si="40"/>
        <v>3</v>
      </c>
    </row>
    <row r="206" spans="1:19" ht="12.75" customHeight="1" x14ac:dyDescent="0.3">
      <c r="A206" s="15"/>
      <c r="B206" s="28"/>
      <c r="C206" s="29" t="s">
        <v>158</v>
      </c>
      <c r="D206" s="30"/>
      <c r="E206" s="16">
        <v>3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1</v>
      </c>
      <c r="L206" s="16">
        <v>0</v>
      </c>
      <c r="M206" s="16">
        <v>0</v>
      </c>
      <c r="N206" s="16">
        <v>0</v>
      </c>
      <c r="O206" s="16">
        <v>0</v>
      </c>
      <c r="P206" s="16">
        <v>1</v>
      </c>
      <c r="Q206" s="16">
        <v>0</v>
      </c>
      <c r="R206" s="16">
        <v>1</v>
      </c>
      <c r="S206" s="13">
        <f t="shared" si="40"/>
        <v>6</v>
      </c>
    </row>
    <row r="207" spans="1:19" ht="12.75" customHeight="1" x14ac:dyDescent="0.3">
      <c r="A207" s="15"/>
      <c r="B207" s="28"/>
      <c r="C207" s="29" t="s">
        <v>159</v>
      </c>
      <c r="D207" s="30"/>
      <c r="E207" s="16">
        <v>0</v>
      </c>
      <c r="F207" s="16">
        <v>0</v>
      </c>
      <c r="G207" s="16">
        <v>0</v>
      </c>
      <c r="H207" s="16">
        <v>1</v>
      </c>
      <c r="I207" s="16">
        <v>0</v>
      </c>
      <c r="J207" s="16">
        <v>0</v>
      </c>
      <c r="K207" s="16">
        <v>2</v>
      </c>
      <c r="L207" s="16">
        <v>0</v>
      </c>
      <c r="M207" s="16">
        <v>0</v>
      </c>
      <c r="N207" s="16">
        <v>0</v>
      </c>
      <c r="O207" s="16">
        <v>2</v>
      </c>
      <c r="P207" s="16">
        <v>0</v>
      </c>
      <c r="Q207" s="16">
        <v>0</v>
      </c>
      <c r="R207" s="16">
        <v>0</v>
      </c>
      <c r="S207" s="13">
        <f t="shared" si="40"/>
        <v>5</v>
      </c>
    </row>
    <row r="208" spans="1:19" ht="12.75" customHeight="1" x14ac:dyDescent="0.3">
      <c r="A208" s="15"/>
      <c r="B208" s="28"/>
      <c r="C208" s="29" t="s">
        <v>160</v>
      </c>
      <c r="D208" s="30"/>
      <c r="E208" s="16">
        <v>0</v>
      </c>
      <c r="F208" s="16">
        <v>0</v>
      </c>
      <c r="G208" s="16">
        <v>0</v>
      </c>
      <c r="H208" s="16">
        <v>4</v>
      </c>
      <c r="I208" s="16">
        <v>0</v>
      </c>
      <c r="J208" s="16">
        <v>2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1</v>
      </c>
      <c r="Q208" s="16">
        <v>1</v>
      </c>
      <c r="R208" s="16">
        <v>1</v>
      </c>
      <c r="S208" s="13">
        <f t="shared" si="40"/>
        <v>9</v>
      </c>
    </row>
    <row r="209" spans="1:19" ht="12.75" customHeight="1" x14ac:dyDescent="0.3">
      <c r="A209" s="15"/>
      <c r="B209" s="28"/>
      <c r="C209" s="29" t="s">
        <v>161</v>
      </c>
      <c r="D209" s="30"/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3">
        <f t="shared" si="40"/>
        <v>0</v>
      </c>
    </row>
    <row r="210" spans="1:19" ht="12.75" customHeight="1" x14ac:dyDescent="0.3">
      <c r="A210" s="15"/>
      <c r="B210" s="28"/>
      <c r="C210" s="29" t="s">
        <v>162</v>
      </c>
      <c r="D210" s="30"/>
      <c r="E210" s="16">
        <v>0</v>
      </c>
      <c r="F210" s="16">
        <v>0</v>
      </c>
      <c r="G210" s="16">
        <v>0</v>
      </c>
      <c r="H210" s="16">
        <v>0</v>
      </c>
      <c r="I210" s="16">
        <v>1</v>
      </c>
      <c r="J210" s="16">
        <v>2</v>
      </c>
      <c r="K210" s="16">
        <v>0</v>
      </c>
      <c r="L210" s="16">
        <v>0</v>
      </c>
      <c r="M210" s="16">
        <v>0</v>
      </c>
      <c r="N210" s="16">
        <v>1</v>
      </c>
      <c r="O210" s="16">
        <v>0</v>
      </c>
      <c r="P210" s="16">
        <v>0</v>
      </c>
      <c r="Q210" s="16">
        <v>1</v>
      </c>
      <c r="R210" s="16">
        <v>0</v>
      </c>
      <c r="S210" s="13">
        <f t="shared" si="40"/>
        <v>5</v>
      </c>
    </row>
    <row r="211" spans="1:19" ht="12.75" customHeight="1" x14ac:dyDescent="0.3">
      <c r="A211" s="16" t="s">
        <v>15</v>
      </c>
      <c r="B211" s="59" t="s">
        <v>49</v>
      </c>
      <c r="C211" s="60"/>
      <c r="D211" s="58"/>
      <c r="E211" s="13">
        <f t="shared" ref="E211:S211" si="41">SUM(E201:E210)</f>
        <v>29</v>
      </c>
      <c r="F211" s="13">
        <f t="shared" si="41"/>
        <v>25</v>
      </c>
      <c r="G211" s="13">
        <f t="shared" si="41"/>
        <v>42</v>
      </c>
      <c r="H211" s="13">
        <f t="shared" si="41"/>
        <v>31</v>
      </c>
      <c r="I211" s="13">
        <f t="shared" si="41"/>
        <v>17</v>
      </c>
      <c r="J211" s="13">
        <f t="shared" si="41"/>
        <v>28</v>
      </c>
      <c r="K211" s="13">
        <f t="shared" si="41"/>
        <v>13</v>
      </c>
      <c r="L211" s="13">
        <f t="shared" si="41"/>
        <v>14</v>
      </c>
      <c r="M211" s="13">
        <f t="shared" si="41"/>
        <v>15</v>
      </c>
      <c r="N211" s="13">
        <f t="shared" si="41"/>
        <v>21</v>
      </c>
      <c r="O211" s="13">
        <f t="shared" si="41"/>
        <v>36</v>
      </c>
      <c r="P211" s="13">
        <f t="shared" si="41"/>
        <v>55</v>
      </c>
      <c r="Q211" s="13">
        <f t="shared" si="41"/>
        <v>20</v>
      </c>
      <c r="R211" s="13">
        <f t="shared" si="41"/>
        <v>22</v>
      </c>
      <c r="S211" s="13">
        <f t="shared" si="41"/>
        <v>368</v>
      </c>
    </row>
    <row r="212" spans="1:19" ht="12.75" customHeight="1" x14ac:dyDescent="0.3">
      <c r="A212" s="61"/>
      <c r="B212" s="60"/>
      <c r="C212" s="60"/>
      <c r="D212" s="60"/>
      <c r="E212" s="58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</row>
    <row r="213" spans="1:19" ht="12.75" customHeight="1" x14ac:dyDescent="0.3">
      <c r="A213" s="20" t="s">
        <v>37</v>
      </c>
      <c r="B213" s="27" t="s">
        <v>163</v>
      </c>
      <c r="C213" s="57" t="s">
        <v>164</v>
      </c>
      <c r="D213" s="58"/>
      <c r="E213" s="16">
        <v>1</v>
      </c>
      <c r="F213" s="16">
        <v>2</v>
      </c>
      <c r="G213" s="16">
        <v>5</v>
      </c>
      <c r="H213" s="16">
        <v>3</v>
      </c>
      <c r="I213" s="16">
        <v>1</v>
      </c>
      <c r="J213" s="16">
        <v>2</v>
      </c>
      <c r="K213" s="16">
        <v>1</v>
      </c>
      <c r="L213" s="16">
        <v>4</v>
      </c>
      <c r="M213" s="16">
        <v>2</v>
      </c>
      <c r="N213" s="16">
        <v>0</v>
      </c>
      <c r="O213" s="16">
        <v>1</v>
      </c>
      <c r="P213" s="16">
        <v>0</v>
      </c>
      <c r="Q213" s="16">
        <v>0</v>
      </c>
      <c r="R213" s="16">
        <v>1</v>
      </c>
      <c r="S213" s="13">
        <f t="shared" ref="S213:S222" si="42">SUM(E213:R213)</f>
        <v>23</v>
      </c>
    </row>
    <row r="214" spans="1:19" ht="12.75" customHeight="1" x14ac:dyDescent="0.3">
      <c r="A214" s="20" t="s">
        <v>39</v>
      </c>
      <c r="B214" s="28"/>
      <c r="C214" s="29" t="s">
        <v>165</v>
      </c>
      <c r="D214" s="30"/>
      <c r="E214" s="16">
        <v>0</v>
      </c>
      <c r="F214" s="16">
        <v>1</v>
      </c>
      <c r="G214" s="16">
        <v>5</v>
      </c>
      <c r="H214" s="16">
        <v>2</v>
      </c>
      <c r="I214" s="16">
        <v>1</v>
      </c>
      <c r="J214" s="16">
        <v>3</v>
      </c>
      <c r="K214" s="16">
        <v>0</v>
      </c>
      <c r="L214" s="16">
        <v>5</v>
      </c>
      <c r="M214" s="16">
        <v>1</v>
      </c>
      <c r="N214" s="16">
        <v>2</v>
      </c>
      <c r="O214" s="16">
        <v>0</v>
      </c>
      <c r="P214" s="16">
        <v>1</v>
      </c>
      <c r="Q214" s="16">
        <v>1</v>
      </c>
      <c r="R214" s="16">
        <v>1</v>
      </c>
      <c r="S214" s="13">
        <f t="shared" si="42"/>
        <v>23</v>
      </c>
    </row>
    <row r="215" spans="1:19" ht="12.75" customHeight="1" x14ac:dyDescent="0.3">
      <c r="A215" s="15"/>
      <c r="B215" s="28"/>
      <c r="C215" s="29" t="s">
        <v>166</v>
      </c>
      <c r="D215" s="30"/>
      <c r="E215" s="16">
        <v>1</v>
      </c>
      <c r="F215" s="16">
        <v>2</v>
      </c>
      <c r="G215" s="16">
        <v>0</v>
      </c>
      <c r="H215" s="16">
        <v>2</v>
      </c>
      <c r="I215" s="16">
        <v>2</v>
      </c>
      <c r="J215" s="16">
        <v>2</v>
      </c>
      <c r="K215" s="16">
        <v>0</v>
      </c>
      <c r="L215" s="16">
        <v>2</v>
      </c>
      <c r="M215" s="16">
        <v>1</v>
      </c>
      <c r="N215" s="16">
        <v>4</v>
      </c>
      <c r="O215" s="16">
        <v>1</v>
      </c>
      <c r="P215" s="16">
        <v>0</v>
      </c>
      <c r="Q215" s="16">
        <v>1</v>
      </c>
      <c r="R215" s="16">
        <v>1</v>
      </c>
      <c r="S215" s="13">
        <f t="shared" si="42"/>
        <v>19</v>
      </c>
    </row>
    <row r="216" spans="1:19" ht="12.75" customHeight="1" x14ac:dyDescent="0.3">
      <c r="A216" s="15"/>
      <c r="B216" s="28"/>
      <c r="C216" s="29" t="s">
        <v>167</v>
      </c>
      <c r="D216" s="30"/>
      <c r="E216" s="16">
        <v>0</v>
      </c>
      <c r="F216" s="16">
        <v>1</v>
      </c>
      <c r="G216" s="16">
        <v>0</v>
      </c>
      <c r="H216" s="16">
        <v>1</v>
      </c>
      <c r="I216" s="16">
        <v>0</v>
      </c>
      <c r="J216" s="16">
        <v>2</v>
      </c>
      <c r="K216" s="16">
        <v>1</v>
      </c>
      <c r="L216" s="16">
        <v>0</v>
      </c>
      <c r="M216" s="16">
        <v>0</v>
      </c>
      <c r="N216" s="16">
        <v>2</v>
      </c>
      <c r="O216" s="16">
        <v>0</v>
      </c>
      <c r="P216" s="16">
        <v>0</v>
      </c>
      <c r="Q216" s="16">
        <v>0</v>
      </c>
      <c r="R216" s="16">
        <v>0</v>
      </c>
      <c r="S216" s="13">
        <f t="shared" si="42"/>
        <v>7</v>
      </c>
    </row>
    <row r="217" spans="1:19" ht="12.75" customHeight="1" x14ac:dyDescent="0.3">
      <c r="A217" s="15"/>
      <c r="B217" s="36"/>
      <c r="C217" s="37"/>
      <c r="D217" s="40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3">
        <f t="shared" si="42"/>
        <v>0</v>
      </c>
    </row>
    <row r="218" spans="1:19" ht="12.75" customHeight="1" x14ac:dyDescent="0.3">
      <c r="A218" s="15"/>
      <c r="B218" s="36"/>
      <c r="C218" s="37"/>
      <c r="D218" s="40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3">
        <f t="shared" si="42"/>
        <v>0</v>
      </c>
    </row>
    <row r="219" spans="1:19" ht="12.75" customHeight="1" x14ac:dyDescent="0.3">
      <c r="A219" s="15"/>
      <c r="B219" s="36"/>
      <c r="C219" s="37"/>
      <c r="D219" s="40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3">
        <f t="shared" si="42"/>
        <v>0</v>
      </c>
    </row>
    <row r="220" spans="1:19" ht="12.75" customHeight="1" x14ac:dyDescent="0.3">
      <c r="A220" s="15"/>
      <c r="B220" s="36"/>
      <c r="C220" s="37"/>
      <c r="D220" s="40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3">
        <f t="shared" si="42"/>
        <v>0</v>
      </c>
    </row>
    <row r="221" spans="1:19" ht="12.75" customHeight="1" x14ac:dyDescent="0.3">
      <c r="A221" s="15"/>
      <c r="B221" s="36"/>
      <c r="C221" s="37"/>
      <c r="D221" s="40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3">
        <f t="shared" si="42"/>
        <v>0</v>
      </c>
    </row>
    <row r="222" spans="1:19" ht="12.75" customHeight="1" x14ac:dyDescent="0.3">
      <c r="A222" s="15"/>
      <c r="B222" s="36"/>
      <c r="C222" s="37"/>
      <c r="D222" s="40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3">
        <f t="shared" si="42"/>
        <v>0</v>
      </c>
    </row>
    <row r="223" spans="1:19" ht="12.75" customHeight="1" x14ac:dyDescent="0.3">
      <c r="A223" s="16" t="s">
        <v>15</v>
      </c>
      <c r="B223" s="59" t="s">
        <v>49</v>
      </c>
      <c r="C223" s="60"/>
      <c r="D223" s="58"/>
      <c r="E223" s="13">
        <f t="shared" ref="E223:S223" si="43">SUM(E213:E222)</f>
        <v>2</v>
      </c>
      <c r="F223" s="13">
        <f t="shared" si="43"/>
        <v>6</v>
      </c>
      <c r="G223" s="13">
        <f t="shared" si="43"/>
        <v>10</v>
      </c>
      <c r="H223" s="13">
        <f t="shared" si="43"/>
        <v>8</v>
      </c>
      <c r="I223" s="13">
        <f t="shared" si="43"/>
        <v>4</v>
      </c>
      <c r="J223" s="13">
        <f t="shared" si="43"/>
        <v>9</v>
      </c>
      <c r="K223" s="13">
        <f t="shared" si="43"/>
        <v>2</v>
      </c>
      <c r="L223" s="13">
        <f t="shared" si="43"/>
        <v>11</v>
      </c>
      <c r="M223" s="13">
        <f t="shared" si="43"/>
        <v>4</v>
      </c>
      <c r="N223" s="13">
        <f t="shared" si="43"/>
        <v>8</v>
      </c>
      <c r="O223" s="13">
        <f t="shared" si="43"/>
        <v>2</v>
      </c>
      <c r="P223" s="13">
        <f t="shared" si="43"/>
        <v>1</v>
      </c>
      <c r="Q223" s="13">
        <f t="shared" si="43"/>
        <v>2</v>
      </c>
      <c r="R223" s="13">
        <f t="shared" si="43"/>
        <v>3</v>
      </c>
      <c r="S223" s="13">
        <f t="shared" si="43"/>
        <v>72</v>
      </c>
    </row>
    <row r="224" spans="1:19" ht="12.75" customHeight="1" x14ac:dyDescent="0.3">
      <c r="A224" s="61"/>
      <c r="B224" s="60"/>
      <c r="C224" s="60"/>
      <c r="D224" s="60"/>
      <c r="E224" s="58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</row>
    <row r="225" spans="1:19" ht="12.75" customHeight="1" x14ac:dyDescent="0.3">
      <c r="A225" s="20" t="s">
        <v>37</v>
      </c>
      <c r="B225" s="27" t="s">
        <v>168</v>
      </c>
      <c r="C225" s="57" t="s">
        <v>169</v>
      </c>
      <c r="D225" s="58"/>
      <c r="E225" s="16">
        <v>0</v>
      </c>
      <c r="F225" s="16">
        <v>0</v>
      </c>
      <c r="G225" s="16">
        <v>0</v>
      </c>
      <c r="H225" s="16">
        <v>0</v>
      </c>
      <c r="I225" s="16">
        <v>0</v>
      </c>
      <c r="J225" s="16">
        <v>0</v>
      </c>
      <c r="K225" s="16">
        <v>1</v>
      </c>
      <c r="L225" s="16">
        <v>0</v>
      </c>
      <c r="M225" s="16">
        <v>0</v>
      </c>
      <c r="N225" s="16">
        <v>0</v>
      </c>
      <c r="O225" s="16">
        <v>0</v>
      </c>
      <c r="P225" s="16">
        <v>0</v>
      </c>
      <c r="Q225" s="16">
        <v>0</v>
      </c>
      <c r="R225" s="16">
        <v>0</v>
      </c>
      <c r="S225" s="13">
        <f t="shared" ref="S225:S234" si="44">SUM(E225:R225)</f>
        <v>1</v>
      </c>
    </row>
    <row r="226" spans="1:19" ht="12.75" customHeight="1" x14ac:dyDescent="0.3">
      <c r="A226" s="20" t="s">
        <v>39</v>
      </c>
      <c r="B226" s="28"/>
      <c r="C226" s="29" t="s">
        <v>170</v>
      </c>
      <c r="D226" s="30"/>
      <c r="E226" s="16">
        <v>0</v>
      </c>
      <c r="F226" s="16">
        <v>0</v>
      </c>
      <c r="G226" s="16">
        <v>0</v>
      </c>
      <c r="H226" s="16">
        <v>0</v>
      </c>
      <c r="I226" s="16">
        <v>0</v>
      </c>
      <c r="J226" s="16">
        <v>0</v>
      </c>
      <c r="K226" s="16">
        <v>0</v>
      </c>
      <c r="L226" s="16">
        <v>0</v>
      </c>
      <c r="M226" s="16">
        <v>0</v>
      </c>
      <c r="N226" s="16">
        <v>0</v>
      </c>
      <c r="O226" s="16">
        <v>0</v>
      </c>
      <c r="P226" s="16">
        <v>0</v>
      </c>
      <c r="Q226" s="16">
        <v>0</v>
      </c>
      <c r="R226" s="16">
        <v>0</v>
      </c>
      <c r="S226" s="13">
        <f t="shared" si="44"/>
        <v>0</v>
      </c>
    </row>
    <row r="227" spans="1:19" ht="12.75" customHeight="1" x14ac:dyDescent="0.3">
      <c r="A227" s="15"/>
      <c r="B227" s="28"/>
      <c r="C227" s="29" t="s">
        <v>171</v>
      </c>
      <c r="D227" s="30"/>
      <c r="E227" s="16">
        <v>0</v>
      </c>
      <c r="F227" s="16">
        <v>0</v>
      </c>
      <c r="G227" s="16">
        <v>0</v>
      </c>
      <c r="H227" s="16">
        <v>0</v>
      </c>
      <c r="I227" s="16">
        <v>0</v>
      </c>
      <c r="J227" s="16">
        <v>0</v>
      </c>
      <c r="K227" s="16">
        <v>1</v>
      </c>
      <c r="L227" s="16">
        <v>0</v>
      </c>
      <c r="M227" s="16">
        <v>0</v>
      </c>
      <c r="N227" s="16">
        <v>0</v>
      </c>
      <c r="O227" s="16">
        <v>0</v>
      </c>
      <c r="P227" s="16">
        <v>0</v>
      </c>
      <c r="Q227" s="16">
        <v>1</v>
      </c>
      <c r="R227" s="16">
        <v>0</v>
      </c>
      <c r="S227" s="13">
        <f t="shared" si="44"/>
        <v>2</v>
      </c>
    </row>
    <row r="228" spans="1:19" ht="12.75" customHeight="1" x14ac:dyDescent="0.3">
      <c r="A228" s="15"/>
      <c r="B228" s="28"/>
      <c r="C228" s="29" t="s">
        <v>172</v>
      </c>
      <c r="D228" s="30"/>
      <c r="E228" s="16">
        <v>1</v>
      </c>
      <c r="F228" s="16">
        <v>0</v>
      </c>
      <c r="G228" s="16">
        <v>0</v>
      </c>
      <c r="H228" s="16">
        <v>0</v>
      </c>
      <c r="I228" s="16">
        <v>1</v>
      </c>
      <c r="J228" s="16">
        <v>0</v>
      </c>
      <c r="K228" s="16">
        <v>0</v>
      </c>
      <c r="L228" s="16">
        <v>0</v>
      </c>
      <c r="M228" s="16">
        <v>0</v>
      </c>
      <c r="N228" s="16">
        <v>0</v>
      </c>
      <c r="O228" s="16">
        <v>0</v>
      </c>
      <c r="P228" s="16">
        <v>0</v>
      </c>
      <c r="Q228" s="16">
        <v>0</v>
      </c>
      <c r="R228" s="16">
        <v>0</v>
      </c>
      <c r="S228" s="13">
        <f t="shared" si="44"/>
        <v>2</v>
      </c>
    </row>
    <row r="229" spans="1:19" ht="12.75" customHeight="1" x14ac:dyDescent="0.3">
      <c r="A229" s="15"/>
      <c r="B229" s="28"/>
      <c r="C229" s="29" t="s">
        <v>173</v>
      </c>
      <c r="D229" s="30"/>
      <c r="E229" s="16">
        <v>0</v>
      </c>
      <c r="F229" s="16">
        <v>0</v>
      </c>
      <c r="G229" s="16">
        <v>1</v>
      </c>
      <c r="H229" s="16">
        <v>0</v>
      </c>
      <c r="I229" s="16">
        <v>0</v>
      </c>
      <c r="J229" s="16">
        <v>0</v>
      </c>
      <c r="K229" s="16">
        <v>0</v>
      </c>
      <c r="L229" s="16">
        <v>1</v>
      </c>
      <c r="M229" s="16">
        <v>0</v>
      </c>
      <c r="N229" s="16">
        <v>0</v>
      </c>
      <c r="O229" s="16">
        <v>0</v>
      </c>
      <c r="P229" s="16">
        <v>0</v>
      </c>
      <c r="Q229" s="16">
        <v>0</v>
      </c>
      <c r="R229" s="16">
        <v>0</v>
      </c>
      <c r="S229" s="13">
        <f t="shared" si="44"/>
        <v>2</v>
      </c>
    </row>
    <row r="230" spans="1:19" ht="12.75" customHeight="1" x14ac:dyDescent="0.3">
      <c r="A230" s="15"/>
      <c r="B230" s="36"/>
      <c r="C230" s="37"/>
      <c r="D230" s="40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3">
        <f t="shared" si="44"/>
        <v>0</v>
      </c>
    </row>
    <row r="231" spans="1:19" ht="12.75" customHeight="1" x14ac:dyDescent="0.3">
      <c r="A231" s="15"/>
      <c r="B231" s="36"/>
      <c r="C231" s="37"/>
      <c r="D231" s="40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3">
        <f t="shared" si="44"/>
        <v>0</v>
      </c>
    </row>
    <row r="232" spans="1:19" ht="12.75" customHeight="1" x14ac:dyDescent="0.3">
      <c r="A232" s="15"/>
      <c r="B232" s="36"/>
      <c r="C232" s="37"/>
      <c r="D232" s="38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3">
        <f t="shared" si="44"/>
        <v>0</v>
      </c>
    </row>
    <row r="233" spans="1:19" ht="12.75" customHeight="1" x14ac:dyDescent="0.3">
      <c r="A233" s="15"/>
      <c r="B233" s="36"/>
      <c r="C233" s="37"/>
      <c r="D233" s="38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3">
        <f t="shared" si="44"/>
        <v>0</v>
      </c>
    </row>
    <row r="234" spans="1:19" ht="12.75" customHeight="1" x14ac:dyDescent="0.3">
      <c r="A234" s="15"/>
      <c r="B234" s="36"/>
      <c r="C234" s="37"/>
      <c r="D234" s="38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3">
        <f t="shared" si="44"/>
        <v>0</v>
      </c>
    </row>
    <row r="235" spans="1:19" ht="12.75" customHeight="1" x14ac:dyDescent="0.3">
      <c r="A235" s="16" t="s">
        <v>15</v>
      </c>
      <c r="B235" s="59" t="s">
        <v>49</v>
      </c>
      <c r="C235" s="60"/>
      <c r="D235" s="58"/>
      <c r="E235" s="13">
        <f t="shared" ref="E235:S235" si="45">SUM(E225:E234)</f>
        <v>1</v>
      </c>
      <c r="F235" s="13">
        <f t="shared" si="45"/>
        <v>0</v>
      </c>
      <c r="G235" s="13">
        <f t="shared" si="45"/>
        <v>1</v>
      </c>
      <c r="H235" s="13">
        <f t="shared" si="45"/>
        <v>0</v>
      </c>
      <c r="I235" s="13">
        <f t="shared" si="45"/>
        <v>1</v>
      </c>
      <c r="J235" s="13">
        <f t="shared" si="45"/>
        <v>0</v>
      </c>
      <c r="K235" s="13">
        <f t="shared" si="45"/>
        <v>2</v>
      </c>
      <c r="L235" s="13">
        <f t="shared" si="45"/>
        <v>1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1</v>
      </c>
      <c r="R235" s="13">
        <f t="shared" si="45"/>
        <v>0</v>
      </c>
      <c r="S235" s="13">
        <f t="shared" si="45"/>
        <v>7</v>
      </c>
    </row>
    <row r="236" spans="1:19" ht="12.75" customHeight="1" x14ac:dyDescent="0.3">
      <c r="A236" s="61"/>
      <c r="B236" s="60"/>
      <c r="C236" s="60"/>
      <c r="D236" s="60"/>
      <c r="E236" s="58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</row>
    <row r="237" spans="1:19" ht="12.75" customHeight="1" x14ac:dyDescent="0.3">
      <c r="A237" s="20" t="s">
        <v>37</v>
      </c>
      <c r="B237" s="27" t="s">
        <v>174</v>
      </c>
      <c r="C237" s="57" t="s">
        <v>175</v>
      </c>
      <c r="D237" s="58"/>
      <c r="E237" s="16">
        <v>0</v>
      </c>
      <c r="F237" s="16">
        <v>0</v>
      </c>
      <c r="G237" s="16">
        <v>0</v>
      </c>
      <c r="H237" s="16">
        <v>0</v>
      </c>
      <c r="I237" s="16">
        <v>0</v>
      </c>
      <c r="J237" s="16">
        <v>0</v>
      </c>
      <c r="K237" s="16">
        <v>0</v>
      </c>
      <c r="L237" s="16">
        <v>1</v>
      </c>
      <c r="M237" s="16">
        <v>1</v>
      </c>
      <c r="N237" s="16">
        <v>0</v>
      </c>
      <c r="O237" s="16">
        <v>1</v>
      </c>
      <c r="P237" s="16">
        <v>1</v>
      </c>
      <c r="Q237" s="16">
        <v>0</v>
      </c>
      <c r="R237" s="16">
        <v>2</v>
      </c>
      <c r="S237" s="13">
        <f t="shared" ref="S237:S246" si="46">SUM(E237:R237)</f>
        <v>6</v>
      </c>
    </row>
    <row r="238" spans="1:19" ht="12.75" customHeight="1" x14ac:dyDescent="0.3">
      <c r="A238" s="20" t="s">
        <v>39</v>
      </c>
      <c r="B238" s="28"/>
      <c r="C238" s="29" t="s">
        <v>176</v>
      </c>
      <c r="D238" s="30"/>
      <c r="E238" s="16">
        <v>0</v>
      </c>
      <c r="F238" s="16">
        <v>0</v>
      </c>
      <c r="G238" s="16">
        <v>0</v>
      </c>
      <c r="H238" s="16">
        <v>0</v>
      </c>
      <c r="I238" s="16">
        <v>0</v>
      </c>
      <c r="J238" s="16">
        <v>0</v>
      </c>
      <c r="K238" s="16">
        <v>1</v>
      </c>
      <c r="L238" s="16">
        <v>0</v>
      </c>
      <c r="M238" s="16">
        <v>0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3">
        <f t="shared" si="46"/>
        <v>1</v>
      </c>
    </row>
    <row r="239" spans="1:19" ht="12.75" customHeight="1" x14ac:dyDescent="0.3">
      <c r="A239" s="15"/>
      <c r="B239" s="28"/>
      <c r="C239" s="29" t="s">
        <v>177</v>
      </c>
      <c r="D239" s="30"/>
      <c r="E239" s="16">
        <v>0</v>
      </c>
      <c r="F239" s="16">
        <v>2</v>
      </c>
      <c r="G239" s="16">
        <v>2</v>
      </c>
      <c r="H239" s="16">
        <v>2</v>
      </c>
      <c r="I239" s="16">
        <v>1</v>
      </c>
      <c r="J239" s="16">
        <v>1</v>
      </c>
      <c r="K239" s="16">
        <v>2</v>
      </c>
      <c r="L239" s="16">
        <v>1</v>
      </c>
      <c r="M239" s="16">
        <v>0</v>
      </c>
      <c r="N239" s="16">
        <v>0</v>
      </c>
      <c r="O239" s="16">
        <v>2</v>
      </c>
      <c r="P239" s="16">
        <v>0</v>
      </c>
      <c r="Q239" s="16">
        <v>0</v>
      </c>
      <c r="R239" s="16">
        <v>0</v>
      </c>
      <c r="S239" s="13">
        <f t="shared" si="46"/>
        <v>13</v>
      </c>
    </row>
    <row r="240" spans="1:19" ht="12.75" customHeight="1" x14ac:dyDescent="0.3">
      <c r="A240" s="15"/>
      <c r="B240" s="28"/>
      <c r="C240" s="29" t="s">
        <v>178</v>
      </c>
      <c r="D240" s="30"/>
      <c r="E240" s="16">
        <v>0</v>
      </c>
      <c r="F240" s="16">
        <v>2</v>
      </c>
      <c r="G240" s="16">
        <v>0</v>
      </c>
      <c r="H240" s="16">
        <v>0</v>
      </c>
      <c r="I240" s="16">
        <v>0</v>
      </c>
      <c r="J240" s="16">
        <v>0</v>
      </c>
      <c r="K240" s="16">
        <v>1</v>
      </c>
      <c r="L240" s="16">
        <v>0</v>
      </c>
      <c r="M240" s="16">
        <v>0</v>
      </c>
      <c r="N240" s="16">
        <v>0</v>
      </c>
      <c r="O240" s="16">
        <v>0</v>
      </c>
      <c r="P240" s="16">
        <v>0</v>
      </c>
      <c r="Q240" s="16">
        <v>0</v>
      </c>
      <c r="R240" s="16">
        <v>0</v>
      </c>
      <c r="S240" s="13">
        <f t="shared" si="46"/>
        <v>3</v>
      </c>
    </row>
    <row r="241" spans="1:19" ht="12.75" customHeight="1" x14ac:dyDescent="0.3">
      <c r="A241" s="15"/>
      <c r="B241" s="28"/>
      <c r="C241" s="29" t="s">
        <v>179</v>
      </c>
      <c r="D241" s="30"/>
      <c r="E241" s="16">
        <v>0</v>
      </c>
      <c r="F241" s="16">
        <v>0</v>
      </c>
      <c r="G241" s="16">
        <v>0</v>
      </c>
      <c r="H241" s="16">
        <v>0</v>
      </c>
      <c r="I241" s="16">
        <v>0</v>
      </c>
      <c r="J241" s="16">
        <v>0</v>
      </c>
      <c r="K241" s="16">
        <v>0</v>
      </c>
      <c r="L241" s="16">
        <v>0</v>
      </c>
      <c r="M241" s="16">
        <v>0</v>
      </c>
      <c r="N241" s="16">
        <v>0</v>
      </c>
      <c r="O241" s="16">
        <v>0</v>
      </c>
      <c r="P241" s="16">
        <v>0</v>
      </c>
      <c r="Q241" s="16">
        <v>0</v>
      </c>
      <c r="R241" s="16">
        <v>0</v>
      </c>
      <c r="S241" s="13">
        <f t="shared" si="46"/>
        <v>0</v>
      </c>
    </row>
    <row r="242" spans="1:19" ht="12.75" customHeight="1" x14ac:dyDescent="0.3">
      <c r="A242" s="15"/>
      <c r="B242" s="28"/>
      <c r="C242" s="29" t="s">
        <v>180</v>
      </c>
      <c r="D242" s="30"/>
      <c r="E242" s="16">
        <v>2</v>
      </c>
      <c r="F242" s="16">
        <v>0</v>
      </c>
      <c r="G242" s="16">
        <v>0</v>
      </c>
      <c r="H242" s="16">
        <v>0</v>
      </c>
      <c r="I242" s="16">
        <v>0</v>
      </c>
      <c r="J242" s="16">
        <v>8</v>
      </c>
      <c r="K242" s="16">
        <v>0</v>
      </c>
      <c r="L242" s="16">
        <v>1</v>
      </c>
      <c r="M242" s="16">
        <v>0</v>
      </c>
      <c r="N242" s="16">
        <v>2</v>
      </c>
      <c r="O242" s="16">
        <v>6</v>
      </c>
      <c r="P242" s="16">
        <v>0</v>
      </c>
      <c r="Q242" s="16">
        <v>0</v>
      </c>
      <c r="R242" s="16">
        <v>0</v>
      </c>
      <c r="S242" s="13">
        <f t="shared" si="46"/>
        <v>19</v>
      </c>
    </row>
    <row r="243" spans="1:19" ht="12.75" customHeight="1" x14ac:dyDescent="0.3">
      <c r="A243" s="15"/>
      <c r="B243" s="28"/>
      <c r="C243" s="29" t="s">
        <v>181</v>
      </c>
      <c r="D243" s="30"/>
      <c r="E243" s="16">
        <v>0</v>
      </c>
      <c r="F243" s="16">
        <v>0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0</v>
      </c>
      <c r="M243" s="16">
        <v>0</v>
      </c>
      <c r="N243" s="16">
        <v>1</v>
      </c>
      <c r="O243" s="16">
        <v>0</v>
      </c>
      <c r="P243" s="16">
        <v>0</v>
      </c>
      <c r="Q243" s="16">
        <v>0</v>
      </c>
      <c r="R243" s="16">
        <v>0</v>
      </c>
      <c r="S243" s="13">
        <f t="shared" si="46"/>
        <v>1</v>
      </c>
    </row>
    <row r="244" spans="1:19" ht="12.75" customHeight="1" x14ac:dyDescent="0.3">
      <c r="A244" s="15"/>
      <c r="B244" s="28"/>
      <c r="C244" s="29" t="s">
        <v>182</v>
      </c>
      <c r="D244" s="30"/>
      <c r="E244" s="16">
        <v>0</v>
      </c>
      <c r="F244" s="16">
        <v>0</v>
      </c>
      <c r="G244" s="16">
        <v>0</v>
      </c>
      <c r="H244" s="16">
        <v>0</v>
      </c>
      <c r="I244" s="16">
        <v>0</v>
      </c>
      <c r="J244" s="16">
        <v>0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>
        <v>0</v>
      </c>
      <c r="Q244" s="16">
        <v>0</v>
      </c>
      <c r="R244" s="16">
        <v>0</v>
      </c>
      <c r="S244" s="13">
        <f t="shared" si="46"/>
        <v>0</v>
      </c>
    </row>
    <row r="245" spans="1:19" ht="12.75" customHeight="1" x14ac:dyDescent="0.3">
      <c r="A245" s="15"/>
      <c r="B245" s="28"/>
      <c r="C245" s="29" t="s">
        <v>183</v>
      </c>
      <c r="D245" s="30"/>
      <c r="E245" s="16">
        <v>0</v>
      </c>
      <c r="F245" s="16">
        <v>0</v>
      </c>
      <c r="G245" s="16">
        <v>0</v>
      </c>
      <c r="H245" s="16">
        <v>0</v>
      </c>
      <c r="I245" s="16">
        <v>0</v>
      </c>
      <c r="J245" s="16">
        <v>0</v>
      </c>
      <c r="K245" s="16">
        <v>0</v>
      </c>
      <c r="L245" s="16">
        <v>0</v>
      </c>
      <c r="M245" s="16">
        <v>0</v>
      </c>
      <c r="N245" s="16">
        <v>0</v>
      </c>
      <c r="O245" s="16">
        <v>0</v>
      </c>
      <c r="P245" s="16">
        <v>0</v>
      </c>
      <c r="Q245" s="16">
        <v>0</v>
      </c>
      <c r="R245" s="16">
        <v>0</v>
      </c>
      <c r="S245" s="13">
        <f t="shared" si="46"/>
        <v>0</v>
      </c>
    </row>
    <row r="246" spans="1:19" ht="12.75" customHeight="1" x14ac:dyDescent="0.3">
      <c r="A246" s="15"/>
      <c r="B246" s="28"/>
      <c r="C246" s="29" t="s">
        <v>184</v>
      </c>
      <c r="D246" s="30"/>
      <c r="E246" s="16">
        <v>0</v>
      </c>
      <c r="F246" s="16">
        <v>0</v>
      </c>
      <c r="G246" s="16">
        <v>0</v>
      </c>
      <c r="H246" s="16">
        <v>0</v>
      </c>
      <c r="I246" s="16">
        <v>0</v>
      </c>
      <c r="J246" s="16">
        <v>1</v>
      </c>
      <c r="K246" s="16">
        <v>0</v>
      </c>
      <c r="L246" s="16">
        <v>0</v>
      </c>
      <c r="M246" s="16">
        <v>0</v>
      </c>
      <c r="N246" s="16">
        <v>0</v>
      </c>
      <c r="O246" s="16">
        <v>0</v>
      </c>
      <c r="P246" s="16">
        <v>0</v>
      </c>
      <c r="Q246" s="16">
        <v>0</v>
      </c>
      <c r="R246" s="16">
        <v>0</v>
      </c>
      <c r="S246" s="13">
        <f t="shared" si="46"/>
        <v>1</v>
      </c>
    </row>
    <row r="247" spans="1:19" ht="12.75" customHeight="1" x14ac:dyDescent="0.3">
      <c r="A247" s="16" t="s">
        <v>15</v>
      </c>
      <c r="B247" s="59" t="s">
        <v>49</v>
      </c>
      <c r="C247" s="60"/>
      <c r="D247" s="58"/>
      <c r="E247" s="13">
        <f t="shared" ref="E247:S247" si="47">SUM(E237:E246)</f>
        <v>2</v>
      </c>
      <c r="F247" s="13">
        <f t="shared" si="47"/>
        <v>4</v>
      </c>
      <c r="G247" s="13">
        <f t="shared" si="47"/>
        <v>2</v>
      </c>
      <c r="H247" s="13">
        <f t="shared" si="47"/>
        <v>2</v>
      </c>
      <c r="I247" s="13">
        <f t="shared" si="47"/>
        <v>1</v>
      </c>
      <c r="J247" s="13">
        <f t="shared" si="47"/>
        <v>10</v>
      </c>
      <c r="K247" s="13">
        <f t="shared" si="47"/>
        <v>4</v>
      </c>
      <c r="L247" s="13">
        <f t="shared" si="47"/>
        <v>3</v>
      </c>
      <c r="M247" s="13">
        <f t="shared" si="47"/>
        <v>1</v>
      </c>
      <c r="N247" s="13">
        <f t="shared" si="47"/>
        <v>3</v>
      </c>
      <c r="O247" s="13">
        <f t="shared" si="47"/>
        <v>9</v>
      </c>
      <c r="P247" s="13">
        <f t="shared" si="47"/>
        <v>1</v>
      </c>
      <c r="Q247" s="13">
        <f t="shared" si="47"/>
        <v>0</v>
      </c>
      <c r="R247" s="13">
        <f t="shared" si="47"/>
        <v>2</v>
      </c>
      <c r="S247" s="13">
        <f t="shared" si="47"/>
        <v>44</v>
      </c>
    </row>
    <row r="248" spans="1:19" ht="12.75" customHeight="1" x14ac:dyDescent="0.3">
      <c r="A248" s="61"/>
      <c r="B248" s="60"/>
      <c r="C248" s="60"/>
      <c r="D248" s="60"/>
      <c r="E248" s="58"/>
    </row>
    <row r="249" spans="1:19" ht="12.75" customHeight="1" x14ac:dyDescent="0.3">
      <c r="A249" s="20" t="s">
        <v>37</v>
      </c>
      <c r="B249" s="27" t="s">
        <v>185</v>
      </c>
      <c r="C249" s="57" t="s">
        <v>186</v>
      </c>
      <c r="D249" s="58"/>
      <c r="E249" s="16">
        <v>0</v>
      </c>
      <c r="F249" s="16">
        <v>0</v>
      </c>
      <c r="G249" s="16">
        <v>0</v>
      </c>
      <c r="H249" s="16">
        <v>0</v>
      </c>
      <c r="I249" s="16">
        <v>0</v>
      </c>
      <c r="J249" s="16">
        <v>0</v>
      </c>
      <c r="K249" s="16">
        <v>0</v>
      </c>
      <c r="L249" s="16">
        <v>0</v>
      </c>
      <c r="M249" s="16">
        <v>0</v>
      </c>
      <c r="N249" s="16">
        <v>1</v>
      </c>
      <c r="O249" s="16">
        <v>1</v>
      </c>
      <c r="P249" s="16">
        <v>1</v>
      </c>
      <c r="Q249" s="16">
        <v>16</v>
      </c>
      <c r="R249" s="16">
        <v>4</v>
      </c>
      <c r="S249" s="13">
        <f t="shared" ref="S249:S258" si="48">SUM(E249:R249)</f>
        <v>23</v>
      </c>
    </row>
    <row r="250" spans="1:19" ht="12.75" customHeight="1" x14ac:dyDescent="0.3">
      <c r="A250" s="20" t="s">
        <v>39</v>
      </c>
      <c r="B250" s="28"/>
      <c r="C250" s="29" t="s">
        <v>187</v>
      </c>
      <c r="D250" s="30"/>
      <c r="E250" s="16">
        <v>1</v>
      </c>
      <c r="F250" s="16">
        <v>1</v>
      </c>
      <c r="G250" s="16">
        <v>1</v>
      </c>
      <c r="H250" s="16">
        <v>1</v>
      </c>
      <c r="I250" s="16">
        <v>0</v>
      </c>
      <c r="J250" s="16">
        <v>1</v>
      </c>
      <c r="K250" s="16">
        <v>0</v>
      </c>
      <c r="L250" s="16">
        <v>0</v>
      </c>
      <c r="M250" s="16">
        <v>1</v>
      </c>
      <c r="N250" s="16">
        <v>1</v>
      </c>
      <c r="O250" s="16">
        <v>2</v>
      </c>
      <c r="P250" s="16">
        <v>0</v>
      </c>
      <c r="Q250" s="16">
        <v>2</v>
      </c>
      <c r="R250" s="16">
        <v>3</v>
      </c>
      <c r="S250" s="13">
        <f t="shared" si="48"/>
        <v>14</v>
      </c>
    </row>
    <row r="251" spans="1:19" ht="12.75" customHeight="1" x14ac:dyDescent="0.3">
      <c r="A251" s="15"/>
      <c r="B251" s="28"/>
      <c r="C251" s="29" t="s">
        <v>188</v>
      </c>
      <c r="D251" s="30"/>
      <c r="E251" s="16">
        <v>0</v>
      </c>
      <c r="F251" s="16">
        <v>0</v>
      </c>
      <c r="G251" s="16">
        <v>0</v>
      </c>
      <c r="H251" s="16">
        <v>0</v>
      </c>
      <c r="I251" s="16">
        <v>0</v>
      </c>
      <c r="J251" s="16">
        <v>0</v>
      </c>
      <c r="K251" s="16">
        <v>0</v>
      </c>
      <c r="L251" s="16">
        <v>0</v>
      </c>
      <c r="M251" s="16">
        <v>0</v>
      </c>
      <c r="N251" s="16">
        <v>0</v>
      </c>
      <c r="O251" s="16">
        <v>0</v>
      </c>
      <c r="P251" s="16">
        <v>0</v>
      </c>
      <c r="Q251" s="16">
        <v>0</v>
      </c>
      <c r="R251" s="16">
        <v>2</v>
      </c>
      <c r="S251" s="13">
        <f t="shared" si="48"/>
        <v>2</v>
      </c>
    </row>
    <row r="252" spans="1:19" ht="12.75" customHeight="1" x14ac:dyDescent="0.3">
      <c r="A252" s="15"/>
      <c r="B252" s="28"/>
      <c r="C252" s="29" t="s">
        <v>189</v>
      </c>
      <c r="D252" s="30"/>
      <c r="E252" s="16">
        <v>0</v>
      </c>
      <c r="F252" s="16">
        <v>0</v>
      </c>
      <c r="G252" s="16">
        <v>0</v>
      </c>
      <c r="H252" s="16">
        <v>0</v>
      </c>
      <c r="I252" s="16">
        <v>0</v>
      </c>
      <c r="J252" s="16">
        <v>0</v>
      </c>
      <c r="K252" s="16">
        <v>0</v>
      </c>
      <c r="L252" s="16">
        <v>0</v>
      </c>
      <c r="M252" s="16">
        <v>0</v>
      </c>
      <c r="N252" s="16">
        <v>0</v>
      </c>
      <c r="O252" s="16">
        <v>0</v>
      </c>
      <c r="P252" s="16">
        <v>0</v>
      </c>
      <c r="Q252" s="16">
        <v>3</v>
      </c>
      <c r="R252" s="16">
        <v>1</v>
      </c>
      <c r="S252" s="13">
        <f t="shared" si="48"/>
        <v>4</v>
      </c>
    </row>
    <row r="253" spans="1:19" ht="12.75" customHeight="1" x14ac:dyDescent="0.3">
      <c r="A253" s="15"/>
      <c r="B253" s="36"/>
      <c r="C253" s="44"/>
      <c r="D253" s="38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3">
        <f t="shared" si="48"/>
        <v>0</v>
      </c>
    </row>
    <row r="254" spans="1:19" ht="12.75" customHeight="1" x14ac:dyDescent="0.3">
      <c r="A254" s="15"/>
      <c r="B254" s="36"/>
      <c r="C254" s="44"/>
      <c r="D254" s="38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3">
        <f t="shared" si="48"/>
        <v>0</v>
      </c>
    </row>
    <row r="255" spans="1:19" ht="12.75" customHeight="1" x14ac:dyDescent="0.3">
      <c r="A255" s="15"/>
      <c r="B255" s="36"/>
      <c r="C255" s="44"/>
      <c r="D255" s="38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3">
        <f t="shared" si="48"/>
        <v>0</v>
      </c>
    </row>
    <row r="256" spans="1:19" ht="12.75" customHeight="1" x14ac:dyDescent="0.3">
      <c r="A256" s="15"/>
      <c r="B256" s="36"/>
      <c r="C256" s="43"/>
      <c r="D256" s="38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3">
        <f t="shared" si="48"/>
        <v>0</v>
      </c>
    </row>
    <row r="257" spans="1:19" ht="12.75" customHeight="1" x14ac:dyDescent="0.3">
      <c r="A257" s="15"/>
      <c r="B257" s="36"/>
      <c r="C257" s="43"/>
      <c r="D257" s="38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3">
        <f t="shared" si="48"/>
        <v>0</v>
      </c>
    </row>
    <row r="258" spans="1:19" ht="12.75" customHeight="1" x14ac:dyDescent="0.3">
      <c r="A258" s="15"/>
      <c r="B258" s="36"/>
      <c r="C258" s="43"/>
      <c r="D258" s="38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3">
        <f t="shared" si="48"/>
        <v>0</v>
      </c>
    </row>
    <row r="259" spans="1:19" ht="12.75" customHeight="1" x14ac:dyDescent="0.3">
      <c r="A259" s="16" t="s">
        <v>15</v>
      </c>
      <c r="B259" s="59" t="s">
        <v>49</v>
      </c>
      <c r="C259" s="60"/>
      <c r="D259" s="58"/>
      <c r="E259" s="13">
        <f t="shared" ref="E259:S259" si="49">SUM(E249:E258)</f>
        <v>1</v>
      </c>
      <c r="F259" s="13">
        <f t="shared" si="49"/>
        <v>1</v>
      </c>
      <c r="G259" s="13">
        <f t="shared" si="49"/>
        <v>1</v>
      </c>
      <c r="H259" s="13">
        <f t="shared" si="49"/>
        <v>1</v>
      </c>
      <c r="I259" s="13">
        <f t="shared" si="49"/>
        <v>0</v>
      </c>
      <c r="J259" s="13">
        <f t="shared" si="49"/>
        <v>1</v>
      </c>
      <c r="K259" s="13">
        <f t="shared" si="49"/>
        <v>0</v>
      </c>
      <c r="L259" s="13">
        <f t="shared" si="49"/>
        <v>0</v>
      </c>
      <c r="M259" s="13">
        <f t="shared" si="49"/>
        <v>1</v>
      </c>
      <c r="N259" s="13">
        <f t="shared" si="49"/>
        <v>2</v>
      </c>
      <c r="O259" s="13">
        <f t="shared" si="49"/>
        <v>3</v>
      </c>
      <c r="P259" s="13">
        <f t="shared" si="49"/>
        <v>1</v>
      </c>
      <c r="Q259" s="13">
        <f t="shared" si="49"/>
        <v>21</v>
      </c>
      <c r="R259" s="13">
        <f t="shared" si="49"/>
        <v>10</v>
      </c>
      <c r="S259" s="13">
        <f t="shared" si="49"/>
        <v>43</v>
      </c>
    </row>
    <row r="260" spans="1:19" ht="12.75" customHeight="1" x14ac:dyDescent="0.3"/>
    <row r="261" spans="1:19" ht="12.75" customHeight="1" x14ac:dyDescent="0.3">
      <c r="A261" s="26" t="s">
        <v>190</v>
      </c>
      <c r="B261" s="66" t="s">
        <v>191</v>
      </c>
      <c r="C261" s="60"/>
      <c r="D261" s="58"/>
      <c r="E261" s="13"/>
      <c r="F261" s="13"/>
      <c r="G261" s="13"/>
      <c r="H261" s="13"/>
      <c r="I261" s="13"/>
      <c r="J261" s="13"/>
      <c r="K261" s="13"/>
      <c r="L261" s="13"/>
      <c r="M261" s="13"/>
      <c r="N261" s="50"/>
      <c r="O261" s="50"/>
      <c r="P261" s="50"/>
      <c r="Q261" s="50"/>
      <c r="R261" s="50"/>
      <c r="S261" s="13"/>
    </row>
    <row r="262" spans="1:19" ht="12.75" customHeight="1" x14ac:dyDescent="0.3">
      <c r="A262" s="26"/>
      <c r="B262" s="45" t="s">
        <v>192</v>
      </c>
      <c r="C262" s="67" t="s">
        <v>193</v>
      </c>
      <c r="D262" s="58"/>
      <c r="E262" s="16">
        <f t="shared" ref="E262:R262" si="50">E55+E67+E79+E91+E103+E115+E127+E139+E151+E163+E175+E187+E199+E211+E223+E235+E247+E259</f>
        <v>182</v>
      </c>
      <c r="F262" s="16">
        <f t="shared" si="50"/>
        <v>129</v>
      </c>
      <c r="G262" s="16">
        <f t="shared" si="50"/>
        <v>175</v>
      </c>
      <c r="H262" s="16">
        <f t="shared" si="50"/>
        <v>170</v>
      </c>
      <c r="I262" s="16">
        <f t="shared" si="50"/>
        <v>182</v>
      </c>
      <c r="J262" s="16">
        <f t="shared" si="50"/>
        <v>203</v>
      </c>
      <c r="K262" s="16">
        <f t="shared" si="50"/>
        <v>177</v>
      </c>
      <c r="L262" s="16">
        <f t="shared" si="50"/>
        <v>200</v>
      </c>
      <c r="M262" s="16">
        <f t="shared" si="50"/>
        <v>189</v>
      </c>
      <c r="N262" s="16">
        <f t="shared" si="50"/>
        <v>187</v>
      </c>
      <c r="O262" s="16">
        <f t="shared" si="50"/>
        <v>217</v>
      </c>
      <c r="P262" s="16">
        <f t="shared" si="50"/>
        <v>209</v>
      </c>
      <c r="Q262" s="16">
        <f t="shared" si="50"/>
        <v>178</v>
      </c>
      <c r="R262" s="16">
        <f t="shared" si="50"/>
        <v>205</v>
      </c>
      <c r="S262" s="13">
        <f t="shared" ref="S262:S264" si="51">SUM(E262:R262)</f>
        <v>2603</v>
      </c>
    </row>
    <row r="263" spans="1:19" ht="12.75" customHeight="1" x14ac:dyDescent="0.3">
      <c r="A263" s="22"/>
      <c r="B263" s="45" t="s">
        <v>194</v>
      </c>
      <c r="C263" s="67" t="s">
        <v>195</v>
      </c>
      <c r="D263" s="58"/>
      <c r="E263" s="16">
        <v>40</v>
      </c>
      <c r="F263" s="16">
        <v>18</v>
      </c>
      <c r="G263" s="16">
        <v>24</v>
      </c>
      <c r="H263" s="16">
        <v>38</v>
      </c>
      <c r="I263" s="16">
        <v>31</v>
      </c>
      <c r="J263" s="16">
        <v>31</v>
      </c>
      <c r="K263" s="16">
        <v>46</v>
      </c>
      <c r="L263" s="16">
        <v>34</v>
      </c>
      <c r="M263" s="16">
        <v>9</v>
      </c>
      <c r="N263" s="16">
        <v>25</v>
      </c>
      <c r="O263" s="16">
        <v>23</v>
      </c>
      <c r="P263" s="16">
        <v>37</v>
      </c>
      <c r="Q263" s="16">
        <v>54</v>
      </c>
      <c r="R263" s="16">
        <v>28</v>
      </c>
      <c r="S263" s="13">
        <f t="shared" si="51"/>
        <v>438</v>
      </c>
    </row>
    <row r="264" spans="1:19" ht="12.75" customHeight="1" x14ac:dyDescent="0.3">
      <c r="A264" s="25"/>
      <c r="B264" s="45" t="s">
        <v>196</v>
      </c>
      <c r="C264" s="67" t="s">
        <v>197</v>
      </c>
      <c r="D264" s="58"/>
      <c r="E264" s="13">
        <f t="shared" ref="E264:R264" si="52">SUM(E262:E263)</f>
        <v>222</v>
      </c>
      <c r="F264" s="13">
        <f t="shared" si="52"/>
        <v>147</v>
      </c>
      <c r="G264" s="13">
        <f t="shared" si="52"/>
        <v>199</v>
      </c>
      <c r="H264" s="13">
        <f t="shared" si="52"/>
        <v>208</v>
      </c>
      <c r="I264" s="13">
        <f t="shared" si="52"/>
        <v>213</v>
      </c>
      <c r="J264" s="13">
        <f t="shared" si="52"/>
        <v>234</v>
      </c>
      <c r="K264" s="13">
        <f t="shared" si="52"/>
        <v>223</v>
      </c>
      <c r="L264" s="13">
        <f t="shared" si="52"/>
        <v>234</v>
      </c>
      <c r="M264" s="13">
        <f t="shared" si="52"/>
        <v>198</v>
      </c>
      <c r="N264" s="13">
        <f t="shared" si="52"/>
        <v>212</v>
      </c>
      <c r="O264" s="13">
        <f t="shared" si="52"/>
        <v>240</v>
      </c>
      <c r="P264" s="13">
        <f t="shared" si="52"/>
        <v>246</v>
      </c>
      <c r="Q264" s="13">
        <f t="shared" si="52"/>
        <v>232</v>
      </c>
      <c r="R264" s="13">
        <f t="shared" si="52"/>
        <v>233</v>
      </c>
      <c r="S264" s="13">
        <f t="shared" si="51"/>
        <v>3041</v>
      </c>
    </row>
    <row r="265" spans="1:19" ht="12.75" customHeight="1" x14ac:dyDescent="0.3"/>
    <row r="266" spans="1:19" ht="12.75" customHeight="1" x14ac:dyDescent="0.3"/>
    <row r="267" spans="1:19" ht="12.75" customHeight="1" x14ac:dyDescent="0.3"/>
    <row r="268" spans="1:19" ht="12.75" customHeight="1" x14ac:dyDescent="0.3"/>
    <row r="269" spans="1:19" ht="12.75" customHeight="1" x14ac:dyDescent="0.3"/>
    <row r="270" spans="1:19" ht="12.75" customHeight="1" x14ac:dyDescent="0.3"/>
    <row r="271" spans="1:19" ht="12.75" customHeight="1" x14ac:dyDescent="0.3"/>
    <row r="272" spans="1:19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86">
    <mergeCell ref="C69:D69"/>
    <mergeCell ref="B79:D79"/>
    <mergeCell ref="B139:D139"/>
    <mergeCell ref="A140:E140"/>
    <mergeCell ref="C141:D141"/>
    <mergeCell ref="B55:D55"/>
    <mergeCell ref="A56:E56"/>
    <mergeCell ref="C57:D57"/>
    <mergeCell ref="B67:D67"/>
    <mergeCell ref="A68:E68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B25:B27"/>
    <mergeCell ref="C25:C27"/>
    <mergeCell ref="B28:B30"/>
    <mergeCell ref="A37:D37"/>
    <mergeCell ref="E37:I37"/>
    <mergeCell ref="A17:D17"/>
    <mergeCell ref="B18:D18"/>
    <mergeCell ref="B19:B21"/>
    <mergeCell ref="C19:C21"/>
    <mergeCell ref="B22:B24"/>
    <mergeCell ref="C22:C24"/>
    <mergeCell ref="B12:D12"/>
    <mergeCell ref="E12:R12"/>
    <mergeCell ref="S12:S13"/>
    <mergeCell ref="B13:D13"/>
    <mergeCell ref="B14:C16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A212:E212"/>
    <mergeCell ref="C213:D213"/>
    <mergeCell ref="B223:D223"/>
    <mergeCell ref="A224:E224"/>
    <mergeCell ref="C225:D225"/>
    <mergeCell ref="C189:D189"/>
    <mergeCell ref="B199:D199"/>
    <mergeCell ref="A200:E200"/>
    <mergeCell ref="C201:D201"/>
    <mergeCell ref="B211:D211"/>
    <mergeCell ref="B175:D175"/>
    <mergeCell ref="A176:E176"/>
    <mergeCell ref="C177:D177"/>
    <mergeCell ref="B187:D187"/>
    <mergeCell ref="A188:E188"/>
    <mergeCell ref="A152:E152"/>
    <mergeCell ref="C153:D153"/>
    <mergeCell ref="B163:D163"/>
    <mergeCell ref="A164:E164"/>
    <mergeCell ref="C165:D165"/>
    <mergeCell ref="C117:D117"/>
    <mergeCell ref="B127:D127"/>
    <mergeCell ref="A128:E128"/>
    <mergeCell ref="C129:D129"/>
    <mergeCell ref="B151:D151"/>
    <mergeCell ref="B103:D103"/>
    <mergeCell ref="A104:E104"/>
    <mergeCell ref="C105:D105"/>
    <mergeCell ref="B115:D115"/>
    <mergeCell ref="A116:E116"/>
    <mergeCell ref="A80:E80"/>
    <mergeCell ref="C81:D81"/>
    <mergeCell ref="B91:D91"/>
    <mergeCell ref="A92:E92"/>
    <mergeCell ref="C93:D93"/>
  </mergeCells>
  <conditionalFormatting sqref="E14:R15">
    <cfRule type="containsBlanks" dxfId="139" priority="1">
      <formula>LEN(TRIM(E14))=0</formula>
    </cfRule>
  </conditionalFormatting>
  <conditionalFormatting sqref="E19:R20">
    <cfRule type="containsBlanks" dxfId="138" priority="2">
      <formula>LEN(TRIM(E19))=0</formula>
    </cfRule>
  </conditionalFormatting>
  <conditionalFormatting sqref="E22:R23 E25:R26 E33:R33 E35:R35 E39:R40">
    <cfRule type="containsBlanks" dxfId="137" priority="3">
      <formula>LEN(TRIM(E22))=0</formula>
    </cfRule>
  </conditionalFormatting>
  <conditionalFormatting sqref="E30:R30">
    <cfRule type="expression" dxfId="136" priority="4">
      <formula>E30&lt;&gt;E47</formula>
    </cfRule>
    <cfRule type="expression" dxfId="135" priority="5">
      <formula>E30&lt;&gt;E34</formula>
    </cfRule>
  </conditionalFormatting>
  <conditionalFormatting sqref="E34:R34">
    <cfRule type="expression" dxfId="134" priority="6">
      <formula>E30&lt;&gt;E34</formula>
    </cfRule>
    <cfRule type="expression" dxfId="133" priority="7">
      <formula>E30=E34</formula>
    </cfRule>
    <cfRule type="expression" dxfId="132" priority="8">
      <formula>E34&lt;&gt;E30</formula>
    </cfRule>
    <cfRule type="expression" dxfId="131" priority="9">
      <formula>E34&lt;&gt;E64</formula>
    </cfRule>
  </conditionalFormatting>
  <conditionalFormatting sqref="E45:R54">
    <cfRule type="containsBlanks" dxfId="130" priority="10">
      <formula>LEN(TRIM(E45))=0</formula>
    </cfRule>
  </conditionalFormatting>
  <conditionalFormatting sqref="E57:R66">
    <cfRule type="containsBlanks" dxfId="129" priority="11">
      <formula>LEN(TRIM(E57))=0</formula>
    </cfRule>
  </conditionalFormatting>
  <conditionalFormatting sqref="E69:R78">
    <cfRule type="containsBlanks" dxfId="128" priority="12">
      <formula>LEN(TRIM(E69))=0</formula>
    </cfRule>
  </conditionalFormatting>
  <conditionalFormatting sqref="E81:R90">
    <cfRule type="containsBlanks" dxfId="127" priority="13">
      <formula>LEN(TRIM(E81))=0</formula>
    </cfRule>
  </conditionalFormatting>
  <conditionalFormatting sqref="E93:R102">
    <cfRule type="containsBlanks" dxfId="126" priority="14">
      <formula>LEN(TRIM(E93))=0</formula>
    </cfRule>
  </conditionalFormatting>
  <conditionalFormatting sqref="E105:R114">
    <cfRule type="containsBlanks" dxfId="125" priority="15">
      <formula>LEN(TRIM(E105))=0</formula>
    </cfRule>
  </conditionalFormatting>
  <conditionalFormatting sqref="E117:R126">
    <cfRule type="containsBlanks" dxfId="124" priority="16">
      <formula>LEN(TRIM(E117))=0</formula>
    </cfRule>
  </conditionalFormatting>
  <conditionalFormatting sqref="E129:R138">
    <cfRule type="containsBlanks" dxfId="123" priority="17">
      <formula>LEN(TRIM(E129))=0</formula>
    </cfRule>
  </conditionalFormatting>
  <conditionalFormatting sqref="E141:R150">
    <cfRule type="containsBlanks" dxfId="122" priority="18">
      <formula>LEN(TRIM(E141))=0</formula>
    </cfRule>
  </conditionalFormatting>
  <conditionalFormatting sqref="E153:R162">
    <cfRule type="containsBlanks" dxfId="121" priority="19">
      <formula>LEN(TRIM(E153))=0</formula>
    </cfRule>
  </conditionalFormatting>
  <conditionalFormatting sqref="E165:R174">
    <cfRule type="containsBlanks" dxfId="120" priority="20">
      <formula>LEN(TRIM(E165))=0</formula>
    </cfRule>
  </conditionalFormatting>
  <conditionalFormatting sqref="E177:R186">
    <cfRule type="containsBlanks" dxfId="119" priority="21">
      <formula>LEN(TRIM(E177))=0</formula>
    </cfRule>
  </conditionalFormatting>
  <conditionalFormatting sqref="E189:R198">
    <cfRule type="containsBlanks" dxfId="118" priority="22">
      <formula>LEN(TRIM(E189))=0</formula>
    </cfRule>
  </conditionalFormatting>
  <conditionalFormatting sqref="E201:R210">
    <cfRule type="containsBlanks" dxfId="117" priority="23">
      <formula>LEN(TRIM(E201))=0</formula>
    </cfRule>
  </conditionalFormatting>
  <conditionalFormatting sqref="E213:R222">
    <cfRule type="containsBlanks" dxfId="116" priority="24">
      <formula>LEN(TRIM(E213))=0</formula>
    </cfRule>
  </conditionalFormatting>
  <conditionalFormatting sqref="E225:R234">
    <cfRule type="containsBlanks" dxfId="115" priority="25">
      <formula>LEN(TRIM(E225))=0</formula>
    </cfRule>
  </conditionalFormatting>
  <conditionalFormatting sqref="E237:R246">
    <cfRule type="containsBlanks" dxfId="114" priority="26">
      <formula>LEN(TRIM(E237))=0</formula>
    </cfRule>
  </conditionalFormatting>
  <conditionalFormatting sqref="E249:R258">
    <cfRule type="containsBlanks" dxfId="113" priority="27">
      <formula>LEN(TRIM(E249))=0</formula>
    </cfRule>
  </conditionalFormatting>
  <conditionalFormatting sqref="E262:R263">
    <cfRule type="containsBlanks" dxfId="112" priority="28">
      <formula>LEN(TRIM(E262))=0</formula>
    </cfRule>
  </conditionalFormatting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000"/>
  <sheetViews>
    <sheetView workbookViewId="0">
      <selection activeCell="E249" sqref="E249:N252"/>
    </sheetView>
  </sheetViews>
  <sheetFormatPr defaultColWidth="14.3984375" defaultRowHeight="15" customHeight="1" x14ac:dyDescent="0.3"/>
  <cols>
    <col min="1" max="2" width="8.69921875" customWidth="1"/>
    <col min="3" max="3" width="67.09765625" customWidth="1"/>
    <col min="4" max="4" width="5.8984375" customWidth="1"/>
    <col min="5" max="14" width="8.69921875" customWidth="1"/>
    <col min="15" max="15" width="13.296875" customWidth="1"/>
    <col min="16" max="26" width="8.69921875" customWidth="1"/>
  </cols>
  <sheetData>
    <row r="1" spans="1:15" ht="12.75" customHeight="1" x14ac:dyDescent="0.3"/>
    <row r="2" spans="1:15" ht="12.75" customHeight="1" x14ac:dyDescent="0.3">
      <c r="C2" s="8" t="s">
        <v>0</v>
      </c>
      <c r="D2" s="8" t="s">
        <v>1</v>
      </c>
    </row>
    <row r="3" spans="1:15" ht="12.75" customHeight="1" x14ac:dyDescent="0.3">
      <c r="C3" s="8" t="s">
        <v>2</v>
      </c>
      <c r="D3" s="8" t="s">
        <v>3</v>
      </c>
    </row>
    <row r="4" spans="1:15" ht="12.75" customHeight="1" x14ac:dyDescent="0.3">
      <c r="C4" s="8" t="s">
        <v>4</v>
      </c>
      <c r="D4" s="8" t="s">
        <v>5</v>
      </c>
    </row>
    <row r="5" spans="1:15" ht="12.75" customHeight="1" x14ac:dyDescent="0.3">
      <c r="C5" s="8"/>
      <c r="D5" s="8"/>
    </row>
    <row r="6" spans="1:15" ht="12.75" customHeight="1" x14ac:dyDescent="0.3">
      <c r="C6" s="8"/>
      <c r="D6" s="8"/>
    </row>
    <row r="7" spans="1:15" ht="12.75" customHeight="1" x14ac:dyDescent="0.3">
      <c r="C7" s="8"/>
      <c r="D7" s="8"/>
    </row>
    <row r="8" spans="1:15" ht="12.75" customHeight="1" x14ac:dyDescent="0.3">
      <c r="C8" s="8"/>
      <c r="D8" s="8"/>
    </row>
    <row r="9" spans="1:15" ht="12.75" customHeight="1" x14ac:dyDescent="0.3">
      <c r="C9" s="8" t="s">
        <v>198</v>
      </c>
      <c r="D9" s="8" t="s">
        <v>226</v>
      </c>
    </row>
    <row r="10" spans="1:15" ht="12.75" customHeight="1" x14ac:dyDescent="0.3"/>
    <row r="11" spans="1:15" ht="12.75" customHeight="1" x14ac:dyDescent="0.3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1:15" ht="12.75" customHeight="1" x14ac:dyDescent="0.3">
      <c r="A12" s="13" t="s">
        <v>6</v>
      </c>
      <c r="B12" s="66" t="s">
        <v>7</v>
      </c>
      <c r="C12" s="60"/>
      <c r="D12" s="58"/>
      <c r="E12" s="83"/>
      <c r="F12" s="60"/>
      <c r="G12" s="60"/>
      <c r="H12" s="60"/>
      <c r="I12" s="60"/>
      <c r="J12" s="60"/>
      <c r="K12" s="60"/>
      <c r="L12" s="60"/>
      <c r="M12" s="60"/>
      <c r="N12" s="60"/>
      <c r="O12" s="84" t="s">
        <v>8</v>
      </c>
    </row>
    <row r="13" spans="1:15" ht="12.75" customHeight="1" x14ac:dyDescent="0.3">
      <c r="A13" s="16" t="s">
        <v>9</v>
      </c>
      <c r="B13" s="70" t="s">
        <v>10</v>
      </c>
      <c r="C13" s="60"/>
      <c r="D13" s="58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76"/>
    </row>
    <row r="14" spans="1:15" ht="12.75" customHeight="1" x14ac:dyDescent="0.3">
      <c r="A14" s="15"/>
      <c r="B14" s="71" t="s">
        <v>11</v>
      </c>
      <c r="C14" s="63"/>
      <c r="D14" s="16" t="s">
        <v>12</v>
      </c>
      <c r="E14" s="16">
        <v>142</v>
      </c>
      <c r="F14" s="16">
        <v>114</v>
      </c>
      <c r="G14" s="16">
        <v>96</v>
      </c>
      <c r="H14" s="16">
        <v>133</v>
      </c>
      <c r="I14" s="16">
        <v>104</v>
      </c>
      <c r="J14" s="16">
        <v>133</v>
      </c>
      <c r="K14" s="16">
        <v>134</v>
      </c>
      <c r="L14" s="16">
        <v>141</v>
      </c>
      <c r="M14" s="16">
        <v>119</v>
      </c>
      <c r="N14" s="16">
        <v>75</v>
      </c>
      <c r="O14" s="13">
        <f t="shared" ref="O14:O16" si="0">SUM(E14:N14)</f>
        <v>1191</v>
      </c>
    </row>
    <row r="15" spans="1:15" ht="12.75" customHeight="1" x14ac:dyDescent="0.3">
      <c r="A15" s="15"/>
      <c r="B15" s="72"/>
      <c r="C15" s="73"/>
      <c r="D15" s="16" t="s">
        <v>13</v>
      </c>
      <c r="E15" s="16">
        <v>143</v>
      </c>
      <c r="F15" s="16">
        <v>142</v>
      </c>
      <c r="G15" s="16">
        <v>99</v>
      </c>
      <c r="H15" s="16">
        <v>146</v>
      </c>
      <c r="I15" s="16">
        <v>109</v>
      </c>
      <c r="J15" s="16">
        <v>133</v>
      </c>
      <c r="K15" s="16">
        <v>137</v>
      </c>
      <c r="L15" s="16">
        <v>152</v>
      </c>
      <c r="M15" s="16">
        <v>122</v>
      </c>
      <c r="N15" s="16">
        <v>77</v>
      </c>
      <c r="O15" s="13">
        <f t="shared" si="0"/>
        <v>1260</v>
      </c>
    </row>
    <row r="16" spans="1:15" ht="12.75" customHeight="1" x14ac:dyDescent="0.3">
      <c r="A16" s="18"/>
      <c r="B16" s="69"/>
      <c r="C16" s="65"/>
      <c r="D16" s="13" t="s">
        <v>14</v>
      </c>
      <c r="E16" s="13">
        <f t="shared" ref="E16:N16" si="1">SUM(E14:E15)</f>
        <v>285</v>
      </c>
      <c r="F16" s="13">
        <f t="shared" si="1"/>
        <v>256</v>
      </c>
      <c r="G16" s="13">
        <f t="shared" si="1"/>
        <v>195</v>
      </c>
      <c r="H16" s="13">
        <f t="shared" si="1"/>
        <v>279</v>
      </c>
      <c r="I16" s="13">
        <f t="shared" si="1"/>
        <v>213</v>
      </c>
      <c r="J16" s="13">
        <f t="shared" si="1"/>
        <v>266</v>
      </c>
      <c r="K16" s="13">
        <f t="shared" si="1"/>
        <v>271</v>
      </c>
      <c r="L16" s="13">
        <f t="shared" si="1"/>
        <v>293</v>
      </c>
      <c r="M16" s="13">
        <f t="shared" si="1"/>
        <v>241</v>
      </c>
      <c r="N16" s="13">
        <f t="shared" si="1"/>
        <v>152</v>
      </c>
      <c r="O16" s="13">
        <f t="shared" si="0"/>
        <v>2451</v>
      </c>
    </row>
    <row r="17" spans="1:15" ht="12.75" customHeight="1" x14ac:dyDescent="0.3">
      <c r="A17" s="61"/>
      <c r="B17" s="60"/>
      <c r="C17" s="60"/>
      <c r="D17" s="58"/>
      <c r="E17" s="16"/>
      <c r="F17" s="16"/>
      <c r="G17" s="16"/>
      <c r="H17" s="16"/>
      <c r="I17" s="16"/>
      <c r="J17" s="16"/>
      <c r="K17" s="16"/>
      <c r="L17" s="16"/>
      <c r="M17" s="16"/>
      <c r="N17" s="48"/>
      <c r="O17" s="49"/>
    </row>
    <row r="18" spans="1:15" ht="12.75" customHeight="1" x14ac:dyDescent="0.3">
      <c r="A18" s="20" t="s">
        <v>15</v>
      </c>
      <c r="B18" s="70" t="s">
        <v>16</v>
      </c>
      <c r="C18" s="60"/>
      <c r="D18" s="58"/>
      <c r="E18" s="16"/>
      <c r="F18" s="16"/>
      <c r="G18" s="16"/>
      <c r="H18" s="16"/>
      <c r="I18" s="16"/>
      <c r="J18" s="16"/>
      <c r="K18" s="16"/>
      <c r="L18" s="16"/>
      <c r="M18" s="16"/>
      <c r="N18" s="48"/>
      <c r="O18" s="49"/>
    </row>
    <row r="19" spans="1:15" ht="12.75" customHeight="1" x14ac:dyDescent="0.3">
      <c r="A19" s="20"/>
      <c r="B19" s="77" t="s">
        <v>17</v>
      </c>
      <c r="C19" s="74" t="s">
        <v>18</v>
      </c>
      <c r="D19" s="16" t="s">
        <v>12</v>
      </c>
      <c r="E19" s="16">
        <v>115</v>
      </c>
      <c r="F19" s="16">
        <v>86</v>
      </c>
      <c r="G19" s="16">
        <v>79</v>
      </c>
      <c r="H19" s="16">
        <v>95</v>
      </c>
      <c r="I19" s="16">
        <v>70</v>
      </c>
      <c r="J19" s="16">
        <v>104</v>
      </c>
      <c r="K19" s="16">
        <v>96</v>
      </c>
      <c r="L19" s="16">
        <v>105</v>
      </c>
      <c r="M19" s="16">
        <v>90</v>
      </c>
      <c r="N19" s="16">
        <v>58</v>
      </c>
      <c r="O19" s="13">
        <f t="shared" ref="O19:O30" si="2">SUM(E19:N19)</f>
        <v>898</v>
      </c>
    </row>
    <row r="20" spans="1:15" ht="12.75" customHeight="1" x14ac:dyDescent="0.3">
      <c r="A20" s="21"/>
      <c r="B20" s="73"/>
      <c r="C20" s="75"/>
      <c r="D20" s="16" t="s">
        <v>13</v>
      </c>
      <c r="E20" s="16">
        <v>112</v>
      </c>
      <c r="F20" s="16">
        <v>114</v>
      </c>
      <c r="G20" s="16">
        <v>83</v>
      </c>
      <c r="H20" s="16">
        <v>115</v>
      </c>
      <c r="I20" s="16">
        <v>83</v>
      </c>
      <c r="J20" s="16">
        <v>111</v>
      </c>
      <c r="K20" s="16">
        <v>103</v>
      </c>
      <c r="L20" s="16">
        <v>115</v>
      </c>
      <c r="M20" s="16">
        <v>98</v>
      </c>
      <c r="N20" s="16">
        <v>67</v>
      </c>
      <c r="O20" s="13">
        <f t="shared" si="2"/>
        <v>1001</v>
      </c>
    </row>
    <row r="21" spans="1:15" ht="12.75" customHeight="1" x14ac:dyDescent="0.3">
      <c r="A21" s="22"/>
      <c r="B21" s="65"/>
      <c r="C21" s="76"/>
      <c r="D21" s="13" t="s">
        <v>14</v>
      </c>
      <c r="E21" s="13">
        <f t="shared" ref="E21:N21" si="3">SUM(E19:E20)</f>
        <v>227</v>
      </c>
      <c r="F21" s="13">
        <f t="shared" si="3"/>
        <v>200</v>
      </c>
      <c r="G21" s="13">
        <f t="shared" si="3"/>
        <v>162</v>
      </c>
      <c r="H21" s="13">
        <f t="shared" si="3"/>
        <v>210</v>
      </c>
      <c r="I21" s="13">
        <f t="shared" si="3"/>
        <v>153</v>
      </c>
      <c r="J21" s="13">
        <f t="shared" si="3"/>
        <v>215</v>
      </c>
      <c r="K21" s="13">
        <f t="shared" si="3"/>
        <v>199</v>
      </c>
      <c r="L21" s="13">
        <f t="shared" si="3"/>
        <v>220</v>
      </c>
      <c r="M21" s="13">
        <f t="shared" si="3"/>
        <v>188</v>
      </c>
      <c r="N21" s="13">
        <f t="shared" si="3"/>
        <v>125</v>
      </c>
      <c r="O21" s="13">
        <f t="shared" si="2"/>
        <v>1899</v>
      </c>
    </row>
    <row r="22" spans="1:15" ht="12.75" customHeight="1" x14ac:dyDescent="0.3">
      <c r="A22" s="21"/>
      <c r="B22" s="77" t="s">
        <v>19</v>
      </c>
      <c r="C22" s="74" t="s">
        <v>20</v>
      </c>
      <c r="D22" s="16" t="s">
        <v>12</v>
      </c>
      <c r="E22" s="16">
        <v>0</v>
      </c>
      <c r="F22" s="16">
        <v>1</v>
      </c>
      <c r="G22" s="16">
        <v>2</v>
      </c>
      <c r="H22" s="16">
        <v>1</v>
      </c>
      <c r="I22" s="16">
        <v>0</v>
      </c>
      <c r="J22" s="16">
        <v>1</v>
      </c>
      <c r="K22" s="16">
        <v>0</v>
      </c>
      <c r="L22" s="16">
        <v>0</v>
      </c>
      <c r="M22" s="16">
        <v>1</v>
      </c>
      <c r="N22" s="16">
        <v>3</v>
      </c>
      <c r="O22" s="13">
        <f t="shared" si="2"/>
        <v>9</v>
      </c>
    </row>
    <row r="23" spans="1:15" ht="12.75" customHeight="1" x14ac:dyDescent="0.3">
      <c r="A23" s="21"/>
      <c r="B23" s="73"/>
      <c r="C23" s="75"/>
      <c r="D23" s="16" t="s">
        <v>13</v>
      </c>
      <c r="E23" s="16">
        <v>0</v>
      </c>
      <c r="F23" s="16">
        <v>2</v>
      </c>
      <c r="G23" s="16">
        <v>0</v>
      </c>
      <c r="H23" s="16">
        <v>1</v>
      </c>
      <c r="I23" s="16">
        <v>2</v>
      </c>
      <c r="J23" s="16">
        <v>1</v>
      </c>
      <c r="K23" s="16">
        <v>2</v>
      </c>
      <c r="L23" s="16">
        <v>1</v>
      </c>
      <c r="M23" s="16">
        <v>1</v>
      </c>
      <c r="N23" s="16">
        <v>0</v>
      </c>
      <c r="O23" s="13">
        <f t="shared" si="2"/>
        <v>10</v>
      </c>
    </row>
    <row r="24" spans="1:15" ht="12.75" customHeight="1" x14ac:dyDescent="0.3">
      <c r="A24" s="22"/>
      <c r="B24" s="65"/>
      <c r="C24" s="76"/>
      <c r="D24" s="13" t="s">
        <v>14</v>
      </c>
      <c r="E24" s="13">
        <f t="shared" ref="E24:N24" si="4">SUM(E22:E23)</f>
        <v>0</v>
      </c>
      <c r="F24" s="13">
        <f t="shared" si="4"/>
        <v>3</v>
      </c>
      <c r="G24" s="13">
        <f t="shared" si="4"/>
        <v>2</v>
      </c>
      <c r="H24" s="13">
        <f t="shared" si="4"/>
        <v>2</v>
      </c>
      <c r="I24" s="13">
        <f t="shared" si="4"/>
        <v>2</v>
      </c>
      <c r="J24" s="13">
        <f t="shared" si="4"/>
        <v>2</v>
      </c>
      <c r="K24" s="13">
        <f t="shared" si="4"/>
        <v>2</v>
      </c>
      <c r="L24" s="13">
        <f t="shared" si="4"/>
        <v>1</v>
      </c>
      <c r="M24" s="13">
        <f t="shared" si="4"/>
        <v>2</v>
      </c>
      <c r="N24" s="13">
        <f t="shared" si="4"/>
        <v>3</v>
      </c>
      <c r="O24" s="13">
        <f t="shared" si="2"/>
        <v>19</v>
      </c>
    </row>
    <row r="25" spans="1:15" ht="12.75" customHeight="1" x14ac:dyDescent="0.3">
      <c r="A25" s="21"/>
      <c r="B25" s="77" t="s">
        <v>21</v>
      </c>
      <c r="C25" s="74" t="s">
        <v>22</v>
      </c>
      <c r="D25" s="16" t="s">
        <v>12</v>
      </c>
      <c r="E25" s="16">
        <v>0</v>
      </c>
      <c r="F25" s="16">
        <v>1</v>
      </c>
      <c r="G25" s="16">
        <v>3</v>
      </c>
      <c r="H25" s="16">
        <v>2</v>
      </c>
      <c r="I25" s="16">
        <v>0</v>
      </c>
      <c r="J25" s="16">
        <v>1</v>
      </c>
      <c r="K25" s="16">
        <v>2</v>
      </c>
      <c r="L25" s="16">
        <v>0</v>
      </c>
      <c r="M25" s="16">
        <v>0</v>
      </c>
      <c r="N25" s="16">
        <v>0</v>
      </c>
      <c r="O25" s="13">
        <f t="shared" si="2"/>
        <v>9</v>
      </c>
    </row>
    <row r="26" spans="1:15" ht="12.75" customHeight="1" x14ac:dyDescent="0.3">
      <c r="A26" s="21"/>
      <c r="B26" s="73"/>
      <c r="C26" s="75"/>
      <c r="D26" s="16" t="s">
        <v>13</v>
      </c>
      <c r="E26" s="16">
        <v>0</v>
      </c>
      <c r="F26" s="16">
        <v>0</v>
      </c>
      <c r="G26" s="16">
        <v>1</v>
      </c>
      <c r="H26" s="16">
        <v>2</v>
      </c>
      <c r="I26" s="16">
        <v>2</v>
      </c>
      <c r="J26" s="16">
        <v>0</v>
      </c>
      <c r="K26" s="16">
        <v>0</v>
      </c>
      <c r="L26" s="16">
        <v>0</v>
      </c>
      <c r="M26" s="16">
        <v>0</v>
      </c>
      <c r="N26" s="16">
        <v>2</v>
      </c>
      <c r="O26" s="13">
        <f t="shared" si="2"/>
        <v>7</v>
      </c>
    </row>
    <row r="27" spans="1:15" ht="12.75" customHeight="1" x14ac:dyDescent="0.3">
      <c r="A27" s="22"/>
      <c r="B27" s="65"/>
      <c r="C27" s="76"/>
      <c r="D27" s="13" t="s">
        <v>14</v>
      </c>
      <c r="E27" s="13">
        <f t="shared" ref="E27:N27" si="5">SUM(E25:E26)</f>
        <v>0</v>
      </c>
      <c r="F27" s="13">
        <f t="shared" si="5"/>
        <v>1</v>
      </c>
      <c r="G27" s="13">
        <f t="shared" si="5"/>
        <v>4</v>
      </c>
      <c r="H27" s="13">
        <f t="shared" si="5"/>
        <v>4</v>
      </c>
      <c r="I27" s="13">
        <f t="shared" si="5"/>
        <v>2</v>
      </c>
      <c r="J27" s="13">
        <f t="shared" si="5"/>
        <v>1</v>
      </c>
      <c r="K27" s="13">
        <f t="shared" si="5"/>
        <v>2</v>
      </c>
      <c r="L27" s="13">
        <f t="shared" si="5"/>
        <v>0</v>
      </c>
      <c r="M27" s="13">
        <f t="shared" si="5"/>
        <v>0</v>
      </c>
      <c r="N27" s="13">
        <f t="shared" si="5"/>
        <v>2</v>
      </c>
      <c r="O27" s="13">
        <f t="shared" si="2"/>
        <v>16</v>
      </c>
    </row>
    <row r="28" spans="1:15" ht="12.75" customHeight="1" x14ac:dyDescent="0.3">
      <c r="A28" s="22"/>
      <c r="B28" s="78" t="s">
        <v>23</v>
      </c>
      <c r="C28" s="79" t="s">
        <v>24</v>
      </c>
      <c r="D28" s="13" t="s">
        <v>12</v>
      </c>
      <c r="E28" s="13">
        <f t="shared" ref="E28:N28" si="6">SUM(E19,E22,E25)</f>
        <v>115</v>
      </c>
      <c r="F28" s="13">
        <f t="shared" si="6"/>
        <v>88</v>
      </c>
      <c r="G28" s="13">
        <f t="shared" si="6"/>
        <v>84</v>
      </c>
      <c r="H28" s="13">
        <f t="shared" si="6"/>
        <v>98</v>
      </c>
      <c r="I28" s="13">
        <f t="shared" si="6"/>
        <v>70</v>
      </c>
      <c r="J28" s="13">
        <f t="shared" si="6"/>
        <v>106</v>
      </c>
      <c r="K28" s="13">
        <f t="shared" si="6"/>
        <v>98</v>
      </c>
      <c r="L28" s="13">
        <f t="shared" si="6"/>
        <v>105</v>
      </c>
      <c r="M28" s="13">
        <f t="shared" si="6"/>
        <v>91</v>
      </c>
      <c r="N28" s="13">
        <f t="shared" si="6"/>
        <v>61</v>
      </c>
      <c r="O28" s="13">
        <f t="shared" si="2"/>
        <v>916</v>
      </c>
    </row>
    <row r="29" spans="1:15" ht="12.75" customHeight="1" x14ac:dyDescent="0.3">
      <c r="A29" s="22"/>
      <c r="B29" s="73"/>
      <c r="C29" s="75"/>
      <c r="D29" s="13" t="s">
        <v>13</v>
      </c>
      <c r="E29" s="13">
        <f t="shared" ref="E29:N29" si="7">SUM(E20,E23,E26)</f>
        <v>112</v>
      </c>
      <c r="F29" s="13">
        <f t="shared" si="7"/>
        <v>116</v>
      </c>
      <c r="G29" s="13">
        <f t="shared" si="7"/>
        <v>84</v>
      </c>
      <c r="H29" s="13">
        <f t="shared" si="7"/>
        <v>118</v>
      </c>
      <c r="I29" s="13">
        <f t="shared" si="7"/>
        <v>87</v>
      </c>
      <c r="J29" s="13">
        <f t="shared" si="7"/>
        <v>112</v>
      </c>
      <c r="K29" s="13">
        <f t="shared" si="7"/>
        <v>105</v>
      </c>
      <c r="L29" s="13">
        <f t="shared" si="7"/>
        <v>116</v>
      </c>
      <c r="M29" s="13">
        <f t="shared" si="7"/>
        <v>99</v>
      </c>
      <c r="N29" s="13">
        <f t="shared" si="7"/>
        <v>69</v>
      </c>
      <c r="O29" s="13">
        <f t="shared" si="2"/>
        <v>1018</v>
      </c>
    </row>
    <row r="30" spans="1:15" ht="12.75" customHeight="1" x14ac:dyDescent="0.3">
      <c r="A30" s="22"/>
      <c r="B30" s="65"/>
      <c r="C30" s="76"/>
      <c r="D30" s="13" t="s">
        <v>14</v>
      </c>
      <c r="E30" s="13">
        <f t="shared" ref="E30:N30" si="8">SUM(E28:E29)</f>
        <v>227</v>
      </c>
      <c r="F30" s="13">
        <f t="shared" si="8"/>
        <v>204</v>
      </c>
      <c r="G30" s="13">
        <f t="shared" si="8"/>
        <v>168</v>
      </c>
      <c r="H30" s="13">
        <f t="shared" si="8"/>
        <v>216</v>
      </c>
      <c r="I30" s="13">
        <f t="shared" si="8"/>
        <v>157</v>
      </c>
      <c r="J30" s="13">
        <f t="shared" si="8"/>
        <v>218</v>
      </c>
      <c r="K30" s="13">
        <f t="shared" si="8"/>
        <v>203</v>
      </c>
      <c r="L30" s="13">
        <f t="shared" si="8"/>
        <v>221</v>
      </c>
      <c r="M30" s="13">
        <f t="shared" si="8"/>
        <v>190</v>
      </c>
      <c r="N30" s="13">
        <f t="shared" si="8"/>
        <v>130</v>
      </c>
      <c r="O30" s="13">
        <f t="shared" si="2"/>
        <v>1934</v>
      </c>
    </row>
    <row r="31" spans="1:15" ht="12.75" customHeight="1" x14ac:dyDescent="0.3">
      <c r="A31" s="61"/>
      <c r="B31" s="60"/>
      <c r="C31" s="60"/>
      <c r="D31" s="58"/>
      <c r="E31" s="16"/>
      <c r="F31" s="16"/>
      <c r="G31" s="16"/>
      <c r="H31" s="16"/>
      <c r="I31" s="16"/>
      <c r="J31" s="16"/>
      <c r="K31" s="16"/>
      <c r="L31" s="16"/>
      <c r="M31" s="16"/>
      <c r="N31" s="48"/>
      <c r="O31" s="49"/>
    </row>
    <row r="32" spans="1:15" ht="12.75" customHeight="1" x14ac:dyDescent="0.3">
      <c r="A32" s="25" t="s">
        <v>25</v>
      </c>
      <c r="B32" s="66" t="s">
        <v>26</v>
      </c>
      <c r="C32" s="60"/>
      <c r="D32" s="58"/>
      <c r="E32" s="13"/>
      <c r="F32" s="13"/>
      <c r="G32" s="13"/>
      <c r="H32" s="13"/>
      <c r="I32" s="13"/>
      <c r="J32" s="13"/>
      <c r="K32" s="13"/>
      <c r="L32" s="13"/>
      <c r="M32" s="13"/>
      <c r="N32" s="50"/>
      <c r="O32" s="49"/>
    </row>
    <row r="33" spans="1:15" ht="12.75" customHeight="1" x14ac:dyDescent="0.3">
      <c r="A33" s="16">
        <v>1</v>
      </c>
      <c r="B33" s="70" t="s">
        <v>27</v>
      </c>
      <c r="C33" s="60"/>
      <c r="D33" s="58"/>
      <c r="E33" s="16">
        <v>291</v>
      </c>
      <c r="F33" s="16">
        <v>262</v>
      </c>
      <c r="G33" s="16">
        <v>199</v>
      </c>
      <c r="H33" s="16">
        <v>285</v>
      </c>
      <c r="I33" s="16">
        <v>218</v>
      </c>
      <c r="J33" s="16">
        <v>272</v>
      </c>
      <c r="K33" s="16">
        <v>272</v>
      </c>
      <c r="L33" s="16">
        <v>294</v>
      </c>
      <c r="M33" s="16">
        <v>241</v>
      </c>
      <c r="N33" s="16">
        <v>156</v>
      </c>
      <c r="O33" s="13">
        <f t="shared" ref="O33:O36" si="9">SUM(E33:N33)</f>
        <v>2490</v>
      </c>
    </row>
    <row r="34" spans="1:15" ht="12.75" customHeight="1" x14ac:dyDescent="0.3">
      <c r="A34" s="16">
        <v>2</v>
      </c>
      <c r="B34" s="70" t="s">
        <v>28</v>
      </c>
      <c r="C34" s="60"/>
      <c r="D34" s="58"/>
      <c r="E34" s="13">
        <v>227</v>
      </c>
      <c r="F34" s="13">
        <v>204</v>
      </c>
      <c r="G34" s="13">
        <v>168</v>
      </c>
      <c r="H34" s="13">
        <v>216</v>
      </c>
      <c r="I34" s="13">
        <v>157</v>
      </c>
      <c r="J34" s="13">
        <v>218</v>
      </c>
      <c r="K34" s="13">
        <v>203</v>
      </c>
      <c r="L34" s="13">
        <v>221</v>
      </c>
      <c r="M34" s="13">
        <v>190</v>
      </c>
      <c r="N34" s="13">
        <v>130</v>
      </c>
      <c r="O34" s="13">
        <f t="shared" si="9"/>
        <v>1934</v>
      </c>
    </row>
    <row r="35" spans="1:15" ht="12.75" customHeight="1" x14ac:dyDescent="0.3">
      <c r="A35" s="16">
        <v>3</v>
      </c>
      <c r="B35" s="70" t="s">
        <v>29</v>
      </c>
      <c r="C35" s="60"/>
      <c r="D35" s="58"/>
      <c r="E35" s="16">
        <v>0</v>
      </c>
      <c r="F35" s="16">
        <v>1</v>
      </c>
      <c r="G35" s="16">
        <v>0</v>
      </c>
      <c r="H35" s="16">
        <v>1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1</v>
      </c>
      <c r="O35" s="13">
        <f t="shared" si="9"/>
        <v>3</v>
      </c>
    </row>
    <row r="36" spans="1:15" ht="12.75" customHeight="1" x14ac:dyDescent="0.3">
      <c r="A36" s="16">
        <v>4</v>
      </c>
      <c r="B36" s="70" t="s">
        <v>30</v>
      </c>
      <c r="C36" s="60"/>
      <c r="D36" s="58"/>
      <c r="E36" s="13">
        <f t="shared" ref="E36:N36" si="10">E33-(E34+E35)</f>
        <v>64</v>
      </c>
      <c r="F36" s="13">
        <f t="shared" si="10"/>
        <v>57</v>
      </c>
      <c r="G36" s="13">
        <f t="shared" si="10"/>
        <v>31</v>
      </c>
      <c r="H36" s="13">
        <f t="shared" si="10"/>
        <v>68</v>
      </c>
      <c r="I36" s="13">
        <f t="shared" si="10"/>
        <v>61</v>
      </c>
      <c r="J36" s="13">
        <f t="shared" si="10"/>
        <v>54</v>
      </c>
      <c r="K36" s="13">
        <f t="shared" si="10"/>
        <v>69</v>
      </c>
      <c r="L36" s="13">
        <f t="shared" si="10"/>
        <v>73</v>
      </c>
      <c r="M36" s="13">
        <f t="shared" si="10"/>
        <v>51</v>
      </c>
      <c r="N36" s="13">
        <f t="shared" si="10"/>
        <v>25</v>
      </c>
      <c r="O36" s="13">
        <f t="shared" si="9"/>
        <v>553</v>
      </c>
    </row>
    <row r="37" spans="1:15" ht="12.75" customHeight="1" x14ac:dyDescent="0.3">
      <c r="A37" s="61"/>
      <c r="B37" s="60"/>
      <c r="C37" s="60"/>
      <c r="D37" s="60"/>
      <c r="E37" s="61"/>
      <c r="F37" s="60"/>
      <c r="G37" s="60"/>
      <c r="H37" s="60"/>
      <c r="I37" s="58"/>
      <c r="J37" s="16"/>
      <c r="K37" s="16"/>
      <c r="L37" s="16"/>
      <c r="M37" s="16"/>
      <c r="N37" s="48"/>
      <c r="O37" s="49"/>
    </row>
    <row r="38" spans="1:15" ht="12.75" customHeight="1" x14ac:dyDescent="0.3">
      <c r="A38" s="26" t="s">
        <v>31</v>
      </c>
      <c r="B38" s="66" t="s">
        <v>32</v>
      </c>
      <c r="C38" s="60"/>
      <c r="D38" s="58"/>
      <c r="E38" s="13"/>
      <c r="F38" s="13"/>
      <c r="G38" s="13"/>
      <c r="H38" s="13"/>
      <c r="I38" s="13"/>
      <c r="J38" s="13"/>
      <c r="K38" s="13"/>
      <c r="L38" s="13"/>
      <c r="M38" s="13"/>
      <c r="N38" s="50"/>
      <c r="O38" s="49"/>
    </row>
    <row r="39" spans="1:15" ht="12.75" customHeight="1" x14ac:dyDescent="0.3">
      <c r="A39" s="20"/>
      <c r="B39" s="80" t="s">
        <v>33</v>
      </c>
      <c r="C39" s="63"/>
      <c r="D39" s="16" t="s">
        <v>12</v>
      </c>
      <c r="E39" s="16">
        <v>1</v>
      </c>
      <c r="F39" s="16">
        <v>0</v>
      </c>
      <c r="G39" s="16">
        <v>0</v>
      </c>
      <c r="H39" s="16">
        <v>5</v>
      </c>
      <c r="I39" s="16">
        <v>0</v>
      </c>
      <c r="J39" s="16">
        <v>0</v>
      </c>
      <c r="K39" s="16">
        <v>0</v>
      </c>
      <c r="L39" s="16">
        <v>3</v>
      </c>
      <c r="M39" s="16">
        <v>0</v>
      </c>
      <c r="N39" s="16">
        <v>0</v>
      </c>
      <c r="O39" s="13">
        <f t="shared" ref="O39:O41" si="11">SUM(E39:N39)</f>
        <v>9</v>
      </c>
    </row>
    <row r="40" spans="1:15" ht="12.75" customHeight="1" x14ac:dyDescent="0.3">
      <c r="A40" s="21"/>
      <c r="B40" s="81"/>
      <c r="C40" s="73"/>
      <c r="D40" s="16" t="s">
        <v>13</v>
      </c>
      <c r="E40" s="16">
        <v>0</v>
      </c>
      <c r="F40" s="16">
        <v>0</v>
      </c>
      <c r="G40" s="16">
        <v>1</v>
      </c>
      <c r="H40" s="16">
        <v>0</v>
      </c>
      <c r="I40" s="16">
        <v>0</v>
      </c>
      <c r="J40" s="16">
        <v>0</v>
      </c>
      <c r="K40" s="16">
        <v>0</v>
      </c>
      <c r="L40" s="16">
        <v>1</v>
      </c>
      <c r="M40" s="16">
        <v>0</v>
      </c>
      <c r="N40" s="16">
        <v>0</v>
      </c>
      <c r="O40" s="13">
        <f t="shared" si="11"/>
        <v>2</v>
      </c>
    </row>
    <row r="41" spans="1:15" ht="12.75" customHeight="1" x14ac:dyDescent="0.3">
      <c r="A41" s="25"/>
      <c r="B41" s="56"/>
      <c r="C41" s="65"/>
      <c r="D41" s="13" t="s">
        <v>14</v>
      </c>
      <c r="E41" s="13">
        <f t="shared" ref="E41:N41" si="12">SUM(E39:E40)</f>
        <v>1</v>
      </c>
      <c r="F41" s="13">
        <f t="shared" si="12"/>
        <v>0</v>
      </c>
      <c r="G41" s="13">
        <f t="shared" si="12"/>
        <v>1</v>
      </c>
      <c r="H41" s="13">
        <f t="shared" si="12"/>
        <v>5</v>
      </c>
      <c r="I41" s="13">
        <f t="shared" si="12"/>
        <v>0</v>
      </c>
      <c r="J41" s="13">
        <f t="shared" si="12"/>
        <v>0</v>
      </c>
      <c r="K41" s="13">
        <f t="shared" si="12"/>
        <v>0</v>
      </c>
      <c r="L41" s="13">
        <f t="shared" si="12"/>
        <v>4</v>
      </c>
      <c r="M41" s="13">
        <f t="shared" si="12"/>
        <v>0</v>
      </c>
      <c r="N41" s="13">
        <f t="shared" si="12"/>
        <v>0</v>
      </c>
      <c r="O41" s="13">
        <f t="shared" si="11"/>
        <v>11</v>
      </c>
    </row>
    <row r="42" spans="1:15" ht="12.75" customHeight="1" x14ac:dyDescent="0.3">
      <c r="A42" s="55"/>
      <c r="B42" s="56"/>
      <c r="C42" s="56"/>
      <c r="D42" s="65"/>
      <c r="E42" s="61"/>
      <c r="F42" s="60"/>
      <c r="G42" s="60"/>
      <c r="H42" s="60"/>
      <c r="I42" s="58"/>
      <c r="J42" s="16"/>
      <c r="K42" s="16"/>
      <c r="L42" s="16"/>
      <c r="M42" s="16"/>
      <c r="N42" s="48"/>
      <c r="O42" s="13"/>
    </row>
    <row r="43" spans="1:15" ht="12.75" customHeight="1" x14ac:dyDescent="0.3">
      <c r="A43" s="26" t="s">
        <v>34</v>
      </c>
      <c r="B43" s="66" t="s">
        <v>35</v>
      </c>
      <c r="C43" s="60"/>
      <c r="D43" s="58"/>
      <c r="E43" s="19"/>
      <c r="F43" s="13"/>
      <c r="G43" s="13"/>
      <c r="H43" s="13"/>
      <c r="I43" s="13"/>
      <c r="J43" s="13"/>
      <c r="K43" s="13"/>
      <c r="L43" s="13"/>
      <c r="M43" s="13"/>
      <c r="N43" s="50"/>
      <c r="O43" s="13"/>
    </row>
    <row r="44" spans="1:15" ht="12.75" customHeight="1" x14ac:dyDescent="0.3">
      <c r="A44" s="80" t="s">
        <v>36</v>
      </c>
      <c r="B44" s="82"/>
      <c r="C44" s="82"/>
      <c r="D44" s="63"/>
      <c r="E44" s="17"/>
      <c r="F44" s="16"/>
      <c r="G44" s="16"/>
      <c r="H44" s="16"/>
      <c r="I44" s="16"/>
      <c r="J44" s="16"/>
      <c r="K44" s="16"/>
      <c r="L44" s="16"/>
      <c r="M44" s="16"/>
      <c r="N44" s="48"/>
      <c r="O44" s="13"/>
    </row>
    <row r="45" spans="1:15" ht="12.75" customHeight="1" x14ac:dyDescent="0.3">
      <c r="A45" s="20" t="s">
        <v>37</v>
      </c>
      <c r="B45" s="27" t="s">
        <v>17</v>
      </c>
      <c r="C45" s="57" t="s">
        <v>38</v>
      </c>
      <c r="D45" s="58"/>
      <c r="E45" s="16">
        <v>6</v>
      </c>
      <c r="F45" s="16">
        <v>1</v>
      </c>
      <c r="G45" s="16">
        <v>1</v>
      </c>
      <c r="H45" s="16">
        <v>2</v>
      </c>
      <c r="I45" s="16">
        <v>4</v>
      </c>
      <c r="J45" s="16">
        <v>4</v>
      </c>
      <c r="K45" s="16">
        <v>7</v>
      </c>
      <c r="L45" s="16">
        <v>2</v>
      </c>
      <c r="M45" s="16">
        <v>7</v>
      </c>
      <c r="N45" s="16">
        <v>9</v>
      </c>
      <c r="O45" s="13">
        <f t="shared" ref="O45:O54" si="13">SUM(E45:N45)</f>
        <v>43</v>
      </c>
    </row>
    <row r="46" spans="1:15" ht="12.75" customHeight="1" x14ac:dyDescent="0.3">
      <c r="A46" s="20" t="s">
        <v>39</v>
      </c>
      <c r="B46" s="28"/>
      <c r="C46" s="29" t="s">
        <v>40</v>
      </c>
      <c r="D46" s="30"/>
      <c r="E46" s="16">
        <v>4</v>
      </c>
      <c r="F46" s="16">
        <v>1</v>
      </c>
      <c r="G46" s="16">
        <v>1</v>
      </c>
      <c r="H46" s="16">
        <v>6</v>
      </c>
      <c r="I46" s="16">
        <v>6</v>
      </c>
      <c r="J46" s="16">
        <v>15</v>
      </c>
      <c r="K46" s="16">
        <v>9</v>
      </c>
      <c r="L46" s="16">
        <v>7</v>
      </c>
      <c r="M46" s="16">
        <v>16</v>
      </c>
      <c r="N46" s="16">
        <v>20</v>
      </c>
      <c r="O46" s="13">
        <f t="shared" si="13"/>
        <v>85</v>
      </c>
    </row>
    <row r="47" spans="1:15" ht="12.75" customHeight="1" x14ac:dyDescent="0.3">
      <c r="A47" s="15"/>
      <c r="B47" s="28"/>
      <c r="C47" s="29" t="s">
        <v>41</v>
      </c>
      <c r="D47" s="30"/>
      <c r="E47" s="16">
        <v>1</v>
      </c>
      <c r="F47" s="16">
        <v>1</v>
      </c>
      <c r="G47" s="16">
        <v>0</v>
      </c>
      <c r="H47" s="16">
        <v>1</v>
      </c>
      <c r="I47" s="16">
        <v>0</v>
      </c>
      <c r="J47" s="16">
        <v>2</v>
      </c>
      <c r="K47" s="16">
        <v>28</v>
      </c>
      <c r="L47" s="16">
        <v>1</v>
      </c>
      <c r="M47" s="16">
        <v>0</v>
      </c>
      <c r="N47" s="16">
        <v>10</v>
      </c>
      <c r="O47" s="13">
        <f t="shared" si="13"/>
        <v>44</v>
      </c>
    </row>
    <row r="48" spans="1:15" ht="12.75" customHeight="1" x14ac:dyDescent="0.3">
      <c r="A48" s="15"/>
      <c r="B48" s="28"/>
      <c r="C48" s="29" t="s">
        <v>42</v>
      </c>
      <c r="D48" s="30"/>
      <c r="E48" s="16">
        <v>0</v>
      </c>
      <c r="F48" s="16">
        <v>0</v>
      </c>
      <c r="G48" s="16">
        <v>1</v>
      </c>
      <c r="H48" s="16">
        <v>1</v>
      </c>
      <c r="I48" s="16">
        <v>0</v>
      </c>
      <c r="J48" s="16">
        <v>0</v>
      </c>
      <c r="K48" s="16">
        <v>1</v>
      </c>
      <c r="L48" s="16">
        <v>1</v>
      </c>
      <c r="M48" s="16">
        <v>2</v>
      </c>
      <c r="N48" s="16">
        <v>0</v>
      </c>
      <c r="O48" s="13">
        <f t="shared" si="13"/>
        <v>6</v>
      </c>
    </row>
    <row r="49" spans="1:15" ht="12.75" customHeight="1" x14ac:dyDescent="0.3">
      <c r="A49" s="15"/>
      <c r="B49" s="28"/>
      <c r="C49" s="29" t="s">
        <v>43</v>
      </c>
      <c r="D49" s="30"/>
      <c r="E49" s="16">
        <v>0</v>
      </c>
      <c r="F49" s="16">
        <v>1</v>
      </c>
      <c r="G49" s="16">
        <v>0</v>
      </c>
      <c r="H49" s="16">
        <v>0</v>
      </c>
      <c r="I49" s="16">
        <v>0</v>
      </c>
      <c r="J49" s="16">
        <v>0</v>
      </c>
      <c r="K49" s="16">
        <v>7</v>
      </c>
      <c r="L49" s="16">
        <v>2</v>
      </c>
      <c r="M49" s="16">
        <v>2</v>
      </c>
      <c r="N49" s="16">
        <v>1</v>
      </c>
      <c r="O49" s="13">
        <f t="shared" si="13"/>
        <v>13</v>
      </c>
    </row>
    <row r="50" spans="1:15" ht="12.75" customHeight="1" x14ac:dyDescent="0.3">
      <c r="A50" s="15"/>
      <c r="B50" s="28"/>
      <c r="C50" s="29" t="s">
        <v>44</v>
      </c>
      <c r="D50" s="30"/>
      <c r="E50" s="16">
        <v>1</v>
      </c>
      <c r="F50" s="16">
        <v>0</v>
      </c>
      <c r="G50" s="16">
        <v>3</v>
      </c>
      <c r="H50" s="16">
        <v>0</v>
      </c>
      <c r="I50" s="16">
        <v>0</v>
      </c>
      <c r="J50" s="16">
        <v>0</v>
      </c>
      <c r="K50" s="16">
        <v>0</v>
      </c>
      <c r="L50" s="16">
        <v>1</v>
      </c>
      <c r="M50" s="16">
        <v>3</v>
      </c>
      <c r="N50" s="16">
        <v>0</v>
      </c>
      <c r="O50" s="13">
        <f t="shared" si="13"/>
        <v>8</v>
      </c>
    </row>
    <row r="51" spans="1:15" ht="12.75" customHeight="1" x14ac:dyDescent="0.3">
      <c r="A51" s="15"/>
      <c r="B51" s="28"/>
      <c r="C51" s="29" t="s">
        <v>45</v>
      </c>
      <c r="D51" s="30"/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1</v>
      </c>
      <c r="L51" s="16">
        <v>0</v>
      </c>
      <c r="M51" s="16">
        <v>1</v>
      </c>
      <c r="N51" s="16">
        <v>0</v>
      </c>
      <c r="O51" s="13">
        <f t="shared" si="13"/>
        <v>2</v>
      </c>
    </row>
    <row r="52" spans="1:15" ht="12.75" customHeight="1" x14ac:dyDescent="0.3">
      <c r="A52" s="15"/>
      <c r="B52" s="28"/>
      <c r="C52" s="29" t="s">
        <v>46</v>
      </c>
      <c r="D52" s="30"/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1</v>
      </c>
      <c r="L52" s="16">
        <v>0</v>
      </c>
      <c r="M52" s="16">
        <v>0</v>
      </c>
      <c r="N52" s="16">
        <v>0</v>
      </c>
      <c r="O52" s="13">
        <f t="shared" si="13"/>
        <v>1</v>
      </c>
    </row>
    <row r="53" spans="1:15" ht="12.75" customHeight="1" x14ac:dyDescent="0.3">
      <c r="A53" s="15"/>
      <c r="B53" s="28"/>
      <c r="C53" s="29" t="s">
        <v>47</v>
      </c>
      <c r="D53" s="35"/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1</v>
      </c>
      <c r="N53" s="16">
        <v>0</v>
      </c>
      <c r="O53" s="13">
        <f t="shared" si="13"/>
        <v>1</v>
      </c>
    </row>
    <row r="54" spans="1:15" ht="12.75" customHeight="1" x14ac:dyDescent="0.3">
      <c r="A54" s="15"/>
      <c r="B54" s="28"/>
      <c r="C54" s="29" t="s">
        <v>48</v>
      </c>
      <c r="D54" s="30"/>
      <c r="E54" s="16">
        <v>0</v>
      </c>
      <c r="F54" s="16">
        <v>0</v>
      </c>
      <c r="G54" s="16">
        <v>0</v>
      </c>
      <c r="H54" s="16">
        <v>2</v>
      </c>
      <c r="I54" s="16">
        <v>0</v>
      </c>
      <c r="J54" s="16">
        <v>0</v>
      </c>
      <c r="K54" s="16">
        <v>2</v>
      </c>
      <c r="L54" s="16">
        <v>0</v>
      </c>
      <c r="M54" s="16">
        <v>0</v>
      </c>
      <c r="N54" s="16">
        <v>0</v>
      </c>
      <c r="O54" s="13">
        <f t="shared" si="13"/>
        <v>4</v>
      </c>
    </row>
    <row r="55" spans="1:15" ht="12.75" customHeight="1" x14ac:dyDescent="0.3">
      <c r="A55" s="16" t="s">
        <v>15</v>
      </c>
      <c r="B55" s="59" t="s">
        <v>49</v>
      </c>
      <c r="C55" s="60"/>
      <c r="D55" s="58"/>
      <c r="E55" s="13">
        <f t="shared" ref="E55:O55" si="14">SUM(E45:E54)</f>
        <v>12</v>
      </c>
      <c r="F55" s="13">
        <f t="shared" si="14"/>
        <v>4</v>
      </c>
      <c r="G55" s="13">
        <f t="shared" si="14"/>
        <v>6</v>
      </c>
      <c r="H55" s="13">
        <f t="shared" si="14"/>
        <v>12</v>
      </c>
      <c r="I55" s="13">
        <f t="shared" si="14"/>
        <v>10</v>
      </c>
      <c r="J55" s="13">
        <f t="shared" si="14"/>
        <v>21</v>
      </c>
      <c r="K55" s="13">
        <f t="shared" si="14"/>
        <v>56</v>
      </c>
      <c r="L55" s="13">
        <f t="shared" si="14"/>
        <v>14</v>
      </c>
      <c r="M55" s="13">
        <f t="shared" si="14"/>
        <v>32</v>
      </c>
      <c r="N55" s="13">
        <f t="shared" si="14"/>
        <v>40</v>
      </c>
      <c r="O55" s="13">
        <f t="shared" si="14"/>
        <v>207</v>
      </c>
    </row>
    <row r="56" spans="1:15" ht="12.75" customHeight="1" x14ac:dyDescent="0.3">
      <c r="A56" s="55"/>
      <c r="B56" s="56"/>
      <c r="C56" s="56"/>
      <c r="D56" s="56"/>
      <c r="E56" s="56"/>
      <c r="O56" s="13"/>
    </row>
    <row r="57" spans="1:15" ht="12.75" customHeight="1" x14ac:dyDescent="0.3">
      <c r="A57" s="20" t="s">
        <v>37</v>
      </c>
      <c r="B57" s="27" t="s">
        <v>19</v>
      </c>
      <c r="C57" s="57" t="s">
        <v>50</v>
      </c>
      <c r="D57" s="58"/>
      <c r="E57" s="16">
        <v>9</v>
      </c>
      <c r="F57" s="16">
        <v>11</v>
      </c>
      <c r="G57" s="16">
        <v>9</v>
      </c>
      <c r="H57" s="16">
        <v>5</v>
      </c>
      <c r="I57" s="16">
        <v>5</v>
      </c>
      <c r="J57" s="16">
        <v>10</v>
      </c>
      <c r="K57" s="16">
        <v>5</v>
      </c>
      <c r="L57" s="16">
        <v>14</v>
      </c>
      <c r="M57" s="16">
        <v>11</v>
      </c>
      <c r="N57" s="16">
        <v>2</v>
      </c>
      <c r="O57" s="13">
        <f t="shared" ref="O57:O66" si="15">SUM(E57:N57)</f>
        <v>81</v>
      </c>
    </row>
    <row r="58" spans="1:15" ht="12.75" customHeight="1" x14ac:dyDescent="0.3">
      <c r="A58" s="20" t="s">
        <v>39</v>
      </c>
      <c r="B58" s="28"/>
      <c r="C58" s="29" t="s">
        <v>51</v>
      </c>
      <c r="D58" s="30"/>
      <c r="E58" s="16">
        <v>2</v>
      </c>
      <c r="F58" s="16">
        <v>3</v>
      </c>
      <c r="G58" s="16">
        <v>9</v>
      </c>
      <c r="H58" s="16">
        <v>8</v>
      </c>
      <c r="I58" s="16">
        <v>3</v>
      </c>
      <c r="J58" s="16">
        <v>4</v>
      </c>
      <c r="K58" s="16">
        <v>4</v>
      </c>
      <c r="L58" s="16">
        <v>1</v>
      </c>
      <c r="M58" s="16">
        <v>9</v>
      </c>
      <c r="N58" s="16">
        <v>2</v>
      </c>
      <c r="O58" s="13">
        <f t="shared" si="15"/>
        <v>45</v>
      </c>
    </row>
    <row r="59" spans="1:15" ht="12.75" customHeight="1" x14ac:dyDescent="0.3">
      <c r="A59" s="15"/>
      <c r="B59" s="28"/>
      <c r="C59" s="29" t="s">
        <v>52</v>
      </c>
      <c r="D59" s="30"/>
      <c r="E59" s="16">
        <v>1</v>
      </c>
      <c r="F59" s="16">
        <v>3</v>
      </c>
      <c r="G59" s="16">
        <v>15</v>
      </c>
      <c r="H59" s="16">
        <v>7</v>
      </c>
      <c r="I59" s="16">
        <v>1</v>
      </c>
      <c r="J59" s="16">
        <v>4</v>
      </c>
      <c r="K59" s="16">
        <v>5</v>
      </c>
      <c r="L59" s="16">
        <v>11</v>
      </c>
      <c r="M59" s="16">
        <v>18</v>
      </c>
      <c r="N59" s="16">
        <v>25</v>
      </c>
      <c r="O59" s="13">
        <f t="shared" si="15"/>
        <v>90</v>
      </c>
    </row>
    <row r="60" spans="1:15" ht="12.75" customHeight="1" x14ac:dyDescent="0.3">
      <c r="A60" s="15"/>
      <c r="B60" s="28"/>
      <c r="C60" s="29" t="s">
        <v>53</v>
      </c>
      <c r="D60" s="30"/>
      <c r="E60" s="16">
        <v>0</v>
      </c>
      <c r="F60" s="16">
        <v>1</v>
      </c>
      <c r="G60" s="16">
        <v>0</v>
      </c>
      <c r="H60" s="16">
        <v>2</v>
      </c>
      <c r="I60" s="16">
        <v>0</v>
      </c>
      <c r="J60" s="16">
        <v>0</v>
      </c>
      <c r="K60" s="16">
        <v>0</v>
      </c>
      <c r="L60" s="16">
        <v>1</v>
      </c>
      <c r="M60" s="16">
        <v>3</v>
      </c>
      <c r="N60" s="16">
        <v>1</v>
      </c>
      <c r="O60" s="13">
        <f t="shared" si="15"/>
        <v>8</v>
      </c>
    </row>
    <row r="61" spans="1:15" ht="12.75" customHeight="1" x14ac:dyDescent="0.3">
      <c r="A61" s="15"/>
      <c r="B61" s="28"/>
      <c r="C61" s="29" t="s">
        <v>54</v>
      </c>
      <c r="D61" s="30"/>
      <c r="E61" s="16">
        <v>1</v>
      </c>
      <c r="F61" s="16">
        <v>2</v>
      </c>
      <c r="G61" s="16">
        <v>0</v>
      </c>
      <c r="H61" s="16">
        <v>45</v>
      </c>
      <c r="I61" s="16">
        <v>28</v>
      </c>
      <c r="J61" s="16">
        <v>17</v>
      </c>
      <c r="K61" s="16">
        <v>11</v>
      </c>
      <c r="L61" s="16">
        <v>3</v>
      </c>
      <c r="M61" s="16">
        <v>2</v>
      </c>
      <c r="N61" s="16">
        <v>4</v>
      </c>
      <c r="O61" s="13">
        <f t="shared" si="15"/>
        <v>113</v>
      </c>
    </row>
    <row r="62" spans="1:15" ht="12.75" customHeight="1" x14ac:dyDescent="0.3">
      <c r="A62" s="15"/>
      <c r="B62" s="28"/>
      <c r="C62" s="29" t="s">
        <v>55</v>
      </c>
      <c r="D62" s="30"/>
      <c r="E62" s="16">
        <v>2</v>
      </c>
      <c r="F62" s="16">
        <v>1</v>
      </c>
      <c r="G62" s="16">
        <v>0</v>
      </c>
      <c r="H62" s="16">
        <v>1</v>
      </c>
      <c r="I62" s="16">
        <v>0</v>
      </c>
      <c r="J62" s="16">
        <v>2</v>
      </c>
      <c r="K62" s="16">
        <v>2</v>
      </c>
      <c r="L62" s="16">
        <v>0</v>
      </c>
      <c r="M62" s="16">
        <v>0</v>
      </c>
      <c r="N62" s="16">
        <v>2</v>
      </c>
      <c r="O62" s="13">
        <f t="shared" si="15"/>
        <v>10</v>
      </c>
    </row>
    <row r="63" spans="1:15" ht="12.75" customHeight="1" x14ac:dyDescent="0.3">
      <c r="A63" s="15"/>
      <c r="B63" s="28"/>
      <c r="C63" s="29" t="s">
        <v>56</v>
      </c>
      <c r="D63" s="30"/>
      <c r="E63" s="16">
        <v>0</v>
      </c>
      <c r="F63" s="16">
        <v>2</v>
      </c>
      <c r="G63" s="16">
        <v>1</v>
      </c>
      <c r="H63" s="16">
        <v>0</v>
      </c>
      <c r="I63" s="16">
        <v>0</v>
      </c>
      <c r="J63" s="16">
        <v>0</v>
      </c>
      <c r="K63" s="16">
        <v>1</v>
      </c>
      <c r="L63" s="16">
        <v>1</v>
      </c>
      <c r="M63" s="16">
        <v>1</v>
      </c>
      <c r="N63" s="16">
        <v>0</v>
      </c>
      <c r="O63" s="13">
        <f t="shared" si="15"/>
        <v>6</v>
      </c>
    </row>
    <row r="64" spans="1:15" ht="12.75" customHeight="1" x14ac:dyDescent="0.3">
      <c r="A64" s="15"/>
      <c r="B64" s="28"/>
      <c r="C64" s="29" t="s">
        <v>57</v>
      </c>
      <c r="D64" s="30"/>
      <c r="E64" s="16">
        <v>0</v>
      </c>
      <c r="F64" s="16">
        <v>0</v>
      </c>
      <c r="G64" s="16">
        <v>1</v>
      </c>
      <c r="H64" s="16">
        <v>0</v>
      </c>
      <c r="I64" s="16">
        <v>0</v>
      </c>
      <c r="J64" s="16">
        <v>0</v>
      </c>
      <c r="K64" s="16">
        <v>1</v>
      </c>
      <c r="L64" s="16">
        <v>0</v>
      </c>
      <c r="M64" s="16">
        <v>1</v>
      </c>
      <c r="N64" s="16">
        <v>0</v>
      </c>
      <c r="O64" s="13">
        <f t="shared" si="15"/>
        <v>3</v>
      </c>
    </row>
    <row r="65" spans="1:15" ht="12.75" customHeight="1" x14ac:dyDescent="0.3">
      <c r="A65" s="15"/>
      <c r="B65" s="28"/>
      <c r="C65" s="29" t="s">
        <v>58</v>
      </c>
      <c r="D65" s="30"/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3">
        <f t="shared" si="15"/>
        <v>0</v>
      </c>
    </row>
    <row r="66" spans="1:15" ht="12.75" customHeight="1" x14ac:dyDescent="0.3">
      <c r="A66" s="15"/>
      <c r="B66" s="28"/>
      <c r="C66" s="29" t="s">
        <v>59</v>
      </c>
      <c r="D66" s="30"/>
      <c r="E66" s="16">
        <v>0</v>
      </c>
      <c r="F66" s="16">
        <v>1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1</v>
      </c>
      <c r="N66" s="16">
        <v>0</v>
      </c>
      <c r="O66" s="13">
        <f t="shared" si="15"/>
        <v>2</v>
      </c>
    </row>
    <row r="67" spans="1:15" ht="12.75" customHeight="1" x14ac:dyDescent="0.3">
      <c r="A67" s="16" t="s">
        <v>15</v>
      </c>
      <c r="B67" s="59" t="s">
        <v>49</v>
      </c>
      <c r="C67" s="60"/>
      <c r="D67" s="58"/>
      <c r="E67" s="13">
        <f t="shared" ref="E67:O67" si="16">SUM(E57:E66)</f>
        <v>15</v>
      </c>
      <c r="F67" s="13">
        <f t="shared" si="16"/>
        <v>24</v>
      </c>
      <c r="G67" s="13">
        <f t="shared" si="16"/>
        <v>35</v>
      </c>
      <c r="H67" s="13">
        <f t="shared" si="16"/>
        <v>68</v>
      </c>
      <c r="I67" s="13">
        <f t="shared" si="16"/>
        <v>37</v>
      </c>
      <c r="J67" s="13">
        <f t="shared" si="16"/>
        <v>37</v>
      </c>
      <c r="K67" s="13">
        <f t="shared" si="16"/>
        <v>29</v>
      </c>
      <c r="L67" s="13">
        <f t="shared" si="16"/>
        <v>31</v>
      </c>
      <c r="M67" s="13">
        <f t="shared" si="16"/>
        <v>46</v>
      </c>
      <c r="N67" s="13">
        <f t="shared" si="16"/>
        <v>36</v>
      </c>
      <c r="O67" s="13">
        <f t="shared" si="16"/>
        <v>358</v>
      </c>
    </row>
    <row r="68" spans="1:15" ht="12.75" customHeight="1" x14ac:dyDescent="0.3">
      <c r="A68" s="55"/>
      <c r="B68" s="56"/>
      <c r="C68" s="56"/>
      <c r="D68" s="56"/>
      <c r="E68" s="56"/>
    </row>
    <row r="69" spans="1:15" ht="12.75" customHeight="1" x14ac:dyDescent="0.3">
      <c r="A69" s="20" t="s">
        <v>37</v>
      </c>
      <c r="B69" s="27" t="s">
        <v>21</v>
      </c>
      <c r="C69" s="57" t="s">
        <v>60</v>
      </c>
      <c r="D69" s="58"/>
      <c r="E69" s="16">
        <v>13</v>
      </c>
      <c r="F69" s="16">
        <v>13</v>
      </c>
      <c r="G69" s="16">
        <v>10</v>
      </c>
      <c r="H69" s="16">
        <v>3</v>
      </c>
      <c r="I69" s="16">
        <v>7</v>
      </c>
      <c r="J69" s="16">
        <v>9</v>
      </c>
      <c r="K69" s="16">
        <v>5</v>
      </c>
      <c r="L69" s="16">
        <v>10</v>
      </c>
      <c r="M69" s="16">
        <v>3</v>
      </c>
      <c r="N69" s="16">
        <v>2</v>
      </c>
      <c r="O69" s="13">
        <f t="shared" ref="O69:O78" si="17">SUM(E69:N69)</f>
        <v>75</v>
      </c>
    </row>
    <row r="70" spans="1:15" ht="12.75" customHeight="1" x14ac:dyDescent="0.3">
      <c r="A70" s="20" t="s">
        <v>39</v>
      </c>
      <c r="B70" s="28"/>
      <c r="C70" s="29" t="s">
        <v>61</v>
      </c>
      <c r="D70" s="30"/>
      <c r="E70" s="16">
        <v>1</v>
      </c>
      <c r="F70" s="16">
        <v>4</v>
      </c>
      <c r="G70" s="16">
        <v>3</v>
      </c>
      <c r="H70" s="16">
        <v>5</v>
      </c>
      <c r="I70" s="16">
        <v>11</v>
      </c>
      <c r="J70" s="16">
        <v>5</v>
      </c>
      <c r="K70" s="16">
        <v>11</v>
      </c>
      <c r="L70" s="16">
        <v>8</v>
      </c>
      <c r="M70" s="16">
        <v>5</v>
      </c>
      <c r="N70" s="16">
        <v>1</v>
      </c>
      <c r="O70" s="13">
        <f t="shared" si="17"/>
        <v>54</v>
      </c>
    </row>
    <row r="71" spans="1:15" ht="12.75" customHeight="1" x14ac:dyDescent="0.3">
      <c r="A71" s="15"/>
      <c r="B71" s="28"/>
      <c r="C71" s="29" t="s">
        <v>62</v>
      </c>
      <c r="D71" s="30"/>
      <c r="E71" s="16">
        <v>3</v>
      </c>
      <c r="F71" s="16">
        <v>9</v>
      </c>
      <c r="G71" s="16">
        <v>2</v>
      </c>
      <c r="H71" s="16">
        <v>2</v>
      </c>
      <c r="I71" s="16">
        <v>4</v>
      </c>
      <c r="J71" s="16">
        <v>4</v>
      </c>
      <c r="K71" s="16">
        <v>1</v>
      </c>
      <c r="L71" s="16">
        <v>3</v>
      </c>
      <c r="M71" s="16">
        <v>2</v>
      </c>
      <c r="N71" s="16">
        <v>1</v>
      </c>
      <c r="O71" s="13">
        <f t="shared" si="17"/>
        <v>31</v>
      </c>
    </row>
    <row r="72" spans="1:15" ht="12.75" customHeight="1" x14ac:dyDescent="0.3">
      <c r="A72" s="15"/>
      <c r="B72" s="28"/>
      <c r="C72" s="29" t="s">
        <v>63</v>
      </c>
      <c r="D72" s="30"/>
      <c r="E72" s="16">
        <v>3</v>
      </c>
      <c r="F72" s="16">
        <v>6</v>
      </c>
      <c r="G72" s="16">
        <v>3</v>
      </c>
      <c r="H72" s="16">
        <v>3</v>
      </c>
      <c r="I72" s="16">
        <v>3</v>
      </c>
      <c r="J72" s="16">
        <v>3</v>
      </c>
      <c r="K72" s="16">
        <v>2</v>
      </c>
      <c r="L72" s="16">
        <v>4</v>
      </c>
      <c r="M72" s="16">
        <v>0</v>
      </c>
      <c r="N72" s="16">
        <v>0</v>
      </c>
      <c r="O72" s="13">
        <f t="shared" si="17"/>
        <v>27</v>
      </c>
    </row>
    <row r="73" spans="1:15" ht="12.75" customHeight="1" x14ac:dyDescent="0.3">
      <c r="A73" s="15"/>
      <c r="B73" s="28"/>
      <c r="C73" s="29" t="s">
        <v>64</v>
      </c>
      <c r="D73" s="30"/>
      <c r="E73" s="16">
        <v>1</v>
      </c>
      <c r="F73" s="16">
        <v>6</v>
      </c>
      <c r="G73" s="16">
        <v>2</v>
      </c>
      <c r="H73" s="16">
        <v>3</v>
      </c>
      <c r="I73" s="16">
        <v>6</v>
      </c>
      <c r="J73" s="16">
        <v>1</v>
      </c>
      <c r="K73" s="16">
        <v>0</v>
      </c>
      <c r="L73" s="16">
        <v>5</v>
      </c>
      <c r="M73" s="16">
        <v>1</v>
      </c>
      <c r="N73" s="16">
        <v>0</v>
      </c>
      <c r="O73" s="13">
        <f t="shared" si="17"/>
        <v>25</v>
      </c>
    </row>
    <row r="74" spans="1:15" ht="12.75" customHeight="1" x14ac:dyDescent="0.3">
      <c r="A74" s="15"/>
      <c r="B74" s="28"/>
      <c r="C74" s="29" t="s">
        <v>65</v>
      </c>
      <c r="D74" s="30"/>
      <c r="E74" s="16">
        <v>2</v>
      </c>
      <c r="F74" s="16">
        <v>1</v>
      </c>
      <c r="G74" s="16">
        <v>2</v>
      </c>
      <c r="H74" s="16">
        <v>2</v>
      </c>
      <c r="I74" s="16">
        <v>0</v>
      </c>
      <c r="J74" s="16">
        <v>2</v>
      </c>
      <c r="K74" s="16">
        <v>0</v>
      </c>
      <c r="L74" s="16">
        <v>2</v>
      </c>
      <c r="M74" s="16">
        <v>1</v>
      </c>
      <c r="N74" s="16">
        <v>1</v>
      </c>
      <c r="O74" s="13">
        <f t="shared" si="17"/>
        <v>13</v>
      </c>
    </row>
    <row r="75" spans="1:15" ht="12.75" customHeight="1" x14ac:dyDescent="0.3">
      <c r="A75" s="15"/>
      <c r="B75" s="28"/>
      <c r="C75" s="29" t="s">
        <v>66</v>
      </c>
      <c r="D75" s="30"/>
      <c r="E75" s="16">
        <v>1</v>
      </c>
      <c r="F75" s="16">
        <v>2</v>
      </c>
      <c r="G75" s="16">
        <v>1</v>
      </c>
      <c r="H75" s="16">
        <v>0</v>
      </c>
      <c r="I75" s="16">
        <v>0</v>
      </c>
      <c r="J75" s="16">
        <v>1</v>
      </c>
      <c r="K75" s="16">
        <v>0</v>
      </c>
      <c r="L75" s="16">
        <v>1</v>
      </c>
      <c r="M75" s="16">
        <v>0</v>
      </c>
      <c r="N75" s="16">
        <v>2</v>
      </c>
      <c r="O75" s="13">
        <f t="shared" si="17"/>
        <v>8</v>
      </c>
    </row>
    <row r="76" spans="1:15" ht="12.75" customHeight="1" x14ac:dyDescent="0.3">
      <c r="A76" s="15"/>
      <c r="B76" s="28"/>
      <c r="C76" s="29" t="s">
        <v>67</v>
      </c>
      <c r="D76" s="30"/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3">
        <f t="shared" si="17"/>
        <v>0</v>
      </c>
    </row>
    <row r="77" spans="1:15" ht="12.75" customHeight="1" x14ac:dyDescent="0.3">
      <c r="A77" s="15"/>
      <c r="B77" s="28"/>
      <c r="C77" s="29" t="s">
        <v>68</v>
      </c>
      <c r="D77" s="30"/>
      <c r="E77" s="16">
        <v>2</v>
      </c>
      <c r="F77" s="16">
        <v>0</v>
      </c>
      <c r="G77" s="16">
        <v>2</v>
      </c>
      <c r="H77" s="16">
        <v>0</v>
      </c>
      <c r="I77" s="16">
        <v>0</v>
      </c>
      <c r="J77" s="16">
        <v>0</v>
      </c>
      <c r="K77" s="16">
        <v>0</v>
      </c>
      <c r="L77" s="16">
        <v>1</v>
      </c>
      <c r="M77" s="16">
        <v>0</v>
      </c>
      <c r="N77" s="16">
        <v>0</v>
      </c>
      <c r="O77" s="13">
        <f t="shared" si="17"/>
        <v>5</v>
      </c>
    </row>
    <row r="78" spans="1:15" ht="12.75" customHeight="1" x14ac:dyDescent="0.3">
      <c r="A78" s="15"/>
      <c r="B78" s="28"/>
      <c r="C78" s="29" t="s">
        <v>69</v>
      </c>
      <c r="D78" s="30"/>
      <c r="E78" s="16">
        <v>0</v>
      </c>
      <c r="F78" s="16">
        <v>1</v>
      </c>
      <c r="G78" s="16">
        <v>2</v>
      </c>
      <c r="H78" s="16">
        <v>0</v>
      </c>
      <c r="I78" s="16">
        <v>1</v>
      </c>
      <c r="J78" s="16">
        <v>0</v>
      </c>
      <c r="K78" s="16">
        <v>0</v>
      </c>
      <c r="L78" s="16">
        <v>1</v>
      </c>
      <c r="M78" s="16">
        <v>0</v>
      </c>
      <c r="N78" s="16">
        <v>0</v>
      </c>
      <c r="O78" s="13">
        <f t="shared" si="17"/>
        <v>5</v>
      </c>
    </row>
    <row r="79" spans="1:15" ht="12.75" customHeight="1" x14ac:dyDescent="0.3">
      <c r="A79" s="16" t="s">
        <v>15</v>
      </c>
      <c r="B79" s="59" t="s">
        <v>49</v>
      </c>
      <c r="C79" s="60"/>
      <c r="D79" s="58"/>
      <c r="E79" s="13">
        <f t="shared" ref="E79:O79" si="18">SUM(E69:E78)</f>
        <v>26</v>
      </c>
      <c r="F79" s="13">
        <f t="shared" si="18"/>
        <v>42</v>
      </c>
      <c r="G79" s="13">
        <f t="shared" si="18"/>
        <v>27</v>
      </c>
      <c r="H79" s="13">
        <f t="shared" si="18"/>
        <v>18</v>
      </c>
      <c r="I79" s="13">
        <f t="shared" si="18"/>
        <v>32</v>
      </c>
      <c r="J79" s="13">
        <f t="shared" si="18"/>
        <v>25</v>
      </c>
      <c r="K79" s="13">
        <f t="shared" si="18"/>
        <v>19</v>
      </c>
      <c r="L79" s="13">
        <f t="shared" si="18"/>
        <v>35</v>
      </c>
      <c r="M79" s="13">
        <f t="shared" si="18"/>
        <v>12</v>
      </c>
      <c r="N79" s="13">
        <f t="shared" si="18"/>
        <v>7</v>
      </c>
      <c r="O79" s="13">
        <f t="shared" si="18"/>
        <v>243</v>
      </c>
    </row>
    <row r="80" spans="1:15" ht="12.75" customHeight="1" x14ac:dyDescent="0.3">
      <c r="A80" s="55"/>
      <c r="B80" s="56"/>
      <c r="C80" s="56"/>
      <c r="D80" s="56"/>
      <c r="E80" s="56"/>
    </row>
    <row r="81" spans="1:15" ht="12.75" customHeight="1" x14ac:dyDescent="0.3">
      <c r="A81" s="20" t="s">
        <v>37</v>
      </c>
      <c r="B81" s="27" t="s">
        <v>23</v>
      </c>
      <c r="C81" s="57" t="s">
        <v>70</v>
      </c>
      <c r="D81" s="58"/>
      <c r="E81" s="16">
        <v>6</v>
      </c>
      <c r="F81" s="16">
        <v>6</v>
      </c>
      <c r="G81" s="16">
        <v>1</v>
      </c>
      <c r="H81" s="16">
        <v>6</v>
      </c>
      <c r="I81" s="16">
        <v>4</v>
      </c>
      <c r="J81" s="16">
        <v>1</v>
      </c>
      <c r="K81" s="16">
        <v>7</v>
      </c>
      <c r="L81" s="16">
        <v>3</v>
      </c>
      <c r="M81" s="16">
        <v>8</v>
      </c>
      <c r="N81" s="16">
        <v>1</v>
      </c>
      <c r="O81" s="13">
        <f t="shared" ref="O81:O90" si="19">SUM(E81:N81)</f>
        <v>43</v>
      </c>
    </row>
    <row r="82" spans="1:15" ht="12.75" customHeight="1" x14ac:dyDescent="0.3">
      <c r="A82" s="20" t="s">
        <v>39</v>
      </c>
      <c r="B82" s="28"/>
      <c r="C82" s="29" t="s">
        <v>71</v>
      </c>
      <c r="D82" s="30"/>
      <c r="E82" s="16">
        <v>15</v>
      </c>
      <c r="F82" s="16">
        <v>6</v>
      </c>
      <c r="G82" s="16">
        <v>1</v>
      </c>
      <c r="H82" s="16">
        <v>11</v>
      </c>
      <c r="I82" s="16">
        <v>2</v>
      </c>
      <c r="J82" s="16">
        <v>4</v>
      </c>
      <c r="K82" s="16">
        <v>2</v>
      </c>
      <c r="L82" s="16">
        <v>1</v>
      </c>
      <c r="M82" s="16">
        <v>4</v>
      </c>
      <c r="N82" s="16">
        <v>0</v>
      </c>
      <c r="O82" s="13">
        <f t="shared" si="19"/>
        <v>46</v>
      </c>
    </row>
    <row r="83" spans="1:15" ht="12.75" customHeight="1" x14ac:dyDescent="0.3">
      <c r="A83" s="15"/>
      <c r="B83" s="28"/>
      <c r="C83" s="29" t="s">
        <v>72</v>
      </c>
      <c r="D83" s="30"/>
      <c r="E83" s="16">
        <v>2</v>
      </c>
      <c r="F83" s="16">
        <v>1</v>
      </c>
      <c r="G83" s="16">
        <v>1</v>
      </c>
      <c r="H83" s="16">
        <v>1</v>
      </c>
      <c r="I83" s="16">
        <v>0</v>
      </c>
      <c r="J83" s="16">
        <v>1</v>
      </c>
      <c r="K83" s="16">
        <v>0</v>
      </c>
      <c r="L83" s="16">
        <v>1</v>
      </c>
      <c r="M83" s="16">
        <v>2</v>
      </c>
      <c r="N83" s="16">
        <v>0</v>
      </c>
      <c r="O83" s="13">
        <f t="shared" si="19"/>
        <v>9</v>
      </c>
    </row>
    <row r="84" spans="1:15" ht="12.75" customHeight="1" x14ac:dyDescent="0.3">
      <c r="A84" s="15"/>
      <c r="B84" s="28"/>
      <c r="C84" s="29" t="s">
        <v>73</v>
      </c>
      <c r="D84" s="30"/>
      <c r="E84" s="16">
        <v>1</v>
      </c>
      <c r="F84" s="16">
        <v>1</v>
      </c>
      <c r="G84" s="16">
        <v>1</v>
      </c>
      <c r="H84" s="16">
        <v>3</v>
      </c>
      <c r="I84" s="16">
        <v>1</v>
      </c>
      <c r="J84" s="16">
        <v>2</v>
      </c>
      <c r="K84" s="16">
        <v>0</v>
      </c>
      <c r="L84" s="16">
        <v>1</v>
      </c>
      <c r="M84" s="16">
        <v>0</v>
      </c>
      <c r="N84" s="16">
        <v>0</v>
      </c>
      <c r="O84" s="13">
        <f t="shared" si="19"/>
        <v>10</v>
      </c>
    </row>
    <row r="85" spans="1:15" ht="12.75" customHeight="1" x14ac:dyDescent="0.3">
      <c r="A85" s="15"/>
      <c r="B85" s="28"/>
      <c r="C85" s="29" t="s">
        <v>74</v>
      </c>
      <c r="D85" s="30"/>
      <c r="E85" s="16">
        <v>0</v>
      </c>
      <c r="F85" s="16">
        <v>2</v>
      </c>
      <c r="G85" s="16">
        <v>0</v>
      </c>
      <c r="H85" s="16">
        <v>3</v>
      </c>
      <c r="I85" s="16">
        <v>1</v>
      </c>
      <c r="J85" s="16">
        <v>2</v>
      </c>
      <c r="K85" s="16">
        <v>1</v>
      </c>
      <c r="L85" s="16">
        <v>0</v>
      </c>
      <c r="M85" s="16">
        <v>2</v>
      </c>
      <c r="N85" s="16">
        <v>0</v>
      </c>
      <c r="O85" s="13">
        <f t="shared" si="19"/>
        <v>11</v>
      </c>
    </row>
    <row r="86" spans="1:15" ht="12.75" customHeight="1" x14ac:dyDescent="0.3">
      <c r="A86" s="15"/>
      <c r="B86" s="28"/>
      <c r="C86" s="29" t="s">
        <v>75</v>
      </c>
      <c r="D86" s="30"/>
      <c r="E86" s="16">
        <v>68</v>
      </c>
      <c r="F86" s="16">
        <v>49</v>
      </c>
      <c r="G86" s="16">
        <v>26</v>
      </c>
      <c r="H86" s="16">
        <v>27</v>
      </c>
      <c r="I86" s="16">
        <v>7</v>
      </c>
      <c r="J86" s="16">
        <v>37</v>
      </c>
      <c r="K86" s="16">
        <v>28</v>
      </c>
      <c r="L86" s="16">
        <v>22</v>
      </c>
      <c r="M86" s="16">
        <v>12</v>
      </c>
      <c r="N86" s="16">
        <v>13</v>
      </c>
      <c r="O86" s="13">
        <f t="shared" si="19"/>
        <v>289</v>
      </c>
    </row>
    <row r="87" spans="1:15" ht="12.75" customHeight="1" x14ac:dyDescent="0.3">
      <c r="A87" s="15"/>
      <c r="B87" s="28"/>
      <c r="C87" s="29" t="s">
        <v>76</v>
      </c>
      <c r="D87" s="30"/>
      <c r="E87" s="16">
        <v>3</v>
      </c>
      <c r="F87" s="16">
        <v>0</v>
      </c>
      <c r="G87" s="16">
        <v>0</v>
      </c>
      <c r="H87" s="16">
        <v>1</v>
      </c>
      <c r="I87" s="16">
        <v>0</v>
      </c>
      <c r="J87" s="16">
        <v>1</v>
      </c>
      <c r="K87" s="16">
        <v>0</v>
      </c>
      <c r="L87" s="16">
        <v>2</v>
      </c>
      <c r="M87" s="16">
        <v>1</v>
      </c>
      <c r="N87" s="16">
        <v>0</v>
      </c>
      <c r="O87" s="13">
        <f t="shared" si="19"/>
        <v>8</v>
      </c>
    </row>
    <row r="88" spans="1:15" ht="12.75" customHeight="1" x14ac:dyDescent="0.3">
      <c r="A88" s="15"/>
      <c r="B88" s="28"/>
      <c r="C88" s="29" t="s">
        <v>77</v>
      </c>
      <c r="D88" s="30"/>
      <c r="E88" s="16">
        <v>0</v>
      </c>
      <c r="F88" s="16">
        <v>0</v>
      </c>
      <c r="G88" s="16">
        <v>0</v>
      </c>
      <c r="H88" s="16">
        <v>1</v>
      </c>
      <c r="I88" s="16">
        <v>1</v>
      </c>
      <c r="J88" s="16">
        <v>0</v>
      </c>
      <c r="K88" s="16">
        <v>0</v>
      </c>
      <c r="L88" s="16">
        <v>0</v>
      </c>
      <c r="M88" s="16">
        <v>1</v>
      </c>
      <c r="N88" s="16">
        <v>0</v>
      </c>
      <c r="O88" s="13">
        <f t="shared" si="19"/>
        <v>3</v>
      </c>
    </row>
    <row r="89" spans="1:15" ht="12.75" customHeight="1" x14ac:dyDescent="0.3">
      <c r="A89" s="15"/>
      <c r="B89" s="28"/>
      <c r="C89" s="29" t="s">
        <v>78</v>
      </c>
      <c r="D89" s="30"/>
      <c r="E89" s="16">
        <v>0</v>
      </c>
      <c r="F89" s="16">
        <v>0</v>
      </c>
      <c r="G89" s="16">
        <v>0</v>
      </c>
      <c r="H89" s="16">
        <v>2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3">
        <f t="shared" si="19"/>
        <v>2</v>
      </c>
    </row>
    <row r="90" spans="1:15" ht="12.75" customHeight="1" x14ac:dyDescent="0.3">
      <c r="A90" s="15"/>
      <c r="B90" s="28"/>
      <c r="C90" s="29" t="s">
        <v>79</v>
      </c>
      <c r="D90" s="30"/>
      <c r="E90" s="16">
        <v>1</v>
      </c>
      <c r="F90" s="16">
        <v>1</v>
      </c>
      <c r="G90" s="16">
        <v>1</v>
      </c>
      <c r="H90" s="16">
        <v>1</v>
      </c>
      <c r="I90" s="16">
        <v>0</v>
      </c>
      <c r="J90" s="16">
        <v>0</v>
      </c>
      <c r="K90" s="16">
        <v>3</v>
      </c>
      <c r="L90" s="16">
        <v>1</v>
      </c>
      <c r="M90" s="16">
        <v>2</v>
      </c>
      <c r="N90" s="16">
        <v>0</v>
      </c>
      <c r="O90" s="13">
        <f t="shared" si="19"/>
        <v>10</v>
      </c>
    </row>
    <row r="91" spans="1:15" ht="12.75" customHeight="1" x14ac:dyDescent="0.3">
      <c r="A91" s="16" t="s">
        <v>15</v>
      </c>
      <c r="B91" s="59" t="s">
        <v>49</v>
      </c>
      <c r="C91" s="60"/>
      <c r="D91" s="58"/>
      <c r="E91" s="13">
        <f t="shared" ref="E91:O91" si="20">SUM(E81:E90)</f>
        <v>96</v>
      </c>
      <c r="F91" s="13">
        <f t="shared" si="20"/>
        <v>66</v>
      </c>
      <c r="G91" s="13">
        <f t="shared" si="20"/>
        <v>31</v>
      </c>
      <c r="H91" s="13">
        <f t="shared" si="20"/>
        <v>56</v>
      </c>
      <c r="I91" s="13">
        <f t="shared" si="20"/>
        <v>16</v>
      </c>
      <c r="J91" s="13">
        <f t="shared" si="20"/>
        <v>48</v>
      </c>
      <c r="K91" s="13">
        <f t="shared" si="20"/>
        <v>41</v>
      </c>
      <c r="L91" s="13">
        <f t="shared" si="20"/>
        <v>31</v>
      </c>
      <c r="M91" s="13">
        <f t="shared" si="20"/>
        <v>32</v>
      </c>
      <c r="N91" s="13">
        <f t="shared" si="20"/>
        <v>14</v>
      </c>
      <c r="O91" s="13">
        <f t="shared" si="20"/>
        <v>431</v>
      </c>
    </row>
    <row r="92" spans="1:15" ht="12.75" customHeight="1" x14ac:dyDescent="0.3">
      <c r="A92" s="55"/>
      <c r="B92" s="56"/>
      <c r="C92" s="56"/>
      <c r="D92" s="56"/>
      <c r="E92" s="56"/>
    </row>
    <row r="93" spans="1:15" ht="12.75" customHeight="1" x14ac:dyDescent="0.3">
      <c r="A93" s="20" t="s">
        <v>37</v>
      </c>
      <c r="B93" s="27" t="s">
        <v>80</v>
      </c>
      <c r="C93" s="57" t="s">
        <v>81</v>
      </c>
      <c r="D93" s="58"/>
      <c r="E93" s="16">
        <v>0</v>
      </c>
      <c r="F93" s="16">
        <v>2</v>
      </c>
      <c r="G93" s="16">
        <v>1</v>
      </c>
      <c r="H93" s="16">
        <v>3</v>
      </c>
      <c r="I93" s="16">
        <v>1</v>
      </c>
      <c r="J93" s="16">
        <v>0</v>
      </c>
      <c r="K93" s="16">
        <v>1</v>
      </c>
      <c r="L93" s="16">
        <v>2</v>
      </c>
      <c r="M93" s="16">
        <v>1</v>
      </c>
      <c r="N93" s="16">
        <v>1</v>
      </c>
      <c r="O93" s="13">
        <f t="shared" ref="O93:O102" si="21">SUM(E93:N93)</f>
        <v>12</v>
      </c>
    </row>
    <row r="94" spans="1:15" ht="12.75" customHeight="1" x14ac:dyDescent="0.3">
      <c r="A94" s="20" t="s">
        <v>39</v>
      </c>
      <c r="B94" s="28"/>
      <c r="C94" s="29" t="s">
        <v>82</v>
      </c>
      <c r="D94" s="35"/>
      <c r="E94" s="16">
        <v>1</v>
      </c>
      <c r="F94" s="16">
        <v>3</v>
      </c>
      <c r="G94" s="16">
        <v>0</v>
      </c>
      <c r="H94" s="16">
        <v>10</v>
      </c>
      <c r="I94" s="16">
        <v>3</v>
      </c>
      <c r="J94" s="16">
        <v>9</v>
      </c>
      <c r="K94" s="16">
        <v>2</v>
      </c>
      <c r="L94" s="16">
        <v>3</v>
      </c>
      <c r="M94" s="16">
        <v>1</v>
      </c>
      <c r="N94" s="16">
        <v>0</v>
      </c>
      <c r="O94" s="13">
        <f t="shared" si="21"/>
        <v>32</v>
      </c>
    </row>
    <row r="95" spans="1:15" ht="12.75" customHeight="1" x14ac:dyDescent="0.3">
      <c r="A95" s="15"/>
      <c r="B95" s="28"/>
      <c r="C95" s="29" t="s">
        <v>83</v>
      </c>
      <c r="D95" s="35"/>
      <c r="E95" s="16">
        <v>0</v>
      </c>
      <c r="F95" s="16">
        <v>0</v>
      </c>
      <c r="G95" s="16">
        <v>0</v>
      </c>
      <c r="H95" s="16">
        <v>1</v>
      </c>
      <c r="I95" s="16">
        <v>0</v>
      </c>
      <c r="J95" s="16">
        <v>0</v>
      </c>
      <c r="K95" s="16">
        <v>0</v>
      </c>
      <c r="L95" s="16">
        <v>0</v>
      </c>
      <c r="M95" s="16">
        <v>1</v>
      </c>
      <c r="N95" s="16">
        <v>0</v>
      </c>
      <c r="O95" s="13">
        <f t="shared" si="21"/>
        <v>2</v>
      </c>
    </row>
    <row r="96" spans="1:15" ht="12.75" customHeight="1" x14ac:dyDescent="0.3">
      <c r="A96" s="15"/>
      <c r="B96" s="28"/>
      <c r="C96" s="29" t="s">
        <v>84</v>
      </c>
      <c r="D96" s="35"/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3">
        <f t="shared" si="21"/>
        <v>0</v>
      </c>
    </row>
    <row r="97" spans="1:15" ht="12.75" customHeight="1" x14ac:dyDescent="0.3">
      <c r="A97" s="15"/>
      <c r="B97" s="28"/>
      <c r="C97" s="29" t="s">
        <v>85</v>
      </c>
      <c r="D97" s="35"/>
      <c r="E97" s="16">
        <v>0</v>
      </c>
      <c r="F97" s="16">
        <v>0</v>
      </c>
      <c r="G97" s="16">
        <v>0</v>
      </c>
      <c r="H97" s="16">
        <v>1</v>
      </c>
      <c r="I97" s="16">
        <v>1</v>
      </c>
      <c r="J97" s="16">
        <v>1</v>
      </c>
      <c r="K97" s="16">
        <v>0</v>
      </c>
      <c r="L97" s="16">
        <v>0</v>
      </c>
      <c r="M97" s="16">
        <v>0</v>
      </c>
      <c r="N97" s="16">
        <v>0</v>
      </c>
      <c r="O97" s="13">
        <f t="shared" si="21"/>
        <v>3</v>
      </c>
    </row>
    <row r="98" spans="1:15" ht="12.75" customHeight="1" x14ac:dyDescent="0.3">
      <c r="A98" s="15"/>
      <c r="B98" s="28"/>
      <c r="C98" s="29" t="s">
        <v>86</v>
      </c>
      <c r="D98" s="30"/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1</v>
      </c>
      <c r="K98" s="16">
        <v>0</v>
      </c>
      <c r="L98" s="16">
        <v>0</v>
      </c>
      <c r="M98" s="16">
        <v>0</v>
      </c>
      <c r="N98" s="16">
        <v>0</v>
      </c>
      <c r="O98" s="13">
        <f t="shared" si="21"/>
        <v>1</v>
      </c>
    </row>
    <row r="99" spans="1:15" ht="12.75" customHeight="1" x14ac:dyDescent="0.3">
      <c r="A99" s="15"/>
      <c r="B99" s="28"/>
      <c r="C99" s="29" t="s">
        <v>87</v>
      </c>
      <c r="D99" s="30"/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1</v>
      </c>
      <c r="N99" s="16">
        <v>0</v>
      </c>
      <c r="O99" s="13">
        <f t="shared" si="21"/>
        <v>1</v>
      </c>
    </row>
    <row r="100" spans="1:15" ht="12.75" customHeight="1" x14ac:dyDescent="0.3">
      <c r="A100" s="15"/>
      <c r="B100" s="28"/>
      <c r="C100" s="29" t="s">
        <v>88</v>
      </c>
      <c r="D100" s="35"/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3">
        <f t="shared" si="21"/>
        <v>0</v>
      </c>
    </row>
    <row r="101" spans="1:15" ht="12.75" customHeight="1" x14ac:dyDescent="0.3">
      <c r="A101" s="15"/>
      <c r="B101" s="28"/>
      <c r="C101" s="29" t="s">
        <v>89</v>
      </c>
      <c r="D101" s="35"/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1</v>
      </c>
      <c r="N101" s="16">
        <v>0</v>
      </c>
      <c r="O101" s="13">
        <f t="shared" si="21"/>
        <v>1</v>
      </c>
    </row>
    <row r="102" spans="1:15" ht="12.75" customHeight="1" x14ac:dyDescent="0.3">
      <c r="A102" s="15"/>
      <c r="B102" s="28"/>
      <c r="C102" s="29" t="s">
        <v>90</v>
      </c>
      <c r="D102" s="35"/>
      <c r="E102" s="16">
        <v>1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3">
        <f t="shared" si="21"/>
        <v>1</v>
      </c>
    </row>
    <row r="103" spans="1:15" ht="12.75" customHeight="1" x14ac:dyDescent="0.3">
      <c r="A103" s="16" t="s">
        <v>15</v>
      </c>
      <c r="B103" s="59" t="s">
        <v>49</v>
      </c>
      <c r="C103" s="60"/>
      <c r="D103" s="58"/>
      <c r="E103" s="13">
        <f t="shared" ref="E103:O103" si="22">SUM(E93:E102)</f>
        <v>2</v>
      </c>
      <c r="F103" s="13">
        <f t="shared" si="22"/>
        <v>5</v>
      </c>
      <c r="G103" s="13">
        <f t="shared" si="22"/>
        <v>1</v>
      </c>
      <c r="H103" s="13">
        <f t="shared" si="22"/>
        <v>15</v>
      </c>
      <c r="I103" s="13">
        <f t="shared" si="22"/>
        <v>5</v>
      </c>
      <c r="J103" s="13">
        <f t="shared" si="22"/>
        <v>11</v>
      </c>
      <c r="K103" s="13">
        <f t="shared" si="22"/>
        <v>3</v>
      </c>
      <c r="L103" s="13">
        <f t="shared" si="22"/>
        <v>5</v>
      </c>
      <c r="M103" s="13">
        <f t="shared" si="22"/>
        <v>5</v>
      </c>
      <c r="N103" s="13">
        <f t="shared" si="22"/>
        <v>1</v>
      </c>
      <c r="O103" s="13">
        <f t="shared" si="22"/>
        <v>53</v>
      </c>
    </row>
    <row r="104" spans="1:15" ht="12.75" customHeight="1" x14ac:dyDescent="0.3">
      <c r="A104" s="55"/>
      <c r="B104" s="56"/>
      <c r="C104" s="56"/>
      <c r="D104" s="56"/>
      <c r="E104" s="56"/>
      <c r="F104" s="51"/>
      <c r="G104" s="51"/>
      <c r="H104" s="51"/>
      <c r="I104" s="51"/>
      <c r="J104" s="51"/>
      <c r="K104" s="51"/>
      <c r="L104" s="51"/>
      <c r="M104" s="51"/>
      <c r="N104" s="51"/>
      <c r="O104" s="51"/>
    </row>
    <row r="105" spans="1:15" ht="12.75" customHeight="1" x14ac:dyDescent="0.3">
      <c r="A105" s="20" t="s">
        <v>37</v>
      </c>
      <c r="B105" s="27" t="s">
        <v>91</v>
      </c>
      <c r="C105" s="57" t="s">
        <v>92</v>
      </c>
      <c r="D105" s="58"/>
      <c r="E105" s="16">
        <v>1</v>
      </c>
      <c r="F105" s="16">
        <v>3</v>
      </c>
      <c r="G105" s="16">
        <v>0</v>
      </c>
      <c r="H105" s="16">
        <v>1</v>
      </c>
      <c r="I105" s="16">
        <v>0</v>
      </c>
      <c r="J105" s="16">
        <v>0</v>
      </c>
      <c r="K105" s="16">
        <v>2</v>
      </c>
      <c r="L105" s="16">
        <v>0</v>
      </c>
      <c r="M105" s="16">
        <v>2</v>
      </c>
      <c r="N105" s="16">
        <v>1</v>
      </c>
      <c r="O105" s="13">
        <f t="shared" ref="O105:O114" si="23">SUM(E105:N105)</f>
        <v>10</v>
      </c>
    </row>
    <row r="106" spans="1:15" ht="12.75" customHeight="1" x14ac:dyDescent="0.3">
      <c r="A106" s="20" t="s">
        <v>39</v>
      </c>
      <c r="B106" s="28"/>
      <c r="C106" s="29" t="s">
        <v>93</v>
      </c>
      <c r="D106" s="30"/>
      <c r="E106" s="16">
        <v>0</v>
      </c>
      <c r="F106" s="16">
        <v>1</v>
      </c>
      <c r="G106" s="16">
        <v>0</v>
      </c>
      <c r="H106" s="16">
        <v>0</v>
      </c>
      <c r="I106" s="16">
        <v>0</v>
      </c>
      <c r="J106" s="16">
        <v>0</v>
      </c>
      <c r="K106" s="16">
        <v>1</v>
      </c>
      <c r="L106" s="16">
        <v>0</v>
      </c>
      <c r="M106" s="16">
        <v>0</v>
      </c>
      <c r="N106" s="16">
        <v>0</v>
      </c>
      <c r="O106" s="13">
        <f t="shared" si="23"/>
        <v>2</v>
      </c>
    </row>
    <row r="107" spans="1:15" ht="12.75" customHeight="1" x14ac:dyDescent="0.3">
      <c r="A107" s="15"/>
      <c r="B107" s="28"/>
      <c r="C107" s="29" t="s">
        <v>94</v>
      </c>
      <c r="D107" s="30"/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1</v>
      </c>
      <c r="K107" s="16">
        <v>0</v>
      </c>
      <c r="L107" s="16">
        <v>0</v>
      </c>
      <c r="M107" s="16">
        <v>0</v>
      </c>
      <c r="N107" s="16">
        <v>0</v>
      </c>
      <c r="O107" s="13">
        <f t="shared" si="23"/>
        <v>1</v>
      </c>
    </row>
    <row r="108" spans="1:15" ht="12.75" customHeight="1" x14ac:dyDescent="0.3">
      <c r="A108" s="15"/>
      <c r="B108" s="36"/>
      <c r="C108" s="37"/>
      <c r="D108" s="38"/>
      <c r="E108" s="52"/>
      <c r="F108" s="16"/>
      <c r="G108" s="16"/>
      <c r="H108" s="16"/>
      <c r="I108" s="16"/>
      <c r="J108" s="16"/>
      <c r="K108" s="16"/>
      <c r="L108" s="16"/>
      <c r="M108" s="16"/>
      <c r="N108" s="16"/>
      <c r="O108" s="13">
        <f t="shared" si="23"/>
        <v>0</v>
      </c>
    </row>
    <row r="109" spans="1:15" ht="12.75" customHeight="1" x14ac:dyDescent="0.3">
      <c r="A109" s="15"/>
      <c r="B109" s="36"/>
      <c r="C109" s="37"/>
      <c r="D109" s="38"/>
      <c r="E109" s="52"/>
      <c r="F109" s="16"/>
      <c r="G109" s="16"/>
      <c r="H109" s="16"/>
      <c r="I109" s="16"/>
      <c r="J109" s="16"/>
      <c r="K109" s="16"/>
      <c r="L109" s="16"/>
      <c r="M109" s="16"/>
      <c r="N109" s="16"/>
      <c r="O109" s="13">
        <f t="shared" si="23"/>
        <v>0</v>
      </c>
    </row>
    <row r="110" spans="1:15" ht="12.75" customHeight="1" x14ac:dyDescent="0.3">
      <c r="A110" s="15"/>
      <c r="B110" s="36"/>
      <c r="C110" s="37"/>
      <c r="D110" s="38"/>
      <c r="E110" s="52"/>
      <c r="F110" s="16"/>
      <c r="G110" s="16"/>
      <c r="H110" s="16"/>
      <c r="I110" s="16"/>
      <c r="J110" s="16"/>
      <c r="K110" s="16"/>
      <c r="L110" s="16"/>
      <c r="M110" s="16"/>
      <c r="N110" s="16"/>
      <c r="O110" s="13">
        <f t="shared" si="23"/>
        <v>0</v>
      </c>
    </row>
    <row r="111" spans="1:15" ht="12.75" customHeight="1" x14ac:dyDescent="0.3">
      <c r="A111" s="15"/>
      <c r="B111" s="36"/>
      <c r="C111" s="37"/>
      <c r="D111" s="38"/>
      <c r="E111" s="52"/>
      <c r="F111" s="16"/>
      <c r="G111" s="16"/>
      <c r="H111" s="16"/>
      <c r="I111" s="16"/>
      <c r="J111" s="16"/>
      <c r="K111" s="16"/>
      <c r="L111" s="16"/>
      <c r="M111" s="16"/>
      <c r="N111" s="16"/>
      <c r="O111" s="13">
        <f t="shared" si="23"/>
        <v>0</v>
      </c>
    </row>
    <row r="112" spans="1:15" ht="12.75" customHeight="1" x14ac:dyDescent="0.3">
      <c r="A112" s="15"/>
      <c r="B112" s="36"/>
      <c r="C112" s="37"/>
      <c r="D112" s="38"/>
      <c r="E112" s="52"/>
      <c r="F112" s="16"/>
      <c r="G112" s="16"/>
      <c r="H112" s="16"/>
      <c r="I112" s="16"/>
      <c r="J112" s="16"/>
      <c r="K112" s="16"/>
      <c r="L112" s="16"/>
      <c r="M112" s="16"/>
      <c r="N112" s="16"/>
      <c r="O112" s="13">
        <f t="shared" si="23"/>
        <v>0</v>
      </c>
    </row>
    <row r="113" spans="1:15" ht="12.75" customHeight="1" x14ac:dyDescent="0.3">
      <c r="A113" s="15"/>
      <c r="B113" s="36"/>
      <c r="C113" s="37"/>
      <c r="D113" s="38"/>
      <c r="E113" s="52"/>
      <c r="F113" s="16"/>
      <c r="G113" s="16"/>
      <c r="H113" s="16"/>
      <c r="I113" s="16"/>
      <c r="J113" s="16"/>
      <c r="K113" s="16"/>
      <c r="L113" s="16"/>
      <c r="M113" s="16"/>
      <c r="N113" s="16"/>
      <c r="O113" s="13">
        <f t="shared" si="23"/>
        <v>0</v>
      </c>
    </row>
    <row r="114" spans="1:15" ht="12.75" customHeight="1" x14ac:dyDescent="0.3">
      <c r="A114" s="15"/>
      <c r="B114" s="36"/>
      <c r="C114" s="37"/>
      <c r="D114" s="38"/>
      <c r="E114" s="52"/>
      <c r="F114" s="16"/>
      <c r="G114" s="16"/>
      <c r="H114" s="16"/>
      <c r="I114" s="16"/>
      <c r="J114" s="16"/>
      <c r="K114" s="16"/>
      <c r="L114" s="16"/>
      <c r="M114" s="16"/>
      <c r="N114" s="16"/>
      <c r="O114" s="13">
        <f t="shared" si="23"/>
        <v>0</v>
      </c>
    </row>
    <row r="115" spans="1:15" ht="12.75" customHeight="1" x14ac:dyDescent="0.3">
      <c r="A115" s="16" t="s">
        <v>15</v>
      </c>
      <c r="B115" s="59" t="s">
        <v>49</v>
      </c>
      <c r="C115" s="60"/>
      <c r="D115" s="58"/>
      <c r="E115" s="13">
        <f t="shared" ref="E115:O115" si="24">SUM(E105:E114)</f>
        <v>1</v>
      </c>
      <c r="F115" s="13">
        <f t="shared" si="24"/>
        <v>4</v>
      </c>
      <c r="G115" s="13">
        <f t="shared" si="24"/>
        <v>0</v>
      </c>
      <c r="H115" s="13">
        <f t="shared" si="24"/>
        <v>1</v>
      </c>
      <c r="I115" s="13">
        <f t="shared" si="24"/>
        <v>0</v>
      </c>
      <c r="J115" s="13">
        <f t="shared" si="24"/>
        <v>1</v>
      </c>
      <c r="K115" s="13">
        <f t="shared" si="24"/>
        <v>3</v>
      </c>
      <c r="L115" s="13">
        <f t="shared" si="24"/>
        <v>0</v>
      </c>
      <c r="M115" s="13">
        <f t="shared" si="24"/>
        <v>2</v>
      </c>
      <c r="N115" s="13">
        <f t="shared" si="24"/>
        <v>1</v>
      </c>
      <c r="O115" s="13">
        <f t="shared" si="24"/>
        <v>13</v>
      </c>
    </row>
    <row r="116" spans="1:15" ht="12.75" customHeight="1" x14ac:dyDescent="0.3">
      <c r="A116" s="61"/>
      <c r="B116" s="60"/>
      <c r="C116" s="60"/>
      <c r="D116" s="60"/>
      <c r="E116" s="58"/>
      <c r="F116" s="51"/>
      <c r="G116" s="51"/>
      <c r="H116" s="51"/>
      <c r="I116" s="51"/>
      <c r="J116" s="51"/>
      <c r="K116" s="51"/>
      <c r="L116" s="51"/>
      <c r="M116" s="51"/>
      <c r="N116" s="51"/>
      <c r="O116" s="13"/>
    </row>
    <row r="117" spans="1:15" ht="12.75" customHeight="1" x14ac:dyDescent="0.3">
      <c r="A117" s="20" t="s">
        <v>37</v>
      </c>
      <c r="B117" s="27" t="s">
        <v>95</v>
      </c>
      <c r="C117" s="57" t="s">
        <v>96</v>
      </c>
      <c r="D117" s="58"/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3">
        <f t="shared" ref="O117:O126" si="25">SUM(E117:N117)</f>
        <v>0</v>
      </c>
    </row>
    <row r="118" spans="1:15" ht="12.75" customHeight="1" x14ac:dyDescent="0.3">
      <c r="A118" s="20" t="s">
        <v>39</v>
      </c>
      <c r="B118" s="28"/>
      <c r="C118" s="29" t="s">
        <v>97</v>
      </c>
      <c r="D118" s="30"/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1</v>
      </c>
      <c r="K118" s="16">
        <v>0</v>
      </c>
      <c r="L118" s="16">
        <v>0</v>
      </c>
      <c r="M118" s="16">
        <v>0</v>
      </c>
      <c r="N118" s="16">
        <v>0</v>
      </c>
      <c r="O118" s="13">
        <f t="shared" si="25"/>
        <v>1</v>
      </c>
    </row>
    <row r="119" spans="1:15" ht="12.75" customHeight="1" x14ac:dyDescent="0.3">
      <c r="A119" s="15"/>
      <c r="B119" s="28"/>
      <c r="C119" s="29" t="s">
        <v>98</v>
      </c>
      <c r="D119" s="30"/>
      <c r="E119" s="16">
        <v>0</v>
      </c>
      <c r="F119" s="16">
        <v>0</v>
      </c>
      <c r="G119" s="16">
        <v>0</v>
      </c>
      <c r="H119" s="16">
        <v>0</v>
      </c>
      <c r="I119" s="16">
        <v>2</v>
      </c>
      <c r="J119" s="16">
        <v>0</v>
      </c>
      <c r="K119" s="16">
        <v>1</v>
      </c>
      <c r="L119" s="16">
        <v>0</v>
      </c>
      <c r="M119" s="16">
        <v>0</v>
      </c>
      <c r="N119" s="16">
        <v>0</v>
      </c>
      <c r="O119" s="13">
        <f t="shared" si="25"/>
        <v>3</v>
      </c>
    </row>
    <row r="120" spans="1:15" ht="12.75" customHeight="1" x14ac:dyDescent="0.3">
      <c r="A120" s="15"/>
      <c r="B120" s="28"/>
      <c r="C120" s="29" t="s">
        <v>99</v>
      </c>
      <c r="D120" s="30"/>
      <c r="E120" s="16">
        <v>0</v>
      </c>
      <c r="F120" s="16">
        <v>0</v>
      </c>
      <c r="G120" s="16">
        <v>0</v>
      </c>
      <c r="H120" s="16">
        <v>0</v>
      </c>
      <c r="I120" s="16">
        <v>1</v>
      </c>
      <c r="J120" s="16">
        <v>1</v>
      </c>
      <c r="K120" s="16">
        <v>0</v>
      </c>
      <c r="L120" s="16">
        <v>0</v>
      </c>
      <c r="M120" s="16">
        <v>0</v>
      </c>
      <c r="N120" s="16">
        <v>0</v>
      </c>
      <c r="O120" s="13">
        <f t="shared" si="25"/>
        <v>2</v>
      </c>
    </row>
    <row r="121" spans="1:15" ht="12.75" customHeight="1" x14ac:dyDescent="0.3">
      <c r="A121" s="15"/>
      <c r="B121" s="28"/>
      <c r="C121" s="29" t="s">
        <v>100</v>
      </c>
      <c r="D121" s="30"/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1</v>
      </c>
      <c r="M121" s="16">
        <v>0</v>
      </c>
      <c r="N121" s="16">
        <v>0</v>
      </c>
      <c r="O121" s="13">
        <f t="shared" si="25"/>
        <v>1</v>
      </c>
    </row>
    <row r="122" spans="1:15" ht="12.75" customHeight="1" x14ac:dyDescent="0.3">
      <c r="A122" s="15"/>
      <c r="B122" s="28"/>
      <c r="C122" s="29" t="s">
        <v>101</v>
      </c>
      <c r="D122" s="30"/>
      <c r="E122" s="16">
        <v>0</v>
      </c>
      <c r="F122" s="16">
        <v>0</v>
      </c>
      <c r="G122" s="16">
        <v>1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1</v>
      </c>
      <c r="N122" s="16">
        <v>0</v>
      </c>
      <c r="O122" s="13">
        <f t="shared" si="25"/>
        <v>2</v>
      </c>
    </row>
    <row r="123" spans="1:15" ht="12.75" customHeight="1" x14ac:dyDescent="0.3">
      <c r="A123" s="15"/>
      <c r="B123" s="36"/>
      <c r="C123" s="37"/>
      <c r="D123" s="40"/>
      <c r="E123" s="41"/>
      <c r="F123" s="24"/>
      <c r="G123" s="24"/>
      <c r="H123" s="24"/>
      <c r="I123" s="24"/>
      <c r="J123" s="24"/>
      <c r="K123" s="24"/>
      <c r="L123" s="24"/>
      <c r="M123" s="24"/>
      <c r="N123" s="24"/>
      <c r="O123" s="13">
        <f t="shared" si="25"/>
        <v>0</v>
      </c>
    </row>
    <row r="124" spans="1:15" ht="12.75" customHeight="1" x14ac:dyDescent="0.3">
      <c r="A124" s="15"/>
      <c r="B124" s="36"/>
      <c r="C124" s="37"/>
      <c r="D124" s="38"/>
      <c r="E124" s="41"/>
      <c r="F124" s="24"/>
      <c r="G124" s="24"/>
      <c r="H124" s="24"/>
      <c r="I124" s="24"/>
      <c r="J124" s="24"/>
      <c r="K124" s="24"/>
      <c r="L124" s="24"/>
      <c r="M124" s="24"/>
      <c r="N124" s="24"/>
      <c r="O124" s="13">
        <f t="shared" si="25"/>
        <v>0</v>
      </c>
    </row>
    <row r="125" spans="1:15" ht="12.75" customHeight="1" x14ac:dyDescent="0.3">
      <c r="A125" s="15"/>
      <c r="B125" s="36"/>
      <c r="C125" s="37"/>
      <c r="D125" s="38"/>
      <c r="E125" s="41"/>
      <c r="F125" s="24"/>
      <c r="G125" s="24"/>
      <c r="H125" s="24"/>
      <c r="I125" s="24"/>
      <c r="J125" s="24"/>
      <c r="K125" s="24"/>
      <c r="L125" s="24"/>
      <c r="M125" s="24"/>
      <c r="N125" s="24"/>
      <c r="O125" s="13">
        <f t="shared" si="25"/>
        <v>0</v>
      </c>
    </row>
    <row r="126" spans="1:15" ht="12.75" customHeight="1" x14ac:dyDescent="0.3">
      <c r="A126" s="15"/>
      <c r="B126" s="36"/>
      <c r="C126" s="37"/>
      <c r="D126" s="38"/>
      <c r="E126" s="41"/>
      <c r="F126" s="24"/>
      <c r="G126" s="24"/>
      <c r="H126" s="24"/>
      <c r="I126" s="24"/>
      <c r="J126" s="24"/>
      <c r="K126" s="24"/>
      <c r="L126" s="24"/>
      <c r="M126" s="24"/>
      <c r="N126" s="24"/>
      <c r="O126" s="13">
        <f t="shared" si="25"/>
        <v>0</v>
      </c>
    </row>
    <row r="127" spans="1:15" ht="12.75" customHeight="1" x14ac:dyDescent="0.3">
      <c r="A127" s="16" t="s">
        <v>15</v>
      </c>
      <c r="B127" s="59" t="s">
        <v>49</v>
      </c>
      <c r="C127" s="60"/>
      <c r="D127" s="58"/>
      <c r="E127" s="13">
        <f t="shared" ref="E127:O127" si="26">SUM(E117:E126)</f>
        <v>0</v>
      </c>
      <c r="F127" s="13">
        <f t="shared" si="26"/>
        <v>0</v>
      </c>
      <c r="G127" s="13">
        <f t="shared" si="26"/>
        <v>1</v>
      </c>
      <c r="H127" s="13">
        <f t="shared" si="26"/>
        <v>0</v>
      </c>
      <c r="I127" s="13">
        <f t="shared" si="26"/>
        <v>3</v>
      </c>
      <c r="J127" s="13">
        <f t="shared" si="26"/>
        <v>2</v>
      </c>
      <c r="K127" s="13">
        <f t="shared" si="26"/>
        <v>1</v>
      </c>
      <c r="L127" s="13">
        <f t="shared" si="26"/>
        <v>1</v>
      </c>
      <c r="M127" s="13">
        <f t="shared" si="26"/>
        <v>1</v>
      </c>
      <c r="N127" s="13">
        <f t="shared" si="26"/>
        <v>0</v>
      </c>
      <c r="O127" s="13">
        <f t="shared" si="26"/>
        <v>9</v>
      </c>
    </row>
    <row r="128" spans="1:15" ht="12.75" customHeight="1" x14ac:dyDescent="0.3">
      <c r="A128" s="61"/>
      <c r="B128" s="60"/>
      <c r="C128" s="60"/>
      <c r="D128" s="60"/>
      <c r="E128" s="58"/>
      <c r="F128" s="51"/>
      <c r="G128" s="51"/>
      <c r="H128" s="51"/>
      <c r="I128" s="51"/>
      <c r="J128" s="51"/>
      <c r="K128" s="51"/>
      <c r="L128" s="51"/>
      <c r="M128" s="51"/>
      <c r="N128" s="51"/>
      <c r="O128" s="51"/>
    </row>
    <row r="129" spans="1:15" ht="12.75" customHeight="1" x14ac:dyDescent="0.3">
      <c r="A129" s="20" t="s">
        <v>37</v>
      </c>
      <c r="B129" s="27" t="s">
        <v>102</v>
      </c>
      <c r="C129" s="57" t="s">
        <v>103</v>
      </c>
      <c r="D129" s="58"/>
      <c r="E129" s="16">
        <v>1</v>
      </c>
      <c r="F129" s="16">
        <v>3</v>
      </c>
      <c r="G129" s="16">
        <v>0</v>
      </c>
      <c r="H129" s="16">
        <v>2</v>
      </c>
      <c r="I129" s="16">
        <v>0</v>
      </c>
      <c r="J129" s="16">
        <v>0</v>
      </c>
      <c r="K129" s="16">
        <v>1</v>
      </c>
      <c r="L129" s="16">
        <v>1</v>
      </c>
      <c r="M129" s="16">
        <v>2</v>
      </c>
      <c r="N129" s="16">
        <v>0</v>
      </c>
      <c r="O129" s="13">
        <f t="shared" ref="O129:O138" si="27">SUM(E129:N129)</f>
        <v>10</v>
      </c>
    </row>
    <row r="130" spans="1:15" ht="12.75" customHeight="1" x14ac:dyDescent="0.3">
      <c r="A130" s="20" t="s">
        <v>39</v>
      </c>
      <c r="B130" s="28"/>
      <c r="C130" s="29" t="s">
        <v>104</v>
      </c>
      <c r="D130" s="30"/>
      <c r="E130" s="16">
        <v>1</v>
      </c>
      <c r="F130" s="16">
        <v>3</v>
      </c>
      <c r="G130" s="16">
        <v>1</v>
      </c>
      <c r="H130" s="16">
        <v>0</v>
      </c>
      <c r="I130" s="16">
        <v>5</v>
      </c>
      <c r="J130" s="16">
        <v>0</v>
      </c>
      <c r="K130" s="16">
        <v>1</v>
      </c>
      <c r="L130" s="16">
        <v>2</v>
      </c>
      <c r="M130" s="16">
        <v>2</v>
      </c>
      <c r="N130" s="16">
        <v>2</v>
      </c>
      <c r="O130" s="13">
        <f t="shared" si="27"/>
        <v>17</v>
      </c>
    </row>
    <row r="131" spans="1:15" ht="12.75" customHeight="1" x14ac:dyDescent="0.3">
      <c r="A131" s="15"/>
      <c r="B131" s="28"/>
      <c r="C131" s="29" t="s">
        <v>105</v>
      </c>
      <c r="D131" s="30"/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3">
        <f t="shared" si="27"/>
        <v>0</v>
      </c>
    </row>
    <row r="132" spans="1:15" ht="12.75" customHeight="1" x14ac:dyDescent="0.3">
      <c r="A132" s="15"/>
      <c r="B132" s="28"/>
      <c r="C132" s="29" t="s">
        <v>106</v>
      </c>
      <c r="D132" s="30"/>
      <c r="E132" s="16">
        <v>0</v>
      </c>
      <c r="F132" s="16">
        <v>0</v>
      </c>
      <c r="G132" s="16">
        <v>0</v>
      </c>
      <c r="H132" s="16">
        <v>0</v>
      </c>
      <c r="I132" s="16">
        <v>2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3">
        <f t="shared" si="27"/>
        <v>2</v>
      </c>
    </row>
    <row r="133" spans="1:15" ht="12.75" customHeight="1" x14ac:dyDescent="0.3">
      <c r="A133" s="15"/>
      <c r="B133" s="28"/>
      <c r="C133" s="29" t="s">
        <v>107</v>
      </c>
      <c r="D133" s="30"/>
      <c r="E133" s="16">
        <v>0</v>
      </c>
      <c r="F133" s="16">
        <v>0</v>
      </c>
      <c r="G133" s="16">
        <v>1</v>
      </c>
      <c r="H133" s="16">
        <v>0</v>
      </c>
      <c r="I133" s="16">
        <v>0</v>
      </c>
      <c r="J133" s="16">
        <v>0</v>
      </c>
      <c r="K133" s="16">
        <v>0</v>
      </c>
      <c r="L133" s="16">
        <v>1</v>
      </c>
      <c r="M133" s="16">
        <v>0</v>
      </c>
      <c r="N133" s="16">
        <v>0</v>
      </c>
      <c r="O133" s="13">
        <f t="shared" si="27"/>
        <v>2</v>
      </c>
    </row>
    <row r="134" spans="1:15" ht="12.75" customHeight="1" x14ac:dyDescent="0.3">
      <c r="A134" s="15"/>
      <c r="B134" s="28"/>
      <c r="C134" s="29" t="s">
        <v>108</v>
      </c>
      <c r="D134" s="30"/>
      <c r="E134" s="16">
        <v>1</v>
      </c>
      <c r="F134" s="16">
        <v>4</v>
      </c>
      <c r="G134" s="16">
        <v>1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1</v>
      </c>
      <c r="N134" s="16">
        <v>0</v>
      </c>
      <c r="O134" s="13">
        <f t="shared" si="27"/>
        <v>7</v>
      </c>
    </row>
    <row r="135" spans="1:15" ht="12.75" customHeight="1" x14ac:dyDescent="0.3">
      <c r="A135" s="15"/>
      <c r="B135" s="28"/>
      <c r="C135" s="29" t="s">
        <v>109</v>
      </c>
      <c r="D135" s="30"/>
      <c r="E135" s="16">
        <v>0</v>
      </c>
      <c r="F135" s="16">
        <v>0</v>
      </c>
      <c r="G135" s="16">
        <v>0</v>
      </c>
      <c r="H135" s="16">
        <v>0</v>
      </c>
      <c r="I135" s="16">
        <v>1</v>
      </c>
      <c r="J135" s="16">
        <v>0</v>
      </c>
      <c r="K135" s="16">
        <v>0</v>
      </c>
      <c r="L135" s="16">
        <v>2</v>
      </c>
      <c r="M135" s="16">
        <v>0</v>
      </c>
      <c r="N135" s="16">
        <v>0</v>
      </c>
      <c r="O135" s="13">
        <f t="shared" si="27"/>
        <v>3</v>
      </c>
    </row>
    <row r="136" spans="1:15" ht="12.75" customHeight="1" x14ac:dyDescent="0.3">
      <c r="A136" s="15"/>
      <c r="B136" s="28"/>
      <c r="C136" s="29" t="s">
        <v>110</v>
      </c>
      <c r="D136" s="30"/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3">
        <f t="shared" si="27"/>
        <v>0</v>
      </c>
    </row>
    <row r="137" spans="1:15" ht="12.75" customHeight="1" x14ac:dyDescent="0.3">
      <c r="A137" s="15"/>
      <c r="B137" s="28"/>
      <c r="C137" s="29" t="s">
        <v>111</v>
      </c>
      <c r="D137" s="30"/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3">
        <f t="shared" si="27"/>
        <v>0</v>
      </c>
    </row>
    <row r="138" spans="1:15" ht="12.75" customHeight="1" x14ac:dyDescent="0.3">
      <c r="A138" s="15"/>
      <c r="B138" s="28"/>
      <c r="C138" s="29" t="s">
        <v>112</v>
      </c>
      <c r="D138" s="30"/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2</v>
      </c>
      <c r="M138" s="16">
        <v>0</v>
      </c>
      <c r="N138" s="16">
        <v>0</v>
      </c>
      <c r="O138" s="13">
        <f t="shared" si="27"/>
        <v>2</v>
      </c>
    </row>
    <row r="139" spans="1:15" ht="12.75" customHeight="1" x14ac:dyDescent="0.3">
      <c r="A139" s="16" t="s">
        <v>15</v>
      </c>
      <c r="B139" s="59" t="s">
        <v>49</v>
      </c>
      <c r="C139" s="60"/>
      <c r="D139" s="58"/>
      <c r="E139" s="13">
        <f t="shared" ref="E139:O139" si="28">SUM(E129:E138)</f>
        <v>3</v>
      </c>
      <c r="F139" s="13">
        <f t="shared" si="28"/>
        <v>10</v>
      </c>
      <c r="G139" s="13">
        <f t="shared" si="28"/>
        <v>3</v>
      </c>
      <c r="H139" s="13">
        <f t="shared" si="28"/>
        <v>2</v>
      </c>
      <c r="I139" s="13">
        <f t="shared" si="28"/>
        <v>8</v>
      </c>
      <c r="J139" s="13">
        <f t="shared" si="28"/>
        <v>0</v>
      </c>
      <c r="K139" s="13">
        <f t="shared" si="28"/>
        <v>2</v>
      </c>
      <c r="L139" s="13">
        <f t="shared" si="28"/>
        <v>8</v>
      </c>
      <c r="M139" s="13">
        <f t="shared" si="28"/>
        <v>5</v>
      </c>
      <c r="N139" s="13">
        <f t="shared" si="28"/>
        <v>2</v>
      </c>
      <c r="O139" s="13">
        <f t="shared" si="28"/>
        <v>43</v>
      </c>
    </row>
    <row r="140" spans="1:15" ht="12.75" customHeight="1" x14ac:dyDescent="0.3">
      <c r="A140" s="61"/>
      <c r="B140" s="60"/>
      <c r="C140" s="60"/>
      <c r="D140" s="60"/>
      <c r="E140" s="58"/>
      <c r="F140" s="51"/>
      <c r="G140" s="51"/>
      <c r="H140" s="51"/>
      <c r="I140" s="51"/>
      <c r="J140" s="51"/>
      <c r="K140" s="51"/>
      <c r="L140" s="51"/>
      <c r="M140" s="51"/>
      <c r="N140" s="51"/>
      <c r="O140" s="51"/>
    </row>
    <row r="141" spans="1:15" ht="12.75" customHeight="1" x14ac:dyDescent="0.3">
      <c r="A141" s="20" t="s">
        <v>37</v>
      </c>
      <c r="B141" s="27" t="s">
        <v>113</v>
      </c>
      <c r="C141" s="57" t="s">
        <v>114</v>
      </c>
      <c r="D141" s="58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3">
        <f t="shared" ref="O141:O150" si="29">SUM(E141:N141)</f>
        <v>0</v>
      </c>
    </row>
    <row r="142" spans="1:15" ht="12.75" customHeight="1" x14ac:dyDescent="0.3">
      <c r="A142" s="20" t="s">
        <v>39</v>
      </c>
      <c r="B142" s="28"/>
      <c r="C142" s="29" t="s">
        <v>115</v>
      </c>
      <c r="D142" s="30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3">
        <f t="shared" si="29"/>
        <v>0</v>
      </c>
    </row>
    <row r="143" spans="1:15" ht="12.75" customHeight="1" x14ac:dyDescent="0.3">
      <c r="A143" s="15"/>
      <c r="B143" s="28"/>
      <c r="C143" s="29" t="s">
        <v>116</v>
      </c>
      <c r="D143" s="30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3">
        <f t="shared" si="29"/>
        <v>0</v>
      </c>
    </row>
    <row r="144" spans="1:15" ht="12.75" customHeight="1" x14ac:dyDescent="0.3">
      <c r="A144" s="15"/>
      <c r="B144" s="28"/>
      <c r="C144" s="29" t="s">
        <v>117</v>
      </c>
      <c r="D144" s="30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3">
        <f t="shared" si="29"/>
        <v>0</v>
      </c>
    </row>
    <row r="145" spans="1:15" ht="12.75" customHeight="1" x14ac:dyDescent="0.3">
      <c r="A145" s="15"/>
      <c r="B145" s="36"/>
      <c r="C145" s="37"/>
      <c r="D145" s="40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3">
        <f t="shared" si="29"/>
        <v>0</v>
      </c>
    </row>
    <row r="146" spans="1:15" ht="12.75" customHeight="1" x14ac:dyDescent="0.3">
      <c r="A146" s="15"/>
      <c r="B146" s="36"/>
      <c r="C146" s="37"/>
      <c r="D146" s="40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3">
        <f t="shared" si="29"/>
        <v>0</v>
      </c>
    </row>
    <row r="147" spans="1:15" ht="12.75" customHeight="1" x14ac:dyDescent="0.3">
      <c r="A147" s="15"/>
      <c r="B147" s="36"/>
      <c r="C147" s="37"/>
      <c r="D147" s="40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3">
        <f t="shared" si="29"/>
        <v>0</v>
      </c>
    </row>
    <row r="148" spans="1:15" ht="12.75" customHeight="1" x14ac:dyDescent="0.3">
      <c r="A148" s="15"/>
      <c r="B148" s="36"/>
      <c r="C148" s="37"/>
      <c r="D148" s="38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3">
        <f t="shared" si="29"/>
        <v>0</v>
      </c>
    </row>
    <row r="149" spans="1:15" ht="12.75" customHeight="1" x14ac:dyDescent="0.3">
      <c r="A149" s="15"/>
      <c r="B149" s="36"/>
      <c r="C149" s="37"/>
      <c r="D149" s="38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3">
        <f t="shared" si="29"/>
        <v>0</v>
      </c>
    </row>
    <row r="150" spans="1:15" ht="12.75" customHeight="1" x14ac:dyDescent="0.3">
      <c r="A150" s="15"/>
      <c r="B150" s="36"/>
      <c r="C150" s="37"/>
      <c r="D150" s="38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3">
        <f t="shared" si="29"/>
        <v>0</v>
      </c>
    </row>
    <row r="151" spans="1:15" ht="12.75" customHeight="1" x14ac:dyDescent="0.3">
      <c r="A151" s="16" t="s">
        <v>15</v>
      </c>
      <c r="B151" s="59" t="s">
        <v>49</v>
      </c>
      <c r="C151" s="60"/>
      <c r="D151" s="58"/>
      <c r="E151" s="13">
        <f t="shared" ref="E151:O151" si="30">SUM(E141:E150)</f>
        <v>0</v>
      </c>
      <c r="F151" s="13">
        <f t="shared" si="30"/>
        <v>0</v>
      </c>
      <c r="G151" s="13">
        <f t="shared" si="30"/>
        <v>0</v>
      </c>
      <c r="H151" s="13">
        <f t="shared" si="30"/>
        <v>0</v>
      </c>
      <c r="I151" s="13">
        <f t="shared" si="30"/>
        <v>0</v>
      </c>
      <c r="J151" s="13">
        <f t="shared" si="30"/>
        <v>0</v>
      </c>
      <c r="K151" s="13">
        <f t="shared" si="30"/>
        <v>0</v>
      </c>
      <c r="L151" s="13">
        <f t="shared" si="30"/>
        <v>0</v>
      </c>
      <c r="M151" s="13">
        <f t="shared" si="30"/>
        <v>0</v>
      </c>
      <c r="N151" s="13">
        <f t="shared" si="30"/>
        <v>0</v>
      </c>
      <c r="O151" s="13">
        <f t="shared" si="30"/>
        <v>0</v>
      </c>
    </row>
    <row r="152" spans="1:15" ht="12.75" customHeight="1" x14ac:dyDescent="0.3">
      <c r="A152" s="61"/>
      <c r="B152" s="60"/>
      <c r="C152" s="60"/>
      <c r="D152" s="60"/>
      <c r="E152" s="58"/>
      <c r="F152" s="51"/>
      <c r="G152" s="51"/>
      <c r="H152" s="51"/>
      <c r="I152" s="51"/>
      <c r="J152" s="51"/>
      <c r="K152" s="51"/>
      <c r="L152" s="51"/>
      <c r="M152" s="51"/>
      <c r="N152" s="51"/>
      <c r="O152" s="13"/>
    </row>
    <row r="153" spans="1:15" ht="12.75" customHeight="1" x14ac:dyDescent="0.3">
      <c r="A153" s="20" t="s">
        <v>37</v>
      </c>
      <c r="B153" s="14" t="s">
        <v>118</v>
      </c>
      <c r="C153" s="62" t="s">
        <v>119</v>
      </c>
      <c r="D153" s="63"/>
      <c r="E153" s="16">
        <v>1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3">
        <f t="shared" ref="O153:O156" si="31">SUM(E154:N154)</f>
        <v>0</v>
      </c>
    </row>
    <row r="154" spans="1:15" ht="12.75" customHeight="1" x14ac:dyDescent="0.3">
      <c r="A154" s="42" t="s">
        <v>39</v>
      </c>
      <c r="B154" s="28"/>
      <c r="C154" s="29" t="s">
        <v>120</v>
      </c>
      <c r="D154" s="30"/>
      <c r="E154" s="53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3">
        <f t="shared" si="31"/>
        <v>0</v>
      </c>
    </row>
    <row r="155" spans="1:15" ht="12.75" customHeight="1" x14ac:dyDescent="0.3">
      <c r="A155" s="15"/>
      <c r="B155" s="28"/>
      <c r="C155" s="29" t="s">
        <v>121</v>
      </c>
      <c r="D155" s="30"/>
      <c r="E155" s="53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3">
        <f t="shared" si="31"/>
        <v>0</v>
      </c>
    </row>
    <row r="156" spans="1:15" ht="12.75" customHeight="1" x14ac:dyDescent="0.3">
      <c r="A156" s="15"/>
      <c r="B156" s="28"/>
      <c r="C156" s="29" t="s">
        <v>122</v>
      </c>
      <c r="D156" s="30"/>
      <c r="E156" s="53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3">
        <f t="shared" si="31"/>
        <v>0</v>
      </c>
    </row>
    <row r="157" spans="1:15" ht="12.75" customHeight="1" x14ac:dyDescent="0.3">
      <c r="A157" s="15"/>
      <c r="B157" s="28"/>
      <c r="C157" s="29" t="s">
        <v>123</v>
      </c>
      <c r="D157" s="30"/>
      <c r="E157" s="53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3">
        <f t="shared" ref="O157:O162" si="32">SUM(E163:N163)</f>
        <v>1</v>
      </c>
    </row>
    <row r="158" spans="1:15" ht="12.75" customHeight="1" x14ac:dyDescent="0.3">
      <c r="A158" s="15"/>
      <c r="B158" s="28"/>
      <c r="C158" s="29" t="s">
        <v>124</v>
      </c>
      <c r="D158" s="30"/>
      <c r="E158" s="53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3">
        <f t="shared" si="32"/>
        <v>0</v>
      </c>
    </row>
    <row r="159" spans="1:15" ht="12.75" customHeight="1" x14ac:dyDescent="0.3">
      <c r="A159" s="15"/>
      <c r="B159" s="28"/>
      <c r="C159" s="29" t="s">
        <v>125</v>
      </c>
      <c r="D159" s="30"/>
      <c r="E159" s="53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3">
        <f t="shared" si="32"/>
        <v>5</v>
      </c>
    </row>
    <row r="160" spans="1:15" ht="12.75" customHeight="1" x14ac:dyDescent="0.3">
      <c r="A160" s="15"/>
      <c r="B160" s="28"/>
      <c r="C160" s="29" t="s">
        <v>126</v>
      </c>
      <c r="D160" s="30"/>
      <c r="E160" s="53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3">
        <f t="shared" si="32"/>
        <v>3</v>
      </c>
    </row>
    <row r="161" spans="1:15" ht="12.75" customHeight="1" x14ac:dyDescent="0.3">
      <c r="A161" s="15"/>
      <c r="B161" s="36"/>
      <c r="C161" s="43"/>
      <c r="D161" s="38"/>
      <c r="E161" s="53"/>
      <c r="F161" s="16"/>
      <c r="G161" s="16"/>
      <c r="H161" s="16"/>
      <c r="I161" s="16"/>
      <c r="J161" s="16"/>
      <c r="K161" s="16"/>
      <c r="L161" s="16"/>
      <c r="M161" s="16"/>
      <c r="N161" s="16"/>
      <c r="O161" s="13">
        <f t="shared" si="32"/>
        <v>0</v>
      </c>
    </row>
    <row r="162" spans="1:15" ht="12.75" customHeight="1" x14ac:dyDescent="0.3">
      <c r="A162" s="15"/>
      <c r="B162" s="36"/>
      <c r="C162" s="43"/>
      <c r="D162" s="38"/>
      <c r="E162" s="53"/>
      <c r="F162" s="16"/>
      <c r="G162" s="16"/>
      <c r="H162" s="16"/>
      <c r="I162" s="16"/>
      <c r="J162" s="16"/>
      <c r="K162" s="16"/>
      <c r="L162" s="16"/>
      <c r="M162" s="16"/>
      <c r="N162" s="16"/>
      <c r="O162" s="13">
        <f t="shared" si="32"/>
        <v>0</v>
      </c>
    </row>
    <row r="163" spans="1:15" ht="12.75" customHeight="1" x14ac:dyDescent="0.3">
      <c r="A163" s="16" t="s">
        <v>15</v>
      </c>
      <c r="B163" s="64" t="s">
        <v>49</v>
      </c>
      <c r="C163" s="56"/>
      <c r="D163" s="65"/>
      <c r="E163" s="13">
        <f t="shared" ref="E163:O163" si="33">SUM(E153:E162)</f>
        <v>1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9</v>
      </c>
    </row>
    <row r="164" spans="1:15" ht="12.75" customHeight="1" x14ac:dyDescent="0.3">
      <c r="A164" s="61"/>
      <c r="B164" s="60"/>
      <c r="C164" s="60"/>
      <c r="D164" s="60"/>
      <c r="E164" s="58"/>
      <c r="F164" s="51"/>
      <c r="G164" s="51"/>
      <c r="H164" s="51"/>
      <c r="I164" s="51"/>
      <c r="J164" s="51"/>
      <c r="K164" s="51"/>
      <c r="L164" s="51"/>
      <c r="M164" s="51"/>
      <c r="N164" s="51"/>
      <c r="O164" s="51"/>
    </row>
    <row r="165" spans="1:15" ht="12.75" customHeight="1" x14ac:dyDescent="0.3">
      <c r="A165" s="20" t="s">
        <v>37</v>
      </c>
      <c r="B165" s="27" t="s">
        <v>127</v>
      </c>
      <c r="C165" s="57" t="s">
        <v>128</v>
      </c>
      <c r="D165" s="58"/>
      <c r="E165" s="16">
        <v>1</v>
      </c>
      <c r="F165" s="16">
        <v>0</v>
      </c>
      <c r="G165" s="16">
        <v>0</v>
      </c>
      <c r="H165" s="16">
        <v>0</v>
      </c>
      <c r="I165" s="16">
        <v>1</v>
      </c>
      <c r="J165" s="16">
        <v>0</v>
      </c>
      <c r="K165" s="16">
        <v>0</v>
      </c>
      <c r="L165" s="16">
        <v>1</v>
      </c>
      <c r="M165" s="16">
        <v>0</v>
      </c>
      <c r="N165" s="16">
        <v>2</v>
      </c>
      <c r="O165" s="13">
        <f t="shared" ref="O165:O174" si="34">SUM(E165:N165)</f>
        <v>5</v>
      </c>
    </row>
    <row r="166" spans="1:15" ht="12.75" customHeight="1" x14ac:dyDescent="0.3">
      <c r="A166" s="20" t="s">
        <v>39</v>
      </c>
      <c r="B166" s="28"/>
      <c r="C166" s="29" t="s">
        <v>129</v>
      </c>
      <c r="D166" s="30"/>
      <c r="E166" s="16">
        <v>1</v>
      </c>
      <c r="F166" s="16">
        <v>0</v>
      </c>
      <c r="G166" s="16">
        <v>0</v>
      </c>
      <c r="H166" s="16">
        <v>0</v>
      </c>
      <c r="I166" s="16">
        <v>0</v>
      </c>
      <c r="J166" s="16">
        <v>1</v>
      </c>
      <c r="K166" s="16">
        <v>1</v>
      </c>
      <c r="L166" s="16">
        <v>0</v>
      </c>
      <c r="M166" s="16">
        <v>0</v>
      </c>
      <c r="N166" s="16">
        <v>0</v>
      </c>
      <c r="O166" s="13">
        <f t="shared" si="34"/>
        <v>3</v>
      </c>
    </row>
    <row r="167" spans="1:15" ht="12.75" customHeight="1" x14ac:dyDescent="0.3">
      <c r="A167" s="15"/>
      <c r="B167" s="36"/>
      <c r="C167" s="37"/>
      <c r="D167" s="38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3">
        <f t="shared" si="34"/>
        <v>0</v>
      </c>
    </row>
    <row r="168" spans="1:15" ht="12.75" customHeight="1" x14ac:dyDescent="0.3">
      <c r="A168" s="15"/>
      <c r="B168" s="36"/>
      <c r="C168" s="37"/>
      <c r="D168" s="38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3">
        <f t="shared" si="34"/>
        <v>0</v>
      </c>
    </row>
    <row r="169" spans="1:15" ht="12.75" customHeight="1" x14ac:dyDescent="0.3">
      <c r="A169" s="15"/>
      <c r="B169" s="36"/>
      <c r="C169" s="37"/>
      <c r="D169" s="38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3">
        <f t="shared" si="34"/>
        <v>0</v>
      </c>
    </row>
    <row r="170" spans="1:15" ht="12.75" customHeight="1" x14ac:dyDescent="0.3">
      <c r="A170" s="15"/>
      <c r="B170" s="36"/>
      <c r="C170" s="37"/>
      <c r="D170" s="38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3">
        <f t="shared" si="34"/>
        <v>0</v>
      </c>
    </row>
    <row r="171" spans="1:15" ht="12.75" customHeight="1" x14ac:dyDescent="0.3">
      <c r="A171" s="15"/>
      <c r="B171" s="36"/>
      <c r="C171" s="37"/>
      <c r="D171" s="38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3">
        <f t="shared" si="34"/>
        <v>0</v>
      </c>
    </row>
    <row r="172" spans="1:15" ht="12.75" customHeight="1" x14ac:dyDescent="0.3">
      <c r="A172" s="15"/>
      <c r="B172" s="36"/>
      <c r="C172" s="37"/>
      <c r="D172" s="38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3">
        <f t="shared" si="34"/>
        <v>0</v>
      </c>
    </row>
    <row r="173" spans="1:15" ht="12.75" customHeight="1" x14ac:dyDescent="0.3">
      <c r="A173" s="15"/>
      <c r="B173" s="36"/>
      <c r="C173" s="37"/>
      <c r="D173" s="38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3">
        <f t="shared" si="34"/>
        <v>0</v>
      </c>
    </row>
    <row r="174" spans="1:15" ht="12.75" customHeight="1" x14ac:dyDescent="0.3">
      <c r="A174" s="15"/>
      <c r="B174" s="36"/>
      <c r="C174" s="37"/>
      <c r="D174" s="38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3">
        <f t="shared" si="34"/>
        <v>0</v>
      </c>
    </row>
    <row r="175" spans="1:15" ht="12.75" customHeight="1" x14ac:dyDescent="0.3">
      <c r="A175" s="16" t="s">
        <v>15</v>
      </c>
      <c r="B175" s="59" t="s">
        <v>49</v>
      </c>
      <c r="C175" s="60"/>
      <c r="D175" s="58"/>
      <c r="E175" s="13">
        <f t="shared" ref="E175:O175" si="35">SUM(E165:E174)</f>
        <v>2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1</v>
      </c>
      <c r="K175" s="13">
        <f t="shared" si="35"/>
        <v>1</v>
      </c>
      <c r="L175" s="13">
        <f t="shared" si="35"/>
        <v>1</v>
      </c>
      <c r="M175" s="13">
        <f t="shared" si="35"/>
        <v>0</v>
      </c>
      <c r="N175" s="13">
        <f t="shared" si="35"/>
        <v>2</v>
      </c>
      <c r="O175" s="13">
        <f t="shared" si="35"/>
        <v>8</v>
      </c>
    </row>
    <row r="176" spans="1:15" ht="12.75" customHeight="1" x14ac:dyDescent="0.3">
      <c r="A176" s="61"/>
      <c r="B176" s="60"/>
      <c r="C176" s="60"/>
      <c r="D176" s="60"/>
      <c r="E176" s="58"/>
      <c r="F176" s="51"/>
      <c r="G176" s="51"/>
      <c r="H176" s="51"/>
      <c r="I176" s="51"/>
      <c r="J176" s="51"/>
      <c r="K176" s="51"/>
      <c r="L176" s="51"/>
      <c r="M176" s="51"/>
      <c r="N176" s="51"/>
      <c r="O176" s="51"/>
    </row>
    <row r="177" spans="1:15" ht="12.75" customHeight="1" x14ac:dyDescent="0.3">
      <c r="A177" s="20" t="s">
        <v>37</v>
      </c>
      <c r="B177" s="27" t="s">
        <v>130</v>
      </c>
      <c r="C177" s="57" t="s">
        <v>131</v>
      </c>
      <c r="D177" s="58"/>
      <c r="E177" s="16">
        <v>0</v>
      </c>
      <c r="F177" s="16">
        <v>0</v>
      </c>
      <c r="G177" s="16">
        <v>0</v>
      </c>
      <c r="H177" s="16">
        <v>1</v>
      </c>
      <c r="I177" s="16">
        <v>0</v>
      </c>
      <c r="J177" s="16">
        <v>0</v>
      </c>
      <c r="K177" s="16">
        <v>1</v>
      </c>
      <c r="L177" s="16">
        <v>0</v>
      </c>
      <c r="M177" s="16">
        <v>0</v>
      </c>
      <c r="N177" s="16">
        <v>0</v>
      </c>
      <c r="O177" s="13">
        <f t="shared" ref="O177:O186" si="36">SUM(E177:N177)</f>
        <v>2</v>
      </c>
    </row>
    <row r="178" spans="1:15" ht="12.75" customHeight="1" x14ac:dyDescent="0.3">
      <c r="A178" s="20" t="s">
        <v>39</v>
      </c>
      <c r="B178" s="28"/>
      <c r="C178" s="29" t="s">
        <v>132</v>
      </c>
      <c r="D178" s="30"/>
      <c r="E178" s="16">
        <v>2</v>
      </c>
      <c r="F178" s="16">
        <v>1</v>
      </c>
      <c r="G178" s="16">
        <v>0</v>
      </c>
      <c r="H178" s="16">
        <v>1</v>
      </c>
      <c r="I178" s="16">
        <v>1</v>
      </c>
      <c r="J178" s="16">
        <v>1</v>
      </c>
      <c r="K178" s="16">
        <v>0</v>
      </c>
      <c r="L178" s="16">
        <v>1</v>
      </c>
      <c r="M178" s="16">
        <v>0</v>
      </c>
      <c r="N178" s="16">
        <v>0</v>
      </c>
      <c r="O178" s="13">
        <f t="shared" si="36"/>
        <v>7</v>
      </c>
    </row>
    <row r="179" spans="1:15" ht="12.75" customHeight="1" x14ac:dyDescent="0.3">
      <c r="A179" s="15"/>
      <c r="B179" s="28"/>
      <c r="C179" s="29" t="s">
        <v>133</v>
      </c>
      <c r="D179" s="30"/>
      <c r="E179" s="16">
        <v>1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3">
        <f t="shared" si="36"/>
        <v>1</v>
      </c>
    </row>
    <row r="180" spans="1:15" ht="12.75" customHeight="1" x14ac:dyDescent="0.3">
      <c r="A180" s="15"/>
      <c r="B180" s="28"/>
      <c r="C180" s="29" t="s">
        <v>134</v>
      </c>
      <c r="D180" s="30"/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1</v>
      </c>
      <c r="K180" s="16">
        <v>0</v>
      </c>
      <c r="L180" s="16">
        <v>2</v>
      </c>
      <c r="M180" s="16">
        <v>1</v>
      </c>
      <c r="N180" s="16">
        <v>0</v>
      </c>
      <c r="O180" s="13">
        <f t="shared" si="36"/>
        <v>4</v>
      </c>
    </row>
    <row r="181" spans="1:15" ht="12.75" customHeight="1" x14ac:dyDescent="0.3">
      <c r="A181" s="15"/>
      <c r="B181" s="28"/>
      <c r="C181" s="29" t="s">
        <v>135</v>
      </c>
      <c r="D181" s="30"/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1</v>
      </c>
      <c r="K181" s="16">
        <v>2</v>
      </c>
      <c r="L181" s="16">
        <v>0</v>
      </c>
      <c r="M181" s="16">
        <v>0</v>
      </c>
      <c r="N181" s="16">
        <v>0</v>
      </c>
      <c r="O181" s="13">
        <f t="shared" si="36"/>
        <v>3</v>
      </c>
    </row>
    <row r="182" spans="1:15" ht="12.75" customHeight="1" x14ac:dyDescent="0.3">
      <c r="A182" s="15"/>
      <c r="B182" s="28"/>
      <c r="C182" s="29" t="s">
        <v>136</v>
      </c>
      <c r="D182" s="30"/>
      <c r="E182" s="16">
        <v>1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3">
        <f t="shared" si="36"/>
        <v>1</v>
      </c>
    </row>
    <row r="183" spans="1:15" ht="12.75" customHeight="1" x14ac:dyDescent="0.3">
      <c r="A183" s="15"/>
      <c r="B183" s="28"/>
      <c r="C183" s="29" t="s">
        <v>137</v>
      </c>
      <c r="D183" s="30"/>
      <c r="E183" s="16">
        <v>0</v>
      </c>
      <c r="F183" s="16">
        <v>0</v>
      </c>
      <c r="G183" s="16">
        <v>0</v>
      </c>
      <c r="H183" s="16">
        <v>0</v>
      </c>
      <c r="I183" s="16">
        <v>1</v>
      </c>
      <c r="J183" s="16">
        <v>1</v>
      </c>
      <c r="K183" s="16">
        <v>0</v>
      </c>
      <c r="L183" s="16">
        <v>0</v>
      </c>
      <c r="M183" s="16">
        <v>0</v>
      </c>
      <c r="N183" s="16">
        <v>0</v>
      </c>
      <c r="O183" s="13">
        <f t="shared" si="36"/>
        <v>2</v>
      </c>
    </row>
    <row r="184" spans="1:15" ht="12.75" customHeight="1" x14ac:dyDescent="0.3">
      <c r="A184" s="15"/>
      <c r="B184" s="28"/>
      <c r="C184" s="29" t="s">
        <v>138</v>
      </c>
      <c r="D184" s="30"/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3">
        <f t="shared" si="36"/>
        <v>0</v>
      </c>
    </row>
    <row r="185" spans="1:15" ht="12.75" customHeight="1" x14ac:dyDescent="0.3">
      <c r="A185" s="15"/>
      <c r="B185" s="28"/>
      <c r="C185" s="29" t="s">
        <v>139</v>
      </c>
      <c r="D185" s="30"/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3">
        <f t="shared" si="36"/>
        <v>0</v>
      </c>
    </row>
    <row r="186" spans="1:15" ht="12.75" customHeight="1" x14ac:dyDescent="0.3">
      <c r="A186" s="15"/>
      <c r="B186" s="28"/>
      <c r="C186" s="29" t="s">
        <v>140</v>
      </c>
      <c r="D186" s="30"/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3">
        <f t="shared" si="36"/>
        <v>0</v>
      </c>
    </row>
    <row r="187" spans="1:15" ht="12.75" customHeight="1" x14ac:dyDescent="0.3">
      <c r="A187" s="16" t="s">
        <v>15</v>
      </c>
      <c r="B187" s="59" t="s">
        <v>49</v>
      </c>
      <c r="C187" s="60"/>
      <c r="D187" s="58"/>
      <c r="E187" s="13">
        <f t="shared" ref="E187:O187" si="37">SUM(E177:E186)</f>
        <v>4</v>
      </c>
      <c r="F187" s="13">
        <f t="shared" si="37"/>
        <v>1</v>
      </c>
      <c r="G187" s="13">
        <f t="shared" si="37"/>
        <v>0</v>
      </c>
      <c r="H187" s="13">
        <f t="shared" si="37"/>
        <v>2</v>
      </c>
      <c r="I187" s="13">
        <f t="shared" si="37"/>
        <v>2</v>
      </c>
      <c r="J187" s="13">
        <f t="shared" si="37"/>
        <v>4</v>
      </c>
      <c r="K187" s="13">
        <f t="shared" si="37"/>
        <v>3</v>
      </c>
      <c r="L187" s="13">
        <f t="shared" si="37"/>
        <v>3</v>
      </c>
      <c r="M187" s="13">
        <f t="shared" si="37"/>
        <v>1</v>
      </c>
      <c r="N187" s="13">
        <f t="shared" si="37"/>
        <v>0</v>
      </c>
      <c r="O187" s="13">
        <f t="shared" si="37"/>
        <v>20</v>
      </c>
    </row>
    <row r="188" spans="1:15" ht="12.75" customHeight="1" x14ac:dyDescent="0.3">
      <c r="A188" s="61"/>
      <c r="B188" s="60"/>
      <c r="C188" s="60"/>
      <c r="D188" s="60"/>
      <c r="E188" s="58"/>
      <c r="F188" s="51"/>
      <c r="G188" s="51"/>
      <c r="H188" s="51"/>
      <c r="I188" s="51"/>
      <c r="J188" s="51"/>
      <c r="K188" s="51"/>
      <c r="L188" s="51"/>
      <c r="M188" s="51"/>
      <c r="N188" s="51"/>
      <c r="O188" s="13"/>
    </row>
    <row r="189" spans="1:15" ht="12.75" customHeight="1" x14ac:dyDescent="0.3">
      <c r="A189" s="20" t="s">
        <v>37</v>
      </c>
      <c r="B189" s="27" t="s">
        <v>141</v>
      </c>
      <c r="C189" s="57" t="s">
        <v>142</v>
      </c>
      <c r="D189" s="58"/>
      <c r="E189" s="16">
        <v>0</v>
      </c>
      <c r="F189" s="16">
        <v>1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3">
        <f t="shared" ref="O189:O198" si="38">SUM(E189:N189)</f>
        <v>1</v>
      </c>
    </row>
    <row r="190" spans="1:15" ht="12.75" customHeight="1" x14ac:dyDescent="0.3">
      <c r="A190" s="20" t="s">
        <v>39</v>
      </c>
      <c r="B190" s="28"/>
      <c r="C190" s="29" t="s">
        <v>143</v>
      </c>
      <c r="D190" s="30"/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3">
        <f t="shared" si="38"/>
        <v>0</v>
      </c>
    </row>
    <row r="191" spans="1:15" ht="12.75" customHeight="1" x14ac:dyDescent="0.3">
      <c r="A191" s="15"/>
      <c r="B191" s="28"/>
      <c r="C191" s="29" t="s">
        <v>144</v>
      </c>
      <c r="D191" s="30"/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3">
        <f t="shared" si="38"/>
        <v>0</v>
      </c>
    </row>
    <row r="192" spans="1:15" ht="12.75" customHeight="1" x14ac:dyDescent="0.3">
      <c r="A192" s="15"/>
      <c r="B192" s="28"/>
      <c r="C192" s="29" t="s">
        <v>145</v>
      </c>
      <c r="D192" s="30"/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3">
        <f t="shared" si="38"/>
        <v>0</v>
      </c>
    </row>
    <row r="193" spans="1:15" ht="12.75" customHeight="1" x14ac:dyDescent="0.3">
      <c r="A193" s="15"/>
      <c r="B193" s="28"/>
      <c r="C193" s="29" t="s">
        <v>146</v>
      </c>
      <c r="D193" s="30"/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3">
        <f t="shared" si="38"/>
        <v>0</v>
      </c>
    </row>
    <row r="194" spans="1:15" ht="12.75" customHeight="1" x14ac:dyDescent="0.3">
      <c r="A194" s="15"/>
      <c r="B194" s="28"/>
      <c r="C194" s="29" t="s">
        <v>147</v>
      </c>
      <c r="D194" s="30"/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3">
        <f t="shared" si="38"/>
        <v>0</v>
      </c>
    </row>
    <row r="195" spans="1:15" ht="12.75" customHeight="1" x14ac:dyDescent="0.3">
      <c r="A195" s="15"/>
      <c r="B195" s="28"/>
      <c r="C195" s="29" t="s">
        <v>148</v>
      </c>
      <c r="D195" s="30"/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3">
        <f t="shared" si="38"/>
        <v>0</v>
      </c>
    </row>
    <row r="196" spans="1:15" ht="12.75" customHeight="1" x14ac:dyDescent="0.3">
      <c r="A196" s="15"/>
      <c r="B196" s="28"/>
      <c r="C196" s="29" t="s">
        <v>149</v>
      </c>
      <c r="D196" s="30"/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3">
        <f t="shared" si="38"/>
        <v>0</v>
      </c>
    </row>
    <row r="197" spans="1:15" ht="12.75" customHeight="1" x14ac:dyDescent="0.3">
      <c r="A197" s="15"/>
      <c r="B197" s="28"/>
      <c r="C197" s="29" t="s">
        <v>150</v>
      </c>
      <c r="D197" s="30"/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3">
        <f t="shared" si="38"/>
        <v>0</v>
      </c>
    </row>
    <row r="198" spans="1:15" ht="12.75" customHeight="1" x14ac:dyDescent="0.3">
      <c r="A198" s="15"/>
      <c r="B198" s="28"/>
      <c r="C198" s="29" t="s">
        <v>151</v>
      </c>
      <c r="D198" s="30"/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3">
        <f t="shared" si="38"/>
        <v>0</v>
      </c>
    </row>
    <row r="199" spans="1:15" ht="12.75" customHeight="1" x14ac:dyDescent="0.3">
      <c r="A199" s="16" t="s">
        <v>15</v>
      </c>
      <c r="B199" s="59" t="s">
        <v>49</v>
      </c>
      <c r="C199" s="60"/>
      <c r="D199" s="58"/>
      <c r="E199" s="13">
        <f t="shared" ref="E199:O199" si="39">SUM(E189:E198)</f>
        <v>0</v>
      </c>
      <c r="F199" s="13">
        <f t="shared" si="39"/>
        <v>1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1</v>
      </c>
    </row>
    <row r="200" spans="1:15" ht="12.75" customHeight="1" x14ac:dyDescent="0.3">
      <c r="A200" s="61"/>
      <c r="B200" s="60"/>
      <c r="C200" s="60"/>
      <c r="D200" s="60"/>
      <c r="E200" s="58"/>
      <c r="F200" s="51"/>
      <c r="G200" s="51"/>
      <c r="H200" s="51"/>
      <c r="I200" s="51"/>
      <c r="J200" s="51"/>
      <c r="K200" s="51"/>
      <c r="L200" s="51"/>
      <c r="M200" s="51"/>
      <c r="N200" s="51"/>
      <c r="O200" s="51"/>
    </row>
    <row r="201" spans="1:15" ht="12.75" customHeight="1" x14ac:dyDescent="0.3">
      <c r="A201" s="20" t="s">
        <v>37</v>
      </c>
      <c r="B201" s="27" t="s">
        <v>152</v>
      </c>
      <c r="C201" s="57" t="s">
        <v>153</v>
      </c>
      <c r="D201" s="58"/>
      <c r="E201" s="16">
        <v>1</v>
      </c>
      <c r="F201" s="16">
        <v>1</v>
      </c>
      <c r="G201" s="16">
        <v>4</v>
      </c>
      <c r="H201" s="16">
        <v>5</v>
      </c>
      <c r="I201" s="16">
        <v>6</v>
      </c>
      <c r="J201" s="16">
        <v>5</v>
      </c>
      <c r="K201" s="16">
        <v>2</v>
      </c>
      <c r="L201" s="16">
        <v>22</v>
      </c>
      <c r="M201" s="16">
        <v>2</v>
      </c>
      <c r="N201" s="16">
        <v>2</v>
      </c>
      <c r="O201" s="13">
        <f t="shared" ref="O201:O210" si="40">SUM(E201:N201)</f>
        <v>50</v>
      </c>
    </row>
    <row r="202" spans="1:15" ht="12.75" customHeight="1" x14ac:dyDescent="0.3">
      <c r="A202" s="20" t="s">
        <v>39</v>
      </c>
      <c r="B202" s="28"/>
      <c r="C202" s="29" t="s">
        <v>154</v>
      </c>
      <c r="D202" s="30"/>
      <c r="E202" s="16">
        <v>2</v>
      </c>
      <c r="F202" s="16">
        <v>1</v>
      </c>
      <c r="G202" s="16">
        <v>3</v>
      </c>
      <c r="H202" s="16">
        <v>4</v>
      </c>
      <c r="I202" s="16">
        <v>5</v>
      </c>
      <c r="J202" s="16">
        <v>11</v>
      </c>
      <c r="K202" s="16">
        <v>1</v>
      </c>
      <c r="L202" s="16">
        <v>6</v>
      </c>
      <c r="M202" s="16">
        <v>3</v>
      </c>
      <c r="N202" s="16">
        <v>0</v>
      </c>
      <c r="O202" s="13">
        <f t="shared" si="40"/>
        <v>36</v>
      </c>
    </row>
    <row r="203" spans="1:15" ht="12.75" customHeight="1" x14ac:dyDescent="0.3">
      <c r="A203" s="15"/>
      <c r="B203" s="28"/>
      <c r="C203" s="29" t="s">
        <v>155</v>
      </c>
      <c r="D203" s="30"/>
      <c r="E203" s="16">
        <v>6</v>
      </c>
      <c r="F203" s="16">
        <v>0</v>
      </c>
      <c r="G203" s="16">
        <v>3</v>
      </c>
      <c r="H203" s="16">
        <v>5</v>
      </c>
      <c r="I203" s="16">
        <v>6</v>
      </c>
      <c r="J203" s="16">
        <v>1</v>
      </c>
      <c r="K203" s="16">
        <v>2</v>
      </c>
      <c r="L203" s="16">
        <v>17</v>
      </c>
      <c r="M203" s="16">
        <v>3</v>
      </c>
      <c r="N203" s="16">
        <v>2</v>
      </c>
      <c r="O203" s="13">
        <f t="shared" si="40"/>
        <v>45</v>
      </c>
    </row>
    <row r="204" spans="1:15" ht="12.75" customHeight="1" x14ac:dyDescent="0.3">
      <c r="A204" s="15"/>
      <c r="B204" s="28"/>
      <c r="C204" s="29" t="s">
        <v>156</v>
      </c>
      <c r="D204" s="30"/>
      <c r="E204" s="16">
        <v>0</v>
      </c>
      <c r="F204" s="16">
        <v>0</v>
      </c>
      <c r="G204" s="16">
        <v>1</v>
      </c>
      <c r="H204" s="16">
        <v>3</v>
      </c>
      <c r="I204" s="16">
        <v>0</v>
      </c>
      <c r="J204" s="16">
        <v>0</v>
      </c>
      <c r="K204" s="16">
        <v>0</v>
      </c>
      <c r="L204" s="16">
        <v>2</v>
      </c>
      <c r="M204" s="16">
        <v>0</v>
      </c>
      <c r="N204" s="16">
        <v>0</v>
      </c>
      <c r="O204" s="13">
        <f t="shared" si="40"/>
        <v>6</v>
      </c>
    </row>
    <row r="205" spans="1:15" ht="12.75" customHeight="1" x14ac:dyDescent="0.3">
      <c r="A205" s="15"/>
      <c r="B205" s="28"/>
      <c r="C205" s="29" t="s">
        <v>157</v>
      </c>
      <c r="D205" s="30"/>
      <c r="E205" s="16">
        <v>1</v>
      </c>
      <c r="F205" s="16">
        <v>0</v>
      </c>
      <c r="G205" s="16">
        <v>0</v>
      </c>
      <c r="H205" s="16">
        <v>1</v>
      </c>
      <c r="I205" s="16">
        <v>0</v>
      </c>
      <c r="J205" s="16">
        <v>1</v>
      </c>
      <c r="K205" s="16">
        <v>1</v>
      </c>
      <c r="L205" s="16">
        <v>1</v>
      </c>
      <c r="M205" s="16">
        <v>1</v>
      </c>
      <c r="N205" s="16">
        <v>1</v>
      </c>
      <c r="O205" s="13">
        <f t="shared" si="40"/>
        <v>7</v>
      </c>
    </row>
    <row r="206" spans="1:15" ht="12.75" customHeight="1" x14ac:dyDescent="0.3">
      <c r="A206" s="15"/>
      <c r="B206" s="28"/>
      <c r="C206" s="29" t="s">
        <v>158</v>
      </c>
      <c r="D206" s="30"/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3">
        <f t="shared" si="40"/>
        <v>0</v>
      </c>
    </row>
    <row r="207" spans="1:15" ht="12.75" customHeight="1" x14ac:dyDescent="0.3">
      <c r="A207" s="15"/>
      <c r="B207" s="28"/>
      <c r="C207" s="29" t="s">
        <v>159</v>
      </c>
      <c r="D207" s="30"/>
      <c r="E207" s="16">
        <v>1</v>
      </c>
      <c r="F207" s="16">
        <v>0</v>
      </c>
      <c r="G207" s="16">
        <v>0</v>
      </c>
      <c r="H207" s="16">
        <v>2</v>
      </c>
      <c r="I207" s="16">
        <v>3</v>
      </c>
      <c r="J207" s="16">
        <v>1</v>
      </c>
      <c r="K207" s="16">
        <v>0</v>
      </c>
      <c r="L207" s="16">
        <v>0</v>
      </c>
      <c r="M207" s="16">
        <v>0</v>
      </c>
      <c r="N207" s="16">
        <v>0</v>
      </c>
      <c r="O207" s="13">
        <f t="shared" si="40"/>
        <v>7</v>
      </c>
    </row>
    <row r="208" spans="1:15" ht="12.75" customHeight="1" x14ac:dyDescent="0.3">
      <c r="A208" s="15"/>
      <c r="B208" s="28"/>
      <c r="C208" s="29" t="s">
        <v>160</v>
      </c>
      <c r="D208" s="30"/>
      <c r="E208" s="16">
        <v>1</v>
      </c>
      <c r="F208" s="16">
        <v>0</v>
      </c>
      <c r="G208" s="16">
        <v>1</v>
      </c>
      <c r="H208" s="16">
        <v>0</v>
      </c>
      <c r="I208" s="16">
        <v>2</v>
      </c>
      <c r="J208" s="16">
        <v>0</v>
      </c>
      <c r="K208" s="16">
        <v>0</v>
      </c>
      <c r="L208" s="16">
        <v>0</v>
      </c>
      <c r="M208" s="16">
        <v>0</v>
      </c>
      <c r="N208" s="16">
        <v>1</v>
      </c>
      <c r="O208" s="13">
        <f t="shared" si="40"/>
        <v>5</v>
      </c>
    </row>
    <row r="209" spans="1:15" ht="12.75" customHeight="1" x14ac:dyDescent="0.3">
      <c r="A209" s="15"/>
      <c r="B209" s="28"/>
      <c r="C209" s="29" t="s">
        <v>161</v>
      </c>
      <c r="D209" s="30"/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3">
        <f t="shared" si="40"/>
        <v>0</v>
      </c>
    </row>
    <row r="210" spans="1:15" ht="12.75" customHeight="1" x14ac:dyDescent="0.3">
      <c r="A210" s="15"/>
      <c r="B210" s="28"/>
      <c r="C210" s="29" t="s">
        <v>162</v>
      </c>
      <c r="D210" s="30"/>
      <c r="E210" s="16">
        <v>1</v>
      </c>
      <c r="F210" s="16">
        <v>1</v>
      </c>
      <c r="G210" s="16">
        <v>1</v>
      </c>
      <c r="H210" s="16">
        <v>0</v>
      </c>
      <c r="I210" s="16">
        <v>1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3">
        <f t="shared" si="40"/>
        <v>4</v>
      </c>
    </row>
    <row r="211" spans="1:15" ht="12.75" customHeight="1" x14ac:dyDescent="0.3">
      <c r="A211" s="16" t="s">
        <v>15</v>
      </c>
      <c r="B211" s="59" t="s">
        <v>49</v>
      </c>
      <c r="C211" s="60"/>
      <c r="D211" s="58"/>
      <c r="E211" s="13">
        <f t="shared" ref="E211:O211" si="41">SUM(E201:E210)</f>
        <v>13</v>
      </c>
      <c r="F211" s="13">
        <f t="shared" si="41"/>
        <v>3</v>
      </c>
      <c r="G211" s="13">
        <f t="shared" si="41"/>
        <v>13</v>
      </c>
      <c r="H211" s="13">
        <f t="shared" si="41"/>
        <v>20</v>
      </c>
      <c r="I211" s="13">
        <f t="shared" si="41"/>
        <v>23</v>
      </c>
      <c r="J211" s="13">
        <f t="shared" si="41"/>
        <v>19</v>
      </c>
      <c r="K211" s="13">
        <f t="shared" si="41"/>
        <v>6</v>
      </c>
      <c r="L211" s="13">
        <f t="shared" si="41"/>
        <v>48</v>
      </c>
      <c r="M211" s="13">
        <f t="shared" si="41"/>
        <v>9</v>
      </c>
      <c r="N211" s="13">
        <f t="shared" si="41"/>
        <v>6</v>
      </c>
      <c r="O211" s="13">
        <f t="shared" si="41"/>
        <v>160</v>
      </c>
    </row>
    <row r="212" spans="1:15" ht="12.75" customHeight="1" x14ac:dyDescent="0.3">
      <c r="A212" s="61"/>
      <c r="B212" s="60"/>
      <c r="C212" s="60"/>
      <c r="D212" s="60"/>
      <c r="E212" s="58"/>
      <c r="F212" s="51"/>
      <c r="G212" s="51"/>
      <c r="H212" s="51"/>
      <c r="I212" s="51"/>
      <c r="J212" s="51"/>
      <c r="K212" s="51"/>
      <c r="L212" s="51"/>
      <c r="M212" s="51"/>
      <c r="N212" s="51"/>
      <c r="O212" s="51"/>
    </row>
    <row r="213" spans="1:15" ht="12.75" customHeight="1" x14ac:dyDescent="0.3">
      <c r="A213" s="20" t="s">
        <v>37</v>
      </c>
      <c r="B213" s="27" t="s">
        <v>163</v>
      </c>
      <c r="C213" s="57" t="s">
        <v>164</v>
      </c>
      <c r="D213" s="58"/>
      <c r="E213" s="16">
        <v>4</v>
      </c>
      <c r="F213" s="16">
        <v>3</v>
      </c>
      <c r="G213" s="16">
        <v>1</v>
      </c>
      <c r="H213" s="16">
        <v>1</v>
      </c>
      <c r="I213" s="16">
        <v>1</v>
      </c>
      <c r="J213" s="16">
        <v>4</v>
      </c>
      <c r="K213" s="16">
        <v>1</v>
      </c>
      <c r="L213" s="16">
        <v>1</v>
      </c>
      <c r="M213" s="16">
        <v>1</v>
      </c>
      <c r="N213" s="16">
        <v>1</v>
      </c>
      <c r="O213" s="13">
        <f t="shared" ref="O213:O222" si="42">SUM(E213:N213)</f>
        <v>18</v>
      </c>
    </row>
    <row r="214" spans="1:15" ht="12.75" customHeight="1" x14ac:dyDescent="0.3">
      <c r="A214" s="20" t="s">
        <v>39</v>
      </c>
      <c r="B214" s="28"/>
      <c r="C214" s="29" t="s">
        <v>165</v>
      </c>
      <c r="D214" s="30"/>
      <c r="E214" s="16">
        <v>1</v>
      </c>
      <c r="F214" s="16">
        <v>1</v>
      </c>
      <c r="G214" s="16">
        <v>3</v>
      </c>
      <c r="H214" s="16">
        <v>0</v>
      </c>
      <c r="I214" s="16">
        <v>0</v>
      </c>
      <c r="J214" s="16">
        <v>0</v>
      </c>
      <c r="K214" s="16">
        <v>2</v>
      </c>
      <c r="L214" s="16">
        <v>3</v>
      </c>
      <c r="M214" s="16">
        <v>3</v>
      </c>
      <c r="N214" s="16">
        <v>2</v>
      </c>
      <c r="O214" s="13">
        <f t="shared" si="42"/>
        <v>15</v>
      </c>
    </row>
    <row r="215" spans="1:15" ht="12.75" customHeight="1" x14ac:dyDescent="0.3">
      <c r="A215" s="15"/>
      <c r="B215" s="28"/>
      <c r="C215" s="29" t="s">
        <v>166</v>
      </c>
      <c r="D215" s="30"/>
      <c r="E215" s="16">
        <v>1</v>
      </c>
      <c r="F215" s="16">
        <v>2</v>
      </c>
      <c r="G215" s="16">
        <v>2</v>
      </c>
      <c r="H215" s="16">
        <v>2</v>
      </c>
      <c r="I215" s="16">
        <v>1</v>
      </c>
      <c r="J215" s="16">
        <v>2</v>
      </c>
      <c r="K215" s="16">
        <v>0</v>
      </c>
      <c r="L215" s="16">
        <v>1</v>
      </c>
      <c r="M215" s="16">
        <v>0</v>
      </c>
      <c r="N215" s="16">
        <v>2</v>
      </c>
      <c r="O215" s="13">
        <f t="shared" si="42"/>
        <v>13</v>
      </c>
    </row>
    <row r="216" spans="1:15" ht="12.75" customHeight="1" x14ac:dyDescent="0.3">
      <c r="A216" s="15"/>
      <c r="B216" s="28"/>
      <c r="C216" s="29" t="s">
        <v>167</v>
      </c>
      <c r="D216" s="30"/>
      <c r="E216" s="16">
        <v>0</v>
      </c>
      <c r="F216" s="16">
        <v>1</v>
      </c>
      <c r="G216" s="16">
        <v>0</v>
      </c>
      <c r="H216" s="16">
        <v>0</v>
      </c>
      <c r="I216" s="16">
        <v>0</v>
      </c>
      <c r="J216" s="16">
        <v>1</v>
      </c>
      <c r="K216" s="16">
        <v>0</v>
      </c>
      <c r="L216" s="16">
        <v>2</v>
      </c>
      <c r="M216" s="16">
        <v>1</v>
      </c>
      <c r="N216" s="16">
        <v>0</v>
      </c>
      <c r="O216" s="13">
        <f t="shared" si="42"/>
        <v>5</v>
      </c>
    </row>
    <row r="217" spans="1:15" ht="12.75" customHeight="1" x14ac:dyDescent="0.3">
      <c r="A217" s="15"/>
      <c r="B217" s="36"/>
      <c r="C217" s="37"/>
      <c r="D217" s="40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3">
        <f t="shared" si="42"/>
        <v>0</v>
      </c>
    </row>
    <row r="218" spans="1:15" ht="12.75" customHeight="1" x14ac:dyDescent="0.3">
      <c r="A218" s="15"/>
      <c r="B218" s="36"/>
      <c r="C218" s="37"/>
      <c r="D218" s="40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3">
        <f t="shared" si="42"/>
        <v>0</v>
      </c>
    </row>
    <row r="219" spans="1:15" ht="12.75" customHeight="1" x14ac:dyDescent="0.3">
      <c r="A219" s="15"/>
      <c r="B219" s="36"/>
      <c r="C219" s="37"/>
      <c r="D219" s="40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3">
        <f t="shared" si="42"/>
        <v>0</v>
      </c>
    </row>
    <row r="220" spans="1:15" ht="12.75" customHeight="1" x14ac:dyDescent="0.3">
      <c r="A220" s="15"/>
      <c r="B220" s="36"/>
      <c r="C220" s="37"/>
      <c r="D220" s="40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3">
        <f t="shared" si="42"/>
        <v>0</v>
      </c>
    </row>
    <row r="221" spans="1:15" ht="12.75" customHeight="1" x14ac:dyDescent="0.3">
      <c r="A221" s="15"/>
      <c r="B221" s="36"/>
      <c r="C221" s="37"/>
      <c r="D221" s="40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3">
        <f t="shared" si="42"/>
        <v>0</v>
      </c>
    </row>
    <row r="222" spans="1:15" ht="12.75" customHeight="1" x14ac:dyDescent="0.3">
      <c r="A222" s="15"/>
      <c r="B222" s="36"/>
      <c r="C222" s="37"/>
      <c r="D222" s="40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3">
        <f t="shared" si="42"/>
        <v>0</v>
      </c>
    </row>
    <row r="223" spans="1:15" ht="12.75" customHeight="1" x14ac:dyDescent="0.3">
      <c r="A223" s="16" t="s">
        <v>15</v>
      </c>
      <c r="B223" s="59" t="s">
        <v>49</v>
      </c>
      <c r="C223" s="60"/>
      <c r="D223" s="58"/>
      <c r="E223" s="13">
        <f t="shared" ref="E223:O223" si="43">SUM(E213:E222)</f>
        <v>6</v>
      </c>
      <c r="F223" s="13">
        <f t="shared" si="43"/>
        <v>7</v>
      </c>
      <c r="G223" s="13">
        <f t="shared" si="43"/>
        <v>6</v>
      </c>
      <c r="H223" s="13">
        <f t="shared" si="43"/>
        <v>3</v>
      </c>
      <c r="I223" s="13">
        <f t="shared" si="43"/>
        <v>2</v>
      </c>
      <c r="J223" s="13">
        <f t="shared" si="43"/>
        <v>7</v>
      </c>
      <c r="K223" s="13">
        <f t="shared" si="43"/>
        <v>3</v>
      </c>
      <c r="L223" s="13">
        <f t="shared" si="43"/>
        <v>7</v>
      </c>
      <c r="M223" s="13">
        <f t="shared" si="43"/>
        <v>5</v>
      </c>
      <c r="N223" s="13">
        <f t="shared" si="43"/>
        <v>5</v>
      </c>
      <c r="O223" s="13">
        <f t="shared" si="43"/>
        <v>51</v>
      </c>
    </row>
    <row r="224" spans="1:15" ht="12.75" customHeight="1" x14ac:dyDescent="0.3">
      <c r="A224" s="61"/>
      <c r="B224" s="60"/>
      <c r="C224" s="60"/>
      <c r="D224" s="60"/>
      <c r="E224" s="58"/>
      <c r="F224" s="51"/>
      <c r="G224" s="51"/>
      <c r="H224" s="51"/>
      <c r="I224" s="51"/>
      <c r="J224" s="51"/>
      <c r="K224" s="51"/>
      <c r="L224" s="51"/>
      <c r="M224" s="51"/>
      <c r="N224" s="51"/>
      <c r="O224" s="51"/>
    </row>
    <row r="225" spans="1:15" ht="12.75" customHeight="1" x14ac:dyDescent="0.3">
      <c r="A225" s="20" t="s">
        <v>37</v>
      </c>
      <c r="B225" s="27" t="s">
        <v>168</v>
      </c>
      <c r="C225" s="57" t="s">
        <v>169</v>
      </c>
      <c r="D225" s="58"/>
      <c r="E225" s="16">
        <v>1</v>
      </c>
      <c r="F225" s="16">
        <v>0</v>
      </c>
      <c r="G225" s="16">
        <v>0</v>
      </c>
      <c r="H225" s="16">
        <v>1</v>
      </c>
      <c r="I225" s="16">
        <v>1</v>
      </c>
      <c r="J225" s="16">
        <v>0</v>
      </c>
      <c r="K225" s="16">
        <v>0</v>
      </c>
      <c r="L225" s="16">
        <v>0</v>
      </c>
      <c r="M225" s="16">
        <v>0</v>
      </c>
      <c r="N225" s="16">
        <v>0</v>
      </c>
      <c r="O225" s="13">
        <f t="shared" ref="O225:O234" si="44">SUM(E225:N225)</f>
        <v>3</v>
      </c>
    </row>
    <row r="226" spans="1:15" ht="12.75" customHeight="1" x14ac:dyDescent="0.3">
      <c r="A226" s="20" t="s">
        <v>39</v>
      </c>
      <c r="B226" s="28"/>
      <c r="C226" s="29" t="s">
        <v>170</v>
      </c>
      <c r="D226" s="30"/>
      <c r="E226" s="16">
        <v>0</v>
      </c>
      <c r="F226" s="16">
        <v>0</v>
      </c>
      <c r="G226" s="16">
        <v>0</v>
      </c>
      <c r="H226" s="16">
        <v>2</v>
      </c>
      <c r="I226" s="16">
        <v>0</v>
      </c>
      <c r="J226" s="16">
        <v>1</v>
      </c>
      <c r="K226" s="16">
        <v>0</v>
      </c>
      <c r="L226" s="16">
        <v>0</v>
      </c>
      <c r="M226" s="16">
        <v>0</v>
      </c>
      <c r="N226" s="16">
        <v>0</v>
      </c>
      <c r="O226" s="13">
        <f t="shared" si="44"/>
        <v>3</v>
      </c>
    </row>
    <row r="227" spans="1:15" ht="12.75" customHeight="1" x14ac:dyDescent="0.3">
      <c r="A227" s="15"/>
      <c r="B227" s="28"/>
      <c r="C227" s="29" t="s">
        <v>171</v>
      </c>
      <c r="D227" s="30"/>
      <c r="E227" s="16">
        <v>0</v>
      </c>
      <c r="F227" s="16">
        <v>0</v>
      </c>
      <c r="G227" s="16">
        <v>0</v>
      </c>
      <c r="H227" s="16">
        <v>0</v>
      </c>
      <c r="I227" s="16">
        <v>0</v>
      </c>
      <c r="J227" s="16">
        <v>0</v>
      </c>
      <c r="K227" s="16">
        <v>0</v>
      </c>
      <c r="L227" s="16">
        <v>0</v>
      </c>
      <c r="M227" s="16">
        <v>0</v>
      </c>
      <c r="N227" s="16">
        <v>0</v>
      </c>
      <c r="O227" s="13">
        <f t="shared" si="44"/>
        <v>0</v>
      </c>
    </row>
    <row r="228" spans="1:15" ht="12.75" customHeight="1" x14ac:dyDescent="0.3">
      <c r="A228" s="15"/>
      <c r="B228" s="28"/>
      <c r="C228" s="29" t="s">
        <v>172</v>
      </c>
      <c r="D228" s="30"/>
      <c r="E228" s="16">
        <v>0</v>
      </c>
      <c r="F228" s="16">
        <v>0</v>
      </c>
      <c r="G228" s="16">
        <v>0</v>
      </c>
      <c r="H228" s="16">
        <v>0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N228" s="16">
        <v>0</v>
      </c>
      <c r="O228" s="13">
        <f t="shared" si="44"/>
        <v>0</v>
      </c>
    </row>
    <row r="229" spans="1:15" ht="12.75" customHeight="1" x14ac:dyDescent="0.3">
      <c r="A229" s="15"/>
      <c r="B229" s="28"/>
      <c r="C229" s="29" t="s">
        <v>173</v>
      </c>
      <c r="D229" s="30"/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1</v>
      </c>
      <c r="M229" s="16">
        <v>0</v>
      </c>
      <c r="N229" s="16">
        <v>0</v>
      </c>
      <c r="O229" s="13">
        <f t="shared" si="44"/>
        <v>1</v>
      </c>
    </row>
    <row r="230" spans="1:15" ht="12.75" customHeight="1" x14ac:dyDescent="0.3">
      <c r="A230" s="15"/>
      <c r="B230" s="36"/>
      <c r="C230" s="37"/>
      <c r="D230" s="40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3">
        <f t="shared" si="44"/>
        <v>0</v>
      </c>
    </row>
    <row r="231" spans="1:15" ht="12.75" customHeight="1" x14ac:dyDescent="0.3">
      <c r="A231" s="15"/>
      <c r="B231" s="36"/>
      <c r="C231" s="37"/>
      <c r="D231" s="40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3">
        <f t="shared" si="44"/>
        <v>0</v>
      </c>
    </row>
    <row r="232" spans="1:15" ht="12.75" customHeight="1" x14ac:dyDescent="0.3">
      <c r="A232" s="15"/>
      <c r="B232" s="36"/>
      <c r="C232" s="37"/>
      <c r="D232" s="38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3">
        <f t="shared" si="44"/>
        <v>0</v>
      </c>
    </row>
    <row r="233" spans="1:15" ht="12.75" customHeight="1" x14ac:dyDescent="0.3">
      <c r="A233" s="15"/>
      <c r="B233" s="36"/>
      <c r="C233" s="37"/>
      <c r="D233" s="38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3">
        <f t="shared" si="44"/>
        <v>0</v>
      </c>
    </row>
    <row r="234" spans="1:15" ht="12.75" customHeight="1" x14ac:dyDescent="0.3">
      <c r="A234" s="15"/>
      <c r="B234" s="36"/>
      <c r="C234" s="37"/>
      <c r="D234" s="38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3">
        <f t="shared" si="44"/>
        <v>0</v>
      </c>
    </row>
    <row r="235" spans="1:15" ht="12.75" customHeight="1" x14ac:dyDescent="0.3">
      <c r="A235" s="16" t="s">
        <v>15</v>
      </c>
      <c r="B235" s="59" t="s">
        <v>49</v>
      </c>
      <c r="C235" s="60"/>
      <c r="D235" s="58"/>
      <c r="E235" s="13">
        <f t="shared" ref="E235:O235" si="45">SUM(E225:E234)</f>
        <v>1</v>
      </c>
      <c r="F235" s="13">
        <f t="shared" si="45"/>
        <v>0</v>
      </c>
      <c r="G235" s="13">
        <f t="shared" si="45"/>
        <v>0</v>
      </c>
      <c r="H235" s="13">
        <f t="shared" si="45"/>
        <v>3</v>
      </c>
      <c r="I235" s="13">
        <f t="shared" si="45"/>
        <v>1</v>
      </c>
      <c r="J235" s="13">
        <f t="shared" si="45"/>
        <v>1</v>
      </c>
      <c r="K235" s="13">
        <f t="shared" si="45"/>
        <v>0</v>
      </c>
      <c r="L235" s="13">
        <f t="shared" si="45"/>
        <v>1</v>
      </c>
      <c r="M235" s="13">
        <f t="shared" si="45"/>
        <v>0</v>
      </c>
      <c r="N235" s="13">
        <f t="shared" si="45"/>
        <v>0</v>
      </c>
      <c r="O235" s="13">
        <f t="shared" si="45"/>
        <v>7</v>
      </c>
    </row>
    <row r="236" spans="1:15" ht="12.75" customHeight="1" x14ac:dyDescent="0.3">
      <c r="A236" s="61"/>
      <c r="B236" s="60"/>
      <c r="C236" s="60"/>
      <c r="D236" s="60"/>
      <c r="E236" s="58"/>
      <c r="F236" s="51"/>
      <c r="G236" s="51"/>
      <c r="H236" s="51"/>
      <c r="I236" s="51"/>
      <c r="J236" s="51"/>
      <c r="K236" s="51"/>
      <c r="L236" s="51"/>
      <c r="M236" s="51"/>
      <c r="N236" s="51"/>
      <c r="O236" s="51"/>
    </row>
    <row r="237" spans="1:15" ht="12.75" customHeight="1" x14ac:dyDescent="0.3">
      <c r="A237" s="20" t="s">
        <v>37</v>
      </c>
      <c r="B237" s="27" t="s">
        <v>174</v>
      </c>
      <c r="C237" s="57" t="s">
        <v>175</v>
      </c>
      <c r="D237" s="58"/>
      <c r="E237" s="16">
        <v>0</v>
      </c>
      <c r="F237" s="16">
        <v>0</v>
      </c>
      <c r="G237" s="16">
        <v>0</v>
      </c>
      <c r="H237" s="16">
        <v>0</v>
      </c>
      <c r="I237" s="16">
        <v>0</v>
      </c>
      <c r="J237" s="16">
        <v>2</v>
      </c>
      <c r="K237" s="16">
        <v>1</v>
      </c>
      <c r="L237" s="16">
        <v>0</v>
      </c>
      <c r="M237" s="16">
        <v>4</v>
      </c>
      <c r="N237" s="16">
        <v>0</v>
      </c>
      <c r="O237" s="13">
        <f t="shared" ref="O237:O246" si="46">SUM(E237:N237)</f>
        <v>7</v>
      </c>
    </row>
    <row r="238" spans="1:15" ht="12.75" customHeight="1" x14ac:dyDescent="0.3">
      <c r="A238" s="20" t="s">
        <v>39</v>
      </c>
      <c r="B238" s="28"/>
      <c r="C238" s="29" t="s">
        <v>176</v>
      </c>
      <c r="D238" s="30"/>
      <c r="E238" s="16">
        <v>0</v>
      </c>
      <c r="F238" s="16">
        <v>0</v>
      </c>
      <c r="G238" s="16">
        <v>0</v>
      </c>
      <c r="H238" s="16">
        <v>0</v>
      </c>
      <c r="I238" s="16">
        <v>1</v>
      </c>
      <c r="J238" s="16">
        <v>2</v>
      </c>
      <c r="K238" s="16">
        <v>0</v>
      </c>
      <c r="L238" s="16">
        <v>0</v>
      </c>
      <c r="M238" s="16">
        <v>1</v>
      </c>
      <c r="N238" s="16">
        <v>0</v>
      </c>
      <c r="O238" s="13">
        <f t="shared" si="46"/>
        <v>4</v>
      </c>
    </row>
    <row r="239" spans="1:15" ht="12.75" customHeight="1" x14ac:dyDescent="0.3">
      <c r="A239" s="15"/>
      <c r="B239" s="28"/>
      <c r="C239" s="29" t="s">
        <v>177</v>
      </c>
      <c r="D239" s="30"/>
      <c r="E239" s="16">
        <v>1</v>
      </c>
      <c r="F239" s="16">
        <v>0</v>
      </c>
      <c r="G239" s="16">
        <v>0</v>
      </c>
      <c r="H239" s="16">
        <v>0</v>
      </c>
      <c r="I239" s="16">
        <v>1</v>
      </c>
      <c r="J239" s="16">
        <v>5</v>
      </c>
      <c r="K239" s="16">
        <v>3</v>
      </c>
      <c r="L239" s="16">
        <v>0</v>
      </c>
      <c r="M239" s="16">
        <v>4</v>
      </c>
      <c r="N239" s="16">
        <v>3</v>
      </c>
      <c r="O239" s="13">
        <f t="shared" si="46"/>
        <v>17</v>
      </c>
    </row>
    <row r="240" spans="1:15" ht="12.75" customHeight="1" x14ac:dyDescent="0.3">
      <c r="A240" s="15"/>
      <c r="B240" s="28"/>
      <c r="C240" s="29" t="s">
        <v>178</v>
      </c>
      <c r="D240" s="30"/>
      <c r="E240" s="16">
        <v>0</v>
      </c>
      <c r="F240" s="16">
        <v>0</v>
      </c>
      <c r="G240" s="16">
        <v>1</v>
      </c>
      <c r="H240" s="16">
        <v>0</v>
      </c>
      <c r="I240" s="16">
        <v>0</v>
      </c>
      <c r="J240" s="16">
        <v>0</v>
      </c>
      <c r="K240" s="16">
        <v>0</v>
      </c>
      <c r="L240" s="16">
        <v>0</v>
      </c>
      <c r="M240" s="16">
        <v>1</v>
      </c>
      <c r="N240" s="16">
        <v>0</v>
      </c>
      <c r="O240" s="13">
        <f t="shared" si="46"/>
        <v>2</v>
      </c>
    </row>
    <row r="241" spans="1:15" ht="12.75" customHeight="1" x14ac:dyDescent="0.3">
      <c r="A241" s="15"/>
      <c r="B241" s="28"/>
      <c r="C241" s="29" t="s">
        <v>179</v>
      </c>
      <c r="D241" s="30"/>
      <c r="E241" s="16">
        <v>0</v>
      </c>
      <c r="F241" s="16">
        <v>0</v>
      </c>
      <c r="G241" s="16">
        <v>0</v>
      </c>
      <c r="H241" s="16">
        <v>0</v>
      </c>
      <c r="I241" s="16">
        <v>0</v>
      </c>
      <c r="J241" s="16">
        <v>0</v>
      </c>
      <c r="K241" s="16">
        <v>0</v>
      </c>
      <c r="L241" s="16">
        <v>0</v>
      </c>
      <c r="M241" s="16">
        <v>0</v>
      </c>
      <c r="N241" s="16">
        <v>0</v>
      </c>
      <c r="O241" s="13">
        <f t="shared" si="46"/>
        <v>0</v>
      </c>
    </row>
    <row r="242" spans="1:15" ht="12.75" customHeight="1" x14ac:dyDescent="0.3">
      <c r="A242" s="15"/>
      <c r="B242" s="28"/>
      <c r="C242" s="29" t="s">
        <v>180</v>
      </c>
      <c r="D242" s="30"/>
      <c r="E242" s="16">
        <v>0</v>
      </c>
      <c r="F242" s="16">
        <v>0</v>
      </c>
      <c r="G242" s="16">
        <v>0</v>
      </c>
      <c r="H242" s="16">
        <v>1</v>
      </c>
      <c r="I242" s="16">
        <v>0</v>
      </c>
      <c r="J242" s="16">
        <v>1</v>
      </c>
      <c r="K242" s="16">
        <v>1</v>
      </c>
      <c r="L242" s="16">
        <v>2</v>
      </c>
      <c r="M242" s="16">
        <v>1</v>
      </c>
      <c r="N242" s="16">
        <v>0</v>
      </c>
      <c r="O242" s="13">
        <f t="shared" si="46"/>
        <v>6</v>
      </c>
    </row>
    <row r="243" spans="1:15" ht="12.75" customHeight="1" x14ac:dyDescent="0.3">
      <c r="A243" s="15"/>
      <c r="B243" s="28"/>
      <c r="C243" s="29" t="s">
        <v>181</v>
      </c>
      <c r="D243" s="30"/>
      <c r="E243" s="16">
        <v>0</v>
      </c>
      <c r="F243" s="16">
        <v>0</v>
      </c>
      <c r="G243" s="16">
        <v>0</v>
      </c>
      <c r="H243" s="16">
        <v>0</v>
      </c>
      <c r="I243" s="16">
        <v>0</v>
      </c>
      <c r="J243" s="16">
        <v>0</v>
      </c>
      <c r="K243" s="16">
        <v>1</v>
      </c>
      <c r="L243" s="16">
        <v>0</v>
      </c>
      <c r="M243" s="16">
        <v>0</v>
      </c>
      <c r="N243" s="16">
        <v>0</v>
      </c>
      <c r="O243" s="13">
        <f t="shared" si="46"/>
        <v>1</v>
      </c>
    </row>
    <row r="244" spans="1:15" ht="12.75" customHeight="1" x14ac:dyDescent="0.3">
      <c r="A244" s="15"/>
      <c r="B244" s="28"/>
      <c r="C244" s="29" t="s">
        <v>182</v>
      </c>
      <c r="D244" s="30"/>
      <c r="E244" s="16">
        <v>0</v>
      </c>
      <c r="F244" s="16">
        <v>0</v>
      </c>
      <c r="G244" s="16">
        <v>0</v>
      </c>
      <c r="H244" s="16">
        <v>0</v>
      </c>
      <c r="I244" s="16">
        <v>0</v>
      </c>
      <c r="J244" s="16">
        <v>0</v>
      </c>
      <c r="K244" s="16">
        <v>0</v>
      </c>
      <c r="L244" s="16">
        <v>0</v>
      </c>
      <c r="M244" s="16">
        <v>0</v>
      </c>
      <c r="N244" s="16">
        <v>0</v>
      </c>
      <c r="O244" s="13">
        <f t="shared" si="46"/>
        <v>0</v>
      </c>
    </row>
    <row r="245" spans="1:15" ht="12.75" customHeight="1" x14ac:dyDescent="0.3">
      <c r="A245" s="15"/>
      <c r="B245" s="28"/>
      <c r="C245" s="29" t="s">
        <v>183</v>
      </c>
      <c r="D245" s="30"/>
      <c r="E245" s="16">
        <v>1</v>
      </c>
      <c r="F245" s="16">
        <v>0</v>
      </c>
      <c r="G245" s="16">
        <v>0</v>
      </c>
      <c r="H245" s="16">
        <v>0</v>
      </c>
      <c r="I245" s="16">
        <v>0</v>
      </c>
      <c r="J245" s="16">
        <v>0</v>
      </c>
      <c r="K245" s="16">
        <v>0</v>
      </c>
      <c r="L245" s="16">
        <v>0</v>
      </c>
      <c r="M245" s="16">
        <v>0</v>
      </c>
      <c r="N245" s="16">
        <v>0</v>
      </c>
      <c r="O245" s="13">
        <f t="shared" si="46"/>
        <v>1</v>
      </c>
    </row>
    <row r="246" spans="1:15" ht="12.75" customHeight="1" x14ac:dyDescent="0.3">
      <c r="A246" s="15"/>
      <c r="B246" s="28"/>
      <c r="C246" s="29" t="s">
        <v>184</v>
      </c>
      <c r="D246" s="30"/>
      <c r="E246" s="16">
        <v>0</v>
      </c>
      <c r="F246" s="16">
        <v>0</v>
      </c>
      <c r="G246" s="16">
        <v>0</v>
      </c>
      <c r="H246" s="16">
        <v>0</v>
      </c>
      <c r="I246" s="16">
        <v>0</v>
      </c>
      <c r="J246" s="16">
        <v>0</v>
      </c>
      <c r="K246" s="16">
        <v>0</v>
      </c>
      <c r="L246" s="16">
        <v>0</v>
      </c>
      <c r="M246" s="16">
        <v>0</v>
      </c>
      <c r="N246" s="16">
        <v>0</v>
      </c>
      <c r="O246" s="13">
        <f t="shared" si="46"/>
        <v>0</v>
      </c>
    </row>
    <row r="247" spans="1:15" ht="12.75" customHeight="1" x14ac:dyDescent="0.3">
      <c r="A247" s="16" t="s">
        <v>15</v>
      </c>
      <c r="B247" s="59" t="s">
        <v>49</v>
      </c>
      <c r="C247" s="60"/>
      <c r="D247" s="58"/>
      <c r="E247" s="13">
        <f t="shared" ref="E247:O247" si="47">SUM(E237:E246)</f>
        <v>2</v>
      </c>
      <c r="F247" s="13">
        <f t="shared" si="47"/>
        <v>0</v>
      </c>
      <c r="G247" s="13">
        <f t="shared" si="47"/>
        <v>1</v>
      </c>
      <c r="H247" s="13">
        <f t="shared" si="47"/>
        <v>1</v>
      </c>
      <c r="I247" s="13">
        <f t="shared" si="47"/>
        <v>2</v>
      </c>
      <c r="J247" s="13">
        <f t="shared" si="47"/>
        <v>10</v>
      </c>
      <c r="K247" s="13">
        <f t="shared" si="47"/>
        <v>6</v>
      </c>
      <c r="L247" s="13">
        <f t="shared" si="47"/>
        <v>2</v>
      </c>
      <c r="M247" s="13">
        <f t="shared" si="47"/>
        <v>11</v>
      </c>
      <c r="N247" s="13">
        <f t="shared" si="47"/>
        <v>3</v>
      </c>
      <c r="O247" s="13">
        <f t="shared" si="47"/>
        <v>38</v>
      </c>
    </row>
    <row r="248" spans="1:15" ht="12.75" customHeight="1" x14ac:dyDescent="0.3">
      <c r="A248" s="61"/>
      <c r="B248" s="60"/>
      <c r="C248" s="60"/>
      <c r="D248" s="60"/>
      <c r="E248" s="58"/>
    </row>
    <row r="249" spans="1:15" ht="12.75" customHeight="1" x14ac:dyDescent="0.3">
      <c r="A249" s="20" t="s">
        <v>37</v>
      </c>
      <c r="B249" s="27" t="s">
        <v>185</v>
      </c>
      <c r="C249" s="57" t="s">
        <v>186</v>
      </c>
      <c r="D249" s="58"/>
      <c r="E249" s="16">
        <v>1</v>
      </c>
      <c r="F249" s="16">
        <v>0</v>
      </c>
      <c r="G249" s="16">
        <v>0</v>
      </c>
      <c r="H249" s="16">
        <v>0</v>
      </c>
      <c r="I249" s="16">
        <v>0</v>
      </c>
      <c r="J249" s="16">
        <v>0</v>
      </c>
      <c r="K249" s="16">
        <v>0</v>
      </c>
      <c r="L249" s="16">
        <v>1</v>
      </c>
      <c r="M249" s="16">
        <v>0</v>
      </c>
      <c r="N249" s="16">
        <v>1</v>
      </c>
      <c r="O249" s="13">
        <f t="shared" ref="O249:O258" si="48">SUM(E249:N249)</f>
        <v>3</v>
      </c>
    </row>
    <row r="250" spans="1:15" ht="12.75" customHeight="1" x14ac:dyDescent="0.3">
      <c r="A250" s="20" t="s">
        <v>39</v>
      </c>
      <c r="B250" s="28"/>
      <c r="C250" s="29" t="s">
        <v>187</v>
      </c>
      <c r="D250" s="30"/>
      <c r="E250" s="16">
        <v>0</v>
      </c>
      <c r="F250" s="16">
        <v>0</v>
      </c>
      <c r="G250" s="16">
        <v>0</v>
      </c>
      <c r="H250" s="16">
        <v>0</v>
      </c>
      <c r="I250" s="16">
        <v>0</v>
      </c>
      <c r="J250" s="16">
        <v>0</v>
      </c>
      <c r="K250" s="16">
        <v>0</v>
      </c>
      <c r="L250" s="16">
        <v>0</v>
      </c>
      <c r="M250" s="16">
        <v>0</v>
      </c>
      <c r="N250" s="16">
        <v>0</v>
      </c>
      <c r="O250" s="13">
        <f t="shared" si="48"/>
        <v>0</v>
      </c>
    </row>
    <row r="251" spans="1:15" ht="12.75" customHeight="1" x14ac:dyDescent="0.3">
      <c r="A251" s="15"/>
      <c r="B251" s="28"/>
      <c r="C251" s="29" t="s">
        <v>188</v>
      </c>
      <c r="D251" s="30"/>
      <c r="E251" s="16">
        <v>0</v>
      </c>
      <c r="F251" s="16">
        <v>0</v>
      </c>
      <c r="G251" s="16">
        <v>1</v>
      </c>
      <c r="H251" s="16">
        <v>0</v>
      </c>
      <c r="I251" s="16">
        <v>1</v>
      </c>
      <c r="J251" s="16">
        <v>0</v>
      </c>
      <c r="K251" s="16">
        <v>0</v>
      </c>
      <c r="L251" s="16">
        <v>0</v>
      </c>
      <c r="M251" s="16">
        <v>1</v>
      </c>
      <c r="N251" s="16">
        <v>0</v>
      </c>
      <c r="O251" s="13">
        <f t="shared" si="48"/>
        <v>3</v>
      </c>
    </row>
    <row r="252" spans="1:15" ht="12.75" customHeight="1" x14ac:dyDescent="0.3">
      <c r="A252" s="15"/>
      <c r="B252" s="28"/>
      <c r="C252" s="29" t="s">
        <v>189</v>
      </c>
      <c r="D252" s="30"/>
      <c r="E252" s="16">
        <v>0</v>
      </c>
      <c r="F252" s="16">
        <v>0</v>
      </c>
      <c r="G252" s="16">
        <v>0</v>
      </c>
      <c r="H252" s="16">
        <v>0</v>
      </c>
      <c r="I252" s="16">
        <v>0</v>
      </c>
      <c r="J252" s="16">
        <v>0</v>
      </c>
      <c r="K252" s="16">
        <v>0</v>
      </c>
      <c r="L252" s="16">
        <v>0</v>
      </c>
      <c r="M252" s="16">
        <v>0</v>
      </c>
      <c r="N252" s="16">
        <v>0</v>
      </c>
      <c r="O252" s="13">
        <f t="shared" si="48"/>
        <v>0</v>
      </c>
    </row>
    <row r="253" spans="1:15" ht="12.75" customHeight="1" x14ac:dyDescent="0.3">
      <c r="A253" s="15"/>
      <c r="B253" s="36"/>
      <c r="C253" s="44"/>
      <c r="D253" s="38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3">
        <f t="shared" si="48"/>
        <v>0</v>
      </c>
    </row>
    <row r="254" spans="1:15" ht="12.75" customHeight="1" x14ac:dyDescent="0.3">
      <c r="A254" s="15"/>
      <c r="B254" s="36"/>
      <c r="C254" s="44"/>
      <c r="D254" s="38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3">
        <f t="shared" si="48"/>
        <v>0</v>
      </c>
    </row>
    <row r="255" spans="1:15" ht="12.75" customHeight="1" x14ac:dyDescent="0.3">
      <c r="A255" s="15"/>
      <c r="B255" s="36"/>
      <c r="C255" s="44"/>
      <c r="D255" s="38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3">
        <f t="shared" si="48"/>
        <v>0</v>
      </c>
    </row>
    <row r="256" spans="1:15" ht="12.75" customHeight="1" x14ac:dyDescent="0.3">
      <c r="A256" s="15"/>
      <c r="B256" s="36"/>
      <c r="C256" s="43"/>
      <c r="D256" s="38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3">
        <f t="shared" si="48"/>
        <v>0</v>
      </c>
    </row>
    <row r="257" spans="1:15" ht="12.75" customHeight="1" x14ac:dyDescent="0.3">
      <c r="A257" s="15"/>
      <c r="B257" s="36"/>
      <c r="C257" s="43"/>
      <c r="D257" s="38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3">
        <f t="shared" si="48"/>
        <v>0</v>
      </c>
    </row>
    <row r="258" spans="1:15" ht="12.75" customHeight="1" x14ac:dyDescent="0.3">
      <c r="A258" s="15"/>
      <c r="B258" s="36"/>
      <c r="C258" s="43"/>
      <c r="D258" s="38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3">
        <f t="shared" si="48"/>
        <v>0</v>
      </c>
    </row>
    <row r="259" spans="1:15" ht="12.75" customHeight="1" x14ac:dyDescent="0.3">
      <c r="A259" s="16" t="s">
        <v>15</v>
      </c>
      <c r="B259" s="59" t="s">
        <v>49</v>
      </c>
      <c r="C259" s="60"/>
      <c r="D259" s="58"/>
      <c r="E259" s="13">
        <f t="shared" ref="E259:O259" si="49">SUM(E249:E258)</f>
        <v>1</v>
      </c>
      <c r="F259" s="13">
        <f t="shared" si="49"/>
        <v>0</v>
      </c>
      <c r="G259" s="13">
        <f t="shared" si="49"/>
        <v>1</v>
      </c>
      <c r="H259" s="13">
        <f t="shared" si="49"/>
        <v>0</v>
      </c>
      <c r="I259" s="13">
        <f t="shared" si="49"/>
        <v>1</v>
      </c>
      <c r="J259" s="13">
        <f t="shared" si="49"/>
        <v>0</v>
      </c>
      <c r="K259" s="13">
        <f t="shared" si="49"/>
        <v>0</v>
      </c>
      <c r="L259" s="13">
        <f t="shared" si="49"/>
        <v>1</v>
      </c>
      <c r="M259" s="13">
        <f t="shared" si="49"/>
        <v>1</v>
      </c>
      <c r="N259" s="13">
        <f t="shared" si="49"/>
        <v>1</v>
      </c>
      <c r="O259" s="13">
        <f t="shared" si="49"/>
        <v>6</v>
      </c>
    </row>
    <row r="260" spans="1:15" ht="12.75" customHeight="1" x14ac:dyDescent="0.3"/>
    <row r="261" spans="1:15" ht="12.75" customHeight="1" x14ac:dyDescent="0.3">
      <c r="A261" s="26" t="s">
        <v>190</v>
      </c>
      <c r="B261" s="66" t="s">
        <v>191</v>
      </c>
      <c r="C261" s="60"/>
      <c r="D261" s="58"/>
      <c r="E261" s="13"/>
      <c r="F261" s="13"/>
      <c r="G261" s="13"/>
      <c r="H261" s="13"/>
      <c r="I261" s="13"/>
      <c r="J261" s="13"/>
      <c r="K261" s="13"/>
      <c r="L261" s="13"/>
      <c r="M261" s="13"/>
      <c r="N261" s="50"/>
      <c r="O261" s="13"/>
    </row>
    <row r="262" spans="1:15" ht="12.75" customHeight="1" x14ac:dyDescent="0.3">
      <c r="A262" s="26"/>
      <c r="B262" s="45" t="s">
        <v>192</v>
      </c>
      <c r="C262" s="67" t="s">
        <v>193</v>
      </c>
      <c r="D262" s="58"/>
      <c r="E262" s="16">
        <f t="shared" ref="E262:N262" si="50">E55+E67+E79+E91+E103+E115+E127+E139+E151+E163+E175+E187+E199+E211+E223+E235+E247+E259</f>
        <v>185</v>
      </c>
      <c r="F262" s="16">
        <f t="shared" si="50"/>
        <v>167</v>
      </c>
      <c r="G262" s="16">
        <f t="shared" si="50"/>
        <v>125</v>
      </c>
      <c r="H262" s="16">
        <f t="shared" si="50"/>
        <v>201</v>
      </c>
      <c r="I262" s="16">
        <f t="shared" si="50"/>
        <v>143</v>
      </c>
      <c r="J262" s="16">
        <f t="shared" si="50"/>
        <v>187</v>
      </c>
      <c r="K262" s="16">
        <f t="shared" si="50"/>
        <v>173</v>
      </c>
      <c r="L262" s="16">
        <f t="shared" si="50"/>
        <v>188</v>
      </c>
      <c r="M262" s="16">
        <f t="shared" si="50"/>
        <v>162</v>
      </c>
      <c r="N262" s="16">
        <f t="shared" si="50"/>
        <v>118</v>
      </c>
      <c r="O262" s="13">
        <f t="shared" ref="O262:O264" si="51">SUM(E262:N262)</f>
        <v>1649</v>
      </c>
    </row>
    <row r="263" spans="1:15" ht="12.75" customHeight="1" x14ac:dyDescent="0.3">
      <c r="A263" s="22"/>
      <c r="B263" s="45" t="s">
        <v>194</v>
      </c>
      <c r="C263" s="67" t="s">
        <v>195</v>
      </c>
      <c r="D263" s="58"/>
      <c r="E263" s="16">
        <v>42</v>
      </c>
      <c r="F263" s="16">
        <v>37</v>
      </c>
      <c r="G263" s="16">
        <v>43</v>
      </c>
      <c r="H263" s="16">
        <v>15</v>
      </c>
      <c r="I263" s="16">
        <v>14</v>
      </c>
      <c r="J263" s="16">
        <v>31</v>
      </c>
      <c r="K263" s="16">
        <v>30</v>
      </c>
      <c r="L263" s="16">
        <v>33</v>
      </c>
      <c r="M263" s="16">
        <v>28</v>
      </c>
      <c r="N263" s="16">
        <v>12</v>
      </c>
      <c r="O263" s="13">
        <f t="shared" si="51"/>
        <v>285</v>
      </c>
    </row>
    <row r="264" spans="1:15" ht="12.75" customHeight="1" x14ac:dyDescent="0.3">
      <c r="A264" s="25"/>
      <c r="B264" s="45" t="s">
        <v>196</v>
      </c>
      <c r="C264" s="67" t="s">
        <v>197</v>
      </c>
      <c r="D264" s="58"/>
      <c r="E264" s="13">
        <f t="shared" ref="E264:N264" si="52">SUM(E262:E263)</f>
        <v>227</v>
      </c>
      <c r="F264" s="13">
        <f t="shared" si="52"/>
        <v>204</v>
      </c>
      <c r="G264" s="13">
        <f t="shared" si="52"/>
        <v>168</v>
      </c>
      <c r="H264" s="13">
        <f t="shared" si="52"/>
        <v>216</v>
      </c>
      <c r="I264" s="13">
        <f t="shared" si="52"/>
        <v>157</v>
      </c>
      <c r="J264" s="13">
        <f t="shared" si="52"/>
        <v>218</v>
      </c>
      <c r="K264" s="13">
        <f t="shared" si="52"/>
        <v>203</v>
      </c>
      <c r="L264" s="13">
        <f t="shared" si="52"/>
        <v>221</v>
      </c>
      <c r="M264" s="13">
        <f t="shared" si="52"/>
        <v>190</v>
      </c>
      <c r="N264" s="13">
        <f t="shared" si="52"/>
        <v>130</v>
      </c>
      <c r="O264" s="13">
        <f t="shared" si="51"/>
        <v>1934</v>
      </c>
    </row>
    <row r="265" spans="1:15" ht="12.75" customHeight="1" x14ac:dyDescent="0.3"/>
    <row r="266" spans="1:15" ht="12.75" customHeight="1" x14ac:dyDescent="0.3"/>
    <row r="267" spans="1:15" ht="12.75" customHeight="1" x14ac:dyDescent="0.3"/>
    <row r="268" spans="1:15" ht="12.75" customHeight="1" x14ac:dyDescent="0.3"/>
    <row r="269" spans="1:15" ht="12.75" customHeight="1" x14ac:dyDescent="0.3"/>
    <row r="270" spans="1:15" ht="12.75" customHeight="1" x14ac:dyDescent="0.3"/>
    <row r="271" spans="1:15" ht="12.75" customHeight="1" x14ac:dyDescent="0.3"/>
    <row r="272" spans="1:15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86">
    <mergeCell ref="C69:D69"/>
    <mergeCell ref="B79:D79"/>
    <mergeCell ref="B139:D139"/>
    <mergeCell ref="A140:E140"/>
    <mergeCell ref="C141:D141"/>
    <mergeCell ref="B55:D55"/>
    <mergeCell ref="A56:E56"/>
    <mergeCell ref="C57:D57"/>
    <mergeCell ref="B67:D67"/>
    <mergeCell ref="A68:E68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B25:B27"/>
    <mergeCell ref="C25:C27"/>
    <mergeCell ref="B28:B30"/>
    <mergeCell ref="A37:D37"/>
    <mergeCell ref="E37:I37"/>
    <mergeCell ref="A17:D17"/>
    <mergeCell ref="B18:D18"/>
    <mergeCell ref="B19:B21"/>
    <mergeCell ref="C19:C21"/>
    <mergeCell ref="B22:B24"/>
    <mergeCell ref="C22:C24"/>
    <mergeCell ref="B12:D12"/>
    <mergeCell ref="E12:N12"/>
    <mergeCell ref="O12:O13"/>
    <mergeCell ref="B13:D13"/>
    <mergeCell ref="B14:C16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A212:E212"/>
    <mergeCell ref="C213:D213"/>
    <mergeCell ref="B223:D223"/>
    <mergeCell ref="A224:E224"/>
    <mergeCell ref="C225:D225"/>
    <mergeCell ref="C189:D189"/>
    <mergeCell ref="B199:D199"/>
    <mergeCell ref="A200:E200"/>
    <mergeCell ref="C201:D201"/>
    <mergeCell ref="B211:D211"/>
    <mergeCell ref="B175:D175"/>
    <mergeCell ref="A176:E176"/>
    <mergeCell ref="C177:D177"/>
    <mergeCell ref="B187:D187"/>
    <mergeCell ref="A188:E188"/>
    <mergeCell ref="A152:E152"/>
    <mergeCell ref="C153:D153"/>
    <mergeCell ref="B163:D163"/>
    <mergeCell ref="A164:E164"/>
    <mergeCell ref="C165:D165"/>
    <mergeCell ref="C117:D117"/>
    <mergeCell ref="B127:D127"/>
    <mergeCell ref="A128:E128"/>
    <mergeCell ref="C129:D129"/>
    <mergeCell ref="B151:D151"/>
    <mergeCell ref="B103:D103"/>
    <mergeCell ref="A104:E104"/>
    <mergeCell ref="C105:D105"/>
    <mergeCell ref="B115:D115"/>
    <mergeCell ref="A116:E116"/>
    <mergeCell ref="A80:E80"/>
    <mergeCell ref="C81:D81"/>
    <mergeCell ref="B91:D91"/>
    <mergeCell ref="A92:E92"/>
    <mergeCell ref="C93:D93"/>
  </mergeCells>
  <conditionalFormatting sqref="E14:N15">
    <cfRule type="containsBlanks" dxfId="111" priority="1">
      <formula>LEN(TRIM(E14))=0</formula>
    </cfRule>
  </conditionalFormatting>
  <conditionalFormatting sqref="E19:N20">
    <cfRule type="containsBlanks" dxfId="110" priority="2">
      <formula>LEN(TRIM(E19))=0</formula>
    </cfRule>
  </conditionalFormatting>
  <conditionalFormatting sqref="E22:N23 E25:N26 E33:N33 E35:N35 E39:N40">
    <cfRule type="containsBlanks" dxfId="109" priority="3">
      <formula>LEN(TRIM(E22))=0</formula>
    </cfRule>
  </conditionalFormatting>
  <conditionalFormatting sqref="E30:N30">
    <cfRule type="expression" dxfId="108" priority="4">
      <formula>E30&lt;&gt;E47</formula>
    </cfRule>
    <cfRule type="expression" dxfId="107" priority="5">
      <formula>E30&lt;&gt;E34</formula>
    </cfRule>
  </conditionalFormatting>
  <conditionalFormatting sqref="E34:N34">
    <cfRule type="expression" dxfId="106" priority="6">
      <formula>E30&lt;&gt;E34</formula>
    </cfRule>
    <cfRule type="expression" dxfId="105" priority="7">
      <formula>E30=E34</formula>
    </cfRule>
    <cfRule type="expression" dxfId="104" priority="8">
      <formula>E34&lt;&gt;E30</formula>
    </cfRule>
    <cfRule type="expression" dxfId="103" priority="9">
      <formula>E34&lt;&gt;E64</formula>
    </cfRule>
  </conditionalFormatting>
  <conditionalFormatting sqref="E45:N54">
    <cfRule type="containsBlanks" dxfId="102" priority="10">
      <formula>LEN(TRIM(E45))=0</formula>
    </cfRule>
  </conditionalFormatting>
  <conditionalFormatting sqref="E57:N66">
    <cfRule type="containsBlanks" dxfId="101" priority="11">
      <formula>LEN(TRIM(E57))=0</formula>
    </cfRule>
  </conditionalFormatting>
  <conditionalFormatting sqref="E69:N78">
    <cfRule type="containsBlanks" dxfId="100" priority="12">
      <formula>LEN(TRIM(E69))=0</formula>
    </cfRule>
  </conditionalFormatting>
  <conditionalFormatting sqref="E81:N90">
    <cfRule type="containsBlanks" dxfId="99" priority="13">
      <formula>LEN(TRIM(E81))=0</formula>
    </cfRule>
  </conditionalFormatting>
  <conditionalFormatting sqref="E93:N102">
    <cfRule type="containsBlanks" dxfId="98" priority="14">
      <formula>LEN(TRIM(E93))=0</formula>
    </cfRule>
  </conditionalFormatting>
  <conditionalFormatting sqref="E105:N114">
    <cfRule type="containsBlanks" dxfId="97" priority="15">
      <formula>LEN(TRIM(E105))=0</formula>
    </cfRule>
  </conditionalFormatting>
  <conditionalFormatting sqref="E117:N126">
    <cfRule type="containsBlanks" dxfId="96" priority="16">
      <formula>LEN(TRIM(E117))=0</formula>
    </cfRule>
  </conditionalFormatting>
  <conditionalFormatting sqref="E129:N138">
    <cfRule type="containsBlanks" dxfId="95" priority="17">
      <formula>LEN(TRIM(E129))=0</formula>
    </cfRule>
  </conditionalFormatting>
  <conditionalFormatting sqref="E141:N150">
    <cfRule type="containsBlanks" dxfId="94" priority="18">
      <formula>LEN(TRIM(E141))=0</formula>
    </cfRule>
  </conditionalFormatting>
  <conditionalFormatting sqref="E153:N162">
    <cfRule type="containsBlanks" dxfId="93" priority="19">
      <formula>LEN(TRIM(E153))=0</formula>
    </cfRule>
  </conditionalFormatting>
  <conditionalFormatting sqref="E165:N174">
    <cfRule type="containsBlanks" dxfId="92" priority="20">
      <formula>LEN(TRIM(E165))=0</formula>
    </cfRule>
  </conditionalFormatting>
  <conditionalFormatting sqref="E177:N186">
    <cfRule type="containsBlanks" dxfId="91" priority="21">
      <formula>LEN(TRIM(E177))=0</formula>
    </cfRule>
  </conditionalFormatting>
  <conditionalFormatting sqref="E189:N198">
    <cfRule type="containsBlanks" dxfId="90" priority="22">
      <formula>LEN(TRIM(E189))=0</formula>
    </cfRule>
  </conditionalFormatting>
  <conditionalFormatting sqref="E201:N210">
    <cfRule type="containsBlanks" dxfId="89" priority="23">
      <formula>LEN(TRIM(E201))=0</formula>
    </cfRule>
  </conditionalFormatting>
  <conditionalFormatting sqref="E213:N222">
    <cfRule type="containsBlanks" dxfId="88" priority="24">
      <formula>LEN(TRIM(E213))=0</formula>
    </cfRule>
  </conditionalFormatting>
  <conditionalFormatting sqref="E225:N234">
    <cfRule type="containsBlanks" dxfId="87" priority="25">
      <formula>LEN(TRIM(E225))=0</formula>
    </cfRule>
  </conditionalFormatting>
  <conditionalFormatting sqref="E237:N246">
    <cfRule type="containsBlanks" dxfId="86" priority="26">
      <formula>LEN(TRIM(E237))=0</formula>
    </cfRule>
  </conditionalFormatting>
  <conditionalFormatting sqref="E249:N258">
    <cfRule type="containsBlanks" dxfId="85" priority="27">
      <formula>LEN(TRIM(E249))=0</formula>
    </cfRule>
  </conditionalFormatting>
  <conditionalFormatting sqref="E262:N263">
    <cfRule type="containsBlanks" dxfId="84" priority="28">
      <formula>LEN(TRIM(E262))=0</formula>
    </cfRule>
  </conditionalFormatting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000"/>
  <sheetViews>
    <sheetView workbookViewId="0">
      <selection activeCell="H269" sqref="H269"/>
    </sheetView>
  </sheetViews>
  <sheetFormatPr defaultColWidth="14.3984375" defaultRowHeight="15" customHeight="1" x14ac:dyDescent="0.3"/>
  <cols>
    <col min="1" max="2" width="8.69921875" customWidth="1"/>
    <col min="3" max="3" width="67.09765625" customWidth="1"/>
    <col min="4" max="4" width="5.8984375" customWidth="1"/>
    <col min="5" max="18" width="8.69921875" customWidth="1"/>
    <col min="19" max="19" width="13.296875" customWidth="1"/>
    <col min="20" max="26" width="8.69921875" customWidth="1"/>
  </cols>
  <sheetData>
    <row r="1" spans="1:19" ht="12.75" customHeight="1" x14ac:dyDescent="0.3"/>
    <row r="2" spans="1:19" ht="12.75" customHeight="1" x14ac:dyDescent="0.3">
      <c r="C2" s="8" t="s">
        <v>0</v>
      </c>
      <c r="D2" s="8" t="s">
        <v>1</v>
      </c>
    </row>
    <row r="3" spans="1:19" ht="12.75" customHeight="1" x14ac:dyDescent="0.3">
      <c r="C3" s="8" t="s">
        <v>2</v>
      </c>
      <c r="D3" s="8" t="s">
        <v>3</v>
      </c>
    </row>
    <row r="4" spans="1:19" ht="12.75" customHeight="1" x14ac:dyDescent="0.3">
      <c r="C4" s="8" t="s">
        <v>4</v>
      </c>
      <c r="D4" s="8" t="s">
        <v>5</v>
      </c>
    </row>
    <row r="5" spans="1:19" ht="12.75" customHeight="1" x14ac:dyDescent="0.3">
      <c r="C5" s="8"/>
      <c r="D5" s="8"/>
    </row>
    <row r="6" spans="1:19" ht="12.75" customHeight="1" x14ac:dyDescent="0.3">
      <c r="C6" s="8"/>
      <c r="D6" s="8"/>
    </row>
    <row r="7" spans="1:19" ht="12.75" customHeight="1" x14ac:dyDescent="0.3">
      <c r="C7" s="8"/>
      <c r="D7" s="8"/>
    </row>
    <row r="8" spans="1:19" ht="12.75" customHeight="1" x14ac:dyDescent="0.3">
      <c r="C8" s="8"/>
      <c r="D8" s="8"/>
    </row>
    <row r="9" spans="1:19" ht="12.75" customHeight="1" x14ac:dyDescent="0.3">
      <c r="C9" s="8" t="s">
        <v>198</v>
      </c>
      <c r="D9" s="8" t="s">
        <v>227</v>
      </c>
    </row>
    <row r="10" spans="1:19" ht="12.75" customHeight="1" x14ac:dyDescent="0.3"/>
    <row r="11" spans="1:19" ht="12.75" customHeight="1" x14ac:dyDescent="0.3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2"/>
      <c r="P11" s="2"/>
      <c r="Q11" s="2"/>
    </row>
    <row r="12" spans="1:19" ht="12.75" customHeight="1" x14ac:dyDescent="0.3">
      <c r="A12" s="13" t="s">
        <v>6</v>
      </c>
      <c r="B12" s="66" t="s">
        <v>7</v>
      </c>
      <c r="C12" s="60"/>
      <c r="D12" s="58"/>
      <c r="E12" s="83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84" t="s">
        <v>8</v>
      </c>
    </row>
    <row r="13" spans="1:19" ht="12.75" customHeight="1" x14ac:dyDescent="0.3">
      <c r="A13" s="16" t="s">
        <v>9</v>
      </c>
      <c r="B13" s="70" t="s">
        <v>10</v>
      </c>
      <c r="C13" s="60"/>
      <c r="D13" s="58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76"/>
    </row>
    <row r="14" spans="1:19" ht="12.75" customHeight="1" x14ac:dyDescent="0.3">
      <c r="A14" s="15"/>
      <c r="B14" s="71" t="s">
        <v>11</v>
      </c>
      <c r="C14" s="63"/>
      <c r="D14" s="16" t="s">
        <v>12</v>
      </c>
      <c r="E14" s="16">
        <v>146</v>
      </c>
      <c r="F14" s="16">
        <v>121</v>
      </c>
      <c r="G14" s="16">
        <v>131</v>
      </c>
      <c r="H14" s="16">
        <v>119</v>
      </c>
      <c r="I14" s="16">
        <v>136</v>
      </c>
      <c r="J14" s="16">
        <v>114</v>
      </c>
      <c r="K14" s="16">
        <v>105</v>
      </c>
      <c r="L14" s="16">
        <v>122</v>
      </c>
      <c r="M14" s="16">
        <v>115</v>
      </c>
      <c r="N14" s="16">
        <v>128</v>
      </c>
      <c r="O14" s="16">
        <v>139</v>
      </c>
      <c r="P14" s="16">
        <v>134</v>
      </c>
      <c r="Q14" s="16">
        <v>116</v>
      </c>
      <c r="R14" s="16">
        <v>120</v>
      </c>
      <c r="S14" s="13">
        <f t="shared" ref="S14:S16" si="0">SUM(E14:R14)</f>
        <v>1746</v>
      </c>
    </row>
    <row r="15" spans="1:19" ht="12.75" customHeight="1" x14ac:dyDescent="0.3">
      <c r="A15" s="15"/>
      <c r="B15" s="72"/>
      <c r="C15" s="73"/>
      <c r="D15" s="16" t="s">
        <v>13</v>
      </c>
      <c r="E15" s="16">
        <v>137</v>
      </c>
      <c r="F15" s="16">
        <v>124</v>
      </c>
      <c r="G15" s="16">
        <v>144</v>
      </c>
      <c r="H15" s="16">
        <v>121</v>
      </c>
      <c r="I15" s="16">
        <v>152</v>
      </c>
      <c r="J15" s="16">
        <v>97</v>
      </c>
      <c r="K15" s="16">
        <v>93</v>
      </c>
      <c r="L15" s="16">
        <v>123</v>
      </c>
      <c r="M15" s="16">
        <v>111</v>
      </c>
      <c r="N15" s="16">
        <v>114</v>
      </c>
      <c r="O15" s="16">
        <v>143</v>
      </c>
      <c r="P15" s="16">
        <v>143</v>
      </c>
      <c r="Q15" s="16">
        <v>108</v>
      </c>
      <c r="R15" s="16">
        <v>130</v>
      </c>
      <c r="S15" s="13">
        <f t="shared" si="0"/>
        <v>1740</v>
      </c>
    </row>
    <row r="16" spans="1:19" ht="12.75" customHeight="1" x14ac:dyDescent="0.3">
      <c r="A16" s="18"/>
      <c r="B16" s="69"/>
      <c r="C16" s="65"/>
      <c r="D16" s="13" t="s">
        <v>14</v>
      </c>
      <c r="E16" s="13">
        <f t="shared" ref="E16:R16" si="1">SUM(E14:E15)</f>
        <v>283</v>
      </c>
      <c r="F16" s="13">
        <f t="shared" si="1"/>
        <v>245</v>
      </c>
      <c r="G16" s="13">
        <f t="shared" si="1"/>
        <v>275</v>
      </c>
      <c r="H16" s="13">
        <f t="shared" si="1"/>
        <v>240</v>
      </c>
      <c r="I16" s="13">
        <f t="shared" si="1"/>
        <v>288</v>
      </c>
      <c r="J16" s="13">
        <f t="shared" si="1"/>
        <v>211</v>
      </c>
      <c r="K16" s="13">
        <f t="shared" si="1"/>
        <v>198</v>
      </c>
      <c r="L16" s="13">
        <f t="shared" si="1"/>
        <v>245</v>
      </c>
      <c r="M16" s="13">
        <f t="shared" si="1"/>
        <v>226</v>
      </c>
      <c r="N16" s="13">
        <f t="shared" si="1"/>
        <v>242</v>
      </c>
      <c r="O16" s="13">
        <f t="shared" si="1"/>
        <v>282</v>
      </c>
      <c r="P16" s="13">
        <f t="shared" si="1"/>
        <v>277</v>
      </c>
      <c r="Q16" s="13">
        <f t="shared" si="1"/>
        <v>224</v>
      </c>
      <c r="R16" s="13">
        <f t="shared" si="1"/>
        <v>250</v>
      </c>
      <c r="S16" s="13">
        <f t="shared" si="0"/>
        <v>3486</v>
      </c>
    </row>
    <row r="17" spans="1:19" ht="12.75" customHeight="1" x14ac:dyDescent="0.3">
      <c r="A17" s="61"/>
      <c r="B17" s="60"/>
      <c r="C17" s="60"/>
      <c r="D17" s="58"/>
      <c r="E17" s="16"/>
      <c r="F17" s="16"/>
      <c r="G17" s="16"/>
      <c r="H17" s="16"/>
      <c r="I17" s="16"/>
      <c r="J17" s="16"/>
      <c r="K17" s="16"/>
      <c r="L17" s="16"/>
      <c r="M17" s="16"/>
      <c r="N17" s="48"/>
      <c r="O17" s="48"/>
      <c r="P17" s="48"/>
      <c r="Q17" s="48"/>
      <c r="R17" s="48"/>
      <c r="S17" s="49"/>
    </row>
    <row r="18" spans="1:19" ht="12.75" customHeight="1" x14ac:dyDescent="0.3">
      <c r="A18" s="20" t="s">
        <v>15</v>
      </c>
      <c r="B18" s="70" t="s">
        <v>16</v>
      </c>
      <c r="C18" s="60"/>
      <c r="D18" s="58"/>
      <c r="E18" s="16"/>
      <c r="F18" s="16"/>
      <c r="G18" s="16"/>
      <c r="H18" s="16"/>
      <c r="I18" s="16"/>
      <c r="J18" s="16"/>
      <c r="K18" s="16"/>
      <c r="L18" s="16"/>
      <c r="M18" s="16"/>
      <c r="N18" s="48"/>
      <c r="O18" s="48"/>
      <c r="P18" s="48"/>
      <c r="Q18" s="48"/>
      <c r="R18" s="48"/>
      <c r="S18" s="49"/>
    </row>
    <row r="19" spans="1:19" ht="12.75" customHeight="1" x14ac:dyDescent="0.3">
      <c r="A19" s="20"/>
      <c r="B19" s="77" t="s">
        <v>17</v>
      </c>
      <c r="C19" s="74" t="s">
        <v>18</v>
      </c>
      <c r="D19" s="16" t="s">
        <v>12</v>
      </c>
      <c r="E19" s="16">
        <v>110</v>
      </c>
      <c r="F19" s="16">
        <v>100</v>
      </c>
      <c r="G19" s="16">
        <v>112</v>
      </c>
      <c r="H19" s="16">
        <v>95</v>
      </c>
      <c r="I19" s="16">
        <v>98</v>
      </c>
      <c r="J19" s="16">
        <v>90</v>
      </c>
      <c r="K19" s="16">
        <v>89</v>
      </c>
      <c r="L19" s="16">
        <v>96</v>
      </c>
      <c r="M19" s="16">
        <v>85</v>
      </c>
      <c r="N19" s="16">
        <v>95</v>
      </c>
      <c r="O19" s="16">
        <v>117</v>
      </c>
      <c r="P19" s="16">
        <v>111</v>
      </c>
      <c r="Q19" s="16">
        <v>82</v>
      </c>
      <c r="R19" s="16">
        <v>100</v>
      </c>
      <c r="S19" s="13">
        <f t="shared" ref="S19:S30" si="2">SUM(E19:R19)</f>
        <v>1380</v>
      </c>
    </row>
    <row r="20" spans="1:19" ht="12.75" customHeight="1" x14ac:dyDescent="0.3">
      <c r="A20" s="21"/>
      <c r="B20" s="73"/>
      <c r="C20" s="75"/>
      <c r="D20" s="16" t="s">
        <v>13</v>
      </c>
      <c r="E20" s="16">
        <v>110</v>
      </c>
      <c r="F20" s="16">
        <v>106</v>
      </c>
      <c r="G20" s="16">
        <v>126</v>
      </c>
      <c r="H20" s="16">
        <v>99</v>
      </c>
      <c r="I20" s="16">
        <v>116</v>
      </c>
      <c r="J20" s="16">
        <v>81</v>
      </c>
      <c r="K20" s="16">
        <v>82</v>
      </c>
      <c r="L20" s="16">
        <v>103</v>
      </c>
      <c r="M20" s="16">
        <v>91</v>
      </c>
      <c r="N20" s="16">
        <v>93</v>
      </c>
      <c r="O20" s="16">
        <v>124</v>
      </c>
      <c r="P20" s="16">
        <v>125</v>
      </c>
      <c r="Q20" s="16">
        <v>82</v>
      </c>
      <c r="R20" s="16">
        <v>115</v>
      </c>
      <c r="S20" s="13">
        <f t="shared" si="2"/>
        <v>1453</v>
      </c>
    </row>
    <row r="21" spans="1:19" ht="12.75" customHeight="1" x14ac:dyDescent="0.3">
      <c r="A21" s="22"/>
      <c r="B21" s="65"/>
      <c r="C21" s="76"/>
      <c r="D21" s="13" t="s">
        <v>14</v>
      </c>
      <c r="E21" s="13">
        <f t="shared" ref="E21:R21" si="3">SUM(E19:E20)</f>
        <v>220</v>
      </c>
      <c r="F21" s="13">
        <f t="shared" si="3"/>
        <v>206</v>
      </c>
      <c r="G21" s="13">
        <f t="shared" si="3"/>
        <v>238</v>
      </c>
      <c r="H21" s="13">
        <f t="shared" si="3"/>
        <v>194</v>
      </c>
      <c r="I21" s="13">
        <f t="shared" si="3"/>
        <v>214</v>
      </c>
      <c r="J21" s="13">
        <f t="shared" si="3"/>
        <v>171</v>
      </c>
      <c r="K21" s="13">
        <f t="shared" si="3"/>
        <v>171</v>
      </c>
      <c r="L21" s="13">
        <f t="shared" si="3"/>
        <v>199</v>
      </c>
      <c r="M21" s="13">
        <f t="shared" si="3"/>
        <v>176</v>
      </c>
      <c r="N21" s="13">
        <f t="shared" si="3"/>
        <v>188</v>
      </c>
      <c r="O21" s="13">
        <f t="shared" si="3"/>
        <v>241</v>
      </c>
      <c r="P21" s="13">
        <f t="shared" si="3"/>
        <v>236</v>
      </c>
      <c r="Q21" s="13">
        <f t="shared" si="3"/>
        <v>164</v>
      </c>
      <c r="R21" s="13">
        <f t="shared" si="3"/>
        <v>215</v>
      </c>
      <c r="S21" s="13">
        <f t="shared" si="2"/>
        <v>2833</v>
      </c>
    </row>
    <row r="22" spans="1:19" ht="12.75" customHeight="1" x14ac:dyDescent="0.3">
      <c r="A22" s="21"/>
      <c r="B22" s="77" t="s">
        <v>19</v>
      </c>
      <c r="C22" s="74" t="s">
        <v>20</v>
      </c>
      <c r="D22" s="16" t="s">
        <v>12</v>
      </c>
      <c r="E22" s="16">
        <v>0</v>
      </c>
      <c r="F22" s="16">
        <v>0</v>
      </c>
      <c r="G22" s="16">
        <v>0</v>
      </c>
      <c r="H22" s="16">
        <v>3</v>
      </c>
      <c r="I22" s="16">
        <v>0</v>
      </c>
      <c r="J22" s="16">
        <v>1</v>
      </c>
      <c r="K22" s="16">
        <v>0</v>
      </c>
      <c r="L22" s="16">
        <v>1</v>
      </c>
      <c r="M22" s="16">
        <v>0</v>
      </c>
      <c r="N22" s="16">
        <v>0</v>
      </c>
      <c r="O22" s="16">
        <v>0</v>
      </c>
      <c r="P22" s="16">
        <v>1</v>
      </c>
      <c r="Q22" s="16">
        <v>0</v>
      </c>
      <c r="R22" s="16">
        <v>0</v>
      </c>
      <c r="S22" s="13">
        <f t="shared" si="2"/>
        <v>6</v>
      </c>
    </row>
    <row r="23" spans="1:19" ht="12.75" customHeight="1" x14ac:dyDescent="0.3">
      <c r="A23" s="21"/>
      <c r="B23" s="73"/>
      <c r="C23" s="75"/>
      <c r="D23" s="16" t="s">
        <v>13</v>
      </c>
      <c r="E23" s="16">
        <v>0</v>
      </c>
      <c r="F23" s="16">
        <v>0</v>
      </c>
      <c r="G23" s="16">
        <v>0</v>
      </c>
      <c r="H23" s="16">
        <v>2</v>
      </c>
      <c r="I23" s="16">
        <v>2</v>
      </c>
      <c r="J23" s="16">
        <v>1</v>
      </c>
      <c r="K23" s="16">
        <v>1</v>
      </c>
      <c r="L23" s="16">
        <v>0</v>
      </c>
      <c r="M23" s="16">
        <v>1</v>
      </c>
      <c r="N23" s="16">
        <v>0</v>
      </c>
      <c r="O23" s="16">
        <v>0</v>
      </c>
      <c r="P23" s="16">
        <v>1</v>
      </c>
      <c r="Q23" s="16">
        <v>1</v>
      </c>
      <c r="R23" s="16">
        <v>0</v>
      </c>
      <c r="S23" s="13">
        <f t="shared" si="2"/>
        <v>9</v>
      </c>
    </row>
    <row r="24" spans="1:19" ht="12.75" customHeight="1" x14ac:dyDescent="0.3">
      <c r="A24" s="22"/>
      <c r="B24" s="65"/>
      <c r="C24" s="76"/>
      <c r="D24" s="13" t="s">
        <v>14</v>
      </c>
      <c r="E24" s="13">
        <f t="shared" ref="E24:R24" si="4">SUM(E22:E23)</f>
        <v>0</v>
      </c>
      <c r="F24" s="13">
        <f t="shared" si="4"/>
        <v>0</v>
      </c>
      <c r="G24" s="13">
        <f t="shared" si="4"/>
        <v>0</v>
      </c>
      <c r="H24" s="13">
        <f t="shared" si="4"/>
        <v>5</v>
      </c>
      <c r="I24" s="13">
        <f t="shared" si="4"/>
        <v>2</v>
      </c>
      <c r="J24" s="13">
        <f t="shared" si="4"/>
        <v>2</v>
      </c>
      <c r="K24" s="13">
        <f t="shared" si="4"/>
        <v>1</v>
      </c>
      <c r="L24" s="13">
        <f t="shared" si="4"/>
        <v>1</v>
      </c>
      <c r="M24" s="13">
        <f t="shared" si="4"/>
        <v>1</v>
      </c>
      <c r="N24" s="13">
        <f t="shared" si="4"/>
        <v>0</v>
      </c>
      <c r="O24" s="13">
        <f t="shared" si="4"/>
        <v>0</v>
      </c>
      <c r="P24" s="13">
        <f t="shared" si="4"/>
        <v>2</v>
      </c>
      <c r="Q24" s="13">
        <f t="shared" si="4"/>
        <v>1</v>
      </c>
      <c r="R24" s="13">
        <f t="shared" si="4"/>
        <v>0</v>
      </c>
      <c r="S24" s="13">
        <f t="shared" si="2"/>
        <v>15</v>
      </c>
    </row>
    <row r="25" spans="1:19" ht="12.75" customHeight="1" x14ac:dyDescent="0.3">
      <c r="A25" s="21"/>
      <c r="B25" s="77" t="s">
        <v>21</v>
      </c>
      <c r="C25" s="74" t="s">
        <v>22</v>
      </c>
      <c r="D25" s="16" t="s">
        <v>12</v>
      </c>
      <c r="E25" s="16">
        <v>2</v>
      </c>
      <c r="F25" s="16">
        <v>1</v>
      </c>
      <c r="G25" s="16">
        <v>0</v>
      </c>
      <c r="H25" s="16">
        <v>1</v>
      </c>
      <c r="I25" s="16">
        <v>0</v>
      </c>
      <c r="J25" s="16">
        <v>0</v>
      </c>
      <c r="K25" s="16">
        <v>0</v>
      </c>
      <c r="L25" s="16">
        <v>2</v>
      </c>
      <c r="M25" s="16">
        <v>0</v>
      </c>
      <c r="N25" s="16">
        <v>3</v>
      </c>
      <c r="O25" s="16">
        <v>0</v>
      </c>
      <c r="P25" s="16">
        <v>2</v>
      </c>
      <c r="Q25" s="16">
        <v>4</v>
      </c>
      <c r="R25" s="16">
        <v>0</v>
      </c>
      <c r="S25" s="13">
        <f t="shared" si="2"/>
        <v>15</v>
      </c>
    </row>
    <row r="26" spans="1:19" ht="12.75" customHeight="1" x14ac:dyDescent="0.3">
      <c r="A26" s="21"/>
      <c r="B26" s="73"/>
      <c r="C26" s="75"/>
      <c r="D26" s="16" t="s">
        <v>13</v>
      </c>
      <c r="E26" s="16">
        <v>4</v>
      </c>
      <c r="F26" s="16">
        <v>1</v>
      </c>
      <c r="G26" s="16">
        <v>0</v>
      </c>
      <c r="H26" s="16">
        <v>0</v>
      </c>
      <c r="I26" s="16">
        <v>1</v>
      </c>
      <c r="J26" s="16">
        <v>0</v>
      </c>
      <c r="K26" s="16">
        <v>2</v>
      </c>
      <c r="L26" s="16">
        <v>3</v>
      </c>
      <c r="M26" s="16">
        <v>3</v>
      </c>
      <c r="N26" s="16">
        <v>3</v>
      </c>
      <c r="O26" s="16">
        <v>3</v>
      </c>
      <c r="P26" s="16">
        <v>1</v>
      </c>
      <c r="Q26" s="16">
        <v>2</v>
      </c>
      <c r="R26" s="16">
        <v>0</v>
      </c>
      <c r="S26" s="13">
        <f t="shared" si="2"/>
        <v>23</v>
      </c>
    </row>
    <row r="27" spans="1:19" ht="12.75" customHeight="1" x14ac:dyDescent="0.3">
      <c r="A27" s="22"/>
      <c r="B27" s="65"/>
      <c r="C27" s="76"/>
      <c r="D27" s="13" t="s">
        <v>14</v>
      </c>
      <c r="E27" s="13">
        <f t="shared" ref="E27:R27" si="5">SUM(E25:E26)</f>
        <v>6</v>
      </c>
      <c r="F27" s="13">
        <f t="shared" si="5"/>
        <v>2</v>
      </c>
      <c r="G27" s="13">
        <f t="shared" si="5"/>
        <v>0</v>
      </c>
      <c r="H27" s="13">
        <f t="shared" si="5"/>
        <v>1</v>
      </c>
      <c r="I27" s="13">
        <f t="shared" si="5"/>
        <v>1</v>
      </c>
      <c r="J27" s="13">
        <f t="shared" si="5"/>
        <v>0</v>
      </c>
      <c r="K27" s="13">
        <f t="shared" si="5"/>
        <v>2</v>
      </c>
      <c r="L27" s="13">
        <f t="shared" si="5"/>
        <v>5</v>
      </c>
      <c r="M27" s="13">
        <f t="shared" si="5"/>
        <v>3</v>
      </c>
      <c r="N27" s="13">
        <f t="shared" si="5"/>
        <v>6</v>
      </c>
      <c r="O27" s="13">
        <f t="shared" si="5"/>
        <v>3</v>
      </c>
      <c r="P27" s="13">
        <f t="shared" si="5"/>
        <v>3</v>
      </c>
      <c r="Q27" s="13">
        <f t="shared" si="5"/>
        <v>6</v>
      </c>
      <c r="R27" s="13">
        <f t="shared" si="5"/>
        <v>0</v>
      </c>
      <c r="S27" s="13">
        <f t="shared" si="2"/>
        <v>38</v>
      </c>
    </row>
    <row r="28" spans="1:19" ht="12.75" customHeight="1" x14ac:dyDescent="0.3">
      <c r="A28" s="22"/>
      <c r="B28" s="78" t="s">
        <v>23</v>
      </c>
      <c r="C28" s="79" t="s">
        <v>24</v>
      </c>
      <c r="D28" s="13" t="s">
        <v>12</v>
      </c>
      <c r="E28" s="13">
        <f t="shared" ref="E28:R28" si="6">SUM(E19,E22,E25)</f>
        <v>112</v>
      </c>
      <c r="F28" s="13">
        <f t="shared" si="6"/>
        <v>101</v>
      </c>
      <c r="G28" s="13">
        <f t="shared" si="6"/>
        <v>112</v>
      </c>
      <c r="H28" s="13">
        <f t="shared" si="6"/>
        <v>99</v>
      </c>
      <c r="I28" s="13">
        <f t="shared" si="6"/>
        <v>98</v>
      </c>
      <c r="J28" s="13">
        <f t="shared" si="6"/>
        <v>91</v>
      </c>
      <c r="K28" s="13">
        <f t="shared" si="6"/>
        <v>89</v>
      </c>
      <c r="L28" s="13">
        <f t="shared" si="6"/>
        <v>99</v>
      </c>
      <c r="M28" s="13">
        <f t="shared" si="6"/>
        <v>85</v>
      </c>
      <c r="N28" s="13">
        <f t="shared" si="6"/>
        <v>98</v>
      </c>
      <c r="O28" s="13">
        <f t="shared" si="6"/>
        <v>117</v>
      </c>
      <c r="P28" s="13">
        <f t="shared" si="6"/>
        <v>114</v>
      </c>
      <c r="Q28" s="13">
        <f t="shared" si="6"/>
        <v>86</v>
      </c>
      <c r="R28" s="13">
        <f t="shared" si="6"/>
        <v>100</v>
      </c>
      <c r="S28" s="13">
        <f t="shared" si="2"/>
        <v>1401</v>
      </c>
    </row>
    <row r="29" spans="1:19" ht="12.75" customHeight="1" x14ac:dyDescent="0.3">
      <c r="A29" s="22"/>
      <c r="B29" s="73"/>
      <c r="C29" s="75"/>
      <c r="D29" s="13" t="s">
        <v>13</v>
      </c>
      <c r="E29" s="13">
        <f t="shared" ref="E29:R29" si="7">SUM(E20,E23,E26)</f>
        <v>114</v>
      </c>
      <c r="F29" s="13">
        <f t="shared" si="7"/>
        <v>107</v>
      </c>
      <c r="G29" s="13">
        <f t="shared" si="7"/>
        <v>126</v>
      </c>
      <c r="H29" s="13">
        <f t="shared" si="7"/>
        <v>101</v>
      </c>
      <c r="I29" s="13">
        <f t="shared" si="7"/>
        <v>119</v>
      </c>
      <c r="J29" s="13">
        <f t="shared" si="7"/>
        <v>82</v>
      </c>
      <c r="K29" s="13">
        <f t="shared" si="7"/>
        <v>85</v>
      </c>
      <c r="L29" s="13">
        <f t="shared" si="7"/>
        <v>106</v>
      </c>
      <c r="M29" s="13">
        <f t="shared" si="7"/>
        <v>95</v>
      </c>
      <c r="N29" s="13">
        <f t="shared" si="7"/>
        <v>96</v>
      </c>
      <c r="O29" s="13">
        <f t="shared" si="7"/>
        <v>127</v>
      </c>
      <c r="P29" s="13">
        <f t="shared" si="7"/>
        <v>127</v>
      </c>
      <c r="Q29" s="13">
        <f t="shared" si="7"/>
        <v>85</v>
      </c>
      <c r="R29" s="13">
        <f t="shared" si="7"/>
        <v>115</v>
      </c>
      <c r="S29" s="13">
        <f t="shared" si="2"/>
        <v>1485</v>
      </c>
    </row>
    <row r="30" spans="1:19" ht="12.75" customHeight="1" x14ac:dyDescent="0.3">
      <c r="A30" s="22"/>
      <c r="B30" s="65"/>
      <c r="C30" s="76"/>
      <c r="D30" s="13" t="s">
        <v>14</v>
      </c>
      <c r="E30" s="13">
        <f t="shared" ref="E30:R30" si="8">SUM(E28:E29)</f>
        <v>226</v>
      </c>
      <c r="F30" s="13">
        <f t="shared" si="8"/>
        <v>208</v>
      </c>
      <c r="G30" s="13">
        <f t="shared" si="8"/>
        <v>238</v>
      </c>
      <c r="H30" s="13">
        <f t="shared" si="8"/>
        <v>200</v>
      </c>
      <c r="I30" s="13">
        <f t="shared" si="8"/>
        <v>217</v>
      </c>
      <c r="J30" s="13">
        <f t="shared" si="8"/>
        <v>173</v>
      </c>
      <c r="K30" s="13">
        <f t="shared" si="8"/>
        <v>174</v>
      </c>
      <c r="L30" s="13">
        <f t="shared" si="8"/>
        <v>205</v>
      </c>
      <c r="M30" s="13">
        <f t="shared" si="8"/>
        <v>180</v>
      </c>
      <c r="N30" s="13">
        <f t="shared" si="8"/>
        <v>194</v>
      </c>
      <c r="O30" s="13">
        <f t="shared" si="8"/>
        <v>244</v>
      </c>
      <c r="P30" s="13">
        <f t="shared" si="8"/>
        <v>241</v>
      </c>
      <c r="Q30" s="13">
        <f t="shared" si="8"/>
        <v>171</v>
      </c>
      <c r="R30" s="13">
        <f t="shared" si="8"/>
        <v>215</v>
      </c>
      <c r="S30" s="13">
        <f t="shared" si="2"/>
        <v>2886</v>
      </c>
    </row>
    <row r="31" spans="1:19" ht="12.75" customHeight="1" x14ac:dyDescent="0.3">
      <c r="A31" s="61"/>
      <c r="B31" s="60"/>
      <c r="C31" s="60"/>
      <c r="D31" s="58"/>
      <c r="E31" s="16"/>
      <c r="F31" s="16"/>
      <c r="G31" s="16"/>
      <c r="H31" s="16"/>
      <c r="I31" s="16"/>
      <c r="J31" s="16"/>
      <c r="K31" s="16"/>
      <c r="L31" s="16"/>
      <c r="M31" s="16"/>
      <c r="N31" s="48"/>
      <c r="O31" s="48"/>
      <c r="P31" s="48"/>
      <c r="Q31" s="48"/>
      <c r="R31" s="48"/>
      <c r="S31" s="49"/>
    </row>
    <row r="32" spans="1:19" ht="12.75" customHeight="1" x14ac:dyDescent="0.3">
      <c r="A32" s="25" t="s">
        <v>25</v>
      </c>
      <c r="B32" s="66" t="s">
        <v>26</v>
      </c>
      <c r="C32" s="60"/>
      <c r="D32" s="58"/>
      <c r="E32" s="13"/>
      <c r="F32" s="13"/>
      <c r="G32" s="13"/>
      <c r="H32" s="13"/>
      <c r="I32" s="13"/>
      <c r="J32" s="13"/>
      <c r="K32" s="13"/>
      <c r="L32" s="13"/>
      <c r="M32" s="13"/>
      <c r="N32" s="50"/>
      <c r="O32" s="50"/>
      <c r="P32" s="50"/>
      <c r="Q32" s="50"/>
      <c r="R32" s="50"/>
      <c r="S32" s="49"/>
    </row>
    <row r="33" spans="1:19" ht="12.75" customHeight="1" x14ac:dyDescent="0.3">
      <c r="A33" s="16">
        <v>1</v>
      </c>
      <c r="B33" s="70" t="s">
        <v>27</v>
      </c>
      <c r="C33" s="60"/>
      <c r="D33" s="58"/>
      <c r="E33" s="16">
        <v>289</v>
      </c>
      <c r="F33" s="16">
        <v>250</v>
      </c>
      <c r="G33" s="16">
        <v>281</v>
      </c>
      <c r="H33" s="16">
        <v>245</v>
      </c>
      <c r="I33" s="16">
        <v>294</v>
      </c>
      <c r="J33" s="16">
        <v>215</v>
      </c>
      <c r="K33" s="16">
        <v>203</v>
      </c>
      <c r="L33" s="16">
        <v>250</v>
      </c>
      <c r="M33" s="16">
        <v>231</v>
      </c>
      <c r="N33" s="16">
        <v>247</v>
      </c>
      <c r="O33" s="16">
        <v>288</v>
      </c>
      <c r="P33" s="16">
        <v>285</v>
      </c>
      <c r="Q33" s="16">
        <v>230</v>
      </c>
      <c r="R33" s="16">
        <v>255</v>
      </c>
      <c r="S33" s="13">
        <f t="shared" ref="S33:S36" si="9">SUM(E33:R33)</f>
        <v>3563</v>
      </c>
    </row>
    <row r="34" spans="1:19" ht="12.75" customHeight="1" x14ac:dyDescent="0.3">
      <c r="A34" s="16">
        <v>2</v>
      </c>
      <c r="B34" s="70" t="s">
        <v>28</v>
      </c>
      <c r="C34" s="60"/>
      <c r="D34" s="58"/>
      <c r="E34" s="13">
        <v>226</v>
      </c>
      <c r="F34" s="13">
        <v>208</v>
      </c>
      <c r="G34" s="13">
        <v>238</v>
      </c>
      <c r="H34" s="13">
        <v>200</v>
      </c>
      <c r="I34" s="13">
        <v>217</v>
      </c>
      <c r="J34" s="13">
        <v>173</v>
      </c>
      <c r="K34" s="13">
        <v>174</v>
      </c>
      <c r="L34" s="13">
        <v>205</v>
      </c>
      <c r="M34" s="13">
        <v>180</v>
      </c>
      <c r="N34" s="13">
        <v>194</v>
      </c>
      <c r="O34" s="13">
        <v>244</v>
      </c>
      <c r="P34" s="13">
        <v>241</v>
      </c>
      <c r="Q34" s="13">
        <v>171</v>
      </c>
      <c r="R34" s="13">
        <v>215</v>
      </c>
      <c r="S34" s="13">
        <f t="shared" si="9"/>
        <v>2886</v>
      </c>
    </row>
    <row r="35" spans="1:19" ht="12.75" customHeight="1" x14ac:dyDescent="0.3">
      <c r="A35" s="16">
        <v>3</v>
      </c>
      <c r="B35" s="70" t="s">
        <v>29</v>
      </c>
      <c r="C35" s="60"/>
      <c r="D35" s="58"/>
      <c r="E35" s="16">
        <v>0</v>
      </c>
      <c r="F35" s="16">
        <v>0</v>
      </c>
      <c r="G35" s="16">
        <v>0</v>
      </c>
      <c r="H35" s="16">
        <v>1</v>
      </c>
      <c r="I35" s="16">
        <v>0</v>
      </c>
      <c r="J35" s="16">
        <v>1</v>
      </c>
      <c r="K35" s="16">
        <v>0</v>
      </c>
      <c r="L35" s="16">
        <v>1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1</v>
      </c>
      <c r="S35" s="13">
        <f t="shared" si="9"/>
        <v>4</v>
      </c>
    </row>
    <row r="36" spans="1:19" ht="12.75" customHeight="1" x14ac:dyDescent="0.3">
      <c r="A36" s="16">
        <v>4</v>
      </c>
      <c r="B36" s="70" t="s">
        <v>30</v>
      </c>
      <c r="C36" s="60"/>
      <c r="D36" s="58"/>
      <c r="E36" s="13">
        <f t="shared" ref="E36:R36" si="10">E33-(E34+E35)</f>
        <v>63</v>
      </c>
      <c r="F36" s="13">
        <f t="shared" si="10"/>
        <v>42</v>
      </c>
      <c r="G36" s="13">
        <f t="shared" si="10"/>
        <v>43</v>
      </c>
      <c r="H36" s="13">
        <f t="shared" si="10"/>
        <v>44</v>
      </c>
      <c r="I36" s="13">
        <f t="shared" si="10"/>
        <v>77</v>
      </c>
      <c r="J36" s="13">
        <f t="shared" si="10"/>
        <v>41</v>
      </c>
      <c r="K36" s="13">
        <f t="shared" si="10"/>
        <v>29</v>
      </c>
      <c r="L36" s="13">
        <f t="shared" si="10"/>
        <v>44</v>
      </c>
      <c r="M36" s="13">
        <f t="shared" si="10"/>
        <v>51</v>
      </c>
      <c r="N36" s="13">
        <f t="shared" si="10"/>
        <v>53</v>
      </c>
      <c r="O36" s="13">
        <f t="shared" si="10"/>
        <v>44</v>
      </c>
      <c r="P36" s="13">
        <f t="shared" si="10"/>
        <v>44</v>
      </c>
      <c r="Q36" s="13">
        <f t="shared" si="10"/>
        <v>59</v>
      </c>
      <c r="R36" s="13">
        <f t="shared" si="10"/>
        <v>39</v>
      </c>
      <c r="S36" s="13">
        <f t="shared" si="9"/>
        <v>673</v>
      </c>
    </row>
    <row r="37" spans="1:19" ht="12.75" customHeight="1" x14ac:dyDescent="0.3">
      <c r="A37" s="61"/>
      <c r="B37" s="60"/>
      <c r="C37" s="60"/>
      <c r="D37" s="60"/>
      <c r="E37" s="61"/>
      <c r="F37" s="60"/>
      <c r="G37" s="60"/>
      <c r="H37" s="60"/>
      <c r="I37" s="58"/>
      <c r="J37" s="16"/>
      <c r="K37" s="16"/>
      <c r="L37" s="16"/>
      <c r="M37" s="16"/>
      <c r="N37" s="48"/>
      <c r="O37" s="48"/>
      <c r="P37" s="48"/>
      <c r="Q37" s="48"/>
      <c r="R37" s="54"/>
      <c r="S37" s="49"/>
    </row>
    <row r="38" spans="1:19" ht="12.75" customHeight="1" x14ac:dyDescent="0.3">
      <c r="A38" s="26" t="s">
        <v>31</v>
      </c>
      <c r="B38" s="66" t="s">
        <v>32</v>
      </c>
      <c r="C38" s="60"/>
      <c r="D38" s="58"/>
      <c r="E38" s="13"/>
      <c r="F38" s="13"/>
      <c r="G38" s="13"/>
      <c r="H38" s="13"/>
      <c r="I38" s="13"/>
      <c r="J38" s="13"/>
      <c r="K38" s="13"/>
      <c r="L38" s="13"/>
      <c r="M38" s="13"/>
      <c r="N38" s="50"/>
      <c r="O38" s="50"/>
      <c r="P38" s="50"/>
      <c r="Q38" s="50"/>
      <c r="R38" s="50"/>
      <c r="S38" s="49"/>
    </row>
    <row r="39" spans="1:19" ht="12.75" customHeight="1" x14ac:dyDescent="0.3">
      <c r="A39" s="20"/>
      <c r="B39" s="80" t="s">
        <v>33</v>
      </c>
      <c r="C39" s="63"/>
      <c r="D39" s="16" t="s">
        <v>12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2</v>
      </c>
      <c r="M39" s="16">
        <v>2</v>
      </c>
      <c r="N39" s="16">
        <v>0</v>
      </c>
      <c r="O39" s="16">
        <v>0</v>
      </c>
      <c r="P39" s="16">
        <v>2</v>
      </c>
      <c r="Q39" s="16">
        <v>1</v>
      </c>
      <c r="R39" s="16">
        <v>0</v>
      </c>
      <c r="S39" s="13">
        <f t="shared" ref="S39:S41" si="11">SUM(E39:R39)</f>
        <v>7</v>
      </c>
    </row>
    <row r="40" spans="1:19" ht="12.75" customHeight="1" x14ac:dyDescent="0.3">
      <c r="A40" s="21"/>
      <c r="B40" s="81"/>
      <c r="C40" s="73"/>
      <c r="D40" s="16" t="s">
        <v>13</v>
      </c>
      <c r="E40" s="16">
        <v>0</v>
      </c>
      <c r="F40" s="16">
        <v>6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2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3">
        <f t="shared" si="11"/>
        <v>8</v>
      </c>
    </row>
    <row r="41" spans="1:19" ht="12.75" customHeight="1" x14ac:dyDescent="0.3">
      <c r="A41" s="25"/>
      <c r="B41" s="56"/>
      <c r="C41" s="65"/>
      <c r="D41" s="13" t="s">
        <v>14</v>
      </c>
      <c r="E41" s="13">
        <f t="shared" ref="E41:R41" si="12">SUM(E39:E40)</f>
        <v>0</v>
      </c>
      <c r="F41" s="13">
        <f t="shared" si="12"/>
        <v>6</v>
      </c>
      <c r="G41" s="13">
        <f t="shared" si="12"/>
        <v>0</v>
      </c>
      <c r="H41" s="13">
        <f t="shared" si="12"/>
        <v>0</v>
      </c>
      <c r="I41" s="13">
        <f t="shared" si="12"/>
        <v>0</v>
      </c>
      <c r="J41" s="13">
        <f t="shared" si="12"/>
        <v>0</v>
      </c>
      <c r="K41" s="13">
        <f t="shared" si="12"/>
        <v>0</v>
      </c>
      <c r="L41" s="13">
        <f t="shared" si="12"/>
        <v>2</v>
      </c>
      <c r="M41" s="13">
        <f t="shared" si="12"/>
        <v>4</v>
      </c>
      <c r="N41" s="13">
        <f t="shared" si="12"/>
        <v>0</v>
      </c>
      <c r="O41" s="13">
        <f t="shared" si="12"/>
        <v>0</v>
      </c>
      <c r="P41" s="13">
        <f t="shared" si="12"/>
        <v>2</v>
      </c>
      <c r="Q41" s="13">
        <f t="shared" si="12"/>
        <v>1</v>
      </c>
      <c r="R41" s="13">
        <f t="shared" si="12"/>
        <v>0</v>
      </c>
      <c r="S41" s="13">
        <f t="shared" si="11"/>
        <v>15</v>
      </c>
    </row>
    <row r="42" spans="1:19" ht="12.75" customHeight="1" x14ac:dyDescent="0.3">
      <c r="A42" s="55"/>
      <c r="B42" s="56"/>
      <c r="C42" s="56"/>
      <c r="D42" s="65"/>
      <c r="E42" s="61"/>
      <c r="F42" s="60"/>
      <c r="G42" s="60"/>
      <c r="H42" s="60"/>
      <c r="I42" s="58"/>
      <c r="J42" s="16"/>
      <c r="K42" s="16"/>
      <c r="L42" s="16"/>
      <c r="M42" s="16"/>
      <c r="N42" s="48"/>
      <c r="O42" s="48"/>
      <c r="P42" s="48"/>
      <c r="Q42" s="48"/>
      <c r="R42" s="16"/>
      <c r="S42" s="13"/>
    </row>
    <row r="43" spans="1:19" ht="12.75" customHeight="1" x14ac:dyDescent="0.3">
      <c r="A43" s="26" t="s">
        <v>34</v>
      </c>
      <c r="B43" s="66" t="s">
        <v>35</v>
      </c>
      <c r="C43" s="60"/>
      <c r="D43" s="58"/>
      <c r="E43" s="19"/>
      <c r="F43" s="13"/>
      <c r="G43" s="13"/>
      <c r="H43" s="13"/>
      <c r="I43" s="13"/>
      <c r="J43" s="13"/>
      <c r="K43" s="13"/>
      <c r="L43" s="13"/>
      <c r="M43" s="13"/>
      <c r="N43" s="50"/>
      <c r="O43" s="50"/>
      <c r="P43" s="50"/>
      <c r="Q43" s="50"/>
      <c r="R43" s="13"/>
      <c r="S43" s="13"/>
    </row>
    <row r="44" spans="1:19" ht="12.75" customHeight="1" x14ac:dyDescent="0.3">
      <c r="A44" s="80" t="s">
        <v>36</v>
      </c>
      <c r="B44" s="82"/>
      <c r="C44" s="82"/>
      <c r="D44" s="63"/>
      <c r="E44" s="17"/>
      <c r="F44" s="16"/>
      <c r="G44" s="16"/>
      <c r="H44" s="16"/>
      <c r="I44" s="16"/>
      <c r="J44" s="16"/>
      <c r="K44" s="16"/>
      <c r="L44" s="16"/>
      <c r="M44" s="16"/>
      <c r="N44" s="48"/>
      <c r="O44" s="48"/>
      <c r="P44" s="48"/>
      <c r="Q44" s="48"/>
      <c r="R44" s="16"/>
      <c r="S44" s="13"/>
    </row>
    <row r="45" spans="1:19" ht="12.75" customHeight="1" x14ac:dyDescent="0.3">
      <c r="A45" s="20" t="s">
        <v>37</v>
      </c>
      <c r="B45" s="27" t="s">
        <v>17</v>
      </c>
      <c r="C45" s="57" t="s">
        <v>38</v>
      </c>
      <c r="D45" s="58"/>
      <c r="E45" s="16">
        <v>4</v>
      </c>
      <c r="F45" s="16">
        <v>1</v>
      </c>
      <c r="G45" s="16">
        <v>3</v>
      </c>
      <c r="H45" s="16">
        <v>4</v>
      </c>
      <c r="I45" s="16">
        <v>1</v>
      </c>
      <c r="J45" s="16">
        <v>4</v>
      </c>
      <c r="K45" s="16">
        <v>2</v>
      </c>
      <c r="L45" s="16">
        <v>0</v>
      </c>
      <c r="M45" s="16">
        <v>5</v>
      </c>
      <c r="N45" s="16">
        <v>1</v>
      </c>
      <c r="O45" s="16">
        <v>3</v>
      </c>
      <c r="P45" s="16">
        <v>11</v>
      </c>
      <c r="Q45" s="16">
        <v>2</v>
      </c>
      <c r="R45" s="16">
        <v>1</v>
      </c>
      <c r="S45" s="13">
        <f t="shared" ref="S45:S54" si="13">SUM(E45:R45)</f>
        <v>42</v>
      </c>
    </row>
    <row r="46" spans="1:19" ht="12.75" customHeight="1" x14ac:dyDescent="0.3">
      <c r="A46" s="20" t="s">
        <v>39</v>
      </c>
      <c r="B46" s="28"/>
      <c r="C46" s="29" t="s">
        <v>40</v>
      </c>
      <c r="D46" s="30"/>
      <c r="E46" s="16">
        <v>7</v>
      </c>
      <c r="F46" s="16">
        <v>5</v>
      </c>
      <c r="G46" s="16">
        <v>15</v>
      </c>
      <c r="H46" s="16">
        <v>11</v>
      </c>
      <c r="I46" s="16">
        <v>12</v>
      </c>
      <c r="J46" s="16">
        <v>8</v>
      </c>
      <c r="K46" s="16">
        <v>1</v>
      </c>
      <c r="L46" s="16">
        <v>0</v>
      </c>
      <c r="M46" s="16">
        <v>3</v>
      </c>
      <c r="N46" s="16">
        <v>3</v>
      </c>
      <c r="O46" s="16">
        <v>10</v>
      </c>
      <c r="P46" s="16">
        <v>34</v>
      </c>
      <c r="Q46" s="16">
        <v>9</v>
      </c>
      <c r="R46" s="16">
        <v>8</v>
      </c>
      <c r="S46" s="13">
        <f t="shared" si="13"/>
        <v>126</v>
      </c>
    </row>
    <row r="47" spans="1:19" ht="12.75" customHeight="1" x14ac:dyDescent="0.3">
      <c r="A47" s="15"/>
      <c r="B47" s="28"/>
      <c r="C47" s="29" t="s">
        <v>41</v>
      </c>
      <c r="D47" s="30"/>
      <c r="E47" s="16">
        <v>1</v>
      </c>
      <c r="F47" s="16">
        <v>4</v>
      </c>
      <c r="G47" s="16">
        <v>0</v>
      </c>
      <c r="H47" s="16">
        <v>1</v>
      </c>
      <c r="I47" s="16">
        <v>2</v>
      </c>
      <c r="J47" s="16">
        <v>2</v>
      </c>
      <c r="K47" s="16">
        <v>0</v>
      </c>
      <c r="L47" s="16">
        <v>1</v>
      </c>
      <c r="M47" s="16">
        <v>3</v>
      </c>
      <c r="N47" s="16">
        <v>0</v>
      </c>
      <c r="O47" s="16">
        <v>0</v>
      </c>
      <c r="P47" s="16">
        <v>3</v>
      </c>
      <c r="Q47" s="16">
        <v>0</v>
      </c>
      <c r="R47" s="16">
        <v>1</v>
      </c>
      <c r="S47" s="13">
        <f t="shared" si="13"/>
        <v>18</v>
      </c>
    </row>
    <row r="48" spans="1:19" ht="12.75" customHeight="1" x14ac:dyDescent="0.3">
      <c r="A48" s="15"/>
      <c r="B48" s="28"/>
      <c r="C48" s="29" t="s">
        <v>42</v>
      </c>
      <c r="D48" s="30"/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1</v>
      </c>
      <c r="L48" s="16">
        <v>0</v>
      </c>
      <c r="M48" s="16">
        <v>0</v>
      </c>
      <c r="N48" s="16">
        <v>0</v>
      </c>
      <c r="O48" s="16">
        <v>0</v>
      </c>
      <c r="P48" s="16">
        <v>1</v>
      </c>
      <c r="Q48" s="16">
        <v>1</v>
      </c>
      <c r="R48" s="16">
        <v>0</v>
      </c>
      <c r="S48" s="13">
        <f t="shared" si="13"/>
        <v>3</v>
      </c>
    </row>
    <row r="49" spans="1:19" ht="12.75" customHeight="1" x14ac:dyDescent="0.3">
      <c r="A49" s="15"/>
      <c r="B49" s="28"/>
      <c r="C49" s="29" t="s">
        <v>43</v>
      </c>
      <c r="D49" s="30"/>
      <c r="E49" s="16">
        <v>0</v>
      </c>
      <c r="F49" s="16">
        <v>1</v>
      </c>
      <c r="G49" s="16">
        <v>1</v>
      </c>
      <c r="H49" s="16">
        <v>2</v>
      </c>
      <c r="I49" s="16">
        <v>0</v>
      </c>
      <c r="J49" s="16">
        <v>0</v>
      </c>
      <c r="K49" s="16">
        <v>0</v>
      </c>
      <c r="L49" s="16">
        <v>0</v>
      </c>
      <c r="M49" s="16">
        <v>2</v>
      </c>
      <c r="N49" s="16">
        <v>1</v>
      </c>
      <c r="O49" s="16">
        <v>1</v>
      </c>
      <c r="P49" s="16">
        <v>2</v>
      </c>
      <c r="Q49" s="16">
        <v>1</v>
      </c>
      <c r="R49" s="16">
        <v>0</v>
      </c>
      <c r="S49" s="13">
        <f t="shared" si="13"/>
        <v>11</v>
      </c>
    </row>
    <row r="50" spans="1:19" ht="12.75" customHeight="1" x14ac:dyDescent="0.3">
      <c r="A50" s="15"/>
      <c r="B50" s="28"/>
      <c r="C50" s="29" t="s">
        <v>44</v>
      </c>
      <c r="D50" s="30"/>
      <c r="E50" s="16">
        <v>0</v>
      </c>
      <c r="F50" s="16">
        <v>2</v>
      </c>
      <c r="G50" s="16">
        <v>1</v>
      </c>
      <c r="H50" s="16">
        <v>0</v>
      </c>
      <c r="I50" s="16">
        <v>0</v>
      </c>
      <c r="J50" s="16">
        <v>1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1</v>
      </c>
      <c r="Q50" s="16">
        <v>0</v>
      </c>
      <c r="R50" s="16">
        <v>0</v>
      </c>
      <c r="S50" s="13">
        <f t="shared" si="13"/>
        <v>5</v>
      </c>
    </row>
    <row r="51" spans="1:19" ht="12.75" customHeight="1" x14ac:dyDescent="0.3">
      <c r="A51" s="15"/>
      <c r="B51" s="28"/>
      <c r="C51" s="29" t="s">
        <v>45</v>
      </c>
      <c r="D51" s="30"/>
      <c r="E51" s="16">
        <v>0</v>
      </c>
      <c r="F51" s="16">
        <v>1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1</v>
      </c>
      <c r="Q51" s="16">
        <v>0</v>
      </c>
      <c r="R51" s="16">
        <v>0</v>
      </c>
      <c r="S51" s="13">
        <f t="shared" si="13"/>
        <v>2</v>
      </c>
    </row>
    <row r="52" spans="1:19" ht="12.75" customHeight="1" x14ac:dyDescent="0.3">
      <c r="A52" s="15"/>
      <c r="B52" s="28"/>
      <c r="C52" s="29" t="s">
        <v>46</v>
      </c>
      <c r="D52" s="30"/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3">
        <f t="shared" si="13"/>
        <v>0</v>
      </c>
    </row>
    <row r="53" spans="1:19" ht="12.75" customHeight="1" x14ac:dyDescent="0.3">
      <c r="A53" s="15"/>
      <c r="B53" s="28"/>
      <c r="C53" s="29" t="s">
        <v>47</v>
      </c>
      <c r="D53" s="35"/>
      <c r="E53" s="16">
        <v>0</v>
      </c>
      <c r="F53" s="16">
        <v>1</v>
      </c>
      <c r="G53" s="16">
        <v>0</v>
      </c>
      <c r="H53" s="16">
        <v>0</v>
      </c>
      <c r="I53" s="16">
        <v>1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3">
        <f t="shared" si="13"/>
        <v>2</v>
      </c>
    </row>
    <row r="54" spans="1:19" ht="12.75" customHeight="1" x14ac:dyDescent="0.3">
      <c r="A54" s="15"/>
      <c r="B54" s="28"/>
      <c r="C54" s="29" t="s">
        <v>48</v>
      </c>
      <c r="D54" s="30"/>
      <c r="E54" s="16">
        <v>0</v>
      </c>
      <c r="F54" s="16">
        <v>0</v>
      </c>
      <c r="G54" s="16">
        <v>0</v>
      </c>
      <c r="H54" s="16">
        <v>0</v>
      </c>
      <c r="I54" s="16">
        <v>1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1</v>
      </c>
      <c r="P54" s="16">
        <v>1</v>
      </c>
      <c r="Q54" s="16">
        <v>0</v>
      </c>
      <c r="R54" s="16">
        <v>0</v>
      </c>
      <c r="S54" s="13">
        <f t="shared" si="13"/>
        <v>3</v>
      </c>
    </row>
    <row r="55" spans="1:19" ht="12.75" customHeight="1" x14ac:dyDescent="0.3">
      <c r="A55" s="16" t="s">
        <v>15</v>
      </c>
      <c r="B55" s="59" t="s">
        <v>49</v>
      </c>
      <c r="C55" s="60"/>
      <c r="D55" s="58"/>
      <c r="E55" s="13">
        <f t="shared" ref="E55:S55" si="14">SUM(E45:E54)</f>
        <v>12</v>
      </c>
      <c r="F55" s="13">
        <f t="shared" si="14"/>
        <v>15</v>
      </c>
      <c r="G55" s="13">
        <f t="shared" si="14"/>
        <v>20</v>
      </c>
      <c r="H55" s="13">
        <f t="shared" si="14"/>
        <v>18</v>
      </c>
      <c r="I55" s="13">
        <f t="shared" si="14"/>
        <v>17</v>
      </c>
      <c r="J55" s="13">
        <f t="shared" si="14"/>
        <v>15</v>
      </c>
      <c r="K55" s="13">
        <f t="shared" si="14"/>
        <v>4</v>
      </c>
      <c r="L55" s="13">
        <f t="shared" si="14"/>
        <v>1</v>
      </c>
      <c r="M55" s="13">
        <f t="shared" si="14"/>
        <v>13</v>
      </c>
      <c r="N55" s="13">
        <f t="shared" si="14"/>
        <v>5</v>
      </c>
      <c r="O55" s="13">
        <f t="shared" si="14"/>
        <v>15</v>
      </c>
      <c r="P55" s="13">
        <f t="shared" si="14"/>
        <v>54</v>
      </c>
      <c r="Q55" s="13">
        <f t="shared" si="14"/>
        <v>13</v>
      </c>
      <c r="R55" s="13">
        <f t="shared" si="14"/>
        <v>10</v>
      </c>
      <c r="S55" s="13">
        <f t="shared" si="14"/>
        <v>212</v>
      </c>
    </row>
    <row r="56" spans="1:19" ht="12.75" customHeight="1" x14ac:dyDescent="0.3">
      <c r="A56" s="55"/>
      <c r="B56" s="56"/>
      <c r="C56" s="56"/>
      <c r="D56" s="56"/>
      <c r="E56" s="56"/>
      <c r="S56" s="13"/>
    </row>
    <row r="57" spans="1:19" ht="12.75" customHeight="1" x14ac:dyDescent="0.3">
      <c r="A57" s="20" t="s">
        <v>37</v>
      </c>
      <c r="B57" s="27" t="s">
        <v>19</v>
      </c>
      <c r="C57" s="57" t="s">
        <v>50</v>
      </c>
      <c r="D57" s="58"/>
      <c r="E57" s="16">
        <v>17</v>
      </c>
      <c r="F57" s="16">
        <v>17</v>
      </c>
      <c r="G57" s="16">
        <v>13</v>
      </c>
      <c r="H57" s="16">
        <v>12</v>
      </c>
      <c r="I57" s="16">
        <v>14</v>
      </c>
      <c r="J57" s="16">
        <v>11</v>
      </c>
      <c r="K57" s="16">
        <v>14</v>
      </c>
      <c r="L57" s="16">
        <v>3</v>
      </c>
      <c r="M57" s="16">
        <v>10</v>
      </c>
      <c r="N57" s="16">
        <v>14</v>
      </c>
      <c r="O57" s="16">
        <v>15</v>
      </c>
      <c r="P57" s="16">
        <v>19</v>
      </c>
      <c r="Q57" s="16">
        <v>1</v>
      </c>
      <c r="R57" s="16">
        <v>11</v>
      </c>
      <c r="S57" s="13">
        <f t="shared" ref="S57:S66" si="15">SUM(E57:R57)</f>
        <v>171</v>
      </c>
    </row>
    <row r="58" spans="1:19" ht="12.75" customHeight="1" x14ac:dyDescent="0.3">
      <c r="A58" s="20" t="s">
        <v>39</v>
      </c>
      <c r="B58" s="28"/>
      <c r="C58" s="29" t="s">
        <v>51</v>
      </c>
      <c r="D58" s="30"/>
      <c r="E58" s="16">
        <v>9</v>
      </c>
      <c r="F58" s="16">
        <v>3</v>
      </c>
      <c r="G58" s="16">
        <v>2</v>
      </c>
      <c r="H58" s="16">
        <v>6</v>
      </c>
      <c r="I58" s="16">
        <v>1</v>
      </c>
      <c r="J58" s="16">
        <v>8</v>
      </c>
      <c r="K58" s="16">
        <v>6</v>
      </c>
      <c r="L58" s="16">
        <v>3</v>
      </c>
      <c r="M58" s="16">
        <v>7</v>
      </c>
      <c r="N58" s="16">
        <v>5</v>
      </c>
      <c r="O58" s="16">
        <v>8</v>
      </c>
      <c r="P58" s="16">
        <v>13</v>
      </c>
      <c r="Q58" s="16">
        <v>3</v>
      </c>
      <c r="R58" s="16">
        <v>8</v>
      </c>
      <c r="S58" s="13">
        <f t="shared" si="15"/>
        <v>82</v>
      </c>
    </row>
    <row r="59" spans="1:19" ht="12.75" customHeight="1" x14ac:dyDescent="0.3">
      <c r="A59" s="15"/>
      <c r="B59" s="28"/>
      <c r="C59" s="29" t="s">
        <v>52</v>
      </c>
      <c r="D59" s="30"/>
      <c r="E59" s="16">
        <v>107</v>
      </c>
      <c r="F59" s="16">
        <v>74</v>
      </c>
      <c r="G59" s="16">
        <v>41</v>
      </c>
      <c r="H59" s="16">
        <v>23</v>
      </c>
      <c r="I59" s="16">
        <v>30</v>
      </c>
      <c r="J59" s="16">
        <v>30</v>
      </c>
      <c r="K59" s="16">
        <v>25</v>
      </c>
      <c r="L59" s="16">
        <v>10</v>
      </c>
      <c r="M59" s="16">
        <v>38</v>
      </c>
      <c r="N59" s="16">
        <v>46</v>
      </c>
      <c r="O59" s="16">
        <v>67</v>
      </c>
      <c r="P59" s="16">
        <v>61</v>
      </c>
      <c r="Q59" s="16">
        <v>10</v>
      </c>
      <c r="R59" s="16">
        <v>31</v>
      </c>
      <c r="S59" s="13">
        <f t="shared" si="15"/>
        <v>593</v>
      </c>
    </row>
    <row r="60" spans="1:19" ht="12.75" customHeight="1" x14ac:dyDescent="0.3">
      <c r="A60" s="15"/>
      <c r="B60" s="28"/>
      <c r="C60" s="29" t="s">
        <v>53</v>
      </c>
      <c r="D60" s="30"/>
      <c r="E60" s="16">
        <v>1</v>
      </c>
      <c r="F60" s="16">
        <v>0</v>
      </c>
      <c r="G60" s="16">
        <v>3</v>
      </c>
      <c r="H60" s="16">
        <v>6</v>
      </c>
      <c r="I60" s="16">
        <v>4</v>
      </c>
      <c r="J60" s="16">
        <v>1</v>
      </c>
      <c r="K60" s="16">
        <v>1</v>
      </c>
      <c r="L60" s="16">
        <v>1</v>
      </c>
      <c r="M60" s="16">
        <v>0</v>
      </c>
      <c r="N60" s="16">
        <v>3</v>
      </c>
      <c r="O60" s="16">
        <v>2</v>
      </c>
      <c r="P60" s="16">
        <v>0</v>
      </c>
      <c r="Q60" s="16">
        <v>2</v>
      </c>
      <c r="R60" s="16">
        <v>0</v>
      </c>
      <c r="S60" s="13">
        <f t="shared" si="15"/>
        <v>24</v>
      </c>
    </row>
    <row r="61" spans="1:19" ht="12.75" customHeight="1" x14ac:dyDescent="0.3">
      <c r="A61" s="15"/>
      <c r="B61" s="28"/>
      <c r="C61" s="29" t="s">
        <v>54</v>
      </c>
      <c r="D61" s="30"/>
      <c r="E61" s="16">
        <v>3</v>
      </c>
      <c r="F61" s="16">
        <v>3</v>
      </c>
      <c r="G61" s="16">
        <v>10</v>
      </c>
      <c r="H61" s="16">
        <v>8</v>
      </c>
      <c r="I61" s="16">
        <v>28</v>
      </c>
      <c r="J61" s="16">
        <v>16</v>
      </c>
      <c r="K61" s="16">
        <v>36</v>
      </c>
      <c r="L61" s="16">
        <v>0</v>
      </c>
      <c r="M61" s="16">
        <v>0</v>
      </c>
      <c r="N61" s="16">
        <v>2</v>
      </c>
      <c r="O61" s="16">
        <v>2</v>
      </c>
      <c r="P61" s="16">
        <v>4</v>
      </c>
      <c r="Q61" s="16">
        <v>0</v>
      </c>
      <c r="R61" s="16">
        <v>0</v>
      </c>
      <c r="S61" s="13">
        <f t="shared" si="15"/>
        <v>112</v>
      </c>
    </row>
    <row r="62" spans="1:19" ht="12.75" customHeight="1" x14ac:dyDescent="0.3">
      <c r="A62" s="15"/>
      <c r="B62" s="28"/>
      <c r="C62" s="29" t="s">
        <v>55</v>
      </c>
      <c r="D62" s="30"/>
      <c r="E62" s="16">
        <v>0</v>
      </c>
      <c r="F62" s="16">
        <v>1</v>
      </c>
      <c r="G62" s="16">
        <v>0</v>
      </c>
      <c r="H62" s="16">
        <v>0</v>
      </c>
      <c r="I62" s="16">
        <v>0</v>
      </c>
      <c r="J62" s="16">
        <v>3</v>
      </c>
      <c r="K62" s="16">
        <v>0</v>
      </c>
      <c r="L62" s="16">
        <v>0</v>
      </c>
      <c r="M62" s="16">
        <v>1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3">
        <f t="shared" si="15"/>
        <v>5</v>
      </c>
    </row>
    <row r="63" spans="1:19" ht="12.75" customHeight="1" x14ac:dyDescent="0.3">
      <c r="A63" s="15"/>
      <c r="B63" s="28"/>
      <c r="C63" s="29" t="s">
        <v>56</v>
      </c>
      <c r="D63" s="30"/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2</v>
      </c>
      <c r="K63" s="16">
        <v>0</v>
      </c>
      <c r="L63" s="16">
        <v>0</v>
      </c>
      <c r="M63" s="16">
        <v>2</v>
      </c>
      <c r="N63" s="16">
        <v>1</v>
      </c>
      <c r="O63" s="16">
        <v>1</v>
      </c>
      <c r="P63" s="16">
        <v>0</v>
      </c>
      <c r="Q63" s="16">
        <v>0</v>
      </c>
      <c r="R63" s="16">
        <v>1</v>
      </c>
      <c r="S63" s="13">
        <f t="shared" si="15"/>
        <v>7</v>
      </c>
    </row>
    <row r="64" spans="1:19" ht="12.75" customHeight="1" x14ac:dyDescent="0.3">
      <c r="A64" s="15"/>
      <c r="B64" s="28"/>
      <c r="C64" s="29" t="s">
        <v>57</v>
      </c>
      <c r="D64" s="30"/>
      <c r="E64" s="16">
        <v>0</v>
      </c>
      <c r="F64" s="16">
        <v>0</v>
      </c>
      <c r="G64" s="16">
        <v>0</v>
      </c>
      <c r="H64" s="16">
        <v>1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3">
        <f t="shared" si="15"/>
        <v>1</v>
      </c>
    </row>
    <row r="65" spans="1:19" ht="12.75" customHeight="1" x14ac:dyDescent="0.3">
      <c r="A65" s="15"/>
      <c r="B65" s="28"/>
      <c r="C65" s="29" t="s">
        <v>58</v>
      </c>
      <c r="D65" s="30"/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1</v>
      </c>
      <c r="N65" s="16">
        <v>1</v>
      </c>
      <c r="O65" s="16">
        <v>0</v>
      </c>
      <c r="P65" s="16">
        <v>1</v>
      </c>
      <c r="Q65" s="16">
        <v>0</v>
      </c>
      <c r="R65" s="16">
        <v>0</v>
      </c>
      <c r="S65" s="13">
        <f t="shared" si="15"/>
        <v>3</v>
      </c>
    </row>
    <row r="66" spans="1:19" ht="12.75" customHeight="1" x14ac:dyDescent="0.3">
      <c r="A66" s="15"/>
      <c r="B66" s="28"/>
      <c r="C66" s="29" t="s">
        <v>59</v>
      </c>
      <c r="D66" s="30"/>
      <c r="E66" s="16">
        <v>1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1</v>
      </c>
      <c r="N66" s="16">
        <v>0</v>
      </c>
      <c r="O66" s="16">
        <v>0</v>
      </c>
      <c r="P66" s="16">
        <v>0</v>
      </c>
      <c r="Q66" s="16">
        <v>1</v>
      </c>
      <c r="R66" s="16">
        <v>0</v>
      </c>
      <c r="S66" s="13">
        <f t="shared" si="15"/>
        <v>3</v>
      </c>
    </row>
    <row r="67" spans="1:19" ht="12.75" customHeight="1" x14ac:dyDescent="0.3">
      <c r="A67" s="16" t="s">
        <v>15</v>
      </c>
      <c r="B67" s="59" t="s">
        <v>49</v>
      </c>
      <c r="C67" s="60"/>
      <c r="D67" s="58"/>
      <c r="E67" s="13">
        <f t="shared" ref="E67:S67" si="16">SUM(E57:E66)</f>
        <v>138</v>
      </c>
      <c r="F67" s="13">
        <f t="shared" si="16"/>
        <v>98</v>
      </c>
      <c r="G67" s="13">
        <f t="shared" si="16"/>
        <v>69</v>
      </c>
      <c r="H67" s="13">
        <f t="shared" si="16"/>
        <v>56</v>
      </c>
      <c r="I67" s="13">
        <f t="shared" si="16"/>
        <v>77</v>
      </c>
      <c r="J67" s="13">
        <f t="shared" si="16"/>
        <v>71</v>
      </c>
      <c r="K67" s="13">
        <f t="shared" si="16"/>
        <v>82</v>
      </c>
      <c r="L67" s="13">
        <f t="shared" si="16"/>
        <v>17</v>
      </c>
      <c r="M67" s="13">
        <f t="shared" si="16"/>
        <v>60</v>
      </c>
      <c r="N67" s="13">
        <f t="shared" si="16"/>
        <v>72</v>
      </c>
      <c r="O67" s="13">
        <f t="shared" si="16"/>
        <v>95</v>
      </c>
      <c r="P67" s="13">
        <f t="shared" si="16"/>
        <v>98</v>
      </c>
      <c r="Q67" s="13">
        <f t="shared" si="16"/>
        <v>17</v>
      </c>
      <c r="R67" s="13">
        <f t="shared" si="16"/>
        <v>51</v>
      </c>
      <c r="S67" s="13">
        <f t="shared" si="16"/>
        <v>1001</v>
      </c>
    </row>
    <row r="68" spans="1:19" ht="12.75" customHeight="1" x14ac:dyDescent="0.3">
      <c r="A68" s="55"/>
      <c r="B68" s="56"/>
      <c r="C68" s="56"/>
      <c r="D68" s="56"/>
      <c r="E68" s="56"/>
    </row>
    <row r="69" spans="1:19" ht="12.75" customHeight="1" x14ac:dyDescent="0.3">
      <c r="A69" s="20" t="s">
        <v>37</v>
      </c>
      <c r="B69" s="27" t="s">
        <v>21</v>
      </c>
      <c r="C69" s="57" t="s">
        <v>60</v>
      </c>
      <c r="D69" s="58"/>
      <c r="E69" s="16">
        <v>5</v>
      </c>
      <c r="F69" s="16">
        <v>2</v>
      </c>
      <c r="G69" s="16">
        <v>2</v>
      </c>
      <c r="H69" s="16">
        <v>4</v>
      </c>
      <c r="I69" s="16">
        <v>11</v>
      </c>
      <c r="J69" s="16">
        <v>3</v>
      </c>
      <c r="K69" s="16">
        <v>14</v>
      </c>
      <c r="L69" s="16">
        <v>1</v>
      </c>
      <c r="M69" s="16">
        <v>7</v>
      </c>
      <c r="N69" s="16">
        <v>12</v>
      </c>
      <c r="O69" s="16">
        <v>14</v>
      </c>
      <c r="P69" s="16">
        <v>12</v>
      </c>
      <c r="Q69" s="16">
        <v>1</v>
      </c>
      <c r="R69" s="16">
        <v>1</v>
      </c>
      <c r="S69" s="13">
        <f t="shared" ref="S69:S78" si="17">SUM(E69:R69)</f>
        <v>89</v>
      </c>
    </row>
    <row r="70" spans="1:19" ht="12.75" customHeight="1" x14ac:dyDescent="0.3">
      <c r="A70" s="20" t="s">
        <v>39</v>
      </c>
      <c r="B70" s="28"/>
      <c r="C70" s="29" t="s">
        <v>61</v>
      </c>
      <c r="D70" s="30"/>
      <c r="E70" s="16">
        <v>2</v>
      </c>
      <c r="F70" s="16">
        <v>1</v>
      </c>
      <c r="G70" s="16">
        <v>3</v>
      </c>
      <c r="H70" s="16">
        <v>6</v>
      </c>
      <c r="I70" s="16">
        <v>5</v>
      </c>
      <c r="J70" s="16">
        <v>5</v>
      </c>
      <c r="K70" s="16">
        <v>2</v>
      </c>
      <c r="L70" s="16">
        <v>1</v>
      </c>
      <c r="M70" s="16">
        <v>5</v>
      </c>
      <c r="N70" s="16">
        <v>6</v>
      </c>
      <c r="O70" s="16">
        <v>5</v>
      </c>
      <c r="P70" s="16">
        <v>3</v>
      </c>
      <c r="Q70" s="16">
        <v>1</v>
      </c>
      <c r="R70" s="16">
        <v>1</v>
      </c>
      <c r="S70" s="13">
        <f t="shared" si="17"/>
        <v>46</v>
      </c>
    </row>
    <row r="71" spans="1:19" ht="12.75" customHeight="1" x14ac:dyDescent="0.3">
      <c r="A71" s="15"/>
      <c r="B71" s="28"/>
      <c r="C71" s="29" t="s">
        <v>62</v>
      </c>
      <c r="D71" s="30"/>
      <c r="E71" s="16">
        <v>1</v>
      </c>
      <c r="F71" s="16">
        <v>2</v>
      </c>
      <c r="G71" s="16">
        <v>2</v>
      </c>
      <c r="H71" s="16">
        <v>0</v>
      </c>
      <c r="I71" s="16">
        <v>3</v>
      </c>
      <c r="J71" s="16">
        <v>4</v>
      </c>
      <c r="K71" s="16">
        <v>3</v>
      </c>
      <c r="L71" s="16">
        <v>0</v>
      </c>
      <c r="M71" s="16">
        <v>8</v>
      </c>
      <c r="N71" s="16">
        <v>7</v>
      </c>
      <c r="O71" s="16">
        <v>3</v>
      </c>
      <c r="P71" s="16">
        <v>3</v>
      </c>
      <c r="Q71" s="16">
        <v>2</v>
      </c>
      <c r="R71" s="16">
        <v>0</v>
      </c>
      <c r="S71" s="13">
        <f t="shared" si="17"/>
        <v>38</v>
      </c>
    </row>
    <row r="72" spans="1:19" ht="12.75" customHeight="1" x14ac:dyDescent="0.3">
      <c r="A72" s="15"/>
      <c r="B72" s="28"/>
      <c r="C72" s="29" t="s">
        <v>63</v>
      </c>
      <c r="D72" s="30"/>
      <c r="E72" s="16">
        <v>0</v>
      </c>
      <c r="F72" s="16">
        <v>3</v>
      </c>
      <c r="G72" s="16">
        <v>2</v>
      </c>
      <c r="H72" s="16">
        <v>0</v>
      </c>
      <c r="I72" s="16">
        <v>2</v>
      </c>
      <c r="J72" s="16">
        <v>2</v>
      </c>
      <c r="K72" s="16">
        <v>1</v>
      </c>
      <c r="L72" s="16">
        <v>0</v>
      </c>
      <c r="M72" s="16">
        <v>6</v>
      </c>
      <c r="N72" s="16">
        <v>8</v>
      </c>
      <c r="O72" s="16">
        <v>21</v>
      </c>
      <c r="P72" s="16">
        <v>4</v>
      </c>
      <c r="Q72" s="16">
        <v>1</v>
      </c>
      <c r="R72" s="16">
        <v>1</v>
      </c>
      <c r="S72" s="13">
        <f t="shared" si="17"/>
        <v>51</v>
      </c>
    </row>
    <row r="73" spans="1:19" ht="12.75" customHeight="1" x14ac:dyDescent="0.3">
      <c r="A73" s="15"/>
      <c r="B73" s="28"/>
      <c r="C73" s="29" t="s">
        <v>64</v>
      </c>
      <c r="D73" s="30"/>
      <c r="E73" s="16">
        <v>3</v>
      </c>
      <c r="F73" s="16">
        <v>0</v>
      </c>
      <c r="G73" s="16">
        <v>1</v>
      </c>
      <c r="H73" s="16">
        <v>0</v>
      </c>
      <c r="I73" s="16">
        <v>1</v>
      </c>
      <c r="J73" s="16">
        <v>0</v>
      </c>
      <c r="K73" s="16">
        <v>2</v>
      </c>
      <c r="L73" s="16">
        <v>0</v>
      </c>
      <c r="M73" s="16">
        <v>3</v>
      </c>
      <c r="N73" s="16">
        <v>2</v>
      </c>
      <c r="O73" s="16">
        <v>1</v>
      </c>
      <c r="P73" s="16">
        <v>1</v>
      </c>
      <c r="Q73" s="16">
        <v>0</v>
      </c>
      <c r="R73" s="16">
        <v>0</v>
      </c>
      <c r="S73" s="13">
        <f t="shared" si="17"/>
        <v>14</v>
      </c>
    </row>
    <row r="74" spans="1:19" ht="12.75" customHeight="1" x14ac:dyDescent="0.3">
      <c r="A74" s="15"/>
      <c r="B74" s="28"/>
      <c r="C74" s="29" t="s">
        <v>65</v>
      </c>
      <c r="D74" s="30"/>
      <c r="E74" s="16">
        <v>1</v>
      </c>
      <c r="F74" s="16">
        <v>1</v>
      </c>
      <c r="G74" s="16">
        <v>1</v>
      </c>
      <c r="H74" s="16">
        <v>0</v>
      </c>
      <c r="I74" s="16">
        <v>1</v>
      </c>
      <c r="J74" s="16">
        <v>0</v>
      </c>
      <c r="K74" s="16">
        <v>1</v>
      </c>
      <c r="L74" s="16">
        <v>0</v>
      </c>
      <c r="M74" s="16">
        <v>3</v>
      </c>
      <c r="N74" s="16">
        <v>2</v>
      </c>
      <c r="O74" s="16">
        <v>3</v>
      </c>
      <c r="P74" s="16">
        <v>0</v>
      </c>
      <c r="Q74" s="16">
        <v>0</v>
      </c>
      <c r="R74" s="16">
        <v>0</v>
      </c>
      <c r="S74" s="13">
        <f t="shared" si="17"/>
        <v>13</v>
      </c>
    </row>
    <row r="75" spans="1:19" ht="12.75" customHeight="1" x14ac:dyDescent="0.3">
      <c r="A75" s="15"/>
      <c r="B75" s="28"/>
      <c r="C75" s="29" t="s">
        <v>66</v>
      </c>
      <c r="D75" s="30"/>
      <c r="E75" s="16">
        <v>0</v>
      </c>
      <c r="F75" s="16">
        <v>0</v>
      </c>
      <c r="G75" s="16">
        <v>1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1</v>
      </c>
      <c r="N75" s="16">
        <v>0</v>
      </c>
      <c r="O75" s="16">
        <v>0</v>
      </c>
      <c r="P75" s="16">
        <v>0</v>
      </c>
      <c r="Q75" s="16">
        <v>0</v>
      </c>
      <c r="R75" s="16">
        <v>1</v>
      </c>
      <c r="S75" s="13">
        <f t="shared" si="17"/>
        <v>3</v>
      </c>
    </row>
    <row r="76" spans="1:19" ht="12.75" customHeight="1" x14ac:dyDescent="0.3">
      <c r="A76" s="15"/>
      <c r="B76" s="28"/>
      <c r="C76" s="29" t="s">
        <v>67</v>
      </c>
      <c r="D76" s="30"/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1</v>
      </c>
      <c r="N76" s="16">
        <v>0</v>
      </c>
      <c r="O76" s="16">
        <v>0</v>
      </c>
      <c r="P76" s="16">
        <v>1</v>
      </c>
      <c r="Q76" s="16">
        <v>0</v>
      </c>
      <c r="R76" s="16">
        <v>0</v>
      </c>
      <c r="S76" s="13">
        <f t="shared" si="17"/>
        <v>2</v>
      </c>
    </row>
    <row r="77" spans="1:19" ht="12.75" customHeight="1" x14ac:dyDescent="0.3">
      <c r="A77" s="15"/>
      <c r="B77" s="28"/>
      <c r="C77" s="29" t="s">
        <v>68</v>
      </c>
      <c r="D77" s="30"/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1</v>
      </c>
      <c r="R77" s="16">
        <v>0</v>
      </c>
      <c r="S77" s="13">
        <f t="shared" si="17"/>
        <v>1</v>
      </c>
    </row>
    <row r="78" spans="1:19" ht="12.75" customHeight="1" x14ac:dyDescent="0.3">
      <c r="A78" s="15"/>
      <c r="B78" s="28"/>
      <c r="C78" s="29" t="s">
        <v>69</v>
      </c>
      <c r="D78" s="30"/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1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3">
        <f t="shared" si="17"/>
        <v>1</v>
      </c>
    </row>
    <row r="79" spans="1:19" ht="12.75" customHeight="1" x14ac:dyDescent="0.3">
      <c r="A79" s="16" t="s">
        <v>15</v>
      </c>
      <c r="B79" s="59" t="s">
        <v>49</v>
      </c>
      <c r="C79" s="60"/>
      <c r="D79" s="58"/>
      <c r="E79" s="13">
        <f t="shared" ref="E79:S79" si="18">SUM(E69:E78)</f>
        <v>12</v>
      </c>
      <c r="F79" s="13">
        <f t="shared" si="18"/>
        <v>9</v>
      </c>
      <c r="G79" s="13">
        <f t="shared" si="18"/>
        <v>12</v>
      </c>
      <c r="H79" s="13">
        <f t="shared" si="18"/>
        <v>10</v>
      </c>
      <c r="I79" s="13">
        <f t="shared" si="18"/>
        <v>23</v>
      </c>
      <c r="J79" s="13">
        <f t="shared" si="18"/>
        <v>15</v>
      </c>
      <c r="K79" s="13">
        <f t="shared" si="18"/>
        <v>23</v>
      </c>
      <c r="L79" s="13">
        <f t="shared" si="18"/>
        <v>2</v>
      </c>
      <c r="M79" s="13">
        <f t="shared" si="18"/>
        <v>34</v>
      </c>
      <c r="N79" s="13">
        <f t="shared" si="18"/>
        <v>37</v>
      </c>
      <c r="O79" s="13">
        <f t="shared" si="18"/>
        <v>47</v>
      </c>
      <c r="P79" s="13">
        <f t="shared" si="18"/>
        <v>24</v>
      </c>
      <c r="Q79" s="13">
        <f t="shared" si="18"/>
        <v>6</v>
      </c>
      <c r="R79" s="13">
        <f t="shared" si="18"/>
        <v>4</v>
      </c>
      <c r="S79" s="13">
        <f t="shared" si="18"/>
        <v>258</v>
      </c>
    </row>
    <row r="80" spans="1:19" ht="12.75" customHeight="1" x14ac:dyDescent="0.3">
      <c r="A80" s="55"/>
      <c r="B80" s="56"/>
      <c r="C80" s="56"/>
      <c r="D80" s="56"/>
      <c r="E80" s="56"/>
    </row>
    <row r="81" spans="1:19" ht="12.75" customHeight="1" x14ac:dyDescent="0.3">
      <c r="A81" s="20" t="s">
        <v>37</v>
      </c>
      <c r="B81" s="27" t="s">
        <v>23</v>
      </c>
      <c r="C81" s="57" t="s">
        <v>70</v>
      </c>
      <c r="D81" s="58"/>
      <c r="E81" s="16">
        <v>1</v>
      </c>
      <c r="F81" s="16">
        <v>6</v>
      </c>
      <c r="G81" s="16">
        <v>2</v>
      </c>
      <c r="H81" s="16">
        <v>4</v>
      </c>
      <c r="I81" s="16">
        <v>3</v>
      </c>
      <c r="J81" s="16">
        <v>2</v>
      </c>
      <c r="K81" s="16">
        <v>7</v>
      </c>
      <c r="L81" s="16">
        <v>8</v>
      </c>
      <c r="M81" s="16">
        <v>0</v>
      </c>
      <c r="N81" s="16">
        <v>2</v>
      </c>
      <c r="O81" s="16">
        <v>1</v>
      </c>
      <c r="P81" s="16">
        <v>2</v>
      </c>
      <c r="Q81" s="16">
        <v>0</v>
      </c>
      <c r="R81" s="16">
        <v>1</v>
      </c>
      <c r="S81" s="13">
        <f t="shared" ref="S81:S90" si="19">SUM(E81:R81)</f>
        <v>39</v>
      </c>
    </row>
    <row r="82" spans="1:19" ht="12.75" customHeight="1" x14ac:dyDescent="0.3">
      <c r="A82" s="20" t="s">
        <v>39</v>
      </c>
      <c r="B82" s="28"/>
      <c r="C82" s="29" t="s">
        <v>71</v>
      </c>
      <c r="D82" s="30"/>
      <c r="E82" s="16">
        <v>1</v>
      </c>
      <c r="F82" s="16">
        <v>3</v>
      </c>
      <c r="G82" s="16">
        <v>1</v>
      </c>
      <c r="H82" s="16">
        <v>5</v>
      </c>
      <c r="I82" s="16">
        <v>5</v>
      </c>
      <c r="J82" s="16">
        <v>1</v>
      </c>
      <c r="K82" s="16">
        <v>25</v>
      </c>
      <c r="L82" s="16">
        <v>143</v>
      </c>
      <c r="M82" s="16">
        <v>3</v>
      </c>
      <c r="N82" s="16">
        <v>1</v>
      </c>
      <c r="O82" s="16">
        <v>0</v>
      </c>
      <c r="P82" s="16">
        <v>2</v>
      </c>
      <c r="Q82" s="16">
        <v>0</v>
      </c>
      <c r="R82" s="16">
        <v>0</v>
      </c>
      <c r="S82" s="13">
        <f t="shared" si="19"/>
        <v>190</v>
      </c>
    </row>
    <row r="83" spans="1:19" ht="12.75" customHeight="1" x14ac:dyDescent="0.3">
      <c r="A83" s="15"/>
      <c r="B83" s="28"/>
      <c r="C83" s="29" t="s">
        <v>72</v>
      </c>
      <c r="D83" s="30"/>
      <c r="E83" s="16">
        <v>1</v>
      </c>
      <c r="F83" s="16">
        <v>0</v>
      </c>
      <c r="G83" s="16">
        <v>0</v>
      </c>
      <c r="H83" s="16">
        <v>3</v>
      </c>
      <c r="I83" s="16">
        <v>0</v>
      </c>
      <c r="J83" s="16">
        <v>0</v>
      </c>
      <c r="K83" s="16">
        <v>2</v>
      </c>
      <c r="L83" s="16">
        <v>1</v>
      </c>
      <c r="M83" s="16">
        <v>1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3">
        <f t="shared" si="19"/>
        <v>8</v>
      </c>
    </row>
    <row r="84" spans="1:19" ht="12.75" customHeight="1" x14ac:dyDescent="0.3">
      <c r="A84" s="15"/>
      <c r="B84" s="28"/>
      <c r="C84" s="29" t="s">
        <v>73</v>
      </c>
      <c r="D84" s="30"/>
      <c r="E84" s="16">
        <v>1</v>
      </c>
      <c r="F84" s="16">
        <v>0</v>
      </c>
      <c r="G84" s="16">
        <v>0</v>
      </c>
      <c r="H84" s="16">
        <v>2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3">
        <f t="shared" si="19"/>
        <v>3</v>
      </c>
    </row>
    <row r="85" spans="1:19" ht="12.75" customHeight="1" x14ac:dyDescent="0.3">
      <c r="A85" s="15"/>
      <c r="B85" s="28"/>
      <c r="C85" s="29" t="s">
        <v>74</v>
      </c>
      <c r="D85" s="30"/>
      <c r="E85" s="16">
        <v>0</v>
      </c>
      <c r="F85" s="16">
        <v>1</v>
      </c>
      <c r="G85" s="16">
        <v>1</v>
      </c>
      <c r="H85" s="16">
        <v>0</v>
      </c>
      <c r="I85" s="16">
        <v>0</v>
      </c>
      <c r="J85" s="16">
        <v>0</v>
      </c>
      <c r="K85" s="16">
        <v>1</v>
      </c>
      <c r="L85" s="16">
        <v>0</v>
      </c>
      <c r="M85" s="16">
        <v>2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3">
        <f t="shared" si="19"/>
        <v>5</v>
      </c>
    </row>
    <row r="86" spans="1:19" ht="12.75" customHeight="1" x14ac:dyDescent="0.3">
      <c r="A86" s="15"/>
      <c r="B86" s="28"/>
      <c r="C86" s="29" t="s">
        <v>75</v>
      </c>
      <c r="D86" s="30"/>
      <c r="E86" s="16">
        <v>1</v>
      </c>
      <c r="F86" s="16">
        <v>15</v>
      </c>
      <c r="G86" s="16">
        <v>34</v>
      </c>
      <c r="H86" s="16">
        <v>13</v>
      </c>
      <c r="I86" s="16">
        <v>14</v>
      </c>
      <c r="J86" s="16">
        <v>6</v>
      </c>
      <c r="K86" s="16">
        <v>0</v>
      </c>
      <c r="L86" s="16">
        <v>4</v>
      </c>
      <c r="M86" s="16">
        <v>2</v>
      </c>
      <c r="N86" s="16">
        <v>0</v>
      </c>
      <c r="O86" s="16">
        <v>4</v>
      </c>
      <c r="P86" s="16">
        <v>13</v>
      </c>
      <c r="Q86" s="16">
        <v>3</v>
      </c>
      <c r="R86" s="16">
        <v>1</v>
      </c>
      <c r="S86" s="13">
        <f t="shared" si="19"/>
        <v>110</v>
      </c>
    </row>
    <row r="87" spans="1:19" ht="12.75" customHeight="1" x14ac:dyDescent="0.3">
      <c r="A87" s="15"/>
      <c r="B87" s="28"/>
      <c r="C87" s="29" t="s">
        <v>76</v>
      </c>
      <c r="D87" s="30"/>
      <c r="E87" s="16">
        <v>0</v>
      </c>
      <c r="F87" s="16">
        <v>1</v>
      </c>
      <c r="G87" s="16">
        <v>1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3">
        <f t="shared" si="19"/>
        <v>2</v>
      </c>
    </row>
    <row r="88" spans="1:19" ht="12.75" customHeight="1" x14ac:dyDescent="0.3">
      <c r="A88" s="15"/>
      <c r="B88" s="28"/>
      <c r="C88" s="29" t="s">
        <v>77</v>
      </c>
      <c r="D88" s="30"/>
      <c r="E88" s="16">
        <v>0</v>
      </c>
      <c r="F88" s="16">
        <v>0</v>
      </c>
      <c r="G88" s="16">
        <v>1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3">
        <f t="shared" si="19"/>
        <v>1</v>
      </c>
    </row>
    <row r="89" spans="1:19" ht="12.75" customHeight="1" x14ac:dyDescent="0.3">
      <c r="A89" s="15"/>
      <c r="B89" s="28"/>
      <c r="C89" s="29" t="s">
        <v>78</v>
      </c>
      <c r="D89" s="30"/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3">
        <f t="shared" si="19"/>
        <v>0</v>
      </c>
    </row>
    <row r="90" spans="1:19" ht="12.75" customHeight="1" x14ac:dyDescent="0.3">
      <c r="A90" s="15"/>
      <c r="B90" s="28"/>
      <c r="C90" s="29" t="s">
        <v>79</v>
      </c>
      <c r="D90" s="30"/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3">
        <f t="shared" si="19"/>
        <v>0</v>
      </c>
    </row>
    <row r="91" spans="1:19" ht="12.75" customHeight="1" x14ac:dyDescent="0.3">
      <c r="A91" s="16" t="s">
        <v>15</v>
      </c>
      <c r="B91" s="59" t="s">
        <v>49</v>
      </c>
      <c r="C91" s="60"/>
      <c r="D91" s="58"/>
      <c r="E91" s="13">
        <f t="shared" ref="E91:S91" si="20">SUM(E81:E90)</f>
        <v>5</v>
      </c>
      <c r="F91" s="13">
        <f t="shared" si="20"/>
        <v>26</v>
      </c>
      <c r="G91" s="13">
        <f t="shared" si="20"/>
        <v>40</v>
      </c>
      <c r="H91" s="13">
        <f t="shared" si="20"/>
        <v>27</v>
      </c>
      <c r="I91" s="13">
        <f t="shared" si="20"/>
        <v>22</v>
      </c>
      <c r="J91" s="13">
        <f t="shared" si="20"/>
        <v>9</v>
      </c>
      <c r="K91" s="13">
        <f t="shared" si="20"/>
        <v>35</v>
      </c>
      <c r="L91" s="13">
        <f t="shared" si="20"/>
        <v>156</v>
      </c>
      <c r="M91" s="13">
        <f t="shared" si="20"/>
        <v>8</v>
      </c>
      <c r="N91" s="13">
        <f t="shared" si="20"/>
        <v>3</v>
      </c>
      <c r="O91" s="13">
        <f t="shared" si="20"/>
        <v>5</v>
      </c>
      <c r="P91" s="13">
        <f t="shared" si="20"/>
        <v>17</v>
      </c>
      <c r="Q91" s="13">
        <f t="shared" si="20"/>
        <v>3</v>
      </c>
      <c r="R91" s="13">
        <f t="shared" si="20"/>
        <v>2</v>
      </c>
      <c r="S91" s="13">
        <f t="shared" si="20"/>
        <v>358</v>
      </c>
    </row>
    <row r="92" spans="1:19" ht="12.75" customHeight="1" x14ac:dyDescent="0.3">
      <c r="A92" s="55"/>
      <c r="B92" s="56"/>
      <c r="C92" s="56"/>
      <c r="D92" s="56"/>
      <c r="E92" s="56"/>
    </row>
    <row r="93" spans="1:19" ht="12.75" customHeight="1" x14ac:dyDescent="0.3">
      <c r="A93" s="20" t="s">
        <v>37</v>
      </c>
      <c r="B93" s="27" t="s">
        <v>80</v>
      </c>
      <c r="C93" s="57" t="s">
        <v>81</v>
      </c>
      <c r="D93" s="58"/>
      <c r="E93" s="16">
        <v>1</v>
      </c>
      <c r="F93" s="16">
        <v>1</v>
      </c>
      <c r="G93" s="16">
        <v>0</v>
      </c>
      <c r="H93" s="16">
        <v>2</v>
      </c>
      <c r="I93" s="16">
        <v>1</v>
      </c>
      <c r="J93" s="16">
        <v>0</v>
      </c>
      <c r="K93" s="16">
        <v>0</v>
      </c>
      <c r="L93" s="16">
        <v>0</v>
      </c>
      <c r="M93" s="16">
        <v>0</v>
      </c>
      <c r="N93" s="16">
        <v>1</v>
      </c>
      <c r="O93" s="16">
        <v>2</v>
      </c>
      <c r="P93" s="16">
        <v>1</v>
      </c>
      <c r="Q93" s="16">
        <v>0</v>
      </c>
      <c r="R93" s="16">
        <v>0</v>
      </c>
      <c r="S93" s="13">
        <f t="shared" ref="S93:S102" si="21">SUM(E93:R93)</f>
        <v>9</v>
      </c>
    </row>
    <row r="94" spans="1:19" ht="12.75" customHeight="1" x14ac:dyDescent="0.3">
      <c r="A94" s="20" t="s">
        <v>39</v>
      </c>
      <c r="B94" s="28"/>
      <c r="C94" s="29" t="s">
        <v>82</v>
      </c>
      <c r="D94" s="35"/>
      <c r="E94" s="16">
        <v>1</v>
      </c>
      <c r="F94" s="16">
        <v>1</v>
      </c>
      <c r="G94" s="16">
        <v>2</v>
      </c>
      <c r="H94" s="16">
        <v>1</v>
      </c>
      <c r="I94" s="16">
        <v>1</v>
      </c>
      <c r="J94" s="16">
        <v>1</v>
      </c>
      <c r="K94" s="16">
        <v>0</v>
      </c>
      <c r="L94" s="16">
        <v>0</v>
      </c>
      <c r="M94" s="16">
        <v>10</v>
      </c>
      <c r="N94" s="16">
        <v>2</v>
      </c>
      <c r="O94" s="16">
        <v>5</v>
      </c>
      <c r="P94" s="16">
        <v>2</v>
      </c>
      <c r="Q94" s="16">
        <v>6</v>
      </c>
      <c r="R94" s="16">
        <v>4</v>
      </c>
      <c r="S94" s="13">
        <f t="shared" si="21"/>
        <v>36</v>
      </c>
    </row>
    <row r="95" spans="1:19" ht="12.75" customHeight="1" x14ac:dyDescent="0.3">
      <c r="A95" s="15"/>
      <c r="B95" s="28"/>
      <c r="C95" s="29" t="s">
        <v>83</v>
      </c>
      <c r="D95" s="35"/>
      <c r="E95" s="16">
        <v>0</v>
      </c>
      <c r="F95" s="16">
        <v>0</v>
      </c>
      <c r="G95" s="16">
        <v>0</v>
      </c>
      <c r="H95" s="16">
        <v>1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1</v>
      </c>
      <c r="P95" s="16">
        <v>1</v>
      </c>
      <c r="Q95" s="16">
        <v>1</v>
      </c>
      <c r="R95" s="16">
        <v>0</v>
      </c>
      <c r="S95" s="13">
        <f t="shared" si="21"/>
        <v>4</v>
      </c>
    </row>
    <row r="96" spans="1:19" ht="12.75" customHeight="1" x14ac:dyDescent="0.3">
      <c r="A96" s="15"/>
      <c r="B96" s="28"/>
      <c r="C96" s="29" t="s">
        <v>84</v>
      </c>
      <c r="D96" s="35"/>
      <c r="E96" s="16">
        <v>1</v>
      </c>
      <c r="F96" s="16">
        <v>0</v>
      </c>
      <c r="G96" s="16">
        <v>0</v>
      </c>
      <c r="H96" s="16">
        <v>0</v>
      </c>
      <c r="I96" s="16">
        <v>1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3">
        <f t="shared" si="21"/>
        <v>2</v>
      </c>
    </row>
    <row r="97" spans="1:19" ht="12.75" customHeight="1" x14ac:dyDescent="0.3">
      <c r="A97" s="15"/>
      <c r="B97" s="28"/>
      <c r="C97" s="29" t="s">
        <v>85</v>
      </c>
      <c r="D97" s="35"/>
      <c r="E97" s="16">
        <v>0</v>
      </c>
      <c r="F97" s="16">
        <v>0</v>
      </c>
      <c r="G97" s="16">
        <v>0</v>
      </c>
      <c r="H97" s="16">
        <v>1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1</v>
      </c>
      <c r="P97" s="16">
        <v>0</v>
      </c>
      <c r="Q97" s="16">
        <v>0</v>
      </c>
      <c r="R97" s="16">
        <v>0</v>
      </c>
      <c r="S97" s="13">
        <f t="shared" si="21"/>
        <v>2</v>
      </c>
    </row>
    <row r="98" spans="1:19" ht="12.75" customHeight="1" x14ac:dyDescent="0.3">
      <c r="A98" s="15"/>
      <c r="B98" s="28"/>
      <c r="C98" s="29" t="s">
        <v>86</v>
      </c>
      <c r="D98" s="30"/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3">
        <f t="shared" si="21"/>
        <v>0</v>
      </c>
    </row>
    <row r="99" spans="1:19" ht="12.75" customHeight="1" x14ac:dyDescent="0.3">
      <c r="A99" s="15"/>
      <c r="B99" s="28"/>
      <c r="C99" s="29" t="s">
        <v>87</v>
      </c>
      <c r="D99" s="30"/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3">
        <f t="shared" si="21"/>
        <v>0</v>
      </c>
    </row>
    <row r="100" spans="1:19" ht="12.75" customHeight="1" x14ac:dyDescent="0.3">
      <c r="A100" s="15"/>
      <c r="B100" s="28"/>
      <c r="C100" s="29" t="s">
        <v>88</v>
      </c>
      <c r="D100" s="35"/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3">
        <f t="shared" si="21"/>
        <v>0</v>
      </c>
    </row>
    <row r="101" spans="1:19" ht="12.75" customHeight="1" x14ac:dyDescent="0.3">
      <c r="A101" s="15"/>
      <c r="B101" s="28"/>
      <c r="C101" s="29" t="s">
        <v>89</v>
      </c>
      <c r="D101" s="35"/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1</v>
      </c>
      <c r="R101" s="16">
        <v>0</v>
      </c>
      <c r="S101" s="13">
        <f t="shared" si="21"/>
        <v>1</v>
      </c>
    </row>
    <row r="102" spans="1:19" ht="12.75" customHeight="1" x14ac:dyDescent="0.3">
      <c r="A102" s="15"/>
      <c r="B102" s="28"/>
      <c r="C102" s="29" t="s">
        <v>90</v>
      </c>
      <c r="D102" s="35"/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1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3">
        <f t="shared" si="21"/>
        <v>1</v>
      </c>
    </row>
    <row r="103" spans="1:19" ht="12.75" customHeight="1" x14ac:dyDescent="0.3">
      <c r="A103" s="16" t="s">
        <v>15</v>
      </c>
      <c r="B103" s="59" t="s">
        <v>49</v>
      </c>
      <c r="C103" s="60"/>
      <c r="D103" s="58"/>
      <c r="E103" s="13">
        <f t="shared" ref="E103:S103" si="22">SUM(E93:E102)</f>
        <v>3</v>
      </c>
      <c r="F103" s="13">
        <f t="shared" si="22"/>
        <v>2</v>
      </c>
      <c r="G103" s="13">
        <f t="shared" si="22"/>
        <v>2</v>
      </c>
      <c r="H103" s="13">
        <f t="shared" si="22"/>
        <v>5</v>
      </c>
      <c r="I103" s="13">
        <f t="shared" si="22"/>
        <v>3</v>
      </c>
      <c r="J103" s="13">
        <f t="shared" si="22"/>
        <v>1</v>
      </c>
      <c r="K103" s="13">
        <f t="shared" si="22"/>
        <v>0</v>
      </c>
      <c r="L103" s="13">
        <f t="shared" si="22"/>
        <v>0</v>
      </c>
      <c r="M103" s="13">
        <f t="shared" si="22"/>
        <v>11</v>
      </c>
      <c r="N103" s="13">
        <f t="shared" si="22"/>
        <v>3</v>
      </c>
      <c r="O103" s="13">
        <f t="shared" si="22"/>
        <v>9</v>
      </c>
      <c r="P103" s="13">
        <f t="shared" si="22"/>
        <v>4</v>
      </c>
      <c r="Q103" s="13">
        <f t="shared" si="22"/>
        <v>8</v>
      </c>
      <c r="R103" s="13">
        <f t="shared" si="22"/>
        <v>4</v>
      </c>
      <c r="S103" s="13">
        <f t="shared" si="22"/>
        <v>55</v>
      </c>
    </row>
    <row r="104" spans="1:19" ht="12.75" customHeight="1" x14ac:dyDescent="0.3">
      <c r="A104" s="55"/>
      <c r="B104" s="56"/>
      <c r="C104" s="56"/>
      <c r="D104" s="56"/>
      <c r="E104" s="56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</row>
    <row r="105" spans="1:19" ht="12.75" customHeight="1" x14ac:dyDescent="0.3">
      <c r="A105" s="20" t="s">
        <v>37</v>
      </c>
      <c r="B105" s="27" t="s">
        <v>91</v>
      </c>
      <c r="C105" s="57" t="s">
        <v>92</v>
      </c>
      <c r="D105" s="58"/>
      <c r="E105" s="16">
        <v>1</v>
      </c>
      <c r="F105" s="16">
        <v>1</v>
      </c>
      <c r="G105" s="16">
        <v>2</v>
      </c>
      <c r="H105" s="16">
        <v>0</v>
      </c>
      <c r="I105" s="16">
        <v>1</v>
      </c>
      <c r="J105" s="16">
        <v>5</v>
      </c>
      <c r="K105" s="16">
        <v>1</v>
      </c>
      <c r="L105" s="16">
        <v>0</v>
      </c>
      <c r="M105" s="16">
        <v>0</v>
      </c>
      <c r="N105" s="16">
        <v>1</v>
      </c>
      <c r="O105" s="16">
        <v>0</v>
      </c>
      <c r="P105" s="16">
        <v>0</v>
      </c>
      <c r="Q105" s="16">
        <v>0</v>
      </c>
      <c r="R105" s="16">
        <v>0</v>
      </c>
      <c r="S105" s="13">
        <f t="shared" ref="S105:S114" si="23">SUM(E105:R105)</f>
        <v>12</v>
      </c>
    </row>
    <row r="106" spans="1:19" ht="12.75" customHeight="1" x14ac:dyDescent="0.3">
      <c r="A106" s="20" t="s">
        <v>39</v>
      </c>
      <c r="B106" s="28"/>
      <c r="C106" s="29" t="s">
        <v>93</v>
      </c>
      <c r="D106" s="30"/>
      <c r="E106" s="16">
        <v>0</v>
      </c>
      <c r="F106" s="16">
        <v>0</v>
      </c>
      <c r="G106" s="16">
        <v>1</v>
      </c>
      <c r="H106" s="16">
        <v>0</v>
      </c>
      <c r="I106" s="16">
        <v>1</v>
      </c>
      <c r="J106" s="16">
        <v>0</v>
      </c>
      <c r="K106" s="16">
        <v>1</v>
      </c>
      <c r="L106" s="16">
        <v>0</v>
      </c>
      <c r="M106" s="16">
        <v>1</v>
      </c>
      <c r="N106" s="16">
        <v>1</v>
      </c>
      <c r="O106" s="16">
        <v>0</v>
      </c>
      <c r="P106" s="16">
        <v>0</v>
      </c>
      <c r="Q106" s="16">
        <v>0</v>
      </c>
      <c r="R106" s="16">
        <v>0</v>
      </c>
      <c r="S106" s="13">
        <f t="shared" si="23"/>
        <v>5</v>
      </c>
    </row>
    <row r="107" spans="1:19" ht="12.75" customHeight="1" x14ac:dyDescent="0.3">
      <c r="A107" s="15"/>
      <c r="B107" s="28"/>
      <c r="C107" s="29" t="s">
        <v>94</v>
      </c>
      <c r="D107" s="30"/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1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3">
        <f t="shared" si="23"/>
        <v>1</v>
      </c>
    </row>
    <row r="108" spans="1:19" ht="12.75" customHeight="1" x14ac:dyDescent="0.3">
      <c r="A108" s="15"/>
      <c r="B108" s="36"/>
      <c r="C108" s="37"/>
      <c r="D108" s="38"/>
      <c r="E108" s="52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3">
        <f t="shared" si="23"/>
        <v>0</v>
      </c>
    </row>
    <row r="109" spans="1:19" ht="12.75" customHeight="1" x14ac:dyDescent="0.3">
      <c r="A109" s="15"/>
      <c r="B109" s="36"/>
      <c r="C109" s="37"/>
      <c r="D109" s="38"/>
      <c r="E109" s="52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3">
        <f t="shared" si="23"/>
        <v>0</v>
      </c>
    </row>
    <row r="110" spans="1:19" ht="12.75" customHeight="1" x14ac:dyDescent="0.3">
      <c r="A110" s="15"/>
      <c r="B110" s="36"/>
      <c r="C110" s="37"/>
      <c r="D110" s="38"/>
      <c r="E110" s="52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3">
        <f t="shared" si="23"/>
        <v>0</v>
      </c>
    </row>
    <row r="111" spans="1:19" ht="12.75" customHeight="1" x14ac:dyDescent="0.3">
      <c r="A111" s="15"/>
      <c r="B111" s="36"/>
      <c r="C111" s="37"/>
      <c r="D111" s="38"/>
      <c r="E111" s="52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3">
        <f t="shared" si="23"/>
        <v>0</v>
      </c>
    </row>
    <row r="112" spans="1:19" ht="12.75" customHeight="1" x14ac:dyDescent="0.3">
      <c r="A112" s="15"/>
      <c r="B112" s="36"/>
      <c r="C112" s="37"/>
      <c r="D112" s="38"/>
      <c r="E112" s="52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3">
        <f t="shared" si="23"/>
        <v>0</v>
      </c>
    </row>
    <row r="113" spans="1:19" ht="12.75" customHeight="1" x14ac:dyDescent="0.3">
      <c r="A113" s="15"/>
      <c r="B113" s="36"/>
      <c r="C113" s="37"/>
      <c r="D113" s="38"/>
      <c r="E113" s="52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3">
        <f t="shared" si="23"/>
        <v>0</v>
      </c>
    </row>
    <row r="114" spans="1:19" ht="12.75" customHeight="1" x14ac:dyDescent="0.3">
      <c r="A114" s="15"/>
      <c r="B114" s="36"/>
      <c r="C114" s="37"/>
      <c r="D114" s="38"/>
      <c r="E114" s="52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3">
        <f t="shared" si="23"/>
        <v>0</v>
      </c>
    </row>
    <row r="115" spans="1:19" ht="12.75" customHeight="1" x14ac:dyDescent="0.3">
      <c r="A115" s="16" t="s">
        <v>15</v>
      </c>
      <c r="B115" s="59" t="s">
        <v>49</v>
      </c>
      <c r="C115" s="60"/>
      <c r="D115" s="58"/>
      <c r="E115" s="13">
        <f t="shared" ref="E115:S115" si="24">SUM(E105:E114)</f>
        <v>1</v>
      </c>
      <c r="F115" s="13">
        <f t="shared" si="24"/>
        <v>1</v>
      </c>
      <c r="G115" s="13">
        <f t="shared" si="24"/>
        <v>3</v>
      </c>
      <c r="H115" s="13">
        <f t="shared" si="24"/>
        <v>0</v>
      </c>
      <c r="I115" s="13">
        <f t="shared" si="24"/>
        <v>2</v>
      </c>
      <c r="J115" s="13">
        <f t="shared" si="24"/>
        <v>5</v>
      </c>
      <c r="K115" s="13">
        <f t="shared" si="24"/>
        <v>2</v>
      </c>
      <c r="L115" s="13">
        <f t="shared" si="24"/>
        <v>0</v>
      </c>
      <c r="M115" s="13">
        <f t="shared" si="24"/>
        <v>2</v>
      </c>
      <c r="N115" s="13">
        <f t="shared" si="24"/>
        <v>2</v>
      </c>
      <c r="O115" s="13">
        <f t="shared" si="24"/>
        <v>0</v>
      </c>
      <c r="P115" s="13">
        <f t="shared" si="24"/>
        <v>0</v>
      </c>
      <c r="Q115" s="13">
        <f t="shared" si="24"/>
        <v>0</v>
      </c>
      <c r="R115" s="13">
        <f t="shared" si="24"/>
        <v>0</v>
      </c>
      <c r="S115" s="13">
        <f t="shared" si="24"/>
        <v>18</v>
      </c>
    </row>
    <row r="116" spans="1:19" ht="12.75" customHeight="1" x14ac:dyDescent="0.3">
      <c r="A116" s="61"/>
      <c r="B116" s="60"/>
      <c r="C116" s="60"/>
      <c r="D116" s="60"/>
      <c r="E116" s="58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13"/>
    </row>
    <row r="117" spans="1:19" ht="12.75" customHeight="1" x14ac:dyDescent="0.3">
      <c r="A117" s="20" t="s">
        <v>37</v>
      </c>
      <c r="B117" s="27" t="s">
        <v>95</v>
      </c>
      <c r="C117" s="57" t="s">
        <v>96</v>
      </c>
      <c r="D117" s="58"/>
      <c r="E117" s="16">
        <v>2</v>
      </c>
      <c r="F117" s="16">
        <v>0</v>
      </c>
      <c r="G117" s="16">
        <v>0</v>
      </c>
      <c r="H117" s="16">
        <v>0</v>
      </c>
      <c r="I117" s="16">
        <v>0</v>
      </c>
      <c r="J117" s="16">
        <v>1</v>
      </c>
      <c r="K117" s="16">
        <v>0</v>
      </c>
      <c r="L117" s="16">
        <v>0</v>
      </c>
      <c r="M117" s="16">
        <v>1</v>
      </c>
      <c r="N117" s="16">
        <v>0</v>
      </c>
      <c r="O117" s="16">
        <v>1</v>
      </c>
      <c r="P117" s="16">
        <v>1</v>
      </c>
      <c r="Q117" s="16">
        <v>1</v>
      </c>
      <c r="R117" s="16">
        <v>0</v>
      </c>
      <c r="S117" s="13">
        <f t="shared" ref="S117:S126" si="25">SUM(E117:R117)</f>
        <v>7</v>
      </c>
    </row>
    <row r="118" spans="1:19" ht="12.75" customHeight="1" x14ac:dyDescent="0.3">
      <c r="A118" s="20" t="s">
        <v>39</v>
      </c>
      <c r="B118" s="28"/>
      <c r="C118" s="29" t="s">
        <v>97</v>
      </c>
      <c r="D118" s="30"/>
      <c r="E118" s="16">
        <v>0</v>
      </c>
      <c r="F118" s="16">
        <v>0</v>
      </c>
      <c r="G118" s="16">
        <v>0</v>
      </c>
      <c r="H118" s="16">
        <v>0</v>
      </c>
      <c r="I118" s="16">
        <v>1</v>
      </c>
      <c r="J118" s="16">
        <v>0</v>
      </c>
      <c r="K118" s="16">
        <v>0</v>
      </c>
      <c r="L118" s="16">
        <v>0</v>
      </c>
      <c r="M118" s="16">
        <v>1</v>
      </c>
      <c r="N118" s="16">
        <v>1</v>
      </c>
      <c r="O118" s="16">
        <v>0</v>
      </c>
      <c r="P118" s="16">
        <v>0</v>
      </c>
      <c r="Q118" s="16">
        <v>0</v>
      </c>
      <c r="R118" s="16">
        <v>0</v>
      </c>
      <c r="S118" s="13">
        <f t="shared" si="25"/>
        <v>3</v>
      </c>
    </row>
    <row r="119" spans="1:19" ht="12.75" customHeight="1" x14ac:dyDescent="0.3">
      <c r="A119" s="15"/>
      <c r="B119" s="28"/>
      <c r="C119" s="29" t="s">
        <v>98</v>
      </c>
      <c r="D119" s="30"/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3">
        <f t="shared" si="25"/>
        <v>0</v>
      </c>
    </row>
    <row r="120" spans="1:19" ht="12.75" customHeight="1" x14ac:dyDescent="0.3">
      <c r="A120" s="15"/>
      <c r="B120" s="28"/>
      <c r="C120" s="29" t="s">
        <v>99</v>
      </c>
      <c r="D120" s="30"/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1</v>
      </c>
      <c r="R120" s="16">
        <v>0</v>
      </c>
      <c r="S120" s="13">
        <f t="shared" si="25"/>
        <v>1</v>
      </c>
    </row>
    <row r="121" spans="1:19" ht="12.75" customHeight="1" x14ac:dyDescent="0.3">
      <c r="A121" s="15"/>
      <c r="B121" s="28"/>
      <c r="C121" s="29" t="s">
        <v>100</v>
      </c>
      <c r="D121" s="30"/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3">
        <f t="shared" si="25"/>
        <v>0</v>
      </c>
    </row>
    <row r="122" spans="1:19" ht="12.75" customHeight="1" x14ac:dyDescent="0.3">
      <c r="A122" s="15"/>
      <c r="B122" s="28"/>
      <c r="C122" s="29" t="s">
        <v>101</v>
      </c>
      <c r="D122" s="30"/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3">
        <f t="shared" si="25"/>
        <v>0</v>
      </c>
    </row>
    <row r="123" spans="1:19" ht="12.75" customHeight="1" x14ac:dyDescent="0.3">
      <c r="A123" s="15"/>
      <c r="B123" s="36"/>
      <c r="C123" s="37"/>
      <c r="D123" s="40"/>
      <c r="E123" s="41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13">
        <f t="shared" si="25"/>
        <v>0</v>
      </c>
    </row>
    <row r="124" spans="1:19" ht="12.75" customHeight="1" x14ac:dyDescent="0.3">
      <c r="A124" s="15"/>
      <c r="B124" s="36"/>
      <c r="C124" s="37"/>
      <c r="D124" s="38"/>
      <c r="E124" s="41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13">
        <f t="shared" si="25"/>
        <v>0</v>
      </c>
    </row>
    <row r="125" spans="1:19" ht="12.75" customHeight="1" x14ac:dyDescent="0.3">
      <c r="A125" s="15"/>
      <c r="B125" s="36"/>
      <c r="C125" s="37"/>
      <c r="D125" s="38"/>
      <c r="E125" s="41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13">
        <f t="shared" si="25"/>
        <v>0</v>
      </c>
    </row>
    <row r="126" spans="1:19" ht="12.75" customHeight="1" x14ac:dyDescent="0.3">
      <c r="A126" s="15"/>
      <c r="B126" s="36"/>
      <c r="C126" s="37"/>
      <c r="D126" s="38"/>
      <c r="E126" s="41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13">
        <f t="shared" si="25"/>
        <v>0</v>
      </c>
    </row>
    <row r="127" spans="1:19" ht="12.75" customHeight="1" x14ac:dyDescent="0.3">
      <c r="A127" s="16" t="s">
        <v>15</v>
      </c>
      <c r="B127" s="59" t="s">
        <v>49</v>
      </c>
      <c r="C127" s="60"/>
      <c r="D127" s="58"/>
      <c r="E127" s="13">
        <f t="shared" ref="E127:S127" si="26">SUM(E117:E126)</f>
        <v>2</v>
      </c>
      <c r="F127" s="13">
        <f t="shared" si="26"/>
        <v>0</v>
      </c>
      <c r="G127" s="13">
        <f t="shared" si="26"/>
        <v>0</v>
      </c>
      <c r="H127" s="13">
        <f t="shared" si="26"/>
        <v>0</v>
      </c>
      <c r="I127" s="13">
        <f t="shared" si="26"/>
        <v>1</v>
      </c>
      <c r="J127" s="13">
        <f t="shared" si="26"/>
        <v>1</v>
      </c>
      <c r="K127" s="13">
        <f t="shared" si="26"/>
        <v>0</v>
      </c>
      <c r="L127" s="13">
        <f t="shared" si="26"/>
        <v>0</v>
      </c>
      <c r="M127" s="13">
        <f t="shared" si="26"/>
        <v>2</v>
      </c>
      <c r="N127" s="13">
        <f t="shared" si="26"/>
        <v>1</v>
      </c>
      <c r="O127" s="13">
        <f t="shared" si="26"/>
        <v>1</v>
      </c>
      <c r="P127" s="13">
        <f t="shared" si="26"/>
        <v>1</v>
      </c>
      <c r="Q127" s="13">
        <f t="shared" si="26"/>
        <v>2</v>
      </c>
      <c r="R127" s="13">
        <f t="shared" si="26"/>
        <v>0</v>
      </c>
      <c r="S127" s="13">
        <f t="shared" si="26"/>
        <v>11</v>
      </c>
    </row>
    <row r="128" spans="1:19" ht="12.75" customHeight="1" x14ac:dyDescent="0.3">
      <c r="A128" s="61"/>
      <c r="B128" s="60"/>
      <c r="C128" s="60"/>
      <c r="D128" s="60"/>
      <c r="E128" s="58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</row>
    <row r="129" spans="1:19" ht="12.75" customHeight="1" x14ac:dyDescent="0.3">
      <c r="A129" s="20" t="s">
        <v>37</v>
      </c>
      <c r="B129" s="27" t="s">
        <v>102</v>
      </c>
      <c r="C129" s="57" t="s">
        <v>103</v>
      </c>
      <c r="D129" s="58"/>
      <c r="E129" s="16">
        <v>0</v>
      </c>
      <c r="F129" s="16">
        <v>0</v>
      </c>
      <c r="G129" s="16">
        <v>0</v>
      </c>
      <c r="H129" s="16">
        <v>1</v>
      </c>
      <c r="I129" s="16">
        <v>0</v>
      </c>
      <c r="J129" s="16">
        <v>0</v>
      </c>
      <c r="K129" s="16">
        <v>0</v>
      </c>
      <c r="L129" s="16">
        <v>0</v>
      </c>
      <c r="M129" s="16">
        <v>1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3">
        <f t="shared" ref="S129:S138" si="27">SUM(E129:R129)</f>
        <v>2</v>
      </c>
    </row>
    <row r="130" spans="1:19" ht="12.75" customHeight="1" x14ac:dyDescent="0.3">
      <c r="A130" s="20" t="s">
        <v>39</v>
      </c>
      <c r="B130" s="28"/>
      <c r="C130" s="29" t="s">
        <v>104</v>
      </c>
      <c r="D130" s="30"/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1</v>
      </c>
      <c r="K130" s="16">
        <v>0</v>
      </c>
      <c r="L130" s="16">
        <v>0</v>
      </c>
      <c r="M130" s="16">
        <v>2</v>
      </c>
      <c r="N130" s="16">
        <v>1</v>
      </c>
      <c r="O130" s="16">
        <v>0</v>
      </c>
      <c r="P130" s="16">
        <v>0</v>
      </c>
      <c r="Q130" s="16">
        <v>0</v>
      </c>
      <c r="R130" s="16">
        <v>1</v>
      </c>
      <c r="S130" s="13">
        <f t="shared" si="27"/>
        <v>5</v>
      </c>
    </row>
    <row r="131" spans="1:19" ht="12.75" customHeight="1" x14ac:dyDescent="0.3">
      <c r="A131" s="15"/>
      <c r="B131" s="28"/>
      <c r="C131" s="29" t="s">
        <v>105</v>
      </c>
      <c r="D131" s="30"/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3">
        <f t="shared" si="27"/>
        <v>0</v>
      </c>
    </row>
    <row r="132" spans="1:19" ht="12.75" customHeight="1" x14ac:dyDescent="0.3">
      <c r="A132" s="15"/>
      <c r="B132" s="28"/>
      <c r="C132" s="29" t="s">
        <v>106</v>
      </c>
      <c r="D132" s="30"/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1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3">
        <f t="shared" si="27"/>
        <v>1</v>
      </c>
    </row>
    <row r="133" spans="1:19" ht="12.75" customHeight="1" x14ac:dyDescent="0.3">
      <c r="A133" s="15"/>
      <c r="B133" s="28"/>
      <c r="C133" s="29" t="s">
        <v>107</v>
      </c>
      <c r="D133" s="30"/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1</v>
      </c>
      <c r="P133" s="16">
        <v>0</v>
      </c>
      <c r="Q133" s="16">
        <v>0</v>
      </c>
      <c r="R133" s="16">
        <v>0</v>
      </c>
      <c r="S133" s="13">
        <f t="shared" si="27"/>
        <v>1</v>
      </c>
    </row>
    <row r="134" spans="1:19" ht="12.75" customHeight="1" x14ac:dyDescent="0.3">
      <c r="A134" s="15"/>
      <c r="B134" s="28"/>
      <c r="C134" s="29" t="s">
        <v>108</v>
      </c>
      <c r="D134" s="30"/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1</v>
      </c>
      <c r="K134" s="16">
        <v>0</v>
      </c>
      <c r="L134" s="16">
        <v>0</v>
      </c>
      <c r="M134" s="16">
        <v>0</v>
      </c>
      <c r="N134" s="16">
        <v>0</v>
      </c>
      <c r="O134" s="16">
        <v>1</v>
      </c>
      <c r="P134" s="16">
        <v>0</v>
      </c>
      <c r="Q134" s="16">
        <v>0</v>
      </c>
      <c r="R134" s="16">
        <v>0</v>
      </c>
      <c r="S134" s="13">
        <f t="shared" si="27"/>
        <v>2</v>
      </c>
    </row>
    <row r="135" spans="1:19" ht="12.75" customHeight="1" x14ac:dyDescent="0.3">
      <c r="A135" s="15"/>
      <c r="B135" s="28"/>
      <c r="C135" s="29" t="s">
        <v>109</v>
      </c>
      <c r="D135" s="30"/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1</v>
      </c>
      <c r="S135" s="13">
        <f t="shared" si="27"/>
        <v>1</v>
      </c>
    </row>
    <row r="136" spans="1:19" ht="12.75" customHeight="1" x14ac:dyDescent="0.3">
      <c r="A136" s="15"/>
      <c r="B136" s="28"/>
      <c r="C136" s="29" t="s">
        <v>110</v>
      </c>
      <c r="D136" s="30"/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3">
        <f t="shared" si="27"/>
        <v>0</v>
      </c>
    </row>
    <row r="137" spans="1:19" ht="12.75" customHeight="1" x14ac:dyDescent="0.3">
      <c r="A137" s="15"/>
      <c r="B137" s="28"/>
      <c r="C137" s="29" t="s">
        <v>111</v>
      </c>
      <c r="D137" s="30"/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3">
        <f t="shared" si="27"/>
        <v>0</v>
      </c>
    </row>
    <row r="138" spans="1:19" ht="12.75" customHeight="1" x14ac:dyDescent="0.3">
      <c r="A138" s="15"/>
      <c r="B138" s="28"/>
      <c r="C138" s="29" t="s">
        <v>112</v>
      </c>
      <c r="D138" s="30"/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3">
        <f t="shared" si="27"/>
        <v>0</v>
      </c>
    </row>
    <row r="139" spans="1:19" ht="12.75" customHeight="1" x14ac:dyDescent="0.3">
      <c r="A139" s="16" t="s">
        <v>15</v>
      </c>
      <c r="B139" s="59" t="s">
        <v>49</v>
      </c>
      <c r="C139" s="60"/>
      <c r="D139" s="58"/>
      <c r="E139" s="13">
        <f t="shared" ref="E139:S139" si="28">SUM(E129:E138)</f>
        <v>0</v>
      </c>
      <c r="F139" s="13">
        <f t="shared" si="28"/>
        <v>0</v>
      </c>
      <c r="G139" s="13">
        <f t="shared" si="28"/>
        <v>0</v>
      </c>
      <c r="H139" s="13">
        <f t="shared" si="28"/>
        <v>1</v>
      </c>
      <c r="I139" s="13">
        <f t="shared" si="28"/>
        <v>0</v>
      </c>
      <c r="J139" s="13">
        <f t="shared" si="28"/>
        <v>3</v>
      </c>
      <c r="K139" s="13">
        <f t="shared" si="28"/>
        <v>0</v>
      </c>
      <c r="L139" s="13">
        <f t="shared" si="28"/>
        <v>0</v>
      </c>
      <c r="M139" s="13">
        <f t="shared" si="28"/>
        <v>3</v>
      </c>
      <c r="N139" s="13">
        <f t="shared" si="28"/>
        <v>1</v>
      </c>
      <c r="O139" s="13">
        <f t="shared" si="28"/>
        <v>2</v>
      </c>
      <c r="P139" s="13">
        <f t="shared" si="28"/>
        <v>0</v>
      </c>
      <c r="Q139" s="13">
        <f t="shared" si="28"/>
        <v>0</v>
      </c>
      <c r="R139" s="13">
        <f t="shared" si="28"/>
        <v>2</v>
      </c>
      <c r="S139" s="13">
        <f t="shared" si="28"/>
        <v>12</v>
      </c>
    </row>
    <row r="140" spans="1:19" ht="12.75" customHeight="1" x14ac:dyDescent="0.3">
      <c r="A140" s="61"/>
      <c r="B140" s="60"/>
      <c r="C140" s="60"/>
      <c r="D140" s="60"/>
      <c r="E140" s="58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</row>
    <row r="141" spans="1:19" ht="12.75" customHeight="1" x14ac:dyDescent="0.3">
      <c r="A141" s="20" t="s">
        <v>37</v>
      </c>
      <c r="B141" s="27" t="s">
        <v>113</v>
      </c>
      <c r="C141" s="57" t="s">
        <v>114</v>
      </c>
      <c r="D141" s="58"/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3">
        <f t="shared" ref="S141:S150" si="29">SUM(E141:R141)</f>
        <v>0</v>
      </c>
    </row>
    <row r="142" spans="1:19" ht="12.75" customHeight="1" x14ac:dyDescent="0.3">
      <c r="A142" s="20" t="s">
        <v>39</v>
      </c>
      <c r="B142" s="28"/>
      <c r="C142" s="29" t="s">
        <v>115</v>
      </c>
      <c r="D142" s="30"/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1</v>
      </c>
      <c r="K142" s="16">
        <v>0</v>
      </c>
      <c r="L142" s="16">
        <v>0</v>
      </c>
      <c r="M142" s="16">
        <v>0</v>
      </c>
      <c r="N142" s="16">
        <v>1</v>
      </c>
      <c r="O142" s="16">
        <v>0</v>
      </c>
      <c r="P142" s="16">
        <v>0</v>
      </c>
      <c r="Q142" s="16">
        <v>0</v>
      </c>
      <c r="R142" s="16">
        <v>0</v>
      </c>
      <c r="S142" s="13">
        <f t="shared" si="29"/>
        <v>2</v>
      </c>
    </row>
    <row r="143" spans="1:19" ht="12.75" customHeight="1" x14ac:dyDescent="0.3">
      <c r="A143" s="15"/>
      <c r="B143" s="28"/>
      <c r="C143" s="29" t="s">
        <v>116</v>
      </c>
      <c r="D143" s="30"/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3">
        <f t="shared" si="29"/>
        <v>0</v>
      </c>
    </row>
    <row r="144" spans="1:19" ht="12.75" customHeight="1" x14ac:dyDescent="0.3">
      <c r="A144" s="15"/>
      <c r="B144" s="28"/>
      <c r="C144" s="29" t="s">
        <v>117</v>
      </c>
      <c r="D144" s="30"/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3">
        <f t="shared" si="29"/>
        <v>0</v>
      </c>
    </row>
    <row r="145" spans="1:19" ht="12.75" customHeight="1" x14ac:dyDescent="0.3">
      <c r="A145" s="15"/>
      <c r="B145" s="36"/>
      <c r="C145" s="37"/>
      <c r="D145" s="40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3">
        <f t="shared" si="29"/>
        <v>0</v>
      </c>
    </row>
    <row r="146" spans="1:19" ht="12.75" customHeight="1" x14ac:dyDescent="0.3">
      <c r="A146" s="15"/>
      <c r="B146" s="36"/>
      <c r="C146" s="37"/>
      <c r="D146" s="40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3">
        <f t="shared" si="29"/>
        <v>0</v>
      </c>
    </row>
    <row r="147" spans="1:19" ht="12.75" customHeight="1" x14ac:dyDescent="0.3">
      <c r="A147" s="15"/>
      <c r="B147" s="36"/>
      <c r="C147" s="37"/>
      <c r="D147" s="40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3">
        <f t="shared" si="29"/>
        <v>0</v>
      </c>
    </row>
    <row r="148" spans="1:19" ht="12.75" customHeight="1" x14ac:dyDescent="0.3">
      <c r="A148" s="15"/>
      <c r="B148" s="36"/>
      <c r="C148" s="37"/>
      <c r="D148" s="38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3">
        <f t="shared" si="29"/>
        <v>0</v>
      </c>
    </row>
    <row r="149" spans="1:19" ht="12.75" customHeight="1" x14ac:dyDescent="0.3">
      <c r="A149" s="15"/>
      <c r="B149" s="36"/>
      <c r="C149" s="37"/>
      <c r="D149" s="38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3">
        <f t="shared" si="29"/>
        <v>0</v>
      </c>
    </row>
    <row r="150" spans="1:19" ht="12.75" customHeight="1" x14ac:dyDescent="0.3">
      <c r="A150" s="15"/>
      <c r="B150" s="36"/>
      <c r="C150" s="37"/>
      <c r="D150" s="38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3">
        <f t="shared" si="29"/>
        <v>0</v>
      </c>
    </row>
    <row r="151" spans="1:19" ht="12.75" customHeight="1" x14ac:dyDescent="0.3">
      <c r="A151" s="16" t="s">
        <v>15</v>
      </c>
      <c r="B151" s="59" t="s">
        <v>49</v>
      </c>
      <c r="C151" s="60"/>
      <c r="D151" s="58"/>
      <c r="E151" s="13">
        <f t="shared" ref="E151:S151" si="30">SUM(E141:E150)</f>
        <v>0</v>
      </c>
      <c r="F151" s="13">
        <f t="shared" si="30"/>
        <v>0</v>
      </c>
      <c r="G151" s="13">
        <f t="shared" si="30"/>
        <v>0</v>
      </c>
      <c r="H151" s="13">
        <f t="shared" si="30"/>
        <v>0</v>
      </c>
      <c r="I151" s="13">
        <f t="shared" si="30"/>
        <v>0</v>
      </c>
      <c r="J151" s="13">
        <f t="shared" si="30"/>
        <v>1</v>
      </c>
      <c r="K151" s="13">
        <f t="shared" si="30"/>
        <v>0</v>
      </c>
      <c r="L151" s="13">
        <f t="shared" si="30"/>
        <v>0</v>
      </c>
      <c r="M151" s="13">
        <f t="shared" si="30"/>
        <v>0</v>
      </c>
      <c r="N151" s="13">
        <f t="shared" si="30"/>
        <v>1</v>
      </c>
      <c r="O151" s="13">
        <f t="shared" si="30"/>
        <v>0</v>
      </c>
      <c r="P151" s="13">
        <f t="shared" si="30"/>
        <v>0</v>
      </c>
      <c r="Q151" s="13">
        <f t="shared" si="30"/>
        <v>0</v>
      </c>
      <c r="R151" s="13">
        <f t="shared" si="30"/>
        <v>0</v>
      </c>
      <c r="S151" s="13">
        <f t="shared" si="30"/>
        <v>2</v>
      </c>
    </row>
    <row r="152" spans="1:19" ht="12.75" customHeight="1" x14ac:dyDescent="0.3">
      <c r="A152" s="61"/>
      <c r="B152" s="60"/>
      <c r="C152" s="60"/>
      <c r="D152" s="60"/>
      <c r="E152" s="58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13"/>
    </row>
    <row r="153" spans="1:19" ht="12.75" customHeight="1" x14ac:dyDescent="0.3">
      <c r="A153" s="20" t="s">
        <v>37</v>
      </c>
      <c r="B153" s="14" t="s">
        <v>118</v>
      </c>
      <c r="C153" s="62" t="s">
        <v>119</v>
      </c>
      <c r="D153" s="63"/>
      <c r="E153" s="16">
        <v>0</v>
      </c>
      <c r="F153" s="16">
        <v>1</v>
      </c>
      <c r="G153" s="16">
        <v>0</v>
      </c>
      <c r="H153" s="16">
        <v>2</v>
      </c>
      <c r="I153" s="16">
        <v>2</v>
      </c>
      <c r="J153" s="16">
        <v>0</v>
      </c>
      <c r="K153" s="16">
        <v>0</v>
      </c>
      <c r="L153" s="16">
        <v>0</v>
      </c>
      <c r="M153" s="16">
        <v>0</v>
      </c>
      <c r="N153" s="16">
        <v>1</v>
      </c>
      <c r="O153" s="16">
        <v>0</v>
      </c>
      <c r="P153" s="16">
        <v>1</v>
      </c>
      <c r="Q153" s="16">
        <v>0</v>
      </c>
      <c r="R153" s="16">
        <v>0</v>
      </c>
      <c r="S153" s="13">
        <f t="shared" ref="S153:S156" si="31">SUM(E154:R154)</f>
        <v>5</v>
      </c>
    </row>
    <row r="154" spans="1:19" ht="12.75" customHeight="1" x14ac:dyDescent="0.3">
      <c r="A154" s="42" t="s">
        <v>39</v>
      </c>
      <c r="B154" s="28"/>
      <c r="C154" s="29" t="s">
        <v>120</v>
      </c>
      <c r="D154" s="30"/>
      <c r="E154" s="53">
        <v>0</v>
      </c>
      <c r="F154" s="16">
        <v>2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1</v>
      </c>
      <c r="O154" s="16">
        <v>0</v>
      </c>
      <c r="P154" s="16">
        <v>0</v>
      </c>
      <c r="Q154" s="16">
        <v>2</v>
      </c>
      <c r="R154" s="16">
        <v>0</v>
      </c>
      <c r="S154" s="13">
        <f t="shared" si="31"/>
        <v>8</v>
      </c>
    </row>
    <row r="155" spans="1:19" ht="12.75" customHeight="1" x14ac:dyDescent="0.3">
      <c r="A155" s="15"/>
      <c r="B155" s="28"/>
      <c r="C155" s="29" t="s">
        <v>121</v>
      </c>
      <c r="D155" s="30"/>
      <c r="E155" s="53">
        <v>0</v>
      </c>
      <c r="F155" s="16">
        <v>3</v>
      </c>
      <c r="G155" s="16">
        <v>1</v>
      </c>
      <c r="H155" s="16">
        <v>0</v>
      </c>
      <c r="I155" s="16">
        <v>1</v>
      </c>
      <c r="J155" s="16">
        <v>0</v>
      </c>
      <c r="K155" s="16">
        <v>0</v>
      </c>
      <c r="L155" s="16">
        <v>0</v>
      </c>
      <c r="M155" s="16">
        <v>0</v>
      </c>
      <c r="N155" s="16">
        <v>2</v>
      </c>
      <c r="O155" s="16">
        <v>0</v>
      </c>
      <c r="P155" s="16">
        <v>0</v>
      </c>
      <c r="Q155" s="16">
        <v>1</v>
      </c>
      <c r="R155" s="16">
        <v>0</v>
      </c>
      <c r="S155" s="13">
        <f t="shared" si="31"/>
        <v>2</v>
      </c>
    </row>
    <row r="156" spans="1:19" ht="12.75" customHeight="1" x14ac:dyDescent="0.3">
      <c r="A156" s="15"/>
      <c r="B156" s="28"/>
      <c r="C156" s="29" t="s">
        <v>122</v>
      </c>
      <c r="D156" s="30"/>
      <c r="E156" s="53">
        <v>0</v>
      </c>
      <c r="F156" s="16">
        <v>1</v>
      </c>
      <c r="G156" s="16">
        <v>1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3">
        <f t="shared" si="31"/>
        <v>1</v>
      </c>
    </row>
    <row r="157" spans="1:19" ht="12.75" customHeight="1" x14ac:dyDescent="0.3">
      <c r="A157" s="15"/>
      <c r="B157" s="28"/>
      <c r="C157" s="29" t="s">
        <v>123</v>
      </c>
      <c r="D157" s="30"/>
      <c r="E157" s="53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1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3">
        <f t="shared" ref="S157:S162" si="32">SUM(E163:R163)</f>
        <v>32</v>
      </c>
    </row>
    <row r="158" spans="1:19" ht="12.75" customHeight="1" x14ac:dyDescent="0.3">
      <c r="A158" s="15"/>
      <c r="B158" s="28"/>
      <c r="C158" s="29" t="s">
        <v>124</v>
      </c>
      <c r="D158" s="30"/>
      <c r="E158" s="53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3">
        <f t="shared" si="32"/>
        <v>0</v>
      </c>
    </row>
    <row r="159" spans="1:19" ht="12.75" customHeight="1" x14ac:dyDescent="0.3">
      <c r="A159" s="15"/>
      <c r="B159" s="28"/>
      <c r="C159" s="29" t="s">
        <v>125</v>
      </c>
      <c r="D159" s="30"/>
      <c r="E159" s="53">
        <v>0</v>
      </c>
      <c r="F159" s="16">
        <v>0</v>
      </c>
      <c r="G159" s="16">
        <v>1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8</v>
      </c>
      <c r="R159" s="16">
        <v>0</v>
      </c>
      <c r="S159" s="13">
        <f t="shared" si="32"/>
        <v>3</v>
      </c>
    </row>
    <row r="160" spans="1:19" ht="12.75" customHeight="1" x14ac:dyDescent="0.3">
      <c r="A160" s="15"/>
      <c r="B160" s="28"/>
      <c r="C160" s="29" t="s">
        <v>126</v>
      </c>
      <c r="D160" s="30"/>
      <c r="E160" s="53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3">
        <f t="shared" si="32"/>
        <v>3</v>
      </c>
    </row>
    <row r="161" spans="1:19" ht="12.75" customHeight="1" x14ac:dyDescent="0.3">
      <c r="A161" s="15"/>
      <c r="B161" s="36"/>
      <c r="C161" s="43"/>
      <c r="D161" s="38"/>
      <c r="E161" s="53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3">
        <f t="shared" si="32"/>
        <v>0</v>
      </c>
    </row>
    <row r="162" spans="1:19" ht="12.75" customHeight="1" x14ac:dyDescent="0.3">
      <c r="A162" s="15"/>
      <c r="B162" s="36"/>
      <c r="C162" s="43"/>
      <c r="D162" s="38"/>
      <c r="E162" s="53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3">
        <f t="shared" si="32"/>
        <v>0</v>
      </c>
    </row>
    <row r="163" spans="1:19" ht="12.75" customHeight="1" x14ac:dyDescent="0.3">
      <c r="A163" s="16" t="s">
        <v>15</v>
      </c>
      <c r="B163" s="64" t="s">
        <v>49</v>
      </c>
      <c r="C163" s="56"/>
      <c r="D163" s="65"/>
      <c r="E163" s="13">
        <f t="shared" ref="E163:S163" si="33">SUM(E153:E162)</f>
        <v>0</v>
      </c>
      <c r="F163" s="13">
        <f t="shared" si="33"/>
        <v>7</v>
      </c>
      <c r="G163" s="13">
        <f t="shared" si="33"/>
        <v>3</v>
      </c>
      <c r="H163" s="13">
        <f t="shared" si="33"/>
        <v>2</v>
      </c>
      <c r="I163" s="13">
        <f t="shared" si="33"/>
        <v>3</v>
      </c>
      <c r="J163" s="13">
        <f t="shared" si="33"/>
        <v>1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4</v>
      </c>
      <c r="O163" s="13">
        <f t="shared" si="33"/>
        <v>0</v>
      </c>
      <c r="P163" s="13">
        <f t="shared" si="33"/>
        <v>1</v>
      </c>
      <c r="Q163" s="13">
        <f t="shared" si="33"/>
        <v>11</v>
      </c>
      <c r="R163" s="13">
        <f t="shared" si="33"/>
        <v>0</v>
      </c>
      <c r="S163" s="13">
        <f t="shared" si="33"/>
        <v>54</v>
      </c>
    </row>
    <row r="164" spans="1:19" ht="12.75" customHeight="1" x14ac:dyDescent="0.3">
      <c r="A164" s="61"/>
      <c r="B164" s="60"/>
      <c r="C164" s="60"/>
      <c r="D164" s="60"/>
      <c r="E164" s="58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</row>
    <row r="165" spans="1:19" ht="12.75" customHeight="1" x14ac:dyDescent="0.3">
      <c r="A165" s="20" t="s">
        <v>37</v>
      </c>
      <c r="B165" s="27" t="s">
        <v>127</v>
      </c>
      <c r="C165" s="57" t="s">
        <v>128</v>
      </c>
      <c r="D165" s="58"/>
      <c r="E165" s="16">
        <v>0</v>
      </c>
      <c r="F165" s="16">
        <v>0</v>
      </c>
      <c r="G165" s="16">
        <v>0</v>
      </c>
      <c r="H165" s="16">
        <v>0</v>
      </c>
      <c r="I165" s="16">
        <v>1</v>
      </c>
      <c r="J165" s="16">
        <v>0</v>
      </c>
      <c r="K165" s="16">
        <v>2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3">
        <f t="shared" ref="S165:S174" si="34">SUM(E165:R165)</f>
        <v>3</v>
      </c>
    </row>
    <row r="166" spans="1:19" ht="12.75" customHeight="1" x14ac:dyDescent="0.3">
      <c r="A166" s="20" t="s">
        <v>39</v>
      </c>
      <c r="B166" s="28"/>
      <c r="C166" s="29" t="s">
        <v>129</v>
      </c>
      <c r="D166" s="30"/>
      <c r="E166" s="16">
        <v>1</v>
      </c>
      <c r="F166" s="16">
        <v>0</v>
      </c>
      <c r="G166" s="16">
        <v>0</v>
      </c>
      <c r="H166" s="16">
        <v>0</v>
      </c>
      <c r="I166" s="16">
        <v>0</v>
      </c>
      <c r="J166" s="16">
        <v>1</v>
      </c>
      <c r="K166" s="16">
        <v>0</v>
      </c>
      <c r="L166" s="16">
        <v>0</v>
      </c>
      <c r="M166" s="16">
        <v>1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3">
        <f t="shared" si="34"/>
        <v>3</v>
      </c>
    </row>
    <row r="167" spans="1:19" ht="12.75" customHeight="1" x14ac:dyDescent="0.3">
      <c r="A167" s="15"/>
      <c r="B167" s="36"/>
      <c r="C167" s="37"/>
      <c r="D167" s="38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3">
        <f t="shared" si="34"/>
        <v>0</v>
      </c>
    </row>
    <row r="168" spans="1:19" ht="12.75" customHeight="1" x14ac:dyDescent="0.3">
      <c r="A168" s="15"/>
      <c r="B168" s="36"/>
      <c r="C168" s="37"/>
      <c r="D168" s="38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3">
        <f t="shared" si="34"/>
        <v>0</v>
      </c>
    </row>
    <row r="169" spans="1:19" ht="12.75" customHeight="1" x14ac:dyDescent="0.3">
      <c r="A169" s="15"/>
      <c r="B169" s="36"/>
      <c r="C169" s="37"/>
      <c r="D169" s="38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3">
        <f t="shared" si="34"/>
        <v>0</v>
      </c>
    </row>
    <row r="170" spans="1:19" ht="12.75" customHeight="1" x14ac:dyDescent="0.3">
      <c r="A170" s="15"/>
      <c r="B170" s="36"/>
      <c r="C170" s="37"/>
      <c r="D170" s="38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3">
        <f t="shared" si="34"/>
        <v>0</v>
      </c>
    </row>
    <row r="171" spans="1:19" ht="12.75" customHeight="1" x14ac:dyDescent="0.3">
      <c r="A171" s="15"/>
      <c r="B171" s="36"/>
      <c r="C171" s="37"/>
      <c r="D171" s="38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3">
        <f t="shared" si="34"/>
        <v>0</v>
      </c>
    </row>
    <row r="172" spans="1:19" ht="12.75" customHeight="1" x14ac:dyDescent="0.3">
      <c r="A172" s="15"/>
      <c r="B172" s="36"/>
      <c r="C172" s="37"/>
      <c r="D172" s="38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3">
        <f t="shared" si="34"/>
        <v>0</v>
      </c>
    </row>
    <row r="173" spans="1:19" ht="12.75" customHeight="1" x14ac:dyDescent="0.3">
      <c r="A173" s="15"/>
      <c r="B173" s="36"/>
      <c r="C173" s="37"/>
      <c r="D173" s="38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3">
        <f t="shared" si="34"/>
        <v>0</v>
      </c>
    </row>
    <row r="174" spans="1:19" ht="12.75" customHeight="1" x14ac:dyDescent="0.3">
      <c r="A174" s="15"/>
      <c r="B174" s="36"/>
      <c r="C174" s="37"/>
      <c r="D174" s="38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3">
        <f t="shared" si="34"/>
        <v>0</v>
      </c>
    </row>
    <row r="175" spans="1:19" ht="12.75" customHeight="1" x14ac:dyDescent="0.3">
      <c r="A175" s="16" t="s">
        <v>15</v>
      </c>
      <c r="B175" s="59" t="s">
        <v>49</v>
      </c>
      <c r="C175" s="60"/>
      <c r="D175" s="58"/>
      <c r="E175" s="13">
        <f t="shared" ref="E175:S175" si="35">SUM(E165:E174)</f>
        <v>1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1</v>
      </c>
      <c r="K175" s="13">
        <f t="shared" si="35"/>
        <v>2</v>
      </c>
      <c r="L175" s="13">
        <f t="shared" si="35"/>
        <v>0</v>
      </c>
      <c r="M175" s="13">
        <f t="shared" si="35"/>
        <v>1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6</v>
      </c>
    </row>
    <row r="176" spans="1:19" ht="12.75" customHeight="1" x14ac:dyDescent="0.3">
      <c r="A176" s="61"/>
      <c r="B176" s="60"/>
      <c r="C176" s="60"/>
      <c r="D176" s="60"/>
      <c r="E176" s="58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</row>
    <row r="177" spans="1:19" ht="12.75" customHeight="1" x14ac:dyDescent="0.3">
      <c r="A177" s="20" t="s">
        <v>37</v>
      </c>
      <c r="B177" s="27" t="s">
        <v>130</v>
      </c>
      <c r="C177" s="57" t="s">
        <v>131</v>
      </c>
      <c r="D177" s="58"/>
      <c r="E177" s="16">
        <v>0</v>
      </c>
      <c r="F177" s="16">
        <v>0</v>
      </c>
      <c r="G177" s="16">
        <v>2</v>
      </c>
      <c r="H177" s="16">
        <v>1</v>
      </c>
      <c r="I177" s="16">
        <v>2</v>
      </c>
      <c r="J177" s="16">
        <v>4</v>
      </c>
      <c r="K177" s="16">
        <v>1</v>
      </c>
      <c r="L177" s="16">
        <v>0</v>
      </c>
      <c r="M177" s="16">
        <v>0</v>
      </c>
      <c r="N177" s="16">
        <v>3</v>
      </c>
      <c r="O177" s="16">
        <v>0</v>
      </c>
      <c r="P177" s="16">
        <v>0</v>
      </c>
      <c r="Q177" s="16">
        <v>0</v>
      </c>
      <c r="R177" s="16">
        <v>0</v>
      </c>
      <c r="S177" s="13">
        <f t="shared" ref="S177:S186" si="36">SUM(E177:R177)</f>
        <v>13</v>
      </c>
    </row>
    <row r="178" spans="1:19" ht="12.75" customHeight="1" x14ac:dyDescent="0.3">
      <c r="A178" s="20" t="s">
        <v>39</v>
      </c>
      <c r="B178" s="28"/>
      <c r="C178" s="29" t="s">
        <v>132</v>
      </c>
      <c r="D178" s="30"/>
      <c r="E178" s="16">
        <v>1</v>
      </c>
      <c r="F178" s="16">
        <v>0</v>
      </c>
      <c r="G178" s="16">
        <v>2</v>
      </c>
      <c r="H178" s="16">
        <v>1</v>
      </c>
      <c r="I178" s="16">
        <v>0</v>
      </c>
      <c r="J178" s="16">
        <v>0</v>
      </c>
      <c r="K178" s="16">
        <v>0</v>
      </c>
      <c r="L178" s="16">
        <v>0</v>
      </c>
      <c r="M178" s="16">
        <v>1</v>
      </c>
      <c r="N178" s="16">
        <v>4</v>
      </c>
      <c r="O178" s="16">
        <v>2</v>
      </c>
      <c r="P178" s="16">
        <v>0</v>
      </c>
      <c r="Q178" s="16">
        <v>0</v>
      </c>
      <c r="R178" s="16">
        <v>1</v>
      </c>
      <c r="S178" s="13">
        <f t="shared" si="36"/>
        <v>12</v>
      </c>
    </row>
    <row r="179" spans="1:19" ht="12.75" customHeight="1" x14ac:dyDescent="0.3">
      <c r="A179" s="15"/>
      <c r="B179" s="28"/>
      <c r="C179" s="29" t="s">
        <v>133</v>
      </c>
      <c r="D179" s="30"/>
      <c r="E179" s="16">
        <v>0</v>
      </c>
      <c r="F179" s="16">
        <v>2</v>
      </c>
      <c r="G179" s="16">
        <v>3</v>
      </c>
      <c r="H179" s="16">
        <v>5</v>
      </c>
      <c r="I179" s="16">
        <v>1</v>
      </c>
      <c r="J179" s="16">
        <v>0</v>
      </c>
      <c r="K179" s="16">
        <v>1</v>
      </c>
      <c r="L179" s="16">
        <v>0</v>
      </c>
      <c r="M179" s="16">
        <v>0</v>
      </c>
      <c r="N179" s="16">
        <v>1</v>
      </c>
      <c r="O179" s="16">
        <v>0</v>
      </c>
      <c r="P179" s="16">
        <v>0</v>
      </c>
      <c r="Q179" s="16">
        <v>0</v>
      </c>
      <c r="R179" s="16">
        <v>0</v>
      </c>
      <c r="S179" s="13">
        <f t="shared" si="36"/>
        <v>13</v>
      </c>
    </row>
    <row r="180" spans="1:19" ht="12.75" customHeight="1" x14ac:dyDescent="0.3">
      <c r="A180" s="15"/>
      <c r="B180" s="28"/>
      <c r="C180" s="29" t="s">
        <v>134</v>
      </c>
      <c r="D180" s="30"/>
      <c r="E180" s="16">
        <v>1</v>
      </c>
      <c r="F180" s="16">
        <v>0</v>
      </c>
      <c r="G180" s="16">
        <v>39</v>
      </c>
      <c r="H180" s="16">
        <v>8</v>
      </c>
      <c r="I180" s="16">
        <v>5</v>
      </c>
      <c r="J180" s="16">
        <v>3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1</v>
      </c>
      <c r="S180" s="13">
        <f t="shared" si="36"/>
        <v>57</v>
      </c>
    </row>
    <row r="181" spans="1:19" ht="12.75" customHeight="1" x14ac:dyDescent="0.3">
      <c r="A181" s="15"/>
      <c r="B181" s="28"/>
      <c r="C181" s="29" t="s">
        <v>135</v>
      </c>
      <c r="D181" s="30"/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3">
        <f t="shared" si="36"/>
        <v>0</v>
      </c>
    </row>
    <row r="182" spans="1:19" ht="12.75" customHeight="1" x14ac:dyDescent="0.3">
      <c r="A182" s="15"/>
      <c r="B182" s="28"/>
      <c r="C182" s="29" t="s">
        <v>136</v>
      </c>
      <c r="D182" s="30"/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1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3">
        <f t="shared" si="36"/>
        <v>1</v>
      </c>
    </row>
    <row r="183" spans="1:19" ht="12.75" customHeight="1" x14ac:dyDescent="0.3">
      <c r="A183" s="15"/>
      <c r="B183" s="28"/>
      <c r="C183" s="29" t="s">
        <v>137</v>
      </c>
      <c r="D183" s="30"/>
      <c r="E183" s="16">
        <v>1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1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3">
        <f t="shared" si="36"/>
        <v>2</v>
      </c>
    </row>
    <row r="184" spans="1:19" ht="12.75" customHeight="1" x14ac:dyDescent="0.3">
      <c r="A184" s="15"/>
      <c r="B184" s="28"/>
      <c r="C184" s="29" t="s">
        <v>138</v>
      </c>
      <c r="D184" s="30"/>
      <c r="E184" s="16">
        <v>0</v>
      </c>
      <c r="F184" s="16">
        <v>0</v>
      </c>
      <c r="G184" s="16">
        <v>0</v>
      </c>
      <c r="H184" s="16">
        <v>0</v>
      </c>
      <c r="I184" s="16">
        <v>1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3">
        <f t="shared" si="36"/>
        <v>1</v>
      </c>
    </row>
    <row r="185" spans="1:19" ht="12.75" customHeight="1" x14ac:dyDescent="0.3">
      <c r="A185" s="15"/>
      <c r="B185" s="28"/>
      <c r="C185" s="29" t="s">
        <v>139</v>
      </c>
      <c r="D185" s="30"/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3">
        <f t="shared" si="36"/>
        <v>0</v>
      </c>
    </row>
    <row r="186" spans="1:19" ht="12.75" customHeight="1" x14ac:dyDescent="0.3">
      <c r="A186" s="15"/>
      <c r="B186" s="28"/>
      <c r="C186" s="29" t="s">
        <v>140</v>
      </c>
      <c r="D186" s="30"/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3">
        <f t="shared" si="36"/>
        <v>0</v>
      </c>
    </row>
    <row r="187" spans="1:19" ht="12.75" customHeight="1" x14ac:dyDescent="0.3">
      <c r="A187" s="16" t="s">
        <v>15</v>
      </c>
      <c r="B187" s="59" t="s">
        <v>49</v>
      </c>
      <c r="C187" s="60"/>
      <c r="D187" s="58"/>
      <c r="E187" s="13">
        <f t="shared" ref="E187:S187" si="37">SUM(E177:E186)</f>
        <v>3</v>
      </c>
      <c r="F187" s="13">
        <f t="shared" si="37"/>
        <v>2</v>
      </c>
      <c r="G187" s="13">
        <f t="shared" si="37"/>
        <v>46</v>
      </c>
      <c r="H187" s="13">
        <f t="shared" si="37"/>
        <v>15</v>
      </c>
      <c r="I187" s="13">
        <f t="shared" si="37"/>
        <v>9</v>
      </c>
      <c r="J187" s="13">
        <f t="shared" si="37"/>
        <v>7</v>
      </c>
      <c r="K187" s="13">
        <f t="shared" si="37"/>
        <v>3</v>
      </c>
      <c r="L187" s="13">
        <f t="shared" si="37"/>
        <v>0</v>
      </c>
      <c r="M187" s="13">
        <f t="shared" si="37"/>
        <v>2</v>
      </c>
      <c r="N187" s="13">
        <f t="shared" si="37"/>
        <v>8</v>
      </c>
      <c r="O187" s="13">
        <f t="shared" si="37"/>
        <v>2</v>
      </c>
      <c r="P187" s="13">
        <f t="shared" si="37"/>
        <v>0</v>
      </c>
      <c r="Q187" s="13">
        <f t="shared" si="37"/>
        <v>0</v>
      </c>
      <c r="R187" s="13">
        <f t="shared" si="37"/>
        <v>2</v>
      </c>
      <c r="S187" s="13">
        <f t="shared" si="37"/>
        <v>99</v>
      </c>
    </row>
    <row r="188" spans="1:19" ht="12.75" customHeight="1" x14ac:dyDescent="0.3">
      <c r="A188" s="61"/>
      <c r="B188" s="60"/>
      <c r="C188" s="60"/>
      <c r="D188" s="60"/>
      <c r="E188" s="58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S188" s="13"/>
    </row>
    <row r="189" spans="1:19" ht="12.75" customHeight="1" x14ac:dyDescent="0.3">
      <c r="A189" s="20" t="s">
        <v>37</v>
      </c>
      <c r="B189" s="27" t="s">
        <v>141</v>
      </c>
      <c r="C189" s="57" t="s">
        <v>142</v>
      </c>
      <c r="D189" s="58"/>
      <c r="E189" s="16">
        <v>0</v>
      </c>
      <c r="F189" s="16">
        <v>0</v>
      </c>
      <c r="G189" s="16">
        <v>1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3">
        <f t="shared" ref="S189:S198" si="38">SUM(E189:R189)</f>
        <v>1</v>
      </c>
    </row>
    <row r="190" spans="1:19" ht="12.75" customHeight="1" x14ac:dyDescent="0.3">
      <c r="A190" s="20" t="s">
        <v>39</v>
      </c>
      <c r="B190" s="28"/>
      <c r="C190" s="29" t="s">
        <v>143</v>
      </c>
      <c r="D190" s="30"/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1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3">
        <f t="shared" si="38"/>
        <v>1</v>
      </c>
    </row>
    <row r="191" spans="1:19" ht="12.75" customHeight="1" x14ac:dyDescent="0.3">
      <c r="A191" s="15"/>
      <c r="B191" s="28"/>
      <c r="C191" s="29" t="s">
        <v>144</v>
      </c>
      <c r="D191" s="30"/>
      <c r="E191" s="16">
        <v>0</v>
      </c>
      <c r="F191" s="16">
        <v>0</v>
      </c>
      <c r="G191" s="16">
        <v>0</v>
      </c>
      <c r="H191" s="16">
        <v>0</v>
      </c>
      <c r="I191" s="16">
        <v>1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3">
        <f t="shared" si="38"/>
        <v>1</v>
      </c>
    </row>
    <row r="192" spans="1:19" ht="12.75" customHeight="1" x14ac:dyDescent="0.3">
      <c r="A192" s="15"/>
      <c r="B192" s="28"/>
      <c r="C192" s="29" t="s">
        <v>145</v>
      </c>
      <c r="D192" s="30"/>
      <c r="E192" s="16">
        <v>0</v>
      </c>
      <c r="F192" s="16">
        <v>1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3">
        <f t="shared" si="38"/>
        <v>1</v>
      </c>
    </row>
    <row r="193" spans="1:19" ht="12.75" customHeight="1" x14ac:dyDescent="0.3">
      <c r="A193" s="15"/>
      <c r="B193" s="28"/>
      <c r="C193" s="29" t="s">
        <v>146</v>
      </c>
      <c r="D193" s="30"/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3">
        <f t="shared" si="38"/>
        <v>0</v>
      </c>
    </row>
    <row r="194" spans="1:19" ht="12.75" customHeight="1" x14ac:dyDescent="0.3">
      <c r="A194" s="15"/>
      <c r="B194" s="28"/>
      <c r="C194" s="29" t="s">
        <v>147</v>
      </c>
      <c r="D194" s="30"/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3">
        <f t="shared" si="38"/>
        <v>0</v>
      </c>
    </row>
    <row r="195" spans="1:19" ht="12.75" customHeight="1" x14ac:dyDescent="0.3">
      <c r="A195" s="15"/>
      <c r="B195" s="28"/>
      <c r="C195" s="29" t="s">
        <v>148</v>
      </c>
      <c r="D195" s="30"/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3">
        <f t="shared" si="38"/>
        <v>0</v>
      </c>
    </row>
    <row r="196" spans="1:19" ht="12.75" customHeight="1" x14ac:dyDescent="0.3">
      <c r="A196" s="15"/>
      <c r="B196" s="28"/>
      <c r="C196" s="29" t="s">
        <v>149</v>
      </c>
      <c r="D196" s="30"/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1</v>
      </c>
      <c r="Q196" s="16">
        <v>0</v>
      </c>
      <c r="R196" s="16">
        <v>0</v>
      </c>
      <c r="S196" s="13">
        <f t="shared" si="38"/>
        <v>1</v>
      </c>
    </row>
    <row r="197" spans="1:19" ht="12.75" customHeight="1" x14ac:dyDescent="0.3">
      <c r="A197" s="15"/>
      <c r="B197" s="28"/>
      <c r="C197" s="29" t="s">
        <v>150</v>
      </c>
      <c r="D197" s="30"/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3">
        <f t="shared" si="38"/>
        <v>0</v>
      </c>
    </row>
    <row r="198" spans="1:19" ht="12.75" customHeight="1" x14ac:dyDescent="0.3">
      <c r="A198" s="15"/>
      <c r="B198" s="28"/>
      <c r="C198" s="29" t="s">
        <v>151</v>
      </c>
      <c r="D198" s="30"/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3">
        <f t="shared" si="38"/>
        <v>0</v>
      </c>
    </row>
    <row r="199" spans="1:19" ht="12.75" customHeight="1" x14ac:dyDescent="0.3">
      <c r="A199" s="16" t="s">
        <v>15</v>
      </c>
      <c r="B199" s="59" t="s">
        <v>49</v>
      </c>
      <c r="C199" s="60"/>
      <c r="D199" s="58"/>
      <c r="E199" s="13">
        <f t="shared" ref="E199:S199" si="39">SUM(E189:E198)</f>
        <v>0</v>
      </c>
      <c r="F199" s="13">
        <f t="shared" si="39"/>
        <v>1</v>
      </c>
      <c r="G199" s="13">
        <f t="shared" si="39"/>
        <v>1</v>
      </c>
      <c r="H199" s="13">
        <f t="shared" si="39"/>
        <v>0</v>
      </c>
      <c r="I199" s="13">
        <f t="shared" si="39"/>
        <v>1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1</v>
      </c>
      <c r="N199" s="13">
        <f t="shared" si="39"/>
        <v>0</v>
      </c>
      <c r="O199" s="13">
        <f t="shared" si="39"/>
        <v>0</v>
      </c>
      <c r="P199" s="13">
        <f t="shared" si="39"/>
        <v>1</v>
      </c>
      <c r="Q199" s="13">
        <f t="shared" si="39"/>
        <v>0</v>
      </c>
      <c r="R199" s="13">
        <f t="shared" si="39"/>
        <v>0</v>
      </c>
      <c r="S199" s="13">
        <f t="shared" si="39"/>
        <v>5</v>
      </c>
    </row>
    <row r="200" spans="1:19" ht="12.75" customHeight="1" x14ac:dyDescent="0.3">
      <c r="A200" s="61"/>
      <c r="B200" s="60"/>
      <c r="C200" s="60"/>
      <c r="D200" s="60"/>
      <c r="E200" s="58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</row>
    <row r="201" spans="1:19" ht="12.75" customHeight="1" x14ac:dyDescent="0.3">
      <c r="A201" s="20" t="s">
        <v>37</v>
      </c>
      <c r="B201" s="27" t="s">
        <v>152</v>
      </c>
      <c r="C201" s="57" t="s">
        <v>153</v>
      </c>
      <c r="D201" s="58"/>
      <c r="E201" s="16">
        <v>3</v>
      </c>
      <c r="F201" s="16">
        <v>3</v>
      </c>
      <c r="G201" s="16">
        <v>2</v>
      </c>
      <c r="H201" s="16">
        <v>11</v>
      </c>
      <c r="I201" s="16">
        <v>3</v>
      </c>
      <c r="J201" s="16">
        <v>5</v>
      </c>
      <c r="K201" s="16">
        <v>1</v>
      </c>
      <c r="L201" s="16">
        <v>0</v>
      </c>
      <c r="M201" s="16">
        <v>6</v>
      </c>
      <c r="N201" s="16">
        <v>3</v>
      </c>
      <c r="O201" s="16">
        <v>6</v>
      </c>
      <c r="P201" s="16">
        <v>11</v>
      </c>
      <c r="Q201" s="16">
        <v>31</v>
      </c>
      <c r="R201" s="16">
        <v>21</v>
      </c>
      <c r="S201" s="13">
        <f t="shared" ref="S201:S210" si="40">SUM(E201:R201)</f>
        <v>106</v>
      </c>
    </row>
    <row r="202" spans="1:19" ht="12.75" customHeight="1" x14ac:dyDescent="0.3">
      <c r="A202" s="20" t="s">
        <v>39</v>
      </c>
      <c r="B202" s="28"/>
      <c r="C202" s="29" t="s">
        <v>154</v>
      </c>
      <c r="D202" s="30"/>
      <c r="E202" s="16">
        <v>1</v>
      </c>
      <c r="F202" s="16">
        <v>5</v>
      </c>
      <c r="G202" s="16">
        <v>0</v>
      </c>
      <c r="H202" s="16">
        <v>3</v>
      </c>
      <c r="I202" s="16">
        <v>3</v>
      </c>
      <c r="J202" s="16">
        <v>4</v>
      </c>
      <c r="K202" s="16">
        <v>4</v>
      </c>
      <c r="L202" s="16">
        <v>6</v>
      </c>
      <c r="M202" s="16">
        <v>7</v>
      </c>
      <c r="N202" s="16">
        <v>6</v>
      </c>
      <c r="O202" s="16">
        <v>6</v>
      </c>
      <c r="P202" s="16">
        <v>3</v>
      </c>
      <c r="Q202" s="16">
        <v>10</v>
      </c>
      <c r="R202" s="16">
        <v>6</v>
      </c>
      <c r="S202" s="13">
        <f t="shared" si="40"/>
        <v>64</v>
      </c>
    </row>
    <row r="203" spans="1:19" ht="12.75" customHeight="1" x14ac:dyDescent="0.3">
      <c r="A203" s="15"/>
      <c r="B203" s="28"/>
      <c r="C203" s="29" t="s">
        <v>155</v>
      </c>
      <c r="D203" s="30"/>
      <c r="E203" s="16">
        <v>8</v>
      </c>
      <c r="F203" s="16">
        <v>5</v>
      </c>
      <c r="G203" s="16">
        <v>1</v>
      </c>
      <c r="H203" s="16">
        <v>9</v>
      </c>
      <c r="I203" s="16">
        <v>8</v>
      </c>
      <c r="J203" s="16">
        <v>2</v>
      </c>
      <c r="K203" s="16">
        <v>4</v>
      </c>
      <c r="L203" s="16">
        <v>10</v>
      </c>
      <c r="M203" s="16">
        <v>3</v>
      </c>
      <c r="N203" s="16">
        <v>3</v>
      </c>
      <c r="O203" s="16">
        <v>8</v>
      </c>
      <c r="P203" s="16">
        <v>3</v>
      </c>
      <c r="Q203" s="16">
        <v>39</v>
      </c>
      <c r="R203" s="16">
        <v>82</v>
      </c>
      <c r="S203" s="13">
        <f t="shared" si="40"/>
        <v>185</v>
      </c>
    </row>
    <row r="204" spans="1:19" ht="12.75" customHeight="1" x14ac:dyDescent="0.3">
      <c r="A204" s="15"/>
      <c r="B204" s="28"/>
      <c r="C204" s="29" t="s">
        <v>156</v>
      </c>
      <c r="D204" s="30"/>
      <c r="E204" s="16">
        <v>2</v>
      </c>
      <c r="F204" s="16">
        <v>0</v>
      </c>
      <c r="G204" s="16">
        <v>0</v>
      </c>
      <c r="H204" s="16">
        <v>0</v>
      </c>
      <c r="I204" s="16">
        <v>0</v>
      </c>
      <c r="J204" s="16">
        <v>1</v>
      </c>
      <c r="K204" s="16">
        <v>0</v>
      </c>
      <c r="L204" s="16">
        <v>0</v>
      </c>
      <c r="M204" s="16">
        <v>3</v>
      </c>
      <c r="N204" s="16">
        <v>0</v>
      </c>
      <c r="O204" s="16">
        <v>2</v>
      </c>
      <c r="P204" s="16">
        <v>0</v>
      </c>
      <c r="Q204" s="16">
        <v>1</v>
      </c>
      <c r="R204" s="16">
        <v>0</v>
      </c>
      <c r="S204" s="13">
        <f t="shared" si="40"/>
        <v>9</v>
      </c>
    </row>
    <row r="205" spans="1:19" ht="12.75" customHeight="1" x14ac:dyDescent="0.3">
      <c r="A205" s="15"/>
      <c r="B205" s="28"/>
      <c r="C205" s="29" t="s">
        <v>157</v>
      </c>
      <c r="D205" s="30"/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1</v>
      </c>
      <c r="O205" s="16">
        <v>0</v>
      </c>
      <c r="P205" s="16">
        <v>0</v>
      </c>
      <c r="Q205" s="16">
        <v>2</v>
      </c>
      <c r="R205" s="16">
        <v>0</v>
      </c>
      <c r="S205" s="13">
        <f t="shared" si="40"/>
        <v>3</v>
      </c>
    </row>
    <row r="206" spans="1:19" ht="12.75" customHeight="1" x14ac:dyDescent="0.3">
      <c r="A206" s="15"/>
      <c r="B206" s="28"/>
      <c r="C206" s="29" t="s">
        <v>158</v>
      </c>
      <c r="D206" s="30"/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3">
        <f t="shared" si="40"/>
        <v>0</v>
      </c>
    </row>
    <row r="207" spans="1:19" ht="12.75" customHeight="1" x14ac:dyDescent="0.3">
      <c r="A207" s="15"/>
      <c r="B207" s="28"/>
      <c r="C207" s="29" t="s">
        <v>159</v>
      </c>
      <c r="D207" s="30"/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3">
        <f t="shared" si="40"/>
        <v>0</v>
      </c>
    </row>
    <row r="208" spans="1:19" ht="12.75" customHeight="1" x14ac:dyDescent="0.3">
      <c r="A208" s="15"/>
      <c r="B208" s="28"/>
      <c r="C208" s="29" t="s">
        <v>160</v>
      </c>
      <c r="D208" s="30"/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1</v>
      </c>
      <c r="K208" s="16">
        <v>1</v>
      </c>
      <c r="L208" s="16">
        <v>0</v>
      </c>
      <c r="M208" s="16">
        <v>0</v>
      </c>
      <c r="N208" s="16">
        <v>3</v>
      </c>
      <c r="O208" s="16">
        <v>0</v>
      </c>
      <c r="P208" s="16">
        <v>0</v>
      </c>
      <c r="Q208" s="16">
        <v>0</v>
      </c>
      <c r="R208" s="16">
        <v>1</v>
      </c>
      <c r="S208" s="13">
        <f t="shared" si="40"/>
        <v>6</v>
      </c>
    </row>
    <row r="209" spans="1:19" ht="12.75" customHeight="1" x14ac:dyDescent="0.3">
      <c r="A209" s="15"/>
      <c r="B209" s="28"/>
      <c r="C209" s="29" t="s">
        <v>161</v>
      </c>
      <c r="D209" s="30"/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3">
        <f t="shared" si="40"/>
        <v>0</v>
      </c>
    </row>
    <row r="210" spans="1:19" ht="12.75" customHeight="1" x14ac:dyDescent="0.3">
      <c r="A210" s="15"/>
      <c r="B210" s="28"/>
      <c r="C210" s="29" t="s">
        <v>162</v>
      </c>
      <c r="D210" s="30"/>
      <c r="E210" s="16">
        <v>0</v>
      </c>
      <c r="F210" s="16">
        <v>1</v>
      </c>
      <c r="G210" s="16">
        <v>0</v>
      </c>
      <c r="H210" s="16">
        <v>1</v>
      </c>
      <c r="I210" s="16">
        <v>0</v>
      </c>
      <c r="J210" s="16">
        <v>1</v>
      </c>
      <c r="K210" s="16">
        <v>0</v>
      </c>
      <c r="L210" s="16">
        <v>0</v>
      </c>
      <c r="M210" s="16">
        <v>1</v>
      </c>
      <c r="N210" s="16">
        <v>1</v>
      </c>
      <c r="O210" s="16">
        <v>0</v>
      </c>
      <c r="P210" s="16">
        <v>0</v>
      </c>
      <c r="Q210" s="16">
        <v>0</v>
      </c>
      <c r="R210" s="16">
        <v>0</v>
      </c>
      <c r="S210" s="13">
        <f t="shared" si="40"/>
        <v>5</v>
      </c>
    </row>
    <row r="211" spans="1:19" ht="12.75" customHeight="1" x14ac:dyDescent="0.3">
      <c r="A211" s="16" t="s">
        <v>15</v>
      </c>
      <c r="B211" s="59" t="s">
        <v>49</v>
      </c>
      <c r="C211" s="60"/>
      <c r="D211" s="58"/>
      <c r="E211" s="13">
        <f t="shared" ref="E211:S211" si="41">SUM(E201:E210)</f>
        <v>14</v>
      </c>
      <c r="F211" s="13">
        <f t="shared" si="41"/>
        <v>14</v>
      </c>
      <c r="G211" s="13">
        <f t="shared" si="41"/>
        <v>3</v>
      </c>
      <c r="H211" s="13">
        <f t="shared" si="41"/>
        <v>24</v>
      </c>
      <c r="I211" s="13">
        <f t="shared" si="41"/>
        <v>14</v>
      </c>
      <c r="J211" s="13">
        <f t="shared" si="41"/>
        <v>14</v>
      </c>
      <c r="K211" s="13">
        <f t="shared" si="41"/>
        <v>10</v>
      </c>
      <c r="L211" s="13">
        <f t="shared" si="41"/>
        <v>16</v>
      </c>
      <c r="M211" s="13">
        <f t="shared" si="41"/>
        <v>20</v>
      </c>
      <c r="N211" s="13">
        <f t="shared" si="41"/>
        <v>17</v>
      </c>
      <c r="O211" s="13">
        <f t="shared" si="41"/>
        <v>22</v>
      </c>
      <c r="P211" s="13">
        <f t="shared" si="41"/>
        <v>17</v>
      </c>
      <c r="Q211" s="13">
        <f t="shared" si="41"/>
        <v>83</v>
      </c>
      <c r="R211" s="13">
        <f t="shared" si="41"/>
        <v>110</v>
      </c>
      <c r="S211" s="13">
        <f t="shared" si="41"/>
        <v>378</v>
      </c>
    </row>
    <row r="212" spans="1:19" ht="12.75" customHeight="1" x14ac:dyDescent="0.3">
      <c r="A212" s="61"/>
      <c r="B212" s="60"/>
      <c r="C212" s="60"/>
      <c r="D212" s="60"/>
      <c r="E212" s="58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</row>
    <row r="213" spans="1:19" ht="12.75" customHeight="1" x14ac:dyDescent="0.3">
      <c r="A213" s="20" t="s">
        <v>37</v>
      </c>
      <c r="B213" s="27" t="s">
        <v>163</v>
      </c>
      <c r="C213" s="57" t="s">
        <v>164</v>
      </c>
      <c r="D213" s="58"/>
      <c r="E213" s="16">
        <v>3</v>
      </c>
      <c r="F213" s="16">
        <v>1</v>
      </c>
      <c r="G213" s="16">
        <v>4</v>
      </c>
      <c r="H213" s="16">
        <v>4</v>
      </c>
      <c r="I213" s="16">
        <v>1</v>
      </c>
      <c r="J213" s="16">
        <v>1</v>
      </c>
      <c r="K213" s="16">
        <v>0</v>
      </c>
      <c r="L213" s="16">
        <v>0</v>
      </c>
      <c r="M213" s="16">
        <v>0</v>
      </c>
      <c r="N213" s="16">
        <v>1</v>
      </c>
      <c r="O213" s="16">
        <v>2</v>
      </c>
      <c r="P213" s="16">
        <v>1</v>
      </c>
      <c r="Q213" s="16">
        <v>1</v>
      </c>
      <c r="R213" s="16">
        <v>0</v>
      </c>
      <c r="S213" s="13">
        <f t="shared" ref="S213:S222" si="42">SUM(E213:R213)</f>
        <v>19</v>
      </c>
    </row>
    <row r="214" spans="1:19" ht="12.75" customHeight="1" x14ac:dyDescent="0.3">
      <c r="A214" s="20" t="s">
        <v>39</v>
      </c>
      <c r="B214" s="28"/>
      <c r="C214" s="29" t="s">
        <v>165</v>
      </c>
      <c r="D214" s="30"/>
      <c r="E214" s="16">
        <v>2</v>
      </c>
      <c r="F214" s="16">
        <v>1</v>
      </c>
      <c r="G214" s="16">
        <v>1</v>
      </c>
      <c r="H214" s="16">
        <v>1</v>
      </c>
      <c r="I214" s="16">
        <v>0</v>
      </c>
      <c r="J214" s="16">
        <v>1</v>
      </c>
      <c r="K214" s="16">
        <v>0</v>
      </c>
      <c r="L214" s="16">
        <v>0</v>
      </c>
      <c r="M214" s="16">
        <v>1</v>
      </c>
      <c r="N214" s="16">
        <v>0</v>
      </c>
      <c r="O214" s="16">
        <v>2</v>
      </c>
      <c r="P214" s="16">
        <v>1</v>
      </c>
      <c r="Q214" s="16">
        <v>1</v>
      </c>
      <c r="R214" s="16">
        <v>1</v>
      </c>
      <c r="S214" s="13">
        <f t="shared" si="42"/>
        <v>12</v>
      </c>
    </row>
    <row r="215" spans="1:19" ht="12.75" customHeight="1" x14ac:dyDescent="0.3">
      <c r="A215" s="15"/>
      <c r="B215" s="28"/>
      <c r="C215" s="29" t="s">
        <v>166</v>
      </c>
      <c r="D215" s="30"/>
      <c r="E215" s="16">
        <v>2</v>
      </c>
      <c r="F215" s="16">
        <v>1</v>
      </c>
      <c r="G215" s="16">
        <v>0</v>
      </c>
      <c r="H215" s="16">
        <v>1</v>
      </c>
      <c r="I215" s="16">
        <v>0</v>
      </c>
      <c r="J215" s="16">
        <v>0</v>
      </c>
      <c r="K215" s="16">
        <v>0</v>
      </c>
      <c r="L215" s="16">
        <v>0</v>
      </c>
      <c r="M215" s="16">
        <v>1</v>
      </c>
      <c r="N215" s="16">
        <v>2</v>
      </c>
      <c r="O215" s="16">
        <v>0</v>
      </c>
      <c r="P215" s="16">
        <v>0</v>
      </c>
      <c r="Q215" s="16">
        <v>0</v>
      </c>
      <c r="R215" s="16">
        <v>1</v>
      </c>
      <c r="S215" s="13">
        <f t="shared" si="42"/>
        <v>8</v>
      </c>
    </row>
    <row r="216" spans="1:19" ht="12.75" customHeight="1" x14ac:dyDescent="0.3">
      <c r="A216" s="15"/>
      <c r="B216" s="28"/>
      <c r="C216" s="29" t="s">
        <v>167</v>
      </c>
      <c r="D216" s="30"/>
      <c r="E216" s="16">
        <v>0</v>
      </c>
      <c r="F216" s="16">
        <v>0</v>
      </c>
      <c r="G216" s="16">
        <v>0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0</v>
      </c>
      <c r="N216" s="16">
        <v>1</v>
      </c>
      <c r="O216" s="16">
        <v>1</v>
      </c>
      <c r="P216" s="16">
        <v>0</v>
      </c>
      <c r="Q216" s="16">
        <v>0</v>
      </c>
      <c r="R216" s="16">
        <v>0</v>
      </c>
      <c r="S216" s="13">
        <f t="shared" si="42"/>
        <v>2</v>
      </c>
    </row>
    <row r="217" spans="1:19" ht="12.75" customHeight="1" x14ac:dyDescent="0.3">
      <c r="A217" s="15"/>
      <c r="B217" s="36"/>
      <c r="C217" s="37"/>
      <c r="D217" s="40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3">
        <f t="shared" si="42"/>
        <v>0</v>
      </c>
    </row>
    <row r="218" spans="1:19" ht="12.75" customHeight="1" x14ac:dyDescent="0.3">
      <c r="A218" s="15"/>
      <c r="B218" s="36"/>
      <c r="C218" s="37"/>
      <c r="D218" s="40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3">
        <f t="shared" si="42"/>
        <v>0</v>
      </c>
    </row>
    <row r="219" spans="1:19" ht="12.75" customHeight="1" x14ac:dyDescent="0.3">
      <c r="A219" s="15"/>
      <c r="B219" s="36"/>
      <c r="C219" s="37"/>
      <c r="D219" s="40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3">
        <f t="shared" si="42"/>
        <v>0</v>
      </c>
    </row>
    <row r="220" spans="1:19" ht="12.75" customHeight="1" x14ac:dyDescent="0.3">
      <c r="A220" s="15"/>
      <c r="B220" s="36"/>
      <c r="C220" s="37"/>
      <c r="D220" s="40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3">
        <f t="shared" si="42"/>
        <v>0</v>
      </c>
    </row>
    <row r="221" spans="1:19" ht="12.75" customHeight="1" x14ac:dyDescent="0.3">
      <c r="A221" s="15"/>
      <c r="B221" s="36"/>
      <c r="C221" s="37"/>
      <c r="D221" s="40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3">
        <f t="shared" si="42"/>
        <v>0</v>
      </c>
    </row>
    <row r="222" spans="1:19" ht="12.75" customHeight="1" x14ac:dyDescent="0.3">
      <c r="A222" s="15"/>
      <c r="B222" s="36"/>
      <c r="C222" s="37"/>
      <c r="D222" s="40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3">
        <f t="shared" si="42"/>
        <v>0</v>
      </c>
    </row>
    <row r="223" spans="1:19" ht="12.75" customHeight="1" x14ac:dyDescent="0.3">
      <c r="A223" s="16" t="s">
        <v>15</v>
      </c>
      <c r="B223" s="59" t="s">
        <v>49</v>
      </c>
      <c r="C223" s="60"/>
      <c r="D223" s="58"/>
      <c r="E223" s="13">
        <f t="shared" ref="E223:S223" si="43">SUM(E213:E222)</f>
        <v>7</v>
      </c>
      <c r="F223" s="13">
        <f t="shared" si="43"/>
        <v>3</v>
      </c>
      <c r="G223" s="13">
        <f t="shared" si="43"/>
        <v>5</v>
      </c>
      <c r="H223" s="13">
        <f t="shared" si="43"/>
        <v>6</v>
      </c>
      <c r="I223" s="13">
        <f t="shared" si="43"/>
        <v>1</v>
      </c>
      <c r="J223" s="13">
        <f t="shared" si="43"/>
        <v>2</v>
      </c>
      <c r="K223" s="13">
        <f t="shared" si="43"/>
        <v>0</v>
      </c>
      <c r="L223" s="13">
        <f t="shared" si="43"/>
        <v>0</v>
      </c>
      <c r="M223" s="13">
        <f t="shared" si="43"/>
        <v>2</v>
      </c>
      <c r="N223" s="13">
        <f t="shared" si="43"/>
        <v>4</v>
      </c>
      <c r="O223" s="13">
        <f t="shared" si="43"/>
        <v>5</v>
      </c>
      <c r="P223" s="13">
        <f t="shared" si="43"/>
        <v>2</v>
      </c>
      <c r="Q223" s="13">
        <f t="shared" si="43"/>
        <v>2</v>
      </c>
      <c r="R223" s="13">
        <f t="shared" si="43"/>
        <v>2</v>
      </c>
      <c r="S223" s="13">
        <f t="shared" si="43"/>
        <v>41</v>
      </c>
    </row>
    <row r="224" spans="1:19" ht="12.75" customHeight="1" x14ac:dyDescent="0.3">
      <c r="A224" s="61"/>
      <c r="B224" s="60"/>
      <c r="C224" s="60"/>
      <c r="D224" s="60"/>
      <c r="E224" s="58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</row>
    <row r="225" spans="1:19" ht="12.75" customHeight="1" x14ac:dyDescent="0.3">
      <c r="A225" s="20" t="s">
        <v>37</v>
      </c>
      <c r="B225" s="27" t="s">
        <v>168</v>
      </c>
      <c r="C225" s="57" t="s">
        <v>169</v>
      </c>
      <c r="D225" s="58"/>
      <c r="E225" s="16">
        <v>0</v>
      </c>
      <c r="F225" s="16">
        <v>0</v>
      </c>
      <c r="G225" s="16">
        <v>0</v>
      </c>
      <c r="H225" s="16">
        <v>0</v>
      </c>
      <c r="I225" s="16">
        <v>0</v>
      </c>
      <c r="J225" s="16">
        <v>0</v>
      </c>
      <c r="K225" s="16">
        <v>0</v>
      </c>
      <c r="L225" s="16">
        <v>0</v>
      </c>
      <c r="M225" s="16">
        <v>0</v>
      </c>
      <c r="N225" s="16">
        <v>0</v>
      </c>
      <c r="O225" s="16">
        <v>0</v>
      </c>
      <c r="P225" s="16">
        <v>0</v>
      </c>
      <c r="Q225" s="16">
        <v>0</v>
      </c>
      <c r="R225" s="16">
        <v>0</v>
      </c>
      <c r="S225" s="13">
        <f t="shared" ref="S225:S234" si="44">SUM(E225:R225)</f>
        <v>0</v>
      </c>
    </row>
    <row r="226" spans="1:19" ht="12.75" customHeight="1" x14ac:dyDescent="0.3">
      <c r="A226" s="20" t="s">
        <v>39</v>
      </c>
      <c r="B226" s="28"/>
      <c r="C226" s="29" t="s">
        <v>170</v>
      </c>
      <c r="D226" s="30"/>
      <c r="E226" s="16">
        <v>0</v>
      </c>
      <c r="F226" s="16">
        <v>0</v>
      </c>
      <c r="G226" s="16">
        <v>0</v>
      </c>
      <c r="H226" s="16">
        <v>1</v>
      </c>
      <c r="I226" s="16">
        <v>0</v>
      </c>
      <c r="J226" s="16">
        <v>0</v>
      </c>
      <c r="K226" s="16">
        <v>0</v>
      </c>
      <c r="L226" s="16">
        <v>0</v>
      </c>
      <c r="M226" s="16">
        <v>0</v>
      </c>
      <c r="N226" s="16">
        <v>1</v>
      </c>
      <c r="O226" s="16">
        <v>0</v>
      </c>
      <c r="P226" s="16">
        <v>0</v>
      </c>
      <c r="Q226" s="16">
        <v>0</v>
      </c>
      <c r="R226" s="16">
        <v>0</v>
      </c>
      <c r="S226" s="13">
        <f t="shared" si="44"/>
        <v>2</v>
      </c>
    </row>
    <row r="227" spans="1:19" ht="12.75" customHeight="1" x14ac:dyDescent="0.3">
      <c r="A227" s="15"/>
      <c r="B227" s="28"/>
      <c r="C227" s="29" t="s">
        <v>171</v>
      </c>
      <c r="D227" s="30"/>
      <c r="E227" s="16">
        <v>0</v>
      </c>
      <c r="F227" s="16">
        <v>0</v>
      </c>
      <c r="G227" s="16">
        <v>0</v>
      </c>
      <c r="H227" s="16">
        <v>0</v>
      </c>
      <c r="I227" s="16">
        <v>0</v>
      </c>
      <c r="J227" s="16">
        <v>0</v>
      </c>
      <c r="K227" s="16">
        <v>0</v>
      </c>
      <c r="L227" s="16">
        <v>0</v>
      </c>
      <c r="M227" s="16">
        <v>0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3">
        <f t="shared" si="44"/>
        <v>0</v>
      </c>
    </row>
    <row r="228" spans="1:19" ht="12.75" customHeight="1" x14ac:dyDescent="0.3">
      <c r="A228" s="15"/>
      <c r="B228" s="28"/>
      <c r="C228" s="29" t="s">
        <v>172</v>
      </c>
      <c r="D228" s="30"/>
      <c r="E228" s="16">
        <v>0</v>
      </c>
      <c r="F228" s="16">
        <v>0</v>
      </c>
      <c r="G228" s="16">
        <v>0</v>
      </c>
      <c r="H228" s="16">
        <v>0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N228" s="16">
        <v>0</v>
      </c>
      <c r="O228" s="16">
        <v>0</v>
      </c>
      <c r="P228" s="16">
        <v>0</v>
      </c>
      <c r="Q228" s="16">
        <v>0</v>
      </c>
      <c r="R228" s="16">
        <v>0</v>
      </c>
      <c r="S228" s="13">
        <f t="shared" si="44"/>
        <v>0</v>
      </c>
    </row>
    <row r="229" spans="1:19" ht="12.75" customHeight="1" x14ac:dyDescent="0.3">
      <c r="A229" s="15"/>
      <c r="B229" s="28"/>
      <c r="C229" s="29" t="s">
        <v>173</v>
      </c>
      <c r="D229" s="30"/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0</v>
      </c>
      <c r="M229" s="16">
        <v>0</v>
      </c>
      <c r="N229" s="16">
        <v>0</v>
      </c>
      <c r="O229" s="16">
        <v>0</v>
      </c>
      <c r="P229" s="16">
        <v>0</v>
      </c>
      <c r="Q229" s="16">
        <v>0</v>
      </c>
      <c r="R229" s="16">
        <v>0</v>
      </c>
      <c r="S229" s="13">
        <f t="shared" si="44"/>
        <v>0</v>
      </c>
    </row>
    <row r="230" spans="1:19" ht="12.75" customHeight="1" x14ac:dyDescent="0.3">
      <c r="A230" s="15"/>
      <c r="B230" s="36"/>
      <c r="C230" s="37"/>
      <c r="D230" s="40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3">
        <f t="shared" si="44"/>
        <v>0</v>
      </c>
    </row>
    <row r="231" spans="1:19" ht="12.75" customHeight="1" x14ac:dyDescent="0.3">
      <c r="A231" s="15"/>
      <c r="B231" s="36"/>
      <c r="C231" s="37"/>
      <c r="D231" s="40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3">
        <f t="shared" si="44"/>
        <v>0</v>
      </c>
    </row>
    <row r="232" spans="1:19" ht="12.75" customHeight="1" x14ac:dyDescent="0.3">
      <c r="A232" s="15"/>
      <c r="B232" s="36"/>
      <c r="C232" s="37"/>
      <c r="D232" s="38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3">
        <f t="shared" si="44"/>
        <v>0</v>
      </c>
    </row>
    <row r="233" spans="1:19" ht="12.75" customHeight="1" x14ac:dyDescent="0.3">
      <c r="A233" s="15"/>
      <c r="B233" s="36"/>
      <c r="C233" s="37"/>
      <c r="D233" s="38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3">
        <f t="shared" si="44"/>
        <v>0</v>
      </c>
    </row>
    <row r="234" spans="1:19" ht="12.75" customHeight="1" x14ac:dyDescent="0.3">
      <c r="A234" s="15"/>
      <c r="B234" s="36"/>
      <c r="C234" s="37"/>
      <c r="D234" s="38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3">
        <f t="shared" si="44"/>
        <v>0</v>
      </c>
    </row>
    <row r="235" spans="1:19" ht="12.75" customHeight="1" x14ac:dyDescent="0.3">
      <c r="A235" s="16" t="s">
        <v>15</v>
      </c>
      <c r="B235" s="59" t="s">
        <v>49</v>
      </c>
      <c r="C235" s="60"/>
      <c r="D235" s="58"/>
      <c r="E235" s="13">
        <f t="shared" ref="E235:S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1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1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0</v>
      </c>
      <c r="S235" s="13">
        <f t="shared" si="45"/>
        <v>2</v>
      </c>
    </row>
    <row r="236" spans="1:19" ht="12.75" customHeight="1" x14ac:dyDescent="0.3">
      <c r="A236" s="61"/>
      <c r="B236" s="60"/>
      <c r="C236" s="60"/>
      <c r="D236" s="60"/>
      <c r="E236" s="58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</row>
    <row r="237" spans="1:19" ht="12.75" customHeight="1" x14ac:dyDescent="0.3">
      <c r="A237" s="20" t="s">
        <v>37</v>
      </c>
      <c r="B237" s="27" t="s">
        <v>174</v>
      </c>
      <c r="C237" s="57" t="s">
        <v>175</v>
      </c>
      <c r="D237" s="58"/>
      <c r="E237" s="16">
        <v>1</v>
      </c>
      <c r="F237" s="16">
        <v>0</v>
      </c>
      <c r="G237" s="16">
        <v>0</v>
      </c>
      <c r="H237" s="16">
        <v>0</v>
      </c>
      <c r="I237" s="16">
        <v>0</v>
      </c>
      <c r="J237" s="16">
        <v>0</v>
      </c>
      <c r="K237" s="16">
        <v>0</v>
      </c>
      <c r="L237" s="16">
        <v>0</v>
      </c>
      <c r="M237" s="16">
        <v>2</v>
      </c>
      <c r="N237" s="16">
        <v>1</v>
      </c>
      <c r="O237" s="16">
        <v>1</v>
      </c>
      <c r="P237" s="16">
        <v>1</v>
      </c>
      <c r="Q237" s="16">
        <v>0</v>
      </c>
      <c r="R237" s="16">
        <v>0</v>
      </c>
      <c r="S237" s="13">
        <f t="shared" ref="S237:S246" si="46">SUM(E237:R237)</f>
        <v>6</v>
      </c>
    </row>
    <row r="238" spans="1:19" ht="12.75" customHeight="1" x14ac:dyDescent="0.3">
      <c r="A238" s="20" t="s">
        <v>39</v>
      </c>
      <c r="B238" s="28"/>
      <c r="C238" s="29" t="s">
        <v>176</v>
      </c>
      <c r="D238" s="30"/>
      <c r="E238" s="16">
        <v>0</v>
      </c>
      <c r="F238" s="16">
        <v>0</v>
      </c>
      <c r="G238" s="16">
        <v>0</v>
      </c>
      <c r="H238" s="16">
        <v>1</v>
      </c>
      <c r="I238" s="16">
        <v>2</v>
      </c>
      <c r="J238" s="16">
        <v>1</v>
      </c>
      <c r="K238" s="16">
        <v>0</v>
      </c>
      <c r="L238" s="16">
        <v>0</v>
      </c>
      <c r="M238" s="16">
        <v>1</v>
      </c>
      <c r="N238" s="16">
        <v>0</v>
      </c>
      <c r="O238" s="16">
        <v>3</v>
      </c>
      <c r="P238" s="16">
        <v>0</v>
      </c>
      <c r="Q238" s="16">
        <v>0</v>
      </c>
      <c r="R238" s="16">
        <v>0</v>
      </c>
      <c r="S238" s="13">
        <f t="shared" si="46"/>
        <v>8</v>
      </c>
    </row>
    <row r="239" spans="1:19" ht="12.75" customHeight="1" x14ac:dyDescent="0.3">
      <c r="A239" s="15"/>
      <c r="B239" s="28"/>
      <c r="C239" s="29" t="s">
        <v>177</v>
      </c>
      <c r="D239" s="30"/>
      <c r="E239" s="16">
        <v>1</v>
      </c>
      <c r="F239" s="16">
        <v>0</v>
      </c>
      <c r="G239" s="16">
        <v>1</v>
      </c>
      <c r="H239" s="16">
        <v>1</v>
      </c>
      <c r="I239" s="16">
        <v>0</v>
      </c>
      <c r="J239" s="16">
        <v>0</v>
      </c>
      <c r="K239" s="16">
        <v>0</v>
      </c>
      <c r="L239" s="16">
        <v>0</v>
      </c>
      <c r="M239" s="16">
        <v>3</v>
      </c>
      <c r="N239" s="16">
        <v>2</v>
      </c>
      <c r="O239" s="16">
        <v>8</v>
      </c>
      <c r="P239" s="16">
        <v>1</v>
      </c>
      <c r="Q239" s="16">
        <v>1</v>
      </c>
      <c r="R239" s="16">
        <v>3</v>
      </c>
      <c r="S239" s="13">
        <f t="shared" si="46"/>
        <v>21</v>
      </c>
    </row>
    <row r="240" spans="1:19" ht="12.75" customHeight="1" x14ac:dyDescent="0.3">
      <c r="A240" s="15"/>
      <c r="B240" s="28"/>
      <c r="C240" s="29" t="s">
        <v>178</v>
      </c>
      <c r="D240" s="30"/>
      <c r="E240" s="16">
        <v>0</v>
      </c>
      <c r="F240" s="16">
        <v>0</v>
      </c>
      <c r="G240" s="16">
        <v>0</v>
      </c>
      <c r="H240" s="16">
        <v>0</v>
      </c>
      <c r="I240" s="16">
        <v>0</v>
      </c>
      <c r="J240" s="16">
        <v>0</v>
      </c>
      <c r="K240" s="16">
        <v>0</v>
      </c>
      <c r="L240" s="16">
        <v>0</v>
      </c>
      <c r="M240" s="16">
        <v>0</v>
      </c>
      <c r="N240" s="16">
        <v>0</v>
      </c>
      <c r="O240" s="16">
        <v>0</v>
      </c>
      <c r="P240" s="16">
        <v>0</v>
      </c>
      <c r="Q240" s="16">
        <v>0</v>
      </c>
      <c r="R240" s="16">
        <v>0</v>
      </c>
      <c r="S240" s="13">
        <f t="shared" si="46"/>
        <v>0</v>
      </c>
    </row>
    <row r="241" spans="1:19" ht="12.75" customHeight="1" x14ac:dyDescent="0.3">
      <c r="A241" s="15"/>
      <c r="B241" s="28"/>
      <c r="C241" s="29" t="s">
        <v>179</v>
      </c>
      <c r="D241" s="30"/>
      <c r="E241" s="16">
        <v>0</v>
      </c>
      <c r="F241" s="16">
        <v>0</v>
      </c>
      <c r="G241" s="16">
        <v>0</v>
      </c>
      <c r="H241" s="16">
        <v>0</v>
      </c>
      <c r="I241" s="16">
        <v>0</v>
      </c>
      <c r="J241" s="16">
        <v>0</v>
      </c>
      <c r="K241" s="16">
        <v>0</v>
      </c>
      <c r="L241" s="16">
        <v>0</v>
      </c>
      <c r="M241" s="16">
        <v>0</v>
      </c>
      <c r="N241" s="16">
        <v>0</v>
      </c>
      <c r="O241" s="16">
        <v>0</v>
      </c>
      <c r="P241" s="16">
        <v>0</v>
      </c>
      <c r="Q241" s="16">
        <v>0</v>
      </c>
      <c r="R241" s="16">
        <v>0</v>
      </c>
      <c r="S241" s="13">
        <f t="shared" si="46"/>
        <v>0</v>
      </c>
    </row>
    <row r="242" spans="1:19" ht="12.75" customHeight="1" x14ac:dyDescent="0.3">
      <c r="A242" s="15"/>
      <c r="B242" s="28"/>
      <c r="C242" s="29" t="s">
        <v>180</v>
      </c>
      <c r="D242" s="30"/>
      <c r="E242" s="16">
        <v>0</v>
      </c>
      <c r="F242" s="16">
        <v>0</v>
      </c>
      <c r="G242" s="16">
        <v>1</v>
      </c>
      <c r="H242" s="16">
        <v>0</v>
      </c>
      <c r="I242" s="16">
        <v>0</v>
      </c>
      <c r="J242" s="16">
        <v>0</v>
      </c>
      <c r="K242" s="16">
        <v>0</v>
      </c>
      <c r="L242" s="16">
        <v>0</v>
      </c>
      <c r="M242" s="16">
        <v>1</v>
      </c>
      <c r="N242" s="16">
        <v>0</v>
      </c>
      <c r="O242" s="16">
        <v>0</v>
      </c>
      <c r="P242" s="16">
        <v>0</v>
      </c>
      <c r="Q242" s="16">
        <v>0</v>
      </c>
      <c r="R242" s="16">
        <v>0</v>
      </c>
      <c r="S242" s="13">
        <f t="shared" si="46"/>
        <v>2</v>
      </c>
    </row>
    <row r="243" spans="1:19" ht="12.75" customHeight="1" x14ac:dyDescent="0.3">
      <c r="A243" s="15"/>
      <c r="B243" s="28"/>
      <c r="C243" s="29" t="s">
        <v>181</v>
      </c>
      <c r="D243" s="30"/>
      <c r="E243" s="16">
        <v>0</v>
      </c>
      <c r="F243" s="16">
        <v>0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0</v>
      </c>
      <c r="M243" s="16">
        <v>0</v>
      </c>
      <c r="N243" s="16">
        <v>0</v>
      </c>
      <c r="O243" s="16">
        <v>0</v>
      </c>
      <c r="P243" s="16">
        <v>0</v>
      </c>
      <c r="Q243" s="16">
        <v>0</v>
      </c>
      <c r="R243" s="16">
        <v>0</v>
      </c>
      <c r="S243" s="13">
        <f t="shared" si="46"/>
        <v>0</v>
      </c>
    </row>
    <row r="244" spans="1:19" ht="12.75" customHeight="1" x14ac:dyDescent="0.3">
      <c r="A244" s="15"/>
      <c r="B244" s="28"/>
      <c r="C244" s="29" t="s">
        <v>182</v>
      </c>
      <c r="D244" s="30"/>
      <c r="E244" s="16">
        <v>0</v>
      </c>
      <c r="F244" s="16">
        <v>0</v>
      </c>
      <c r="G244" s="16">
        <v>0</v>
      </c>
      <c r="H244" s="16">
        <v>0</v>
      </c>
      <c r="I244" s="16">
        <v>0</v>
      </c>
      <c r="J244" s="16">
        <v>0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>
        <v>0</v>
      </c>
      <c r="Q244" s="16">
        <v>0</v>
      </c>
      <c r="R244" s="16">
        <v>0</v>
      </c>
      <c r="S244" s="13">
        <f t="shared" si="46"/>
        <v>0</v>
      </c>
    </row>
    <row r="245" spans="1:19" ht="12.75" customHeight="1" x14ac:dyDescent="0.3">
      <c r="A245" s="15"/>
      <c r="B245" s="28"/>
      <c r="C245" s="29" t="s">
        <v>183</v>
      </c>
      <c r="D245" s="30"/>
      <c r="E245" s="16">
        <v>0</v>
      </c>
      <c r="F245" s="16">
        <v>0</v>
      </c>
      <c r="G245" s="16">
        <v>0</v>
      </c>
      <c r="H245" s="16">
        <v>0</v>
      </c>
      <c r="I245" s="16">
        <v>0</v>
      </c>
      <c r="J245" s="16">
        <v>0</v>
      </c>
      <c r="K245" s="16">
        <v>0</v>
      </c>
      <c r="L245" s="16">
        <v>0</v>
      </c>
      <c r="M245" s="16">
        <v>0</v>
      </c>
      <c r="N245" s="16">
        <v>0</v>
      </c>
      <c r="O245" s="16">
        <v>0</v>
      </c>
      <c r="P245" s="16">
        <v>0</v>
      </c>
      <c r="Q245" s="16">
        <v>0</v>
      </c>
      <c r="R245" s="16">
        <v>0</v>
      </c>
      <c r="S245" s="13">
        <f t="shared" si="46"/>
        <v>0</v>
      </c>
    </row>
    <row r="246" spans="1:19" ht="12.75" customHeight="1" x14ac:dyDescent="0.3">
      <c r="A246" s="15"/>
      <c r="B246" s="28"/>
      <c r="C246" s="29" t="s">
        <v>184</v>
      </c>
      <c r="D246" s="30"/>
      <c r="E246" s="16">
        <v>0</v>
      </c>
      <c r="F246" s="16">
        <v>0</v>
      </c>
      <c r="G246" s="16">
        <v>0</v>
      </c>
      <c r="H246" s="16">
        <v>0</v>
      </c>
      <c r="I246" s="16">
        <v>0</v>
      </c>
      <c r="J246" s="16">
        <v>0</v>
      </c>
      <c r="K246" s="16">
        <v>0</v>
      </c>
      <c r="L246" s="16">
        <v>0</v>
      </c>
      <c r="M246" s="16">
        <v>0</v>
      </c>
      <c r="N246" s="16">
        <v>0</v>
      </c>
      <c r="O246" s="16">
        <v>0</v>
      </c>
      <c r="P246" s="16">
        <v>0</v>
      </c>
      <c r="Q246" s="16">
        <v>0</v>
      </c>
      <c r="R246" s="16">
        <v>0</v>
      </c>
      <c r="S246" s="13">
        <f t="shared" si="46"/>
        <v>0</v>
      </c>
    </row>
    <row r="247" spans="1:19" ht="12.75" customHeight="1" x14ac:dyDescent="0.3">
      <c r="A247" s="16" t="s">
        <v>15</v>
      </c>
      <c r="B247" s="59" t="s">
        <v>49</v>
      </c>
      <c r="C247" s="60"/>
      <c r="D247" s="58"/>
      <c r="E247" s="13">
        <f t="shared" ref="E247:S247" si="47">SUM(E237:E246)</f>
        <v>2</v>
      </c>
      <c r="F247" s="13">
        <f t="shared" si="47"/>
        <v>0</v>
      </c>
      <c r="G247" s="13">
        <f t="shared" si="47"/>
        <v>2</v>
      </c>
      <c r="H247" s="13">
        <f t="shared" si="47"/>
        <v>2</v>
      </c>
      <c r="I247" s="13">
        <f t="shared" si="47"/>
        <v>2</v>
      </c>
      <c r="J247" s="13">
        <f t="shared" si="47"/>
        <v>1</v>
      </c>
      <c r="K247" s="13">
        <f t="shared" si="47"/>
        <v>0</v>
      </c>
      <c r="L247" s="13">
        <f t="shared" si="47"/>
        <v>0</v>
      </c>
      <c r="M247" s="13">
        <f t="shared" si="47"/>
        <v>7</v>
      </c>
      <c r="N247" s="13">
        <f t="shared" si="47"/>
        <v>3</v>
      </c>
      <c r="O247" s="13">
        <f t="shared" si="47"/>
        <v>12</v>
      </c>
      <c r="P247" s="13">
        <f t="shared" si="47"/>
        <v>2</v>
      </c>
      <c r="Q247" s="13">
        <f t="shared" si="47"/>
        <v>1</v>
      </c>
      <c r="R247" s="13">
        <f t="shared" si="47"/>
        <v>3</v>
      </c>
      <c r="S247" s="13">
        <f t="shared" si="47"/>
        <v>37</v>
      </c>
    </row>
    <row r="248" spans="1:19" ht="12.75" customHeight="1" x14ac:dyDescent="0.3">
      <c r="A248" s="61"/>
      <c r="B248" s="60"/>
      <c r="C248" s="60"/>
      <c r="D248" s="60"/>
      <c r="E248" s="58"/>
    </row>
    <row r="249" spans="1:19" ht="12.75" customHeight="1" x14ac:dyDescent="0.3">
      <c r="A249" s="20" t="s">
        <v>37</v>
      </c>
      <c r="B249" s="27" t="s">
        <v>185</v>
      </c>
      <c r="C249" s="57" t="s">
        <v>186</v>
      </c>
      <c r="D249" s="58"/>
      <c r="E249" s="16">
        <v>0</v>
      </c>
      <c r="F249" s="16">
        <v>0</v>
      </c>
      <c r="G249" s="16">
        <v>0</v>
      </c>
      <c r="H249" s="16">
        <v>0</v>
      </c>
      <c r="I249" s="16">
        <v>0</v>
      </c>
      <c r="J249" s="16">
        <v>0</v>
      </c>
      <c r="K249" s="16">
        <v>0</v>
      </c>
      <c r="L249" s="16">
        <v>1</v>
      </c>
      <c r="M249" s="16">
        <v>0</v>
      </c>
      <c r="N249" s="16">
        <v>0</v>
      </c>
      <c r="O249" s="16">
        <v>0</v>
      </c>
      <c r="P249" s="16">
        <v>1</v>
      </c>
      <c r="Q249" s="16">
        <v>0</v>
      </c>
      <c r="R249" s="16">
        <v>0</v>
      </c>
      <c r="S249" s="13">
        <f t="shared" ref="S249:S258" si="48">SUM(E249:R249)</f>
        <v>2</v>
      </c>
    </row>
    <row r="250" spans="1:19" ht="12.75" customHeight="1" x14ac:dyDescent="0.3">
      <c r="A250" s="20" t="s">
        <v>39</v>
      </c>
      <c r="B250" s="28"/>
      <c r="C250" s="29" t="s">
        <v>187</v>
      </c>
      <c r="D250" s="30"/>
      <c r="E250" s="16">
        <v>0</v>
      </c>
      <c r="F250" s="16">
        <v>0</v>
      </c>
      <c r="G250" s="16">
        <v>0</v>
      </c>
      <c r="H250" s="16">
        <v>0</v>
      </c>
      <c r="I250" s="16">
        <v>0</v>
      </c>
      <c r="J250" s="16">
        <v>0</v>
      </c>
      <c r="K250" s="16">
        <v>0</v>
      </c>
      <c r="L250" s="16">
        <v>0</v>
      </c>
      <c r="M250" s="16">
        <v>1</v>
      </c>
      <c r="N250" s="16">
        <v>0</v>
      </c>
      <c r="O250" s="16">
        <v>1</v>
      </c>
      <c r="P250" s="16">
        <v>0</v>
      </c>
      <c r="Q250" s="16">
        <v>0</v>
      </c>
      <c r="R250" s="16">
        <v>0</v>
      </c>
      <c r="S250" s="13">
        <f t="shared" si="48"/>
        <v>2</v>
      </c>
    </row>
    <row r="251" spans="1:19" ht="12.75" customHeight="1" x14ac:dyDescent="0.3">
      <c r="A251" s="15"/>
      <c r="B251" s="28"/>
      <c r="C251" s="29" t="s">
        <v>188</v>
      </c>
      <c r="D251" s="30"/>
      <c r="E251" s="16">
        <v>0</v>
      </c>
      <c r="F251" s="16">
        <v>0</v>
      </c>
      <c r="G251" s="16">
        <v>0</v>
      </c>
      <c r="H251" s="16">
        <v>0</v>
      </c>
      <c r="I251" s="16">
        <v>1</v>
      </c>
      <c r="J251" s="16">
        <v>0</v>
      </c>
      <c r="K251" s="16">
        <v>0</v>
      </c>
      <c r="L251" s="16">
        <v>0</v>
      </c>
      <c r="M251" s="16">
        <v>0</v>
      </c>
      <c r="N251" s="16">
        <v>0</v>
      </c>
      <c r="O251" s="16">
        <v>0</v>
      </c>
      <c r="P251" s="16">
        <v>0</v>
      </c>
      <c r="Q251" s="16">
        <v>0</v>
      </c>
      <c r="R251" s="16">
        <v>0</v>
      </c>
      <c r="S251" s="13">
        <f t="shared" si="48"/>
        <v>1</v>
      </c>
    </row>
    <row r="252" spans="1:19" ht="12.75" customHeight="1" x14ac:dyDescent="0.3">
      <c r="A252" s="15"/>
      <c r="B252" s="28"/>
      <c r="C252" s="29" t="s">
        <v>189</v>
      </c>
      <c r="D252" s="30"/>
      <c r="E252" s="16">
        <v>0</v>
      </c>
      <c r="F252" s="16">
        <v>0</v>
      </c>
      <c r="G252" s="16">
        <v>0</v>
      </c>
      <c r="H252" s="16">
        <v>1</v>
      </c>
      <c r="I252" s="16">
        <v>0</v>
      </c>
      <c r="J252" s="16">
        <v>0</v>
      </c>
      <c r="K252" s="16">
        <v>0</v>
      </c>
      <c r="L252" s="16">
        <v>0</v>
      </c>
      <c r="M252" s="16">
        <v>0</v>
      </c>
      <c r="N252" s="16">
        <v>0</v>
      </c>
      <c r="O252" s="16">
        <v>0</v>
      </c>
      <c r="P252" s="16">
        <v>0</v>
      </c>
      <c r="Q252" s="16">
        <v>0</v>
      </c>
      <c r="R252" s="16">
        <v>0</v>
      </c>
      <c r="S252" s="13">
        <f t="shared" si="48"/>
        <v>1</v>
      </c>
    </row>
    <row r="253" spans="1:19" ht="12.75" customHeight="1" x14ac:dyDescent="0.3">
      <c r="A253" s="15"/>
      <c r="B253" s="36"/>
      <c r="C253" s="44"/>
      <c r="D253" s="38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3">
        <f t="shared" si="48"/>
        <v>0</v>
      </c>
    </row>
    <row r="254" spans="1:19" ht="12.75" customHeight="1" x14ac:dyDescent="0.3">
      <c r="A254" s="15"/>
      <c r="B254" s="36"/>
      <c r="C254" s="44"/>
      <c r="D254" s="38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3">
        <f t="shared" si="48"/>
        <v>0</v>
      </c>
    </row>
    <row r="255" spans="1:19" ht="12.75" customHeight="1" x14ac:dyDescent="0.3">
      <c r="A255" s="15"/>
      <c r="B255" s="36"/>
      <c r="C255" s="44"/>
      <c r="D255" s="38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3">
        <f t="shared" si="48"/>
        <v>0</v>
      </c>
    </row>
    <row r="256" spans="1:19" ht="12.75" customHeight="1" x14ac:dyDescent="0.3">
      <c r="A256" s="15"/>
      <c r="B256" s="36"/>
      <c r="C256" s="43"/>
      <c r="D256" s="38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3">
        <f t="shared" si="48"/>
        <v>0</v>
      </c>
    </row>
    <row r="257" spans="1:19" ht="12.75" customHeight="1" x14ac:dyDescent="0.3">
      <c r="A257" s="15"/>
      <c r="B257" s="36"/>
      <c r="C257" s="43"/>
      <c r="D257" s="38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3">
        <f t="shared" si="48"/>
        <v>0</v>
      </c>
    </row>
    <row r="258" spans="1:19" ht="12.75" customHeight="1" x14ac:dyDescent="0.3">
      <c r="A258" s="15"/>
      <c r="B258" s="36"/>
      <c r="C258" s="43"/>
      <c r="D258" s="38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3">
        <f t="shared" si="48"/>
        <v>0</v>
      </c>
    </row>
    <row r="259" spans="1:19" ht="12.75" customHeight="1" x14ac:dyDescent="0.3">
      <c r="A259" s="16" t="s">
        <v>15</v>
      </c>
      <c r="B259" s="59" t="s">
        <v>49</v>
      </c>
      <c r="C259" s="60"/>
      <c r="D259" s="58"/>
      <c r="E259" s="13">
        <f t="shared" ref="E259:S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1</v>
      </c>
      <c r="I259" s="13">
        <f t="shared" si="49"/>
        <v>1</v>
      </c>
      <c r="J259" s="13">
        <f t="shared" si="49"/>
        <v>0</v>
      </c>
      <c r="K259" s="13">
        <f t="shared" si="49"/>
        <v>0</v>
      </c>
      <c r="L259" s="13">
        <f t="shared" si="49"/>
        <v>1</v>
      </c>
      <c r="M259" s="13">
        <f t="shared" si="49"/>
        <v>1</v>
      </c>
      <c r="N259" s="13">
        <f t="shared" si="49"/>
        <v>0</v>
      </c>
      <c r="O259" s="13">
        <f t="shared" si="49"/>
        <v>1</v>
      </c>
      <c r="P259" s="13">
        <f t="shared" si="49"/>
        <v>1</v>
      </c>
      <c r="Q259" s="13">
        <f t="shared" si="49"/>
        <v>0</v>
      </c>
      <c r="R259" s="13">
        <f t="shared" si="49"/>
        <v>0</v>
      </c>
      <c r="S259" s="13">
        <f t="shared" si="49"/>
        <v>6</v>
      </c>
    </row>
    <row r="260" spans="1:19" ht="12.75" customHeight="1" x14ac:dyDescent="0.3"/>
    <row r="261" spans="1:19" ht="12.75" customHeight="1" x14ac:dyDescent="0.3">
      <c r="A261" s="26" t="s">
        <v>190</v>
      </c>
      <c r="B261" s="66" t="s">
        <v>191</v>
      </c>
      <c r="C261" s="60"/>
      <c r="D261" s="58"/>
      <c r="E261" s="13"/>
      <c r="F261" s="13"/>
      <c r="G261" s="13"/>
      <c r="H261" s="13"/>
      <c r="I261" s="13"/>
      <c r="J261" s="13"/>
      <c r="K261" s="13"/>
      <c r="L261" s="13"/>
      <c r="M261" s="13"/>
      <c r="N261" s="50"/>
      <c r="O261" s="50"/>
      <c r="P261" s="50"/>
      <c r="Q261" s="50"/>
      <c r="R261" s="50"/>
      <c r="S261" s="13"/>
    </row>
    <row r="262" spans="1:19" ht="12.75" customHeight="1" x14ac:dyDescent="0.3">
      <c r="A262" s="26"/>
      <c r="B262" s="45" t="s">
        <v>192</v>
      </c>
      <c r="C262" s="67" t="s">
        <v>193</v>
      </c>
      <c r="D262" s="58"/>
      <c r="E262" s="16">
        <f t="shared" ref="E262:R262" si="50">E55+E67+E79+E91+E103+E115+E127+E139+E151+E163+E175+E187+E199+E211+E223+E235+E247+E259</f>
        <v>200</v>
      </c>
      <c r="F262" s="16">
        <f t="shared" si="50"/>
        <v>178</v>
      </c>
      <c r="G262" s="16">
        <f t="shared" si="50"/>
        <v>206</v>
      </c>
      <c r="H262" s="16">
        <f t="shared" si="50"/>
        <v>168</v>
      </c>
      <c r="I262" s="16">
        <f t="shared" si="50"/>
        <v>177</v>
      </c>
      <c r="J262" s="16">
        <f t="shared" si="50"/>
        <v>147</v>
      </c>
      <c r="K262" s="16">
        <f t="shared" si="50"/>
        <v>161</v>
      </c>
      <c r="L262" s="16">
        <f t="shared" si="50"/>
        <v>193</v>
      </c>
      <c r="M262" s="16">
        <f t="shared" si="50"/>
        <v>167</v>
      </c>
      <c r="N262" s="16">
        <f t="shared" si="50"/>
        <v>162</v>
      </c>
      <c r="O262" s="16">
        <f t="shared" si="50"/>
        <v>216</v>
      </c>
      <c r="P262" s="16">
        <f t="shared" si="50"/>
        <v>222</v>
      </c>
      <c r="Q262" s="16">
        <f t="shared" si="50"/>
        <v>146</v>
      </c>
      <c r="R262" s="16">
        <f t="shared" si="50"/>
        <v>190</v>
      </c>
      <c r="S262" s="13">
        <f t="shared" ref="S262:S264" si="51">SUM(E262:R262)</f>
        <v>2533</v>
      </c>
    </row>
    <row r="263" spans="1:19" ht="12.75" customHeight="1" x14ac:dyDescent="0.3">
      <c r="A263" s="22"/>
      <c r="B263" s="45" t="s">
        <v>194</v>
      </c>
      <c r="C263" s="67" t="s">
        <v>195</v>
      </c>
      <c r="D263" s="58"/>
      <c r="E263" s="16">
        <v>26</v>
      </c>
      <c r="F263" s="16">
        <v>30</v>
      </c>
      <c r="G263" s="16">
        <v>32</v>
      </c>
      <c r="H263" s="16">
        <v>32</v>
      </c>
      <c r="I263" s="16">
        <v>40</v>
      </c>
      <c r="J263" s="16">
        <v>26</v>
      </c>
      <c r="K263" s="16">
        <v>13</v>
      </c>
      <c r="L263" s="16">
        <v>12</v>
      </c>
      <c r="M263" s="16">
        <v>13</v>
      </c>
      <c r="N263" s="16">
        <v>32</v>
      </c>
      <c r="O263" s="16">
        <v>28</v>
      </c>
      <c r="P263" s="16">
        <v>19</v>
      </c>
      <c r="Q263" s="16">
        <v>25</v>
      </c>
      <c r="R263" s="16">
        <v>25</v>
      </c>
      <c r="S263" s="13">
        <f t="shared" si="51"/>
        <v>353</v>
      </c>
    </row>
    <row r="264" spans="1:19" ht="12.75" customHeight="1" x14ac:dyDescent="0.3">
      <c r="A264" s="25"/>
      <c r="B264" s="45" t="s">
        <v>196</v>
      </c>
      <c r="C264" s="67" t="s">
        <v>197</v>
      </c>
      <c r="D264" s="58"/>
      <c r="E264" s="13">
        <f t="shared" ref="E264:R264" si="52">SUM(E262:E263)</f>
        <v>226</v>
      </c>
      <c r="F264" s="13">
        <f t="shared" si="52"/>
        <v>208</v>
      </c>
      <c r="G264" s="13">
        <f t="shared" si="52"/>
        <v>238</v>
      </c>
      <c r="H264" s="13">
        <f t="shared" si="52"/>
        <v>200</v>
      </c>
      <c r="I264" s="13">
        <f t="shared" si="52"/>
        <v>217</v>
      </c>
      <c r="J264" s="13">
        <f t="shared" si="52"/>
        <v>173</v>
      </c>
      <c r="K264" s="13">
        <f t="shared" si="52"/>
        <v>174</v>
      </c>
      <c r="L264" s="13">
        <f t="shared" si="52"/>
        <v>205</v>
      </c>
      <c r="M264" s="13">
        <f t="shared" si="52"/>
        <v>180</v>
      </c>
      <c r="N264" s="13">
        <f t="shared" si="52"/>
        <v>194</v>
      </c>
      <c r="O264" s="13">
        <f t="shared" si="52"/>
        <v>244</v>
      </c>
      <c r="P264" s="13">
        <f t="shared" si="52"/>
        <v>241</v>
      </c>
      <c r="Q264" s="13">
        <f t="shared" si="52"/>
        <v>171</v>
      </c>
      <c r="R264" s="13">
        <f t="shared" si="52"/>
        <v>215</v>
      </c>
      <c r="S264" s="13">
        <f t="shared" si="51"/>
        <v>2886</v>
      </c>
    </row>
    <row r="265" spans="1:19" ht="12.75" customHeight="1" x14ac:dyDescent="0.3"/>
    <row r="266" spans="1:19" ht="12.75" customHeight="1" x14ac:dyDescent="0.3"/>
    <row r="267" spans="1:19" ht="12.75" customHeight="1" x14ac:dyDescent="0.3"/>
    <row r="268" spans="1:19" ht="12.75" customHeight="1" x14ac:dyDescent="0.3"/>
    <row r="269" spans="1:19" ht="12.75" customHeight="1" x14ac:dyDescent="0.3"/>
    <row r="270" spans="1:19" ht="12.75" customHeight="1" x14ac:dyDescent="0.3"/>
    <row r="271" spans="1:19" ht="12.75" customHeight="1" x14ac:dyDescent="0.3"/>
    <row r="272" spans="1:19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86">
    <mergeCell ref="C69:D69"/>
    <mergeCell ref="B79:D79"/>
    <mergeCell ref="B139:D139"/>
    <mergeCell ref="A140:E140"/>
    <mergeCell ref="C141:D141"/>
    <mergeCell ref="B55:D55"/>
    <mergeCell ref="A56:E56"/>
    <mergeCell ref="C57:D57"/>
    <mergeCell ref="B67:D67"/>
    <mergeCell ref="A68:E68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B25:B27"/>
    <mergeCell ref="C25:C27"/>
    <mergeCell ref="B28:B30"/>
    <mergeCell ref="A37:D37"/>
    <mergeCell ref="E37:I37"/>
    <mergeCell ref="A17:D17"/>
    <mergeCell ref="B18:D18"/>
    <mergeCell ref="B19:B21"/>
    <mergeCell ref="C19:C21"/>
    <mergeCell ref="B22:B24"/>
    <mergeCell ref="C22:C24"/>
    <mergeCell ref="B12:D12"/>
    <mergeCell ref="E12:R12"/>
    <mergeCell ref="S12:S13"/>
    <mergeCell ref="B13:D13"/>
    <mergeCell ref="B14:C16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A212:E212"/>
    <mergeCell ref="C213:D213"/>
    <mergeCell ref="B223:D223"/>
    <mergeCell ref="A224:E224"/>
    <mergeCell ref="C225:D225"/>
    <mergeCell ref="C189:D189"/>
    <mergeCell ref="B199:D199"/>
    <mergeCell ref="A200:E200"/>
    <mergeCell ref="C201:D201"/>
    <mergeCell ref="B211:D211"/>
    <mergeCell ref="B175:D175"/>
    <mergeCell ref="A176:E176"/>
    <mergeCell ref="C177:D177"/>
    <mergeCell ref="B187:D187"/>
    <mergeCell ref="A188:E188"/>
    <mergeCell ref="A152:E152"/>
    <mergeCell ref="C153:D153"/>
    <mergeCell ref="B163:D163"/>
    <mergeCell ref="A164:E164"/>
    <mergeCell ref="C165:D165"/>
    <mergeCell ref="C117:D117"/>
    <mergeCell ref="B127:D127"/>
    <mergeCell ref="A128:E128"/>
    <mergeCell ref="C129:D129"/>
    <mergeCell ref="B151:D151"/>
    <mergeCell ref="B103:D103"/>
    <mergeCell ref="A104:E104"/>
    <mergeCell ref="C105:D105"/>
    <mergeCell ref="B115:D115"/>
    <mergeCell ref="A116:E116"/>
    <mergeCell ref="A80:E80"/>
    <mergeCell ref="C81:D81"/>
    <mergeCell ref="B91:D91"/>
    <mergeCell ref="A92:E92"/>
    <mergeCell ref="C93:D93"/>
  </mergeCells>
  <conditionalFormatting sqref="E14:R15">
    <cfRule type="containsBlanks" dxfId="83" priority="1">
      <formula>LEN(TRIM(E14))=0</formula>
    </cfRule>
  </conditionalFormatting>
  <conditionalFormatting sqref="E19:R20">
    <cfRule type="containsBlanks" dxfId="82" priority="2">
      <formula>LEN(TRIM(E19))=0</formula>
    </cfRule>
  </conditionalFormatting>
  <conditionalFormatting sqref="E22:R23 E25:R26 E33:R33 E35:R35 E39:R40">
    <cfRule type="containsBlanks" dxfId="81" priority="3">
      <formula>LEN(TRIM(E22))=0</formula>
    </cfRule>
  </conditionalFormatting>
  <conditionalFormatting sqref="E30:R30">
    <cfRule type="expression" dxfId="80" priority="4">
      <formula>E30&lt;&gt;E47</formula>
    </cfRule>
    <cfRule type="expression" dxfId="79" priority="5">
      <formula>E30&lt;&gt;E34</formula>
    </cfRule>
  </conditionalFormatting>
  <conditionalFormatting sqref="E34:R34">
    <cfRule type="expression" dxfId="78" priority="6">
      <formula>E30&lt;&gt;E34</formula>
    </cfRule>
    <cfRule type="expression" dxfId="77" priority="7">
      <formula>E30=E34</formula>
    </cfRule>
    <cfRule type="expression" dxfId="76" priority="8">
      <formula>E34&lt;&gt;E30</formula>
    </cfRule>
    <cfRule type="expression" dxfId="75" priority="9">
      <formula>E34&lt;&gt;E64</formula>
    </cfRule>
  </conditionalFormatting>
  <conditionalFormatting sqref="E45:R54">
    <cfRule type="containsBlanks" dxfId="74" priority="10">
      <formula>LEN(TRIM(E45))=0</formula>
    </cfRule>
  </conditionalFormatting>
  <conditionalFormatting sqref="E57:R66">
    <cfRule type="containsBlanks" dxfId="73" priority="11">
      <formula>LEN(TRIM(E57))=0</formula>
    </cfRule>
  </conditionalFormatting>
  <conditionalFormatting sqref="E69:R78">
    <cfRule type="containsBlanks" dxfId="72" priority="12">
      <formula>LEN(TRIM(E69))=0</formula>
    </cfRule>
  </conditionalFormatting>
  <conditionalFormatting sqref="E81:R90">
    <cfRule type="containsBlanks" dxfId="71" priority="13">
      <formula>LEN(TRIM(E81))=0</formula>
    </cfRule>
  </conditionalFormatting>
  <conditionalFormatting sqref="E93:R102">
    <cfRule type="containsBlanks" dxfId="70" priority="14">
      <formula>LEN(TRIM(E93))=0</formula>
    </cfRule>
  </conditionalFormatting>
  <conditionalFormatting sqref="E105:R114">
    <cfRule type="containsBlanks" dxfId="69" priority="15">
      <formula>LEN(TRIM(E105))=0</formula>
    </cfRule>
  </conditionalFormatting>
  <conditionalFormatting sqref="E117:R126">
    <cfRule type="containsBlanks" dxfId="68" priority="16">
      <formula>LEN(TRIM(E117))=0</formula>
    </cfRule>
  </conditionalFormatting>
  <conditionalFormatting sqref="E129:R138">
    <cfRule type="containsBlanks" dxfId="67" priority="17">
      <formula>LEN(TRIM(E129))=0</formula>
    </cfRule>
  </conditionalFormatting>
  <conditionalFormatting sqref="E141:R150">
    <cfRule type="containsBlanks" dxfId="66" priority="18">
      <formula>LEN(TRIM(E141))=0</formula>
    </cfRule>
  </conditionalFormatting>
  <conditionalFormatting sqref="E153:R162">
    <cfRule type="containsBlanks" dxfId="65" priority="19">
      <formula>LEN(TRIM(E153))=0</formula>
    </cfRule>
  </conditionalFormatting>
  <conditionalFormatting sqref="E165:R174">
    <cfRule type="containsBlanks" dxfId="64" priority="20">
      <formula>LEN(TRIM(E165))=0</formula>
    </cfRule>
  </conditionalFormatting>
  <conditionalFormatting sqref="E177:R186">
    <cfRule type="containsBlanks" dxfId="63" priority="21">
      <formula>LEN(TRIM(E177))=0</formula>
    </cfRule>
  </conditionalFormatting>
  <conditionalFormatting sqref="E189:R198">
    <cfRule type="containsBlanks" dxfId="62" priority="22">
      <formula>LEN(TRIM(E189))=0</formula>
    </cfRule>
  </conditionalFormatting>
  <conditionalFormatting sqref="E201:R210">
    <cfRule type="containsBlanks" dxfId="61" priority="23">
      <formula>LEN(TRIM(E201))=0</formula>
    </cfRule>
  </conditionalFormatting>
  <conditionalFormatting sqref="E213:R222">
    <cfRule type="containsBlanks" dxfId="60" priority="24">
      <formula>LEN(TRIM(E213))=0</formula>
    </cfRule>
  </conditionalFormatting>
  <conditionalFormatting sqref="E225:R234">
    <cfRule type="containsBlanks" dxfId="59" priority="25">
      <formula>LEN(TRIM(E225))=0</formula>
    </cfRule>
  </conditionalFormatting>
  <conditionalFormatting sqref="E237:R246">
    <cfRule type="containsBlanks" dxfId="58" priority="26">
      <formula>LEN(TRIM(E237))=0</formula>
    </cfRule>
  </conditionalFormatting>
  <conditionalFormatting sqref="E249:R258">
    <cfRule type="containsBlanks" dxfId="57" priority="27">
      <formula>LEN(TRIM(E249))=0</formula>
    </cfRule>
  </conditionalFormatting>
  <conditionalFormatting sqref="E262:R263">
    <cfRule type="containsBlanks" dxfId="56" priority="28">
      <formula>LEN(TRIM(E262))=0</formula>
    </cfRule>
  </conditionalFormatting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000"/>
  <sheetViews>
    <sheetView workbookViewId="0">
      <selection activeCell="E249" sqref="E249:X252"/>
    </sheetView>
  </sheetViews>
  <sheetFormatPr defaultColWidth="14.3984375" defaultRowHeight="15" customHeight="1" x14ac:dyDescent="0.3"/>
  <cols>
    <col min="1" max="2" width="8.69921875" customWidth="1"/>
    <col min="3" max="3" width="67.09765625" customWidth="1"/>
    <col min="4" max="4" width="5.8984375" customWidth="1"/>
    <col min="5" max="24" width="8.69921875" customWidth="1"/>
    <col min="25" max="25" width="13.296875" customWidth="1"/>
    <col min="26" max="26" width="8.69921875" customWidth="1"/>
  </cols>
  <sheetData>
    <row r="1" spans="1:25" ht="12.75" customHeight="1" x14ac:dyDescent="0.3"/>
    <row r="2" spans="1:25" ht="12.75" customHeight="1" x14ac:dyDescent="0.3">
      <c r="C2" s="8" t="s">
        <v>0</v>
      </c>
      <c r="D2" s="8" t="s">
        <v>1</v>
      </c>
    </row>
    <row r="3" spans="1:25" ht="12.75" customHeight="1" x14ac:dyDescent="0.3">
      <c r="C3" s="8" t="s">
        <v>2</v>
      </c>
      <c r="D3" s="8" t="s">
        <v>3</v>
      </c>
    </row>
    <row r="4" spans="1:25" ht="12.75" customHeight="1" x14ac:dyDescent="0.3">
      <c r="C4" s="8" t="s">
        <v>4</v>
      </c>
      <c r="D4" s="8" t="s">
        <v>5</v>
      </c>
    </row>
    <row r="5" spans="1:25" ht="12.75" customHeight="1" x14ac:dyDescent="0.3">
      <c r="C5" s="8"/>
      <c r="D5" s="8"/>
    </row>
    <row r="6" spans="1:25" ht="12.75" customHeight="1" x14ac:dyDescent="0.3">
      <c r="C6" s="8"/>
      <c r="D6" s="8"/>
    </row>
    <row r="7" spans="1:25" ht="12.75" customHeight="1" x14ac:dyDescent="0.3">
      <c r="C7" s="8"/>
      <c r="D7" s="8"/>
    </row>
    <row r="8" spans="1:25" ht="12.75" customHeight="1" x14ac:dyDescent="0.3">
      <c r="C8" s="8"/>
      <c r="D8" s="8"/>
    </row>
    <row r="9" spans="1:25" ht="12.75" customHeight="1" x14ac:dyDescent="0.3">
      <c r="C9" s="8" t="s">
        <v>198</v>
      </c>
      <c r="D9" s="8" t="s">
        <v>228</v>
      </c>
    </row>
    <row r="10" spans="1:25" ht="12.75" customHeight="1" x14ac:dyDescent="0.3"/>
    <row r="11" spans="1:25" ht="12.75" customHeight="1" x14ac:dyDescent="0.3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5" ht="12.75" customHeight="1" x14ac:dyDescent="0.3">
      <c r="A12" s="13" t="s">
        <v>6</v>
      </c>
      <c r="B12" s="66" t="s">
        <v>7</v>
      </c>
      <c r="C12" s="60"/>
      <c r="D12" s="58"/>
      <c r="E12" s="83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84" t="s">
        <v>8</v>
      </c>
    </row>
    <row r="13" spans="1:25" ht="12.75" customHeight="1" x14ac:dyDescent="0.3">
      <c r="A13" s="16" t="s">
        <v>9</v>
      </c>
      <c r="B13" s="70" t="s">
        <v>10</v>
      </c>
      <c r="C13" s="60"/>
      <c r="D13" s="58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220</v>
      </c>
      <c r="W13" s="13" t="s">
        <v>222</v>
      </c>
      <c r="X13" s="13" t="s">
        <v>223</v>
      </c>
      <c r="Y13" s="76"/>
    </row>
    <row r="14" spans="1:25" ht="12.75" customHeight="1" x14ac:dyDescent="0.3">
      <c r="A14" s="15"/>
      <c r="B14" s="71" t="s">
        <v>11</v>
      </c>
      <c r="C14" s="63"/>
      <c r="D14" s="16" t="s">
        <v>12</v>
      </c>
      <c r="E14" s="16">
        <v>139</v>
      </c>
      <c r="F14" s="16">
        <v>144</v>
      </c>
      <c r="G14" s="16">
        <v>133</v>
      </c>
      <c r="H14" s="16">
        <v>92</v>
      </c>
      <c r="I14" s="16">
        <v>127</v>
      </c>
      <c r="J14" s="16">
        <v>149</v>
      </c>
      <c r="K14" s="16">
        <v>145</v>
      </c>
      <c r="L14" s="16">
        <v>134</v>
      </c>
      <c r="M14" s="16">
        <v>145</v>
      </c>
      <c r="N14" s="16">
        <v>142</v>
      </c>
      <c r="O14" s="16">
        <v>103</v>
      </c>
      <c r="P14" s="16">
        <v>113</v>
      </c>
      <c r="Q14" s="16">
        <v>126</v>
      </c>
      <c r="R14" s="16">
        <v>127</v>
      </c>
      <c r="S14" s="16">
        <v>124</v>
      </c>
      <c r="T14" s="16">
        <v>135</v>
      </c>
      <c r="U14" s="16">
        <v>143</v>
      </c>
      <c r="V14" s="16">
        <v>135</v>
      </c>
      <c r="W14" s="16">
        <v>133</v>
      </c>
      <c r="X14" s="16">
        <v>126</v>
      </c>
      <c r="Y14" s="13">
        <f t="shared" ref="Y14:Y16" si="0">SUM(E14:X14)</f>
        <v>2615</v>
      </c>
    </row>
    <row r="15" spans="1:25" ht="12.75" customHeight="1" x14ac:dyDescent="0.3">
      <c r="A15" s="15"/>
      <c r="B15" s="72"/>
      <c r="C15" s="73"/>
      <c r="D15" s="16" t="s">
        <v>13</v>
      </c>
      <c r="E15" s="16">
        <v>142</v>
      </c>
      <c r="F15" s="16">
        <v>134</v>
      </c>
      <c r="G15" s="16">
        <v>140</v>
      </c>
      <c r="H15" s="16">
        <v>104</v>
      </c>
      <c r="I15" s="16">
        <v>140</v>
      </c>
      <c r="J15" s="16">
        <v>135</v>
      </c>
      <c r="K15" s="16">
        <v>141</v>
      </c>
      <c r="L15" s="16">
        <v>151</v>
      </c>
      <c r="M15" s="16">
        <v>132</v>
      </c>
      <c r="N15" s="16">
        <v>134</v>
      </c>
      <c r="O15" s="16">
        <v>119</v>
      </c>
      <c r="P15" s="16">
        <v>129</v>
      </c>
      <c r="Q15" s="16">
        <v>148</v>
      </c>
      <c r="R15" s="16">
        <v>119</v>
      </c>
      <c r="S15" s="16">
        <v>121</v>
      </c>
      <c r="T15" s="16">
        <v>152</v>
      </c>
      <c r="U15" s="16">
        <v>146</v>
      </c>
      <c r="V15" s="16">
        <v>146</v>
      </c>
      <c r="W15" s="16">
        <v>144</v>
      </c>
      <c r="X15" s="16">
        <v>147</v>
      </c>
      <c r="Y15" s="13">
        <f t="shared" si="0"/>
        <v>2724</v>
      </c>
    </row>
    <row r="16" spans="1:25" ht="12.75" customHeight="1" x14ac:dyDescent="0.3">
      <c r="A16" s="18"/>
      <c r="B16" s="69"/>
      <c r="C16" s="65"/>
      <c r="D16" s="13" t="s">
        <v>14</v>
      </c>
      <c r="E16" s="13">
        <f t="shared" ref="E16:X16" si="1">SUM(E14:E15)</f>
        <v>281</v>
      </c>
      <c r="F16" s="13">
        <f t="shared" si="1"/>
        <v>278</v>
      </c>
      <c r="G16" s="13">
        <f t="shared" si="1"/>
        <v>273</v>
      </c>
      <c r="H16" s="13">
        <f t="shared" si="1"/>
        <v>196</v>
      </c>
      <c r="I16" s="13">
        <f t="shared" si="1"/>
        <v>267</v>
      </c>
      <c r="J16" s="13">
        <f t="shared" si="1"/>
        <v>284</v>
      </c>
      <c r="K16" s="13">
        <f t="shared" si="1"/>
        <v>286</v>
      </c>
      <c r="L16" s="13">
        <f t="shared" si="1"/>
        <v>285</v>
      </c>
      <c r="M16" s="13">
        <f t="shared" si="1"/>
        <v>277</v>
      </c>
      <c r="N16" s="13">
        <f t="shared" si="1"/>
        <v>276</v>
      </c>
      <c r="O16" s="13">
        <f t="shared" si="1"/>
        <v>222</v>
      </c>
      <c r="P16" s="13">
        <f t="shared" si="1"/>
        <v>242</v>
      </c>
      <c r="Q16" s="13">
        <f t="shared" si="1"/>
        <v>274</v>
      </c>
      <c r="R16" s="13">
        <f t="shared" si="1"/>
        <v>246</v>
      </c>
      <c r="S16" s="13">
        <f t="shared" si="1"/>
        <v>245</v>
      </c>
      <c r="T16" s="13">
        <f t="shared" si="1"/>
        <v>287</v>
      </c>
      <c r="U16" s="13">
        <f t="shared" si="1"/>
        <v>289</v>
      </c>
      <c r="V16" s="13">
        <f t="shared" si="1"/>
        <v>281</v>
      </c>
      <c r="W16" s="13">
        <f t="shared" si="1"/>
        <v>277</v>
      </c>
      <c r="X16" s="13">
        <f t="shared" si="1"/>
        <v>273</v>
      </c>
      <c r="Y16" s="13">
        <f t="shared" si="0"/>
        <v>5339</v>
      </c>
    </row>
    <row r="17" spans="1:25" ht="12.75" customHeight="1" x14ac:dyDescent="0.3">
      <c r="A17" s="61"/>
      <c r="B17" s="60"/>
      <c r="C17" s="60"/>
      <c r="D17" s="58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49"/>
    </row>
    <row r="18" spans="1:25" ht="12.75" customHeight="1" x14ac:dyDescent="0.3">
      <c r="A18" s="20" t="s">
        <v>15</v>
      </c>
      <c r="B18" s="70" t="s">
        <v>16</v>
      </c>
      <c r="C18" s="60"/>
      <c r="D18" s="58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49"/>
    </row>
    <row r="19" spans="1:25" ht="12.75" customHeight="1" x14ac:dyDescent="0.3">
      <c r="A19" s="20"/>
      <c r="B19" s="77" t="s">
        <v>17</v>
      </c>
      <c r="C19" s="74" t="s">
        <v>18</v>
      </c>
      <c r="D19" s="16" t="s">
        <v>12</v>
      </c>
      <c r="E19" s="16">
        <v>108</v>
      </c>
      <c r="F19" s="16">
        <v>118</v>
      </c>
      <c r="G19" s="16">
        <v>107</v>
      </c>
      <c r="H19" s="16">
        <v>67</v>
      </c>
      <c r="I19" s="16">
        <v>102</v>
      </c>
      <c r="J19" s="16">
        <v>119</v>
      </c>
      <c r="K19" s="16">
        <v>118</v>
      </c>
      <c r="L19" s="16">
        <v>92</v>
      </c>
      <c r="M19" s="16">
        <v>118</v>
      </c>
      <c r="N19" s="16">
        <v>111</v>
      </c>
      <c r="O19" s="16">
        <v>81</v>
      </c>
      <c r="P19" s="16">
        <v>82</v>
      </c>
      <c r="Q19" s="16">
        <v>97</v>
      </c>
      <c r="R19" s="16">
        <v>104</v>
      </c>
      <c r="S19" s="16">
        <v>97</v>
      </c>
      <c r="T19" s="16">
        <v>82</v>
      </c>
      <c r="U19" s="16">
        <v>113</v>
      </c>
      <c r="V19" s="16">
        <v>97</v>
      </c>
      <c r="W19" s="16">
        <v>96</v>
      </c>
      <c r="X19" s="16">
        <v>102</v>
      </c>
      <c r="Y19" s="13">
        <f t="shared" ref="Y19:Y30" si="2">SUM(E19:X19)</f>
        <v>2011</v>
      </c>
    </row>
    <row r="20" spans="1:25" ht="12.75" customHeight="1" x14ac:dyDescent="0.3">
      <c r="A20" s="21"/>
      <c r="B20" s="73"/>
      <c r="C20" s="75"/>
      <c r="D20" s="16" t="s">
        <v>13</v>
      </c>
      <c r="E20" s="16">
        <v>121</v>
      </c>
      <c r="F20" s="16">
        <v>123</v>
      </c>
      <c r="G20" s="16">
        <v>116</v>
      </c>
      <c r="H20" s="16">
        <v>81</v>
      </c>
      <c r="I20" s="16">
        <v>130</v>
      </c>
      <c r="J20" s="16">
        <v>116</v>
      </c>
      <c r="K20" s="16">
        <v>114</v>
      </c>
      <c r="L20" s="16">
        <v>113</v>
      </c>
      <c r="M20" s="16">
        <v>113</v>
      </c>
      <c r="N20" s="16">
        <v>109</v>
      </c>
      <c r="O20" s="16">
        <v>101</v>
      </c>
      <c r="P20" s="16">
        <v>105</v>
      </c>
      <c r="Q20" s="16">
        <v>122</v>
      </c>
      <c r="R20" s="16">
        <v>102</v>
      </c>
      <c r="S20" s="16">
        <v>101</v>
      </c>
      <c r="T20" s="16">
        <v>118</v>
      </c>
      <c r="U20" s="16">
        <v>122</v>
      </c>
      <c r="V20" s="16">
        <v>122</v>
      </c>
      <c r="W20" s="16">
        <v>120</v>
      </c>
      <c r="X20" s="16">
        <v>130</v>
      </c>
      <c r="Y20" s="13">
        <f t="shared" si="2"/>
        <v>2279</v>
      </c>
    </row>
    <row r="21" spans="1:25" ht="12.75" customHeight="1" x14ac:dyDescent="0.3">
      <c r="A21" s="22"/>
      <c r="B21" s="65"/>
      <c r="C21" s="76"/>
      <c r="D21" s="13" t="s">
        <v>14</v>
      </c>
      <c r="E21" s="13">
        <f t="shared" ref="E21:X21" si="3">SUM(E19:E20)</f>
        <v>229</v>
      </c>
      <c r="F21" s="13">
        <f t="shared" si="3"/>
        <v>241</v>
      </c>
      <c r="G21" s="13">
        <f t="shared" si="3"/>
        <v>223</v>
      </c>
      <c r="H21" s="13">
        <f t="shared" si="3"/>
        <v>148</v>
      </c>
      <c r="I21" s="13">
        <f t="shared" si="3"/>
        <v>232</v>
      </c>
      <c r="J21" s="13">
        <f t="shared" si="3"/>
        <v>235</v>
      </c>
      <c r="K21" s="13">
        <f t="shared" si="3"/>
        <v>232</v>
      </c>
      <c r="L21" s="13">
        <f t="shared" si="3"/>
        <v>205</v>
      </c>
      <c r="M21" s="13">
        <f t="shared" si="3"/>
        <v>231</v>
      </c>
      <c r="N21" s="13">
        <f t="shared" si="3"/>
        <v>220</v>
      </c>
      <c r="O21" s="13">
        <f t="shared" si="3"/>
        <v>182</v>
      </c>
      <c r="P21" s="13">
        <f t="shared" si="3"/>
        <v>187</v>
      </c>
      <c r="Q21" s="13">
        <f t="shared" si="3"/>
        <v>219</v>
      </c>
      <c r="R21" s="13">
        <f t="shared" si="3"/>
        <v>206</v>
      </c>
      <c r="S21" s="13">
        <f t="shared" si="3"/>
        <v>198</v>
      </c>
      <c r="T21" s="13">
        <f t="shared" si="3"/>
        <v>200</v>
      </c>
      <c r="U21" s="13">
        <f t="shared" si="3"/>
        <v>235</v>
      </c>
      <c r="V21" s="13">
        <f t="shared" si="3"/>
        <v>219</v>
      </c>
      <c r="W21" s="13">
        <f t="shared" si="3"/>
        <v>216</v>
      </c>
      <c r="X21" s="13">
        <f t="shared" si="3"/>
        <v>232</v>
      </c>
      <c r="Y21" s="13">
        <f t="shared" si="2"/>
        <v>4290</v>
      </c>
    </row>
    <row r="22" spans="1:25" ht="12.75" customHeight="1" x14ac:dyDescent="0.3">
      <c r="A22" s="21"/>
      <c r="B22" s="77" t="s">
        <v>19</v>
      </c>
      <c r="C22" s="74" t="s">
        <v>20</v>
      </c>
      <c r="D22" s="16" t="s">
        <v>12</v>
      </c>
      <c r="E22" s="16">
        <v>0</v>
      </c>
      <c r="F22" s="16">
        <v>0</v>
      </c>
      <c r="G22" s="16">
        <v>1</v>
      </c>
      <c r="H22" s="16">
        <v>2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</v>
      </c>
      <c r="U22" s="16">
        <v>0</v>
      </c>
      <c r="V22" s="16">
        <v>1</v>
      </c>
      <c r="W22" s="16">
        <v>1</v>
      </c>
      <c r="X22" s="16">
        <v>0</v>
      </c>
      <c r="Y22" s="13">
        <f t="shared" si="2"/>
        <v>6</v>
      </c>
    </row>
    <row r="23" spans="1:25" ht="12.75" customHeight="1" x14ac:dyDescent="0.3">
      <c r="A23" s="21"/>
      <c r="B23" s="73"/>
      <c r="C23" s="75"/>
      <c r="D23" s="16" t="s">
        <v>13</v>
      </c>
      <c r="E23" s="16">
        <v>0</v>
      </c>
      <c r="F23" s="16">
        <v>0</v>
      </c>
      <c r="G23" s="16">
        <v>0</v>
      </c>
      <c r="H23" s="16">
        <v>2</v>
      </c>
      <c r="I23" s="16">
        <v>0</v>
      </c>
      <c r="J23" s="16">
        <v>0</v>
      </c>
      <c r="K23" s="16">
        <v>0</v>
      </c>
      <c r="L23" s="16">
        <v>0</v>
      </c>
      <c r="M23" s="16">
        <v>1</v>
      </c>
      <c r="N23" s="16">
        <v>1</v>
      </c>
      <c r="O23" s="16">
        <v>0</v>
      </c>
      <c r="P23" s="16">
        <v>0</v>
      </c>
      <c r="Q23" s="16">
        <v>0</v>
      </c>
      <c r="R23" s="16">
        <v>0</v>
      </c>
      <c r="S23" s="16">
        <v>1</v>
      </c>
      <c r="T23" s="16">
        <v>5</v>
      </c>
      <c r="U23" s="16">
        <v>0</v>
      </c>
      <c r="V23" s="16">
        <v>0</v>
      </c>
      <c r="W23" s="16">
        <v>1</v>
      </c>
      <c r="X23" s="16">
        <v>0</v>
      </c>
      <c r="Y23" s="13">
        <f t="shared" si="2"/>
        <v>11</v>
      </c>
    </row>
    <row r="24" spans="1:25" ht="12.75" customHeight="1" x14ac:dyDescent="0.3">
      <c r="A24" s="22"/>
      <c r="B24" s="65"/>
      <c r="C24" s="76"/>
      <c r="D24" s="13" t="s">
        <v>14</v>
      </c>
      <c r="E24" s="13">
        <f t="shared" ref="E24:X24" si="4">SUM(E22:E23)</f>
        <v>0</v>
      </c>
      <c r="F24" s="13">
        <f t="shared" si="4"/>
        <v>0</v>
      </c>
      <c r="G24" s="13">
        <f t="shared" si="4"/>
        <v>1</v>
      </c>
      <c r="H24" s="13">
        <f t="shared" si="4"/>
        <v>4</v>
      </c>
      <c r="I24" s="13">
        <f t="shared" si="4"/>
        <v>0</v>
      </c>
      <c r="J24" s="13">
        <f t="shared" si="4"/>
        <v>0</v>
      </c>
      <c r="K24" s="13">
        <f t="shared" si="4"/>
        <v>0</v>
      </c>
      <c r="L24" s="13">
        <f t="shared" si="4"/>
        <v>0</v>
      </c>
      <c r="M24" s="13">
        <f t="shared" si="4"/>
        <v>1</v>
      </c>
      <c r="N24" s="13">
        <f t="shared" si="4"/>
        <v>1</v>
      </c>
      <c r="O24" s="13">
        <f t="shared" si="4"/>
        <v>0</v>
      </c>
      <c r="P24" s="13">
        <f t="shared" si="4"/>
        <v>0</v>
      </c>
      <c r="Q24" s="13">
        <f t="shared" si="4"/>
        <v>0</v>
      </c>
      <c r="R24" s="13">
        <f t="shared" si="4"/>
        <v>0</v>
      </c>
      <c r="S24" s="13">
        <f t="shared" si="4"/>
        <v>1</v>
      </c>
      <c r="T24" s="13">
        <f t="shared" si="4"/>
        <v>6</v>
      </c>
      <c r="U24" s="13">
        <f t="shared" si="4"/>
        <v>0</v>
      </c>
      <c r="V24" s="13">
        <f t="shared" si="4"/>
        <v>1</v>
      </c>
      <c r="W24" s="13">
        <f t="shared" si="4"/>
        <v>2</v>
      </c>
      <c r="X24" s="13">
        <f t="shared" si="4"/>
        <v>0</v>
      </c>
      <c r="Y24" s="13">
        <f t="shared" si="2"/>
        <v>17</v>
      </c>
    </row>
    <row r="25" spans="1:25" ht="12.75" customHeight="1" x14ac:dyDescent="0.3">
      <c r="A25" s="21"/>
      <c r="B25" s="77" t="s">
        <v>21</v>
      </c>
      <c r="C25" s="74" t="s">
        <v>22</v>
      </c>
      <c r="D25" s="16" t="s">
        <v>12</v>
      </c>
      <c r="E25" s="16">
        <v>2</v>
      </c>
      <c r="F25" s="16">
        <v>1</v>
      </c>
      <c r="G25" s="16">
        <v>0</v>
      </c>
      <c r="H25" s="16">
        <v>1</v>
      </c>
      <c r="I25" s="16">
        <v>0</v>
      </c>
      <c r="J25" s="16">
        <v>1</v>
      </c>
      <c r="K25" s="16">
        <v>1</v>
      </c>
      <c r="L25" s="16">
        <v>0</v>
      </c>
      <c r="M25" s="16">
        <v>0</v>
      </c>
      <c r="N25" s="16">
        <v>1</v>
      </c>
      <c r="O25" s="16">
        <v>1</v>
      </c>
      <c r="P25" s="16">
        <v>1</v>
      </c>
      <c r="Q25" s="16">
        <v>0</v>
      </c>
      <c r="R25" s="16">
        <v>1</v>
      </c>
      <c r="S25" s="16">
        <v>5</v>
      </c>
      <c r="T25" s="16">
        <v>3</v>
      </c>
      <c r="U25" s="16">
        <v>1</v>
      </c>
      <c r="V25" s="16">
        <v>1</v>
      </c>
      <c r="W25" s="16">
        <v>4</v>
      </c>
      <c r="X25" s="16">
        <v>2</v>
      </c>
      <c r="Y25" s="13">
        <f t="shared" si="2"/>
        <v>26</v>
      </c>
    </row>
    <row r="26" spans="1:25" ht="12.75" customHeight="1" x14ac:dyDescent="0.3">
      <c r="A26" s="21"/>
      <c r="B26" s="73"/>
      <c r="C26" s="75"/>
      <c r="D26" s="16" t="s">
        <v>13</v>
      </c>
      <c r="E26" s="16">
        <v>0</v>
      </c>
      <c r="F26" s="16">
        <v>1</v>
      </c>
      <c r="G26" s="16">
        <v>4</v>
      </c>
      <c r="H26" s="16">
        <v>1</v>
      </c>
      <c r="I26" s="16">
        <v>0</v>
      </c>
      <c r="J26" s="16">
        <v>2</v>
      </c>
      <c r="K26" s="16">
        <v>1</v>
      </c>
      <c r="L26" s="16">
        <v>0</v>
      </c>
      <c r="M26" s="16">
        <v>1</v>
      </c>
      <c r="N26" s="16">
        <v>2</v>
      </c>
      <c r="O26" s="16">
        <v>1</v>
      </c>
      <c r="P26" s="16">
        <v>3</v>
      </c>
      <c r="Q26" s="16">
        <v>0</v>
      </c>
      <c r="R26" s="16">
        <v>2</v>
      </c>
      <c r="S26" s="16">
        <v>3</v>
      </c>
      <c r="T26" s="16">
        <v>3</v>
      </c>
      <c r="U26" s="16">
        <v>0</v>
      </c>
      <c r="V26" s="16">
        <v>0</v>
      </c>
      <c r="W26" s="16">
        <v>2</v>
      </c>
      <c r="X26" s="16">
        <v>3</v>
      </c>
      <c r="Y26" s="13">
        <f t="shared" si="2"/>
        <v>29</v>
      </c>
    </row>
    <row r="27" spans="1:25" ht="12.75" customHeight="1" x14ac:dyDescent="0.3">
      <c r="A27" s="22"/>
      <c r="B27" s="65"/>
      <c r="C27" s="76"/>
      <c r="D27" s="13" t="s">
        <v>14</v>
      </c>
      <c r="E27" s="13">
        <f t="shared" ref="E27:X27" si="5">SUM(E25:E26)</f>
        <v>2</v>
      </c>
      <c r="F27" s="13">
        <f t="shared" si="5"/>
        <v>2</v>
      </c>
      <c r="G27" s="13">
        <f t="shared" si="5"/>
        <v>4</v>
      </c>
      <c r="H27" s="13">
        <f t="shared" si="5"/>
        <v>2</v>
      </c>
      <c r="I27" s="13">
        <f t="shared" si="5"/>
        <v>0</v>
      </c>
      <c r="J27" s="13">
        <f t="shared" si="5"/>
        <v>3</v>
      </c>
      <c r="K27" s="13">
        <f t="shared" si="5"/>
        <v>2</v>
      </c>
      <c r="L27" s="13">
        <f t="shared" si="5"/>
        <v>0</v>
      </c>
      <c r="M27" s="13">
        <f t="shared" si="5"/>
        <v>1</v>
      </c>
      <c r="N27" s="13">
        <f t="shared" si="5"/>
        <v>3</v>
      </c>
      <c r="O27" s="13">
        <f t="shared" si="5"/>
        <v>2</v>
      </c>
      <c r="P27" s="13">
        <f t="shared" si="5"/>
        <v>4</v>
      </c>
      <c r="Q27" s="13">
        <f t="shared" si="5"/>
        <v>0</v>
      </c>
      <c r="R27" s="13">
        <f t="shared" si="5"/>
        <v>3</v>
      </c>
      <c r="S27" s="13">
        <f t="shared" si="5"/>
        <v>8</v>
      </c>
      <c r="T27" s="13">
        <f t="shared" si="5"/>
        <v>6</v>
      </c>
      <c r="U27" s="13">
        <f t="shared" si="5"/>
        <v>1</v>
      </c>
      <c r="V27" s="13">
        <f t="shared" si="5"/>
        <v>1</v>
      </c>
      <c r="W27" s="13">
        <f t="shared" si="5"/>
        <v>6</v>
      </c>
      <c r="X27" s="13">
        <f t="shared" si="5"/>
        <v>5</v>
      </c>
      <c r="Y27" s="13">
        <f t="shared" si="2"/>
        <v>55</v>
      </c>
    </row>
    <row r="28" spans="1:25" ht="12.75" customHeight="1" x14ac:dyDescent="0.3">
      <c r="A28" s="22"/>
      <c r="B28" s="78" t="s">
        <v>23</v>
      </c>
      <c r="C28" s="79" t="s">
        <v>24</v>
      </c>
      <c r="D28" s="13" t="s">
        <v>12</v>
      </c>
      <c r="E28" s="13">
        <f t="shared" ref="E28:X28" si="6">SUM(E19,E22,E25)</f>
        <v>110</v>
      </c>
      <c r="F28" s="13">
        <f t="shared" si="6"/>
        <v>119</v>
      </c>
      <c r="G28" s="13">
        <f t="shared" si="6"/>
        <v>108</v>
      </c>
      <c r="H28" s="13">
        <f t="shared" si="6"/>
        <v>70</v>
      </c>
      <c r="I28" s="13">
        <f t="shared" si="6"/>
        <v>102</v>
      </c>
      <c r="J28" s="13">
        <f t="shared" si="6"/>
        <v>120</v>
      </c>
      <c r="K28" s="13">
        <f t="shared" si="6"/>
        <v>119</v>
      </c>
      <c r="L28" s="13">
        <f t="shared" si="6"/>
        <v>92</v>
      </c>
      <c r="M28" s="13">
        <f t="shared" si="6"/>
        <v>118</v>
      </c>
      <c r="N28" s="13">
        <f t="shared" si="6"/>
        <v>112</v>
      </c>
      <c r="O28" s="13">
        <f t="shared" si="6"/>
        <v>82</v>
      </c>
      <c r="P28" s="13">
        <f t="shared" si="6"/>
        <v>83</v>
      </c>
      <c r="Q28" s="13">
        <f t="shared" si="6"/>
        <v>97</v>
      </c>
      <c r="R28" s="13">
        <f t="shared" si="6"/>
        <v>105</v>
      </c>
      <c r="S28" s="13">
        <f t="shared" si="6"/>
        <v>102</v>
      </c>
      <c r="T28" s="13">
        <f t="shared" si="6"/>
        <v>86</v>
      </c>
      <c r="U28" s="13">
        <f t="shared" si="6"/>
        <v>114</v>
      </c>
      <c r="V28" s="13">
        <f t="shared" si="6"/>
        <v>99</v>
      </c>
      <c r="W28" s="13">
        <f t="shared" si="6"/>
        <v>101</v>
      </c>
      <c r="X28" s="13">
        <f t="shared" si="6"/>
        <v>104</v>
      </c>
      <c r="Y28" s="13">
        <f t="shared" si="2"/>
        <v>2043</v>
      </c>
    </row>
    <row r="29" spans="1:25" ht="12.75" customHeight="1" x14ac:dyDescent="0.3">
      <c r="A29" s="22"/>
      <c r="B29" s="73"/>
      <c r="C29" s="75"/>
      <c r="D29" s="13" t="s">
        <v>13</v>
      </c>
      <c r="E29" s="13">
        <f t="shared" ref="E29:X29" si="7">SUM(E20,E23,E26)</f>
        <v>121</v>
      </c>
      <c r="F29" s="13">
        <f t="shared" si="7"/>
        <v>124</v>
      </c>
      <c r="G29" s="13">
        <f t="shared" si="7"/>
        <v>120</v>
      </c>
      <c r="H29" s="13">
        <f t="shared" si="7"/>
        <v>84</v>
      </c>
      <c r="I29" s="13">
        <f t="shared" si="7"/>
        <v>130</v>
      </c>
      <c r="J29" s="13">
        <f t="shared" si="7"/>
        <v>118</v>
      </c>
      <c r="K29" s="13">
        <f t="shared" si="7"/>
        <v>115</v>
      </c>
      <c r="L29" s="13">
        <f t="shared" si="7"/>
        <v>113</v>
      </c>
      <c r="M29" s="13">
        <f t="shared" si="7"/>
        <v>115</v>
      </c>
      <c r="N29" s="13">
        <f t="shared" si="7"/>
        <v>112</v>
      </c>
      <c r="O29" s="13">
        <f t="shared" si="7"/>
        <v>102</v>
      </c>
      <c r="P29" s="13">
        <f t="shared" si="7"/>
        <v>108</v>
      </c>
      <c r="Q29" s="13">
        <f t="shared" si="7"/>
        <v>122</v>
      </c>
      <c r="R29" s="13">
        <f t="shared" si="7"/>
        <v>104</v>
      </c>
      <c r="S29" s="13">
        <f t="shared" si="7"/>
        <v>105</v>
      </c>
      <c r="T29" s="13">
        <f t="shared" si="7"/>
        <v>126</v>
      </c>
      <c r="U29" s="13">
        <f t="shared" si="7"/>
        <v>122</v>
      </c>
      <c r="V29" s="13">
        <f t="shared" si="7"/>
        <v>122</v>
      </c>
      <c r="W29" s="13">
        <f t="shared" si="7"/>
        <v>123</v>
      </c>
      <c r="X29" s="13">
        <f t="shared" si="7"/>
        <v>133</v>
      </c>
      <c r="Y29" s="13">
        <f t="shared" si="2"/>
        <v>2319</v>
      </c>
    </row>
    <row r="30" spans="1:25" ht="12.75" customHeight="1" x14ac:dyDescent="0.3">
      <c r="A30" s="22"/>
      <c r="B30" s="65"/>
      <c r="C30" s="76"/>
      <c r="D30" s="13" t="s">
        <v>14</v>
      </c>
      <c r="E30" s="13">
        <f t="shared" ref="E30:X30" si="8">SUM(E28:E29)</f>
        <v>231</v>
      </c>
      <c r="F30" s="13">
        <f t="shared" si="8"/>
        <v>243</v>
      </c>
      <c r="G30" s="13">
        <f t="shared" si="8"/>
        <v>228</v>
      </c>
      <c r="H30" s="13">
        <f t="shared" si="8"/>
        <v>154</v>
      </c>
      <c r="I30" s="13">
        <f t="shared" si="8"/>
        <v>232</v>
      </c>
      <c r="J30" s="13">
        <f t="shared" si="8"/>
        <v>238</v>
      </c>
      <c r="K30" s="13">
        <f t="shared" si="8"/>
        <v>234</v>
      </c>
      <c r="L30" s="13">
        <f t="shared" si="8"/>
        <v>205</v>
      </c>
      <c r="M30" s="13">
        <f t="shared" si="8"/>
        <v>233</v>
      </c>
      <c r="N30" s="13">
        <f t="shared" si="8"/>
        <v>224</v>
      </c>
      <c r="O30" s="13">
        <f t="shared" si="8"/>
        <v>184</v>
      </c>
      <c r="P30" s="13">
        <f t="shared" si="8"/>
        <v>191</v>
      </c>
      <c r="Q30" s="13">
        <f t="shared" si="8"/>
        <v>219</v>
      </c>
      <c r="R30" s="13">
        <f t="shared" si="8"/>
        <v>209</v>
      </c>
      <c r="S30" s="13">
        <f t="shared" si="8"/>
        <v>207</v>
      </c>
      <c r="T30" s="13">
        <f t="shared" si="8"/>
        <v>212</v>
      </c>
      <c r="U30" s="13">
        <f t="shared" si="8"/>
        <v>236</v>
      </c>
      <c r="V30" s="13">
        <f t="shared" si="8"/>
        <v>221</v>
      </c>
      <c r="W30" s="13">
        <f t="shared" si="8"/>
        <v>224</v>
      </c>
      <c r="X30" s="13">
        <f t="shared" si="8"/>
        <v>237</v>
      </c>
      <c r="Y30" s="13">
        <f t="shared" si="2"/>
        <v>4362</v>
      </c>
    </row>
    <row r="31" spans="1:25" ht="12.75" customHeight="1" x14ac:dyDescent="0.3">
      <c r="A31" s="61"/>
      <c r="B31" s="60"/>
      <c r="C31" s="60"/>
      <c r="D31" s="58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49"/>
    </row>
    <row r="32" spans="1:25" ht="12.75" customHeight="1" x14ac:dyDescent="0.3">
      <c r="A32" s="25" t="s">
        <v>25</v>
      </c>
      <c r="B32" s="66" t="s">
        <v>26</v>
      </c>
      <c r="C32" s="60"/>
      <c r="D32" s="58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49"/>
    </row>
    <row r="33" spans="1:25" ht="12.75" customHeight="1" x14ac:dyDescent="0.3">
      <c r="A33" s="16">
        <v>1</v>
      </c>
      <c r="B33" s="70" t="s">
        <v>27</v>
      </c>
      <c r="C33" s="60"/>
      <c r="D33" s="58"/>
      <c r="E33" s="16">
        <v>287</v>
      </c>
      <c r="F33" s="16">
        <v>280</v>
      </c>
      <c r="G33" s="16">
        <v>275</v>
      </c>
      <c r="H33" s="16">
        <v>198</v>
      </c>
      <c r="I33" s="16">
        <v>269</v>
      </c>
      <c r="J33" s="16">
        <v>290</v>
      </c>
      <c r="K33" s="16">
        <v>288</v>
      </c>
      <c r="L33" s="16">
        <v>287</v>
      </c>
      <c r="M33" s="16">
        <v>279</v>
      </c>
      <c r="N33" s="16">
        <v>282</v>
      </c>
      <c r="O33" s="16">
        <v>227</v>
      </c>
      <c r="P33" s="16">
        <v>244</v>
      </c>
      <c r="Q33" s="16">
        <v>276</v>
      </c>
      <c r="R33" s="16">
        <v>241</v>
      </c>
      <c r="S33" s="16">
        <v>247</v>
      </c>
      <c r="T33" s="16">
        <v>289</v>
      </c>
      <c r="U33" s="16">
        <v>291</v>
      </c>
      <c r="V33" s="16">
        <v>283</v>
      </c>
      <c r="W33" s="16">
        <v>279</v>
      </c>
      <c r="X33" s="16">
        <v>275</v>
      </c>
      <c r="Y33" s="13">
        <f t="shared" ref="Y33:Y36" si="9">SUM(E33:X33)</f>
        <v>5387</v>
      </c>
    </row>
    <row r="34" spans="1:25" ht="12.75" customHeight="1" x14ac:dyDescent="0.3">
      <c r="A34" s="16">
        <v>2</v>
      </c>
      <c r="B34" s="70" t="s">
        <v>28</v>
      </c>
      <c r="C34" s="60"/>
      <c r="D34" s="58"/>
      <c r="E34" s="13">
        <v>231</v>
      </c>
      <c r="F34" s="13">
        <v>243</v>
      </c>
      <c r="G34" s="13">
        <v>228</v>
      </c>
      <c r="H34" s="13">
        <v>154</v>
      </c>
      <c r="I34" s="13">
        <v>232</v>
      </c>
      <c r="J34" s="13">
        <v>238</v>
      </c>
      <c r="K34" s="13">
        <v>234</v>
      </c>
      <c r="L34" s="13">
        <v>205</v>
      </c>
      <c r="M34" s="13">
        <v>233</v>
      </c>
      <c r="N34" s="13">
        <v>224</v>
      </c>
      <c r="O34" s="13">
        <v>184</v>
      </c>
      <c r="P34" s="13">
        <v>191</v>
      </c>
      <c r="Q34" s="13">
        <v>219</v>
      </c>
      <c r="R34" s="13">
        <v>209</v>
      </c>
      <c r="S34" s="13">
        <v>207</v>
      </c>
      <c r="T34" s="13">
        <v>212</v>
      </c>
      <c r="U34" s="13">
        <v>236</v>
      </c>
      <c r="V34" s="13">
        <v>221</v>
      </c>
      <c r="W34" s="13">
        <v>224</v>
      </c>
      <c r="X34" s="13">
        <v>237</v>
      </c>
      <c r="Y34" s="13">
        <f t="shared" si="9"/>
        <v>4362</v>
      </c>
    </row>
    <row r="35" spans="1:25" ht="12.75" customHeight="1" x14ac:dyDescent="0.3">
      <c r="A35" s="16">
        <v>3</v>
      </c>
      <c r="B35" s="70" t="s">
        <v>29</v>
      </c>
      <c r="C35" s="60"/>
      <c r="D35" s="58"/>
      <c r="E35" s="16">
        <v>1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1</v>
      </c>
      <c r="N35" s="16">
        <v>0</v>
      </c>
      <c r="O35" s="16">
        <v>1</v>
      </c>
      <c r="P35" s="16">
        <v>1</v>
      </c>
      <c r="Q35" s="16">
        <v>0</v>
      </c>
      <c r="R35" s="16">
        <v>0</v>
      </c>
      <c r="S35" s="16">
        <v>1</v>
      </c>
      <c r="T35" s="16">
        <v>2</v>
      </c>
      <c r="U35" s="16">
        <v>1</v>
      </c>
      <c r="V35" s="16">
        <v>0</v>
      </c>
      <c r="W35" s="16">
        <v>0</v>
      </c>
      <c r="X35" s="16">
        <v>0</v>
      </c>
      <c r="Y35" s="13">
        <f t="shared" si="9"/>
        <v>8</v>
      </c>
    </row>
    <row r="36" spans="1:25" ht="12.75" customHeight="1" x14ac:dyDescent="0.3">
      <c r="A36" s="16">
        <v>4</v>
      </c>
      <c r="B36" s="70" t="s">
        <v>30</v>
      </c>
      <c r="C36" s="60"/>
      <c r="D36" s="58"/>
      <c r="E36" s="13">
        <f t="shared" ref="E36:X36" si="10">E33-(E34+E35)</f>
        <v>55</v>
      </c>
      <c r="F36" s="13">
        <f t="shared" si="10"/>
        <v>37</v>
      </c>
      <c r="G36" s="13">
        <f t="shared" si="10"/>
        <v>47</v>
      </c>
      <c r="H36" s="13">
        <f t="shared" si="10"/>
        <v>44</v>
      </c>
      <c r="I36" s="13">
        <f t="shared" si="10"/>
        <v>37</v>
      </c>
      <c r="J36" s="13">
        <f t="shared" si="10"/>
        <v>52</v>
      </c>
      <c r="K36" s="13">
        <f t="shared" si="10"/>
        <v>54</v>
      </c>
      <c r="L36" s="13">
        <f t="shared" si="10"/>
        <v>82</v>
      </c>
      <c r="M36" s="13">
        <f t="shared" si="10"/>
        <v>45</v>
      </c>
      <c r="N36" s="13">
        <f t="shared" si="10"/>
        <v>58</v>
      </c>
      <c r="O36" s="13">
        <f t="shared" si="10"/>
        <v>42</v>
      </c>
      <c r="P36" s="13">
        <f t="shared" si="10"/>
        <v>52</v>
      </c>
      <c r="Q36" s="13">
        <f t="shared" si="10"/>
        <v>57</v>
      </c>
      <c r="R36" s="13">
        <f t="shared" si="10"/>
        <v>32</v>
      </c>
      <c r="S36" s="13">
        <f t="shared" si="10"/>
        <v>39</v>
      </c>
      <c r="T36" s="13">
        <f t="shared" si="10"/>
        <v>75</v>
      </c>
      <c r="U36" s="13">
        <f t="shared" si="10"/>
        <v>54</v>
      </c>
      <c r="V36" s="13">
        <f t="shared" si="10"/>
        <v>62</v>
      </c>
      <c r="W36" s="13">
        <f t="shared" si="10"/>
        <v>55</v>
      </c>
      <c r="X36" s="13">
        <f t="shared" si="10"/>
        <v>38</v>
      </c>
      <c r="Y36" s="13">
        <f t="shared" si="9"/>
        <v>1017</v>
      </c>
    </row>
    <row r="37" spans="1:25" ht="12.75" customHeight="1" x14ac:dyDescent="0.3">
      <c r="A37" s="61"/>
      <c r="B37" s="60"/>
      <c r="C37" s="60"/>
      <c r="D37" s="60"/>
      <c r="E37" s="61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58"/>
      <c r="X37" s="16"/>
      <c r="Y37" s="49"/>
    </row>
    <row r="38" spans="1:25" ht="12.75" customHeight="1" x14ac:dyDescent="0.3">
      <c r="A38" s="26" t="s">
        <v>31</v>
      </c>
      <c r="B38" s="66" t="s">
        <v>32</v>
      </c>
      <c r="C38" s="60"/>
      <c r="D38" s="58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49"/>
    </row>
    <row r="39" spans="1:25" ht="12.75" customHeight="1" x14ac:dyDescent="0.3">
      <c r="A39" s="20"/>
      <c r="B39" s="80" t="s">
        <v>33</v>
      </c>
      <c r="C39" s="63"/>
      <c r="D39" s="16" t="s">
        <v>12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3</v>
      </c>
      <c r="V39" s="16">
        <v>0</v>
      </c>
      <c r="W39" s="16">
        <v>1</v>
      </c>
      <c r="X39" s="16">
        <v>0</v>
      </c>
      <c r="Y39" s="13">
        <f t="shared" ref="Y39:Y41" si="11">SUM(E39:X39)</f>
        <v>4</v>
      </c>
    </row>
    <row r="40" spans="1:25" ht="12.75" customHeight="1" x14ac:dyDescent="0.3">
      <c r="A40" s="21"/>
      <c r="B40" s="81"/>
      <c r="C40" s="73"/>
      <c r="D40" s="16" t="s">
        <v>13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1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2</v>
      </c>
      <c r="V40" s="16">
        <v>0</v>
      </c>
      <c r="W40" s="16">
        <v>0</v>
      </c>
      <c r="X40" s="16">
        <v>0</v>
      </c>
      <c r="Y40" s="13">
        <f t="shared" si="11"/>
        <v>3</v>
      </c>
    </row>
    <row r="41" spans="1:25" ht="12.75" customHeight="1" x14ac:dyDescent="0.3">
      <c r="A41" s="25"/>
      <c r="B41" s="56"/>
      <c r="C41" s="65"/>
      <c r="D41" s="13" t="s">
        <v>14</v>
      </c>
      <c r="E41" s="13">
        <f t="shared" ref="E41:X41" si="12">SUM(E39:E40)</f>
        <v>0</v>
      </c>
      <c r="F41" s="13">
        <f t="shared" si="12"/>
        <v>0</v>
      </c>
      <c r="G41" s="13">
        <f t="shared" si="12"/>
        <v>0</v>
      </c>
      <c r="H41" s="13">
        <f t="shared" si="12"/>
        <v>0</v>
      </c>
      <c r="I41" s="13">
        <f t="shared" si="12"/>
        <v>0</v>
      </c>
      <c r="J41" s="13">
        <f t="shared" si="12"/>
        <v>0</v>
      </c>
      <c r="K41" s="13">
        <f t="shared" si="12"/>
        <v>0</v>
      </c>
      <c r="L41" s="13">
        <f t="shared" si="12"/>
        <v>0</v>
      </c>
      <c r="M41" s="13">
        <f t="shared" si="12"/>
        <v>1</v>
      </c>
      <c r="N41" s="13">
        <f t="shared" si="12"/>
        <v>0</v>
      </c>
      <c r="O41" s="13">
        <f t="shared" si="12"/>
        <v>0</v>
      </c>
      <c r="P41" s="13">
        <f t="shared" si="12"/>
        <v>0</v>
      </c>
      <c r="Q41" s="13">
        <f t="shared" si="12"/>
        <v>0</v>
      </c>
      <c r="R41" s="13">
        <f t="shared" si="12"/>
        <v>0</v>
      </c>
      <c r="S41" s="13">
        <f t="shared" si="12"/>
        <v>0</v>
      </c>
      <c r="T41" s="13">
        <f t="shared" si="12"/>
        <v>0</v>
      </c>
      <c r="U41" s="13">
        <f t="shared" si="12"/>
        <v>5</v>
      </c>
      <c r="V41" s="13">
        <f t="shared" si="12"/>
        <v>0</v>
      </c>
      <c r="W41" s="13">
        <f t="shared" si="12"/>
        <v>1</v>
      </c>
      <c r="X41" s="13">
        <f t="shared" si="12"/>
        <v>0</v>
      </c>
      <c r="Y41" s="13">
        <f t="shared" si="11"/>
        <v>7</v>
      </c>
    </row>
    <row r="42" spans="1:25" ht="12.75" customHeight="1" x14ac:dyDescent="0.3">
      <c r="A42" s="55"/>
      <c r="B42" s="56"/>
      <c r="C42" s="56"/>
      <c r="D42" s="65"/>
      <c r="E42" s="61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58"/>
      <c r="X42" s="16"/>
      <c r="Y42" s="13"/>
    </row>
    <row r="43" spans="1:25" ht="12.75" customHeight="1" x14ac:dyDescent="0.3">
      <c r="A43" s="26" t="s">
        <v>34</v>
      </c>
      <c r="B43" s="66" t="s">
        <v>35</v>
      </c>
      <c r="C43" s="60"/>
      <c r="D43" s="58"/>
      <c r="E43" s="1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12.75" customHeight="1" x14ac:dyDescent="0.3">
      <c r="A44" s="80" t="s">
        <v>36</v>
      </c>
      <c r="B44" s="82"/>
      <c r="C44" s="82"/>
      <c r="D44" s="63"/>
      <c r="E44" s="17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3"/>
    </row>
    <row r="45" spans="1:25" ht="12.75" customHeight="1" x14ac:dyDescent="0.3">
      <c r="A45" s="20" t="s">
        <v>37</v>
      </c>
      <c r="B45" s="27" t="s">
        <v>17</v>
      </c>
      <c r="C45" s="57" t="s">
        <v>38</v>
      </c>
      <c r="D45" s="58"/>
      <c r="E45" s="16">
        <v>5</v>
      </c>
      <c r="F45" s="16">
        <v>1</v>
      </c>
      <c r="G45" s="16">
        <v>9</v>
      </c>
      <c r="H45" s="16">
        <v>4</v>
      </c>
      <c r="I45" s="16">
        <v>13</v>
      </c>
      <c r="J45" s="16">
        <v>12</v>
      </c>
      <c r="K45" s="16">
        <v>11</v>
      </c>
      <c r="L45" s="16">
        <v>4</v>
      </c>
      <c r="M45" s="16">
        <v>3</v>
      </c>
      <c r="N45" s="16">
        <v>5</v>
      </c>
      <c r="O45" s="16">
        <v>2</v>
      </c>
      <c r="P45" s="16">
        <v>4</v>
      </c>
      <c r="Q45" s="16">
        <v>7</v>
      </c>
      <c r="R45" s="16">
        <v>0</v>
      </c>
      <c r="S45" s="16">
        <v>4</v>
      </c>
      <c r="T45" s="16">
        <v>3</v>
      </c>
      <c r="U45" s="16">
        <v>2</v>
      </c>
      <c r="V45" s="16">
        <v>6</v>
      </c>
      <c r="W45" s="16">
        <v>7</v>
      </c>
      <c r="X45" s="16">
        <v>4</v>
      </c>
      <c r="Y45" s="13">
        <f t="shared" ref="Y45:Y54" si="13">SUM(E45:X45)</f>
        <v>106</v>
      </c>
    </row>
    <row r="46" spans="1:25" ht="12.75" customHeight="1" x14ac:dyDescent="0.3">
      <c r="A46" s="20" t="s">
        <v>39</v>
      </c>
      <c r="B46" s="28"/>
      <c r="C46" s="29" t="s">
        <v>40</v>
      </c>
      <c r="D46" s="30"/>
      <c r="E46" s="16">
        <v>12</v>
      </c>
      <c r="F46" s="16">
        <v>4</v>
      </c>
      <c r="G46" s="16">
        <v>2</v>
      </c>
      <c r="H46" s="16">
        <v>10</v>
      </c>
      <c r="I46" s="16">
        <v>29</v>
      </c>
      <c r="J46" s="16">
        <v>14</v>
      </c>
      <c r="K46" s="16">
        <v>10</v>
      </c>
      <c r="L46" s="16">
        <v>16</v>
      </c>
      <c r="M46" s="16">
        <v>19</v>
      </c>
      <c r="N46" s="16">
        <v>2</v>
      </c>
      <c r="O46" s="16">
        <v>1</v>
      </c>
      <c r="P46" s="16">
        <v>9</v>
      </c>
      <c r="Q46" s="16">
        <v>12</v>
      </c>
      <c r="R46" s="16">
        <v>3</v>
      </c>
      <c r="S46" s="16">
        <v>6</v>
      </c>
      <c r="T46" s="16">
        <v>13</v>
      </c>
      <c r="U46" s="16">
        <v>12</v>
      </c>
      <c r="V46" s="16">
        <v>9</v>
      </c>
      <c r="W46" s="16">
        <v>10</v>
      </c>
      <c r="X46" s="16">
        <v>7</v>
      </c>
      <c r="Y46" s="13">
        <f t="shared" si="13"/>
        <v>200</v>
      </c>
    </row>
    <row r="47" spans="1:25" ht="12.75" customHeight="1" x14ac:dyDescent="0.3">
      <c r="A47" s="15"/>
      <c r="B47" s="28"/>
      <c r="C47" s="29" t="s">
        <v>41</v>
      </c>
      <c r="D47" s="30"/>
      <c r="E47" s="16">
        <v>1</v>
      </c>
      <c r="F47" s="16">
        <v>4</v>
      </c>
      <c r="G47" s="16">
        <v>0</v>
      </c>
      <c r="H47" s="16">
        <v>1</v>
      </c>
      <c r="I47" s="16">
        <v>3</v>
      </c>
      <c r="J47" s="16">
        <v>23</v>
      </c>
      <c r="K47" s="16">
        <v>6</v>
      </c>
      <c r="L47" s="16">
        <v>1</v>
      </c>
      <c r="M47" s="16">
        <v>4</v>
      </c>
      <c r="N47" s="16">
        <v>3</v>
      </c>
      <c r="O47" s="16">
        <v>0</v>
      </c>
      <c r="P47" s="16">
        <v>1</v>
      </c>
      <c r="Q47" s="16">
        <v>1</v>
      </c>
      <c r="R47" s="16">
        <v>3</v>
      </c>
      <c r="S47" s="16">
        <v>5</v>
      </c>
      <c r="T47" s="16">
        <v>2</v>
      </c>
      <c r="U47" s="16">
        <v>8</v>
      </c>
      <c r="V47" s="16">
        <v>0</v>
      </c>
      <c r="W47" s="16">
        <v>3</v>
      </c>
      <c r="X47" s="16">
        <v>3</v>
      </c>
      <c r="Y47" s="13">
        <f t="shared" si="13"/>
        <v>72</v>
      </c>
    </row>
    <row r="48" spans="1:25" ht="12.75" customHeight="1" x14ac:dyDescent="0.3">
      <c r="A48" s="15"/>
      <c r="B48" s="28"/>
      <c r="C48" s="29" t="s">
        <v>42</v>
      </c>
      <c r="D48" s="30"/>
      <c r="E48" s="16">
        <v>0</v>
      </c>
      <c r="F48" s="16">
        <v>0</v>
      </c>
      <c r="G48" s="16">
        <v>0</v>
      </c>
      <c r="H48" s="16">
        <v>0</v>
      </c>
      <c r="I48" s="16">
        <v>2</v>
      </c>
      <c r="J48" s="16">
        <v>1</v>
      </c>
      <c r="K48" s="16">
        <v>1</v>
      </c>
      <c r="L48" s="16">
        <v>1</v>
      </c>
      <c r="M48" s="16">
        <v>1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1</v>
      </c>
      <c r="T48" s="16">
        <v>0</v>
      </c>
      <c r="U48" s="16">
        <v>0</v>
      </c>
      <c r="V48" s="16">
        <v>2</v>
      </c>
      <c r="W48" s="16">
        <v>1</v>
      </c>
      <c r="X48" s="16">
        <v>0</v>
      </c>
      <c r="Y48" s="13">
        <f t="shared" si="13"/>
        <v>10</v>
      </c>
    </row>
    <row r="49" spans="1:25" ht="12.75" customHeight="1" x14ac:dyDescent="0.3">
      <c r="A49" s="15"/>
      <c r="B49" s="28"/>
      <c r="C49" s="29" t="s">
        <v>43</v>
      </c>
      <c r="D49" s="30"/>
      <c r="E49" s="16">
        <v>1</v>
      </c>
      <c r="F49" s="16">
        <v>0</v>
      </c>
      <c r="G49" s="16">
        <v>1</v>
      </c>
      <c r="H49" s="16">
        <v>1</v>
      </c>
      <c r="I49" s="16">
        <v>3</v>
      </c>
      <c r="J49" s="16">
        <v>0</v>
      </c>
      <c r="K49" s="16">
        <v>2</v>
      </c>
      <c r="L49" s="16">
        <v>0</v>
      </c>
      <c r="M49" s="16">
        <v>1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3</v>
      </c>
      <c r="T49" s="16">
        <v>0</v>
      </c>
      <c r="U49" s="16">
        <v>1</v>
      </c>
      <c r="V49" s="16">
        <v>0</v>
      </c>
      <c r="W49" s="16">
        <v>1</v>
      </c>
      <c r="X49" s="16">
        <v>4</v>
      </c>
      <c r="Y49" s="13">
        <f t="shared" si="13"/>
        <v>18</v>
      </c>
    </row>
    <row r="50" spans="1:25" ht="12.75" customHeight="1" x14ac:dyDescent="0.3">
      <c r="A50" s="15"/>
      <c r="B50" s="28"/>
      <c r="C50" s="29" t="s">
        <v>44</v>
      </c>
      <c r="D50" s="30"/>
      <c r="E50" s="16">
        <v>0</v>
      </c>
      <c r="F50" s="16">
        <v>1</v>
      </c>
      <c r="G50" s="16">
        <v>1</v>
      </c>
      <c r="H50" s="16">
        <v>0</v>
      </c>
      <c r="I50" s="16">
        <v>0</v>
      </c>
      <c r="J50" s="16">
        <v>3</v>
      </c>
      <c r="K50" s="16">
        <v>1</v>
      </c>
      <c r="L50" s="16">
        <v>0</v>
      </c>
      <c r="M50" s="16">
        <v>2</v>
      </c>
      <c r="N50" s="16">
        <v>0</v>
      </c>
      <c r="O50" s="16">
        <v>4</v>
      </c>
      <c r="P50" s="16">
        <v>1</v>
      </c>
      <c r="Q50" s="16">
        <v>0</v>
      </c>
      <c r="R50" s="16">
        <v>0</v>
      </c>
      <c r="S50" s="16">
        <v>2</v>
      </c>
      <c r="T50" s="16">
        <v>0</v>
      </c>
      <c r="U50" s="16">
        <v>0</v>
      </c>
      <c r="V50" s="16">
        <v>3</v>
      </c>
      <c r="W50" s="16">
        <v>2</v>
      </c>
      <c r="X50" s="16">
        <v>1</v>
      </c>
      <c r="Y50" s="13">
        <f t="shared" si="13"/>
        <v>21</v>
      </c>
    </row>
    <row r="51" spans="1:25" ht="12.75" customHeight="1" x14ac:dyDescent="0.3">
      <c r="A51" s="15"/>
      <c r="B51" s="28"/>
      <c r="C51" s="29" t="s">
        <v>45</v>
      </c>
      <c r="D51" s="30"/>
      <c r="E51" s="16">
        <v>1</v>
      </c>
      <c r="F51" s="16">
        <v>0</v>
      </c>
      <c r="G51" s="16">
        <v>0</v>
      </c>
      <c r="H51" s="16">
        <v>0</v>
      </c>
      <c r="I51" s="16">
        <v>1</v>
      </c>
      <c r="J51" s="16">
        <v>0</v>
      </c>
      <c r="K51" s="16">
        <v>0</v>
      </c>
      <c r="L51" s="16">
        <v>0</v>
      </c>
      <c r="M51" s="16">
        <v>1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</v>
      </c>
      <c r="T51" s="16">
        <v>1</v>
      </c>
      <c r="U51" s="16">
        <v>0</v>
      </c>
      <c r="V51" s="16">
        <v>0</v>
      </c>
      <c r="W51" s="16">
        <v>0</v>
      </c>
      <c r="X51" s="16">
        <v>0</v>
      </c>
      <c r="Y51" s="13">
        <f t="shared" si="13"/>
        <v>5</v>
      </c>
    </row>
    <row r="52" spans="1:25" ht="12.75" customHeight="1" x14ac:dyDescent="0.3">
      <c r="A52" s="15"/>
      <c r="B52" s="28"/>
      <c r="C52" s="29" t="s">
        <v>46</v>
      </c>
      <c r="D52" s="30"/>
      <c r="E52" s="16">
        <v>0</v>
      </c>
      <c r="F52" s="16">
        <v>0</v>
      </c>
      <c r="G52" s="16">
        <v>0</v>
      </c>
      <c r="H52" s="16">
        <v>1</v>
      </c>
      <c r="I52" s="16">
        <v>1</v>
      </c>
      <c r="J52" s="16">
        <v>0</v>
      </c>
      <c r="K52" s="16">
        <v>0</v>
      </c>
      <c r="L52" s="16">
        <v>1</v>
      </c>
      <c r="M52" s="16">
        <v>2</v>
      </c>
      <c r="N52" s="16">
        <v>0</v>
      </c>
      <c r="O52" s="16">
        <v>0</v>
      </c>
      <c r="P52" s="16">
        <v>1</v>
      </c>
      <c r="Q52" s="16">
        <v>0</v>
      </c>
      <c r="R52" s="16">
        <v>2</v>
      </c>
      <c r="S52" s="16">
        <v>4</v>
      </c>
      <c r="T52" s="16">
        <v>0</v>
      </c>
      <c r="U52" s="16">
        <v>1</v>
      </c>
      <c r="V52" s="16">
        <v>2</v>
      </c>
      <c r="W52" s="16">
        <v>1</v>
      </c>
      <c r="X52" s="16">
        <v>1</v>
      </c>
      <c r="Y52" s="13">
        <f t="shared" si="13"/>
        <v>17</v>
      </c>
    </row>
    <row r="53" spans="1:25" ht="12.75" customHeight="1" x14ac:dyDescent="0.3">
      <c r="A53" s="15"/>
      <c r="B53" s="28"/>
      <c r="C53" s="29" t="s">
        <v>47</v>
      </c>
      <c r="D53" s="35"/>
      <c r="E53" s="16">
        <v>0</v>
      </c>
      <c r="F53" s="16">
        <v>0</v>
      </c>
      <c r="G53" s="16">
        <v>1</v>
      </c>
      <c r="H53" s="16">
        <v>1</v>
      </c>
      <c r="I53" s="16">
        <v>1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1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1</v>
      </c>
      <c r="X53" s="16">
        <v>0</v>
      </c>
      <c r="Y53" s="13">
        <f t="shared" si="13"/>
        <v>5</v>
      </c>
    </row>
    <row r="54" spans="1:25" ht="12.75" customHeight="1" x14ac:dyDescent="0.3">
      <c r="A54" s="15"/>
      <c r="B54" s="28"/>
      <c r="C54" s="29" t="s">
        <v>48</v>
      </c>
      <c r="D54" s="30"/>
      <c r="E54" s="16">
        <v>1</v>
      </c>
      <c r="F54" s="16">
        <v>1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1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1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3">
        <f t="shared" si="13"/>
        <v>4</v>
      </c>
    </row>
    <row r="55" spans="1:25" ht="12.75" customHeight="1" x14ac:dyDescent="0.3">
      <c r="A55" s="16" t="s">
        <v>15</v>
      </c>
      <c r="B55" s="59" t="s">
        <v>49</v>
      </c>
      <c r="C55" s="60"/>
      <c r="D55" s="58"/>
      <c r="E55" s="13">
        <f t="shared" ref="E55:Y55" si="14">SUM(E45:E54)</f>
        <v>21</v>
      </c>
      <c r="F55" s="13">
        <f t="shared" si="14"/>
        <v>11</v>
      </c>
      <c r="G55" s="13">
        <f t="shared" si="14"/>
        <v>14</v>
      </c>
      <c r="H55" s="13">
        <f t="shared" si="14"/>
        <v>18</v>
      </c>
      <c r="I55" s="13">
        <f t="shared" si="14"/>
        <v>53</v>
      </c>
      <c r="J55" s="13">
        <f t="shared" si="14"/>
        <v>53</v>
      </c>
      <c r="K55" s="13">
        <f t="shared" si="14"/>
        <v>31</v>
      </c>
      <c r="L55" s="13">
        <f t="shared" si="14"/>
        <v>24</v>
      </c>
      <c r="M55" s="13">
        <f t="shared" si="14"/>
        <v>33</v>
      </c>
      <c r="N55" s="13">
        <f t="shared" si="14"/>
        <v>10</v>
      </c>
      <c r="O55" s="13">
        <f t="shared" si="14"/>
        <v>7</v>
      </c>
      <c r="P55" s="13">
        <f t="shared" si="14"/>
        <v>16</v>
      </c>
      <c r="Q55" s="13">
        <f t="shared" si="14"/>
        <v>21</v>
      </c>
      <c r="R55" s="13">
        <f t="shared" si="14"/>
        <v>8</v>
      </c>
      <c r="S55" s="13">
        <f t="shared" si="14"/>
        <v>27</v>
      </c>
      <c r="T55" s="13">
        <f t="shared" si="14"/>
        <v>19</v>
      </c>
      <c r="U55" s="13">
        <f t="shared" si="14"/>
        <v>24</v>
      </c>
      <c r="V55" s="13">
        <f t="shared" si="14"/>
        <v>22</v>
      </c>
      <c r="W55" s="13">
        <f t="shared" si="14"/>
        <v>26</v>
      </c>
      <c r="X55" s="13">
        <f t="shared" si="14"/>
        <v>20</v>
      </c>
      <c r="Y55" s="13">
        <f t="shared" si="14"/>
        <v>458</v>
      </c>
    </row>
    <row r="56" spans="1:25" ht="12.75" customHeight="1" x14ac:dyDescent="0.3">
      <c r="A56" s="55"/>
      <c r="B56" s="56"/>
      <c r="C56" s="56"/>
      <c r="D56" s="56"/>
      <c r="E56" s="56"/>
      <c r="Y56" s="13"/>
    </row>
    <row r="57" spans="1:25" ht="12.75" customHeight="1" x14ac:dyDescent="0.3">
      <c r="A57" s="20" t="s">
        <v>37</v>
      </c>
      <c r="B57" s="27" t="s">
        <v>19</v>
      </c>
      <c r="C57" s="57" t="s">
        <v>50</v>
      </c>
      <c r="D57" s="58"/>
      <c r="E57" s="16">
        <v>11</v>
      </c>
      <c r="F57" s="16">
        <v>4</v>
      </c>
      <c r="G57" s="16">
        <v>4</v>
      </c>
      <c r="H57" s="16">
        <v>6</v>
      </c>
      <c r="I57" s="16">
        <v>8</v>
      </c>
      <c r="J57" s="16">
        <v>11</v>
      </c>
      <c r="K57" s="16">
        <v>7</v>
      </c>
      <c r="L57" s="16">
        <v>14</v>
      </c>
      <c r="M57" s="16">
        <v>4</v>
      </c>
      <c r="N57" s="16">
        <v>5</v>
      </c>
      <c r="O57" s="16">
        <v>8</v>
      </c>
      <c r="P57" s="16">
        <v>5</v>
      </c>
      <c r="Q57" s="16">
        <v>6</v>
      </c>
      <c r="R57" s="16">
        <v>11</v>
      </c>
      <c r="S57" s="16">
        <v>9</v>
      </c>
      <c r="T57" s="16">
        <v>11</v>
      </c>
      <c r="U57" s="16">
        <v>6</v>
      </c>
      <c r="V57" s="16">
        <v>14</v>
      </c>
      <c r="W57" s="16">
        <v>10</v>
      </c>
      <c r="X57" s="16">
        <v>8</v>
      </c>
      <c r="Y57" s="13">
        <f t="shared" ref="Y57:Y66" si="15">SUM(E57:X57)</f>
        <v>162</v>
      </c>
    </row>
    <row r="58" spans="1:25" ht="12.75" customHeight="1" x14ac:dyDescent="0.3">
      <c r="A58" s="20" t="s">
        <v>39</v>
      </c>
      <c r="B58" s="28"/>
      <c r="C58" s="29" t="s">
        <v>51</v>
      </c>
      <c r="D58" s="30"/>
      <c r="E58" s="16">
        <v>2</v>
      </c>
      <c r="F58" s="16">
        <v>0</v>
      </c>
      <c r="G58" s="16">
        <v>3</v>
      </c>
      <c r="H58" s="16">
        <v>0</v>
      </c>
      <c r="I58" s="16">
        <v>5</v>
      </c>
      <c r="J58" s="16">
        <v>3</v>
      </c>
      <c r="K58" s="16">
        <v>2</v>
      </c>
      <c r="L58" s="16">
        <v>6</v>
      </c>
      <c r="M58" s="16">
        <v>2</v>
      </c>
      <c r="N58" s="16">
        <v>3</v>
      </c>
      <c r="O58" s="16">
        <v>1</v>
      </c>
      <c r="P58" s="16">
        <v>2</v>
      </c>
      <c r="Q58" s="16">
        <v>3</v>
      </c>
      <c r="R58" s="16">
        <v>14</v>
      </c>
      <c r="S58" s="16">
        <v>4</v>
      </c>
      <c r="T58" s="16">
        <v>5</v>
      </c>
      <c r="U58" s="16">
        <v>2</v>
      </c>
      <c r="V58" s="16">
        <v>6</v>
      </c>
      <c r="W58" s="16">
        <v>6</v>
      </c>
      <c r="X58" s="16">
        <v>5</v>
      </c>
      <c r="Y58" s="13">
        <f t="shared" si="15"/>
        <v>74</v>
      </c>
    </row>
    <row r="59" spans="1:25" ht="12.75" customHeight="1" x14ac:dyDescent="0.3">
      <c r="A59" s="15"/>
      <c r="B59" s="28"/>
      <c r="C59" s="29" t="s">
        <v>52</v>
      </c>
      <c r="D59" s="30"/>
      <c r="E59" s="16">
        <v>3</v>
      </c>
      <c r="F59" s="16">
        <v>9</v>
      </c>
      <c r="G59" s="16">
        <v>12</v>
      </c>
      <c r="H59" s="16">
        <v>12</v>
      </c>
      <c r="I59" s="16">
        <v>35</v>
      </c>
      <c r="J59" s="16">
        <v>62</v>
      </c>
      <c r="K59" s="16">
        <v>45</v>
      </c>
      <c r="L59" s="16">
        <v>14</v>
      </c>
      <c r="M59" s="16">
        <v>3</v>
      </c>
      <c r="N59" s="16">
        <v>4</v>
      </c>
      <c r="O59" s="16">
        <v>2</v>
      </c>
      <c r="P59" s="16">
        <v>0</v>
      </c>
      <c r="Q59" s="16">
        <v>3</v>
      </c>
      <c r="R59" s="16">
        <v>5</v>
      </c>
      <c r="S59" s="16">
        <v>6</v>
      </c>
      <c r="T59" s="16">
        <v>19</v>
      </c>
      <c r="U59" s="16">
        <v>9</v>
      </c>
      <c r="V59" s="16">
        <v>3</v>
      </c>
      <c r="W59" s="16">
        <v>2</v>
      </c>
      <c r="X59" s="16">
        <v>3</v>
      </c>
      <c r="Y59" s="13">
        <f t="shared" si="15"/>
        <v>251</v>
      </c>
    </row>
    <row r="60" spans="1:25" ht="12.75" customHeight="1" x14ac:dyDescent="0.3">
      <c r="A60" s="15"/>
      <c r="B60" s="28"/>
      <c r="C60" s="29" t="s">
        <v>53</v>
      </c>
      <c r="D60" s="30"/>
      <c r="E60" s="16">
        <v>1</v>
      </c>
      <c r="F60" s="16">
        <v>0</v>
      </c>
      <c r="G60" s="16">
        <v>0</v>
      </c>
      <c r="H60" s="16">
        <v>0</v>
      </c>
      <c r="I60" s="16">
        <v>2</v>
      </c>
      <c r="J60" s="16">
        <v>2</v>
      </c>
      <c r="K60" s="16">
        <v>0</v>
      </c>
      <c r="L60" s="16">
        <v>3</v>
      </c>
      <c r="M60" s="16">
        <v>1</v>
      </c>
      <c r="N60" s="16">
        <v>1</v>
      </c>
      <c r="O60" s="16">
        <v>2</v>
      </c>
      <c r="P60" s="16">
        <v>1</v>
      </c>
      <c r="Q60" s="16">
        <v>2</v>
      </c>
      <c r="R60" s="16">
        <v>0</v>
      </c>
      <c r="S60" s="16">
        <v>2</v>
      </c>
      <c r="T60" s="16">
        <v>5</v>
      </c>
      <c r="U60" s="16">
        <v>2</v>
      </c>
      <c r="V60" s="16">
        <v>1</v>
      </c>
      <c r="W60" s="16">
        <v>5</v>
      </c>
      <c r="X60" s="16">
        <v>0</v>
      </c>
      <c r="Y60" s="13">
        <f t="shared" si="15"/>
        <v>30</v>
      </c>
    </row>
    <row r="61" spans="1:25" ht="12.75" customHeight="1" x14ac:dyDescent="0.3">
      <c r="A61" s="15"/>
      <c r="B61" s="28"/>
      <c r="C61" s="29" t="s">
        <v>54</v>
      </c>
      <c r="D61" s="30"/>
      <c r="E61" s="16">
        <v>1</v>
      </c>
      <c r="F61" s="16">
        <v>0</v>
      </c>
      <c r="G61" s="16">
        <v>0</v>
      </c>
      <c r="H61" s="16">
        <v>3</v>
      </c>
      <c r="I61" s="16">
        <v>5</v>
      </c>
      <c r="J61" s="16">
        <v>7</v>
      </c>
      <c r="K61" s="16">
        <v>27</v>
      </c>
      <c r="L61" s="16">
        <v>5</v>
      </c>
      <c r="M61" s="16">
        <v>4</v>
      </c>
      <c r="N61" s="16">
        <v>1</v>
      </c>
      <c r="O61" s="16">
        <v>0</v>
      </c>
      <c r="P61" s="16">
        <v>1</v>
      </c>
      <c r="Q61" s="16">
        <v>2</v>
      </c>
      <c r="R61" s="16">
        <v>1</v>
      </c>
      <c r="S61" s="16">
        <v>2</v>
      </c>
      <c r="T61" s="16">
        <v>3</v>
      </c>
      <c r="U61" s="16">
        <v>6</v>
      </c>
      <c r="V61" s="16">
        <v>2</v>
      </c>
      <c r="W61" s="16">
        <v>4</v>
      </c>
      <c r="X61" s="16">
        <v>0</v>
      </c>
      <c r="Y61" s="13">
        <f t="shared" si="15"/>
        <v>74</v>
      </c>
    </row>
    <row r="62" spans="1:25" ht="12.75" customHeight="1" x14ac:dyDescent="0.3">
      <c r="A62" s="15"/>
      <c r="B62" s="28"/>
      <c r="C62" s="29" t="s">
        <v>55</v>
      </c>
      <c r="D62" s="30"/>
      <c r="E62" s="16">
        <v>1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3</v>
      </c>
      <c r="R62" s="16">
        <v>0</v>
      </c>
      <c r="S62" s="16">
        <v>1</v>
      </c>
      <c r="T62" s="16">
        <v>0</v>
      </c>
      <c r="U62" s="16">
        <v>2</v>
      </c>
      <c r="V62" s="16">
        <v>0</v>
      </c>
      <c r="W62" s="16">
        <v>2</v>
      </c>
      <c r="X62" s="16">
        <v>2</v>
      </c>
      <c r="Y62" s="13">
        <f t="shared" si="15"/>
        <v>11</v>
      </c>
    </row>
    <row r="63" spans="1:25" ht="12.75" customHeight="1" x14ac:dyDescent="0.3">
      <c r="A63" s="15"/>
      <c r="B63" s="28"/>
      <c r="C63" s="29" t="s">
        <v>56</v>
      </c>
      <c r="D63" s="30"/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1</v>
      </c>
      <c r="N63" s="16">
        <v>1</v>
      </c>
      <c r="O63" s="16">
        <v>0</v>
      </c>
      <c r="P63" s="16">
        <v>0</v>
      </c>
      <c r="Q63" s="16">
        <v>0</v>
      </c>
      <c r="R63" s="16">
        <v>1</v>
      </c>
      <c r="S63" s="16">
        <v>0</v>
      </c>
      <c r="T63" s="16">
        <v>1</v>
      </c>
      <c r="U63" s="16">
        <v>0</v>
      </c>
      <c r="V63" s="16">
        <v>0</v>
      </c>
      <c r="W63" s="16">
        <v>1</v>
      </c>
      <c r="X63" s="16">
        <v>2</v>
      </c>
      <c r="Y63" s="13">
        <f t="shared" si="15"/>
        <v>7</v>
      </c>
    </row>
    <row r="64" spans="1:25" ht="12.75" customHeight="1" x14ac:dyDescent="0.3">
      <c r="A64" s="15"/>
      <c r="B64" s="28"/>
      <c r="C64" s="29" t="s">
        <v>57</v>
      </c>
      <c r="D64" s="30"/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1</v>
      </c>
      <c r="R64" s="16">
        <v>0</v>
      </c>
      <c r="S64" s="16">
        <v>0</v>
      </c>
      <c r="T64" s="16">
        <v>1</v>
      </c>
      <c r="U64" s="16">
        <v>0</v>
      </c>
      <c r="V64" s="16">
        <v>0</v>
      </c>
      <c r="W64" s="16">
        <v>0</v>
      </c>
      <c r="X64" s="16">
        <v>0</v>
      </c>
      <c r="Y64" s="13">
        <f t="shared" si="15"/>
        <v>2</v>
      </c>
    </row>
    <row r="65" spans="1:25" ht="12.75" customHeight="1" x14ac:dyDescent="0.3">
      <c r="A65" s="15"/>
      <c r="B65" s="28"/>
      <c r="C65" s="29" t="s">
        <v>58</v>
      </c>
      <c r="D65" s="30"/>
      <c r="E65" s="16">
        <v>0</v>
      </c>
      <c r="F65" s="16">
        <v>0</v>
      </c>
      <c r="G65" s="16">
        <v>1</v>
      </c>
      <c r="H65" s="16">
        <v>0</v>
      </c>
      <c r="I65" s="16">
        <v>0</v>
      </c>
      <c r="J65" s="16">
        <v>1</v>
      </c>
      <c r="K65" s="16">
        <v>0</v>
      </c>
      <c r="L65" s="16">
        <v>0</v>
      </c>
      <c r="M65" s="16">
        <v>1</v>
      </c>
      <c r="N65" s="16">
        <v>0</v>
      </c>
      <c r="O65" s="16">
        <v>0</v>
      </c>
      <c r="P65" s="16">
        <v>0</v>
      </c>
      <c r="Q65" s="16">
        <v>0</v>
      </c>
      <c r="R65" s="16">
        <v>1</v>
      </c>
      <c r="S65" s="16">
        <v>0</v>
      </c>
      <c r="T65" s="16">
        <v>1</v>
      </c>
      <c r="U65" s="16">
        <v>0</v>
      </c>
      <c r="V65" s="16">
        <v>0</v>
      </c>
      <c r="W65" s="16">
        <v>0</v>
      </c>
      <c r="X65" s="16">
        <v>0</v>
      </c>
      <c r="Y65" s="13">
        <f t="shared" si="15"/>
        <v>5</v>
      </c>
    </row>
    <row r="66" spans="1:25" ht="12.75" customHeight="1" x14ac:dyDescent="0.3">
      <c r="A66" s="15"/>
      <c r="B66" s="28"/>
      <c r="C66" s="29" t="s">
        <v>59</v>
      </c>
      <c r="D66" s="30"/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1</v>
      </c>
      <c r="L66" s="16">
        <v>0</v>
      </c>
      <c r="M66" s="16">
        <v>1</v>
      </c>
      <c r="N66" s="16">
        <v>0</v>
      </c>
      <c r="O66" s="16">
        <v>0</v>
      </c>
      <c r="P66" s="16">
        <v>1</v>
      </c>
      <c r="Q66" s="16">
        <v>1</v>
      </c>
      <c r="R66" s="16">
        <v>0</v>
      </c>
      <c r="S66" s="16">
        <v>0</v>
      </c>
      <c r="T66" s="16">
        <v>2</v>
      </c>
      <c r="U66" s="16">
        <v>1</v>
      </c>
      <c r="V66" s="16">
        <v>1</v>
      </c>
      <c r="W66" s="16">
        <v>1</v>
      </c>
      <c r="X66" s="16">
        <v>0</v>
      </c>
      <c r="Y66" s="13">
        <f t="shared" si="15"/>
        <v>9</v>
      </c>
    </row>
    <row r="67" spans="1:25" ht="12.75" customHeight="1" x14ac:dyDescent="0.3">
      <c r="A67" s="16" t="s">
        <v>15</v>
      </c>
      <c r="B67" s="59" t="s">
        <v>49</v>
      </c>
      <c r="C67" s="60"/>
      <c r="D67" s="58"/>
      <c r="E67" s="13">
        <f t="shared" ref="E67:Y67" si="16">SUM(E57:E66)</f>
        <v>19</v>
      </c>
      <c r="F67" s="13">
        <f t="shared" si="16"/>
        <v>13</v>
      </c>
      <c r="G67" s="13">
        <f t="shared" si="16"/>
        <v>20</v>
      </c>
      <c r="H67" s="13">
        <f t="shared" si="16"/>
        <v>21</v>
      </c>
      <c r="I67" s="13">
        <f t="shared" si="16"/>
        <v>55</v>
      </c>
      <c r="J67" s="13">
        <f t="shared" si="16"/>
        <v>86</v>
      </c>
      <c r="K67" s="13">
        <f t="shared" si="16"/>
        <v>82</v>
      </c>
      <c r="L67" s="13">
        <f t="shared" si="16"/>
        <v>42</v>
      </c>
      <c r="M67" s="13">
        <f t="shared" si="16"/>
        <v>17</v>
      </c>
      <c r="N67" s="13">
        <f t="shared" si="16"/>
        <v>15</v>
      </c>
      <c r="O67" s="13">
        <f t="shared" si="16"/>
        <v>13</v>
      </c>
      <c r="P67" s="13">
        <f t="shared" si="16"/>
        <v>10</v>
      </c>
      <c r="Q67" s="13">
        <f t="shared" si="16"/>
        <v>21</v>
      </c>
      <c r="R67" s="13">
        <f t="shared" si="16"/>
        <v>33</v>
      </c>
      <c r="S67" s="13">
        <f t="shared" si="16"/>
        <v>24</v>
      </c>
      <c r="T67" s="13">
        <f t="shared" si="16"/>
        <v>48</v>
      </c>
      <c r="U67" s="13">
        <f t="shared" si="16"/>
        <v>28</v>
      </c>
      <c r="V67" s="13">
        <f t="shared" si="16"/>
        <v>27</v>
      </c>
      <c r="W67" s="13">
        <f t="shared" si="16"/>
        <v>31</v>
      </c>
      <c r="X67" s="13">
        <f t="shared" si="16"/>
        <v>20</v>
      </c>
      <c r="Y67" s="13">
        <f t="shared" si="16"/>
        <v>625</v>
      </c>
    </row>
    <row r="68" spans="1:25" ht="12.75" customHeight="1" x14ac:dyDescent="0.3">
      <c r="A68" s="55"/>
      <c r="B68" s="56"/>
      <c r="C68" s="56"/>
      <c r="D68" s="56"/>
      <c r="E68" s="56"/>
    </row>
    <row r="69" spans="1:25" ht="12.75" customHeight="1" x14ac:dyDescent="0.3">
      <c r="A69" s="20" t="s">
        <v>37</v>
      </c>
      <c r="B69" s="27" t="s">
        <v>21</v>
      </c>
      <c r="C69" s="57" t="s">
        <v>60</v>
      </c>
      <c r="D69" s="58"/>
      <c r="E69" s="16">
        <v>2</v>
      </c>
      <c r="F69" s="16">
        <v>0</v>
      </c>
      <c r="G69" s="16">
        <v>5</v>
      </c>
      <c r="H69" s="16">
        <v>3</v>
      </c>
      <c r="I69" s="16">
        <v>2</v>
      </c>
      <c r="J69" s="16">
        <v>5</v>
      </c>
      <c r="K69" s="16">
        <v>3</v>
      </c>
      <c r="L69" s="16">
        <v>6</v>
      </c>
      <c r="M69" s="16">
        <v>8</v>
      </c>
      <c r="N69" s="16">
        <v>27</v>
      </c>
      <c r="O69" s="16">
        <v>5</v>
      </c>
      <c r="P69" s="16">
        <v>2</v>
      </c>
      <c r="Q69" s="16">
        <v>4</v>
      </c>
      <c r="R69" s="16">
        <v>9</v>
      </c>
      <c r="S69" s="16">
        <v>8</v>
      </c>
      <c r="T69" s="16">
        <v>11</v>
      </c>
      <c r="U69" s="16">
        <v>8</v>
      </c>
      <c r="V69" s="16">
        <v>7</v>
      </c>
      <c r="W69" s="16">
        <v>5</v>
      </c>
      <c r="X69" s="16">
        <v>5</v>
      </c>
      <c r="Y69" s="13">
        <f t="shared" ref="Y69:Y78" si="17">SUM(E69:X69)</f>
        <v>125</v>
      </c>
    </row>
    <row r="70" spans="1:25" ht="12.75" customHeight="1" x14ac:dyDescent="0.3">
      <c r="A70" s="20" t="s">
        <v>39</v>
      </c>
      <c r="B70" s="28"/>
      <c r="C70" s="29" t="s">
        <v>61</v>
      </c>
      <c r="D70" s="30"/>
      <c r="E70" s="16">
        <v>2</v>
      </c>
      <c r="F70" s="16">
        <v>3</v>
      </c>
      <c r="G70" s="16">
        <v>0</v>
      </c>
      <c r="H70" s="16">
        <v>3</v>
      </c>
      <c r="I70" s="16">
        <v>1</v>
      </c>
      <c r="J70" s="16">
        <v>10</v>
      </c>
      <c r="K70" s="16">
        <v>5</v>
      </c>
      <c r="L70" s="16">
        <v>0</v>
      </c>
      <c r="M70" s="16">
        <v>9</v>
      </c>
      <c r="N70" s="16">
        <v>15</v>
      </c>
      <c r="O70" s="16">
        <v>4</v>
      </c>
      <c r="P70" s="16">
        <v>0</v>
      </c>
      <c r="Q70" s="16">
        <v>1</v>
      </c>
      <c r="R70" s="16">
        <v>2</v>
      </c>
      <c r="S70" s="16">
        <v>11</v>
      </c>
      <c r="T70" s="16">
        <v>5</v>
      </c>
      <c r="U70" s="16">
        <v>3</v>
      </c>
      <c r="V70" s="16">
        <v>3</v>
      </c>
      <c r="W70" s="16">
        <v>7</v>
      </c>
      <c r="X70" s="16">
        <v>1</v>
      </c>
      <c r="Y70" s="13">
        <f t="shared" si="17"/>
        <v>85</v>
      </c>
    </row>
    <row r="71" spans="1:25" ht="12.75" customHeight="1" x14ac:dyDescent="0.3">
      <c r="A71" s="15"/>
      <c r="B71" s="28"/>
      <c r="C71" s="29" t="s">
        <v>62</v>
      </c>
      <c r="D71" s="30"/>
      <c r="E71" s="16">
        <v>0</v>
      </c>
      <c r="F71" s="16">
        <v>0</v>
      </c>
      <c r="G71" s="16">
        <v>2</v>
      </c>
      <c r="H71" s="16">
        <v>0</v>
      </c>
      <c r="I71" s="16">
        <v>1</v>
      </c>
      <c r="J71" s="16">
        <v>0</v>
      </c>
      <c r="K71" s="16">
        <v>3</v>
      </c>
      <c r="L71" s="16">
        <v>2</v>
      </c>
      <c r="M71" s="16">
        <v>11</v>
      </c>
      <c r="N71" s="16">
        <v>5</v>
      </c>
      <c r="O71" s="16">
        <v>2</v>
      </c>
      <c r="P71" s="16">
        <v>3</v>
      </c>
      <c r="Q71" s="16">
        <v>4</v>
      </c>
      <c r="R71" s="16">
        <v>2</v>
      </c>
      <c r="S71" s="16">
        <v>2</v>
      </c>
      <c r="T71" s="16">
        <v>3</v>
      </c>
      <c r="U71" s="16">
        <v>3</v>
      </c>
      <c r="V71" s="16">
        <v>4</v>
      </c>
      <c r="W71" s="16">
        <v>2</v>
      </c>
      <c r="X71" s="16">
        <v>3</v>
      </c>
      <c r="Y71" s="13">
        <f t="shared" si="17"/>
        <v>52</v>
      </c>
    </row>
    <row r="72" spans="1:25" ht="12.75" customHeight="1" x14ac:dyDescent="0.3">
      <c r="A72" s="15"/>
      <c r="B72" s="28"/>
      <c r="C72" s="29" t="s">
        <v>63</v>
      </c>
      <c r="D72" s="30"/>
      <c r="E72" s="16">
        <v>1</v>
      </c>
      <c r="F72" s="16">
        <v>3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1</v>
      </c>
      <c r="M72" s="16">
        <v>3</v>
      </c>
      <c r="N72" s="16">
        <v>6</v>
      </c>
      <c r="O72" s="16">
        <v>1</v>
      </c>
      <c r="P72" s="16">
        <v>1</v>
      </c>
      <c r="Q72" s="16">
        <v>5</v>
      </c>
      <c r="R72" s="16">
        <v>6</v>
      </c>
      <c r="S72" s="16">
        <v>4</v>
      </c>
      <c r="T72" s="16">
        <v>1</v>
      </c>
      <c r="U72" s="16">
        <v>3</v>
      </c>
      <c r="V72" s="16">
        <v>3</v>
      </c>
      <c r="W72" s="16">
        <v>2</v>
      </c>
      <c r="X72" s="16">
        <v>3</v>
      </c>
      <c r="Y72" s="13">
        <f t="shared" si="17"/>
        <v>43</v>
      </c>
    </row>
    <row r="73" spans="1:25" ht="12.75" customHeight="1" x14ac:dyDescent="0.3">
      <c r="A73" s="15"/>
      <c r="B73" s="28"/>
      <c r="C73" s="29" t="s">
        <v>64</v>
      </c>
      <c r="D73" s="30"/>
      <c r="E73" s="16">
        <v>1</v>
      </c>
      <c r="F73" s="16">
        <v>1</v>
      </c>
      <c r="G73" s="16">
        <v>0</v>
      </c>
      <c r="H73" s="16">
        <v>0</v>
      </c>
      <c r="I73" s="16">
        <v>1</v>
      </c>
      <c r="J73" s="16">
        <v>0</v>
      </c>
      <c r="K73" s="16">
        <v>0</v>
      </c>
      <c r="L73" s="16">
        <v>1</v>
      </c>
      <c r="M73" s="16">
        <v>2</v>
      </c>
      <c r="N73" s="16">
        <v>0</v>
      </c>
      <c r="O73" s="16">
        <v>0</v>
      </c>
      <c r="P73" s="16">
        <v>7</v>
      </c>
      <c r="Q73" s="16">
        <v>3</v>
      </c>
      <c r="R73" s="16">
        <v>0</v>
      </c>
      <c r="S73" s="16">
        <v>2</v>
      </c>
      <c r="T73" s="16">
        <v>0</v>
      </c>
      <c r="U73" s="16">
        <v>0</v>
      </c>
      <c r="V73" s="16">
        <v>2</v>
      </c>
      <c r="W73" s="16">
        <v>2</v>
      </c>
      <c r="X73" s="16">
        <v>0</v>
      </c>
      <c r="Y73" s="13">
        <f t="shared" si="17"/>
        <v>22</v>
      </c>
    </row>
    <row r="74" spans="1:25" ht="12.75" customHeight="1" x14ac:dyDescent="0.3">
      <c r="A74" s="15"/>
      <c r="B74" s="28"/>
      <c r="C74" s="29" t="s">
        <v>65</v>
      </c>
      <c r="D74" s="30"/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3</v>
      </c>
      <c r="N74" s="16">
        <v>0</v>
      </c>
      <c r="O74" s="16">
        <v>0</v>
      </c>
      <c r="P74" s="16">
        <v>0</v>
      </c>
      <c r="Q74" s="16">
        <v>2</v>
      </c>
      <c r="R74" s="16">
        <v>2</v>
      </c>
      <c r="S74" s="16">
        <v>1</v>
      </c>
      <c r="T74" s="16">
        <v>1</v>
      </c>
      <c r="U74" s="16">
        <v>3</v>
      </c>
      <c r="V74" s="16">
        <v>0</v>
      </c>
      <c r="W74" s="16">
        <v>2</v>
      </c>
      <c r="X74" s="16">
        <v>0</v>
      </c>
      <c r="Y74" s="13">
        <f t="shared" si="17"/>
        <v>14</v>
      </c>
    </row>
    <row r="75" spans="1:25" ht="12.75" customHeight="1" x14ac:dyDescent="0.3">
      <c r="A75" s="15"/>
      <c r="B75" s="28"/>
      <c r="C75" s="29" t="s">
        <v>66</v>
      </c>
      <c r="D75" s="30"/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2</v>
      </c>
      <c r="M75" s="16">
        <v>0</v>
      </c>
      <c r="N75" s="16">
        <v>2</v>
      </c>
      <c r="O75" s="16">
        <v>0</v>
      </c>
      <c r="P75" s="16">
        <v>1</v>
      </c>
      <c r="Q75" s="16">
        <v>1</v>
      </c>
      <c r="R75" s="16">
        <v>0</v>
      </c>
      <c r="S75" s="16">
        <v>2</v>
      </c>
      <c r="T75" s="16">
        <v>0</v>
      </c>
      <c r="U75" s="16">
        <v>0</v>
      </c>
      <c r="V75" s="16">
        <v>0</v>
      </c>
      <c r="W75" s="16">
        <v>4</v>
      </c>
      <c r="X75" s="16">
        <v>1</v>
      </c>
      <c r="Y75" s="13">
        <f t="shared" si="17"/>
        <v>13</v>
      </c>
    </row>
    <row r="76" spans="1:25" ht="12.75" customHeight="1" x14ac:dyDescent="0.3">
      <c r="A76" s="15"/>
      <c r="B76" s="28"/>
      <c r="C76" s="29" t="s">
        <v>67</v>
      </c>
      <c r="D76" s="30"/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2</v>
      </c>
      <c r="W76" s="16">
        <v>1</v>
      </c>
      <c r="X76" s="16">
        <v>0</v>
      </c>
      <c r="Y76" s="13">
        <f t="shared" si="17"/>
        <v>3</v>
      </c>
    </row>
    <row r="77" spans="1:25" ht="12.75" customHeight="1" x14ac:dyDescent="0.3">
      <c r="A77" s="15"/>
      <c r="B77" s="28"/>
      <c r="C77" s="29" t="s">
        <v>68</v>
      </c>
      <c r="D77" s="30"/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1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3">
        <f t="shared" si="17"/>
        <v>1</v>
      </c>
    </row>
    <row r="78" spans="1:25" ht="12.75" customHeight="1" x14ac:dyDescent="0.3">
      <c r="A78" s="15"/>
      <c r="B78" s="28"/>
      <c r="C78" s="29" t="s">
        <v>69</v>
      </c>
      <c r="D78" s="30"/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1</v>
      </c>
      <c r="R78" s="16">
        <v>1</v>
      </c>
      <c r="S78" s="16">
        <v>0</v>
      </c>
      <c r="T78" s="16">
        <v>1</v>
      </c>
      <c r="U78" s="16">
        <v>0</v>
      </c>
      <c r="V78" s="16">
        <v>1</v>
      </c>
      <c r="W78" s="16">
        <v>1</v>
      </c>
      <c r="X78" s="16">
        <v>0</v>
      </c>
      <c r="Y78" s="13">
        <f t="shared" si="17"/>
        <v>5</v>
      </c>
    </row>
    <row r="79" spans="1:25" ht="12.75" customHeight="1" x14ac:dyDescent="0.3">
      <c r="A79" s="16" t="s">
        <v>15</v>
      </c>
      <c r="B79" s="59" t="s">
        <v>49</v>
      </c>
      <c r="C79" s="60"/>
      <c r="D79" s="58"/>
      <c r="E79" s="13">
        <f t="shared" ref="E79:Y79" si="18">SUM(E69:E78)</f>
        <v>6</v>
      </c>
      <c r="F79" s="13">
        <f t="shared" si="18"/>
        <v>7</v>
      </c>
      <c r="G79" s="13">
        <f t="shared" si="18"/>
        <v>7</v>
      </c>
      <c r="H79" s="13">
        <f t="shared" si="18"/>
        <v>6</v>
      </c>
      <c r="I79" s="13">
        <f t="shared" si="18"/>
        <v>5</v>
      </c>
      <c r="J79" s="13">
        <f t="shared" si="18"/>
        <v>15</v>
      </c>
      <c r="K79" s="13">
        <f t="shared" si="18"/>
        <v>11</v>
      </c>
      <c r="L79" s="13">
        <f t="shared" si="18"/>
        <v>12</v>
      </c>
      <c r="M79" s="13">
        <f t="shared" si="18"/>
        <v>36</v>
      </c>
      <c r="N79" s="13">
        <f t="shared" si="18"/>
        <v>55</v>
      </c>
      <c r="O79" s="13">
        <f t="shared" si="18"/>
        <v>12</v>
      </c>
      <c r="P79" s="13">
        <f t="shared" si="18"/>
        <v>14</v>
      </c>
      <c r="Q79" s="13">
        <f t="shared" si="18"/>
        <v>22</v>
      </c>
      <c r="R79" s="13">
        <f t="shared" si="18"/>
        <v>22</v>
      </c>
      <c r="S79" s="13">
        <f t="shared" si="18"/>
        <v>30</v>
      </c>
      <c r="T79" s="13">
        <f t="shared" si="18"/>
        <v>22</v>
      </c>
      <c r="U79" s="13">
        <f t="shared" si="18"/>
        <v>20</v>
      </c>
      <c r="V79" s="13">
        <f t="shared" si="18"/>
        <v>22</v>
      </c>
      <c r="W79" s="13">
        <f t="shared" si="18"/>
        <v>26</v>
      </c>
      <c r="X79" s="13">
        <f t="shared" si="18"/>
        <v>13</v>
      </c>
      <c r="Y79" s="13">
        <f t="shared" si="18"/>
        <v>363</v>
      </c>
    </row>
    <row r="80" spans="1:25" ht="12.75" customHeight="1" x14ac:dyDescent="0.3">
      <c r="A80" s="55"/>
      <c r="B80" s="56"/>
      <c r="C80" s="56"/>
      <c r="D80" s="56"/>
      <c r="E80" s="56"/>
    </row>
    <row r="81" spans="1:25" ht="12.75" customHeight="1" x14ac:dyDescent="0.3">
      <c r="A81" s="20" t="s">
        <v>37</v>
      </c>
      <c r="B81" s="27" t="s">
        <v>23</v>
      </c>
      <c r="C81" s="57" t="s">
        <v>70</v>
      </c>
      <c r="D81" s="58"/>
      <c r="E81" s="16">
        <v>7</v>
      </c>
      <c r="F81" s="16">
        <v>4</v>
      </c>
      <c r="G81" s="16">
        <v>3</v>
      </c>
      <c r="H81" s="16">
        <v>2</v>
      </c>
      <c r="I81" s="16">
        <v>8</v>
      </c>
      <c r="J81" s="16">
        <v>0</v>
      </c>
      <c r="K81" s="16">
        <v>2</v>
      </c>
      <c r="L81" s="16">
        <v>1</v>
      </c>
      <c r="M81" s="16">
        <v>5</v>
      </c>
      <c r="N81" s="16">
        <v>4</v>
      </c>
      <c r="O81" s="16">
        <v>2</v>
      </c>
      <c r="P81" s="16">
        <v>7</v>
      </c>
      <c r="Q81" s="16">
        <v>6</v>
      </c>
      <c r="R81" s="16">
        <v>3</v>
      </c>
      <c r="S81" s="16">
        <v>1</v>
      </c>
      <c r="T81" s="16">
        <v>3</v>
      </c>
      <c r="U81" s="16">
        <v>7</v>
      </c>
      <c r="V81" s="16">
        <v>4</v>
      </c>
      <c r="W81" s="16">
        <v>12</v>
      </c>
      <c r="X81" s="16">
        <v>0</v>
      </c>
      <c r="Y81" s="13">
        <f t="shared" ref="Y81:Y90" si="19">SUM(E81:X81)</f>
        <v>81</v>
      </c>
    </row>
    <row r="82" spans="1:25" ht="12.75" customHeight="1" x14ac:dyDescent="0.3">
      <c r="A82" s="20" t="s">
        <v>39</v>
      </c>
      <c r="B82" s="28"/>
      <c r="C82" s="29" t="s">
        <v>71</v>
      </c>
      <c r="D82" s="30"/>
      <c r="E82" s="16">
        <v>2</v>
      </c>
      <c r="F82" s="16">
        <v>17</v>
      </c>
      <c r="G82" s="16">
        <v>4</v>
      </c>
      <c r="H82" s="16">
        <v>5</v>
      </c>
      <c r="I82" s="16">
        <v>6</v>
      </c>
      <c r="J82" s="16">
        <v>1</v>
      </c>
      <c r="K82" s="16">
        <v>4</v>
      </c>
      <c r="L82" s="16">
        <v>4</v>
      </c>
      <c r="M82" s="16">
        <v>3</v>
      </c>
      <c r="N82" s="16">
        <v>2</v>
      </c>
      <c r="O82" s="16">
        <v>2</v>
      </c>
      <c r="P82" s="16">
        <v>1</v>
      </c>
      <c r="Q82" s="16">
        <v>2</v>
      </c>
      <c r="R82" s="16">
        <v>2</v>
      </c>
      <c r="S82" s="16">
        <v>8</v>
      </c>
      <c r="T82" s="16">
        <v>10</v>
      </c>
      <c r="U82" s="16">
        <v>1</v>
      </c>
      <c r="V82" s="16">
        <v>2</v>
      </c>
      <c r="W82" s="16">
        <v>8</v>
      </c>
      <c r="X82" s="16">
        <v>3</v>
      </c>
      <c r="Y82" s="13">
        <f t="shared" si="19"/>
        <v>87</v>
      </c>
    </row>
    <row r="83" spans="1:25" ht="12.75" customHeight="1" x14ac:dyDescent="0.3">
      <c r="A83" s="15"/>
      <c r="B83" s="28"/>
      <c r="C83" s="29" t="s">
        <v>72</v>
      </c>
      <c r="D83" s="30"/>
      <c r="E83" s="16">
        <v>3</v>
      </c>
      <c r="F83" s="16">
        <v>3</v>
      </c>
      <c r="G83" s="16">
        <v>0</v>
      </c>
      <c r="H83" s="16">
        <v>1</v>
      </c>
      <c r="I83" s="16">
        <v>1</v>
      </c>
      <c r="J83" s="16">
        <v>0</v>
      </c>
      <c r="K83" s="16">
        <v>1</v>
      </c>
      <c r="L83" s="16">
        <v>1</v>
      </c>
      <c r="M83" s="16">
        <v>0</v>
      </c>
      <c r="N83" s="16">
        <v>1</v>
      </c>
      <c r="O83" s="16">
        <v>1</v>
      </c>
      <c r="P83" s="16">
        <v>0</v>
      </c>
      <c r="Q83" s="16">
        <v>1</v>
      </c>
      <c r="R83" s="16">
        <v>0</v>
      </c>
      <c r="S83" s="16">
        <v>1</v>
      </c>
      <c r="T83" s="16">
        <v>0</v>
      </c>
      <c r="U83" s="16">
        <v>2</v>
      </c>
      <c r="V83" s="16">
        <v>1</v>
      </c>
      <c r="W83" s="16">
        <v>2</v>
      </c>
      <c r="X83" s="16">
        <v>0</v>
      </c>
      <c r="Y83" s="13">
        <f t="shared" si="19"/>
        <v>19</v>
      </c>
    </row>
    <row r="84" spans="1:25" ht="12.75" customHeight="1" x14ac:dyDescent="0.3">
      <c r="A84" s="15"/>
      <c r="B84" s="28"/>
      <c r="C84" s="29" t="s">
        <v>73</v>
      </c>
      <c r="D84" s="30"/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2</v>
      </c>
      <c r="L84" s="16">
        <v>0</v>
      </c>
      <c r="M84" s="16">
        <v>0</v>
      </c>
      <c r="N84" s="16">
        <v>0</v>
      </c>
      <c r="O84" s="16">
        <v>0</v>
      </c>
      <c r="P84" s="16">
        <v>1</v>
      </c>
      <c r="Q84" s="16">
        <v>1</v>
      </c>
      <c r="R84" s="16">
        <v>1</v>
      </c>
      <c r="S84" s="16">
        <v>1</v>
      </c>
      <c r="T84" s="16">
        <v>0</v>
      </c>
      <c r="U84" s="16">
        <v>0</v>
      </c>
      <c r="V84" s="16">
        <v>0</v>
      </c>
      <c r="W84" s="16">
        <v>1</v>
      </c>
      <c r="X84" s="16">
        <v>0</v>
      </c>
      <c r="Y84" s="13">
        <f t="shared" si="19"/>
        <v>7</v>
      </c>
    </row>
    <row r="85" spans="1:25" ht="12.75" customHeight="1" x14ac:dyDescent="0.3">
      <c r="A85" s="15"/>
      <c r="B85" s="28"/>
      <c r="C85" s="29" t="s">
        <v>74</v>
      </c>
      <c r="D85" s="30"/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2</v>
      </c>
      <c r="L85" s="16">
        <v>1</v>
      </c>
      <c r="M85" s="16">
        <v>2</v>
      </c>
      <c r="N85" s="16">
        <v>1</v>
      </c>
      <c r="O85" s="16">
        <v>1</v>
      </c>
      <c r="P85" s="16">
        <v>1</v>
      </c>
      <c r="Q85" s="16">
        <v>2</v>
      </c>
      <c r="R85" s="16">
        <v>2</v>
      </c>
      <c r="S85" s="16">
        <v>1</v>
      </c>
      <c r="T85" s="16">
        <v>1</v>
      </c>
      <c r="U85" s="16">
        <v>1</v>
      </c>
      <c r="V85" s="16">
        <v>1</v>
      </c>
      <c r="W85" s="16">
        <v>1</v>
      </c>
      <c r="X85" s="16">
        <v>2</v>
      </c>
      <c r="Y85" s="13">
        <f t="shared" si="19"/>
        <v>19</v>
      </c>
    </row>
    <row r="86" spans="1:25" ht="12.75" customHeight="1" x14ac:dyDescent="0.3">
      <c r="A86" s="15"/>
      <c r="B86" s="28"/>
      <c r="C86" s="29" t="s">
        <v>75</v>
      </c>
      <c r="D86" s="30"/>
      <c r="E86" s="16">
        <v>92</v>
      </c>
      <c r="F86" s="16">
        <v>118</v>
      </c>
      <c r="G86" s="16">
        <v>119</v>
      </c>
      <c r="H86" s="16">
        <v>57</v>
      </c>
      <c r="I86" s="16">
        <v>54</v>
      </c>
      <c r="J86" s="16">
        <v>41</v>
      </c>
      <c r="K86" s="16">
        <v>41</v>
      </c>
      <c r="L86" s="16">
        <v>38</v>
      </c>
      <c r="M86" s="16">
        <v>53</v>
      </c>
      <c r="N86" s="16">
        <v>77</v>
      </c>
      <c r="O86" s="16">
        <v>64</v>
      </c>
      <c r="P86" s="16">
        <v>73</v>
      </c>
      <c r="Q86" s="16">
        <v>32</v>
      </c>
      <c r="R86" s="16">
        <v>51</v>
      </c>
      <c r="S86" s="16">
        <v>32</v>
      </c>
      <c r="T86" s="16">
        <v>28</v>
      </c>
      <c r="U86" s="16">
        <v>57</v>
      </c>
      <c r="V86" s="16">
        <v>55</v>
      </c>
      <c r="W86" s="16">
        <v>32</v>
      </c>
      <c r="X86" s="16">
        <v>32</v>
      </c>
      <c r="Y86" s="13">
        <f t="shared" si="19"/>
        <v>1146</v>
      </c>
    </row>
    <row r="87" spans="1:25" ht="12.75" customHeight="1" x14ac:dyDescent="0.3">
      <c r="A87" s="15"/>
      <c r="B87" s="28"/>
      <c r="C87" s="29" t="s">
        <v>76</v>
      </c>
      <c r="D87" s="30"/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1</v>
      </c>
      <c r="N87" s="16">
        <v>1</v>
      </c>
      <c r="O87" s="16">
        <v>0</v>
      </c>
      <c r="P87" s="16">
        <v>0</v>
      </c>
      <c r="Q87" s="16">
        <v>1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3">
        <f t="shared" si="19"/>
        <v>3</v>
      </c>
    </row>
    <row r="88" spans="1:25" ht="12.75" customHeight="1" x14ac:dyDescent="0.3">
      <c r="A88" s="15"/>
      <c r="B88" s="28"/>
      <c r="C88" s="29" t="s">
        <v>77</v>
      </c>
      <c r="D88" s="30"/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3">
        <f t="shared" si="19"/>
        <v>0</v>
      </c>
    </row>
    <row r="89" spans="1:25" ht="12.75" customHeight="1" x14ac:dyDescent="0.3">
      <c r="A89" s="15"/>
      <c r="B89" s="28"/>
      <c r="C89" s="29" t="s">
        <v>78</v>
      </c>
      <c r="D89" s="30"/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3">
        <f t="shared" si="19"/>
        <v>0</v>
      </c>
    </row>
    <row r="90" spans="1:25" ht="12.75" customHeight="1" x14ac:dyDescent="0.3">
      <c r="A90" s="15"/>
      <c r="B90" s="28"/>
      <c r="C90" s="29" t="s">
        <v>79</v>
      </c>
      <c r="D90" s="30"/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1</v>
      </c>
      <c r="N90" s="16">
        <v>1</v>
      </c>
      <c r="O90" s="16">
        <v>0</v>
      </c>
      <c r="P90" s="16">
        <v>2</v>
      </c>
      <c r="Q90" s="16">
        <v>0</v>
      </c>
      <c r="R90" s="16">
        <v>1</v>
      </c>
      <c r="S90" s="16">
        <v>0</v>
      </c>
      <c r="T90" s="16">
        <v>0</v>
      </c>
      <c r="U90" s="16">
        <v>0</v>
      </c>
      <c r="V90" s="16">
        <v>1</v>
      </c>
      <c r="W90" s="16">
        <v>0</v>
      </c>
      <c r="X90" s="16">
        <v>1</v>
      </c>
      <c r="Y90" s="13">
        <f t="shared" si="19"/>
        <v>7</v>
      </c>
    </row>
    <row r="91" spans="1:25" ht="12.75" customHeight="1" x14ac:dyDescent="0.3">
      <c r="A91" s="16" t="s">
        <v>15</v>
      </c>
      <c r="B91" s="59" t="s">
        <v>49</v>
      </c>
      <c r="C91" s="60"/>
      <c r="D91" s="58"/>
      <c r="E91" s="13">
        <f t="shared" ref="E91:Y91" si="20">SUM(E81:E90)</f>
        <v>104</v>
      </c>
      <c r="F91" s="13">
        <f t="shared" si="20"/>
        <v>142</v>
      </c>
      <c r="G91" s="13">
        <f t="shared" si="20"/>
        <v>126</v>
      </c>
      <c r="H91" s="13">
        <f t="shared" si="20"/>
        <v>65</v>
      </c>
      <c r="I91" s="13">
        <f t="shared" si="20"/>
        <v>69</v>
      </c>
      <c r="J91" s="13">
        <f t="shared" si="20"/>
        <v>42</v>
      </c>
      <c r="K91" s="13">
        <f t="shared" si="20"/>
        <v>52</v>
      </c>
      <c r="L91" s="13">
        <f t="shared" si="20"/>
        <v>45</v>
      </c>
      <c r="M91" s="13">
        <f t="shared" si="20"/>
        <v>65</v>
      </c>
      <c r="N91" s="13">
        <f t="shared" si="20"/>
        <v>87</v>
      </c>
      <c r="O91" s="13">
        <f t="shared" si="20"/>
        <v>70</v>
      </c>
      <c r="P91" s="13">
        <f t="shared" si="20"/>
        <v>85</v>
      </c>
      <c r="Q91" s="13">
        <f t="shared" si="20"/>
        <v>45</v>
      </c>
      <c r="R91" s="13">
        <f t="shared" si="20"/>
        <v>60</v>
      </c>
      <c r="S91" s="13">
        <f t="shared" si="20"/>
        <v>44</v>
      </c>
      <c r="T91" s="13">
        <f t="shared" si="20"/>
        <v>42</v>
      </c>
      <c r="U91" s="13">
        <f t="shared" si="20"/>
        <v>68</v>
      </c>
      <c r="V91" s="13">
        <f t="shared" si="20"/>
        <v>64</v>
      </c>
      <c r="W91" s="13">
        <f t="shared" si="20"/>
        <v>56</v>
      </c>
      <c r="X91" s="13">
        <f t="shared" si="20"/>
        <v>38</v>
      </c>
      <c r="Y91" s="13">
        <f t="shared" si="20"/>
        <v>1369</v>
      </c>
    </row>
    <row r="92" spans="1:25" ht="12.75" customHeight="1" x14ac:dyDescent="0.3">
      <c r="A92" s="55"/>
      <c r="B92" s="56"/>
      <c r="C92" s="56"/>
      <c r="D92" s="56"/>
      <c r="E92" s="56"/>
    </row>
    <row r="93" spans="1:25" ht="12.75" customHeight="1" x14ac:dyDescent="0.3">
      <c r="A93" s="20" t="s">
        <v>37</v>
      </c>
      <c r="B93" s="27" t="s">
        <v>80</v>
      </c>
      <c r="C93" s="57" t="s">
        <v>81</v>
      </c>
      <c r="D93" s="58"/>
      <c r="E93" s="16">
        <v>0</v>
      </c>
      <c r="F93" s="16">
        <v>3</v>
      </c>
      <c r="G93" s="16">
        <v>1</v>
      </c>
      <c r="H93" s="16">
        <v>2</v>
      </c>
      <c r="I93" s="16">
        <v>6</v>
      </c>
      <c r="J93" s="16">
        <v>1</v>
      </c>
      <c r="K93" s="16">
        <v>1</v>
      </c>
      <c r="L93" s="16">
        <v>4</v>
      </c>
      <c r="M93" s="16">
        <v>1</v>
      </c>
      <c r="N93" s="16">
        <v>2</v>
      </c>
      <c r="O93" s="16">
        <v>1</v>
      </c>
      <c r="P93" s="16">
        <v>3</v>
      </c>
      <c r="Q93" s="16">
        <v>0</v>
      </c>
      <c r="R93" s="16">
        <v>2</v>
      </c>
      <c r="S93" s="16">
        <v>1</v>
      </c>
      <c r="T93" s="16">
        <v>5</v>
      </c>
      <c r="U93" s="16">
        <v>0</v>
      </c>
      <c r="V93" s="16">
        <v>2</v>
      </c>
      <c r="W93" s="16">
        <v>2</v>
      </c>
      <c r="X93" s="16">
        <v>0</v>
      </c>
      <c r="Y93" s="13">
        <f t="shared" ref="Y93:Y102" si="21">SUM(E93:X93)</f>
        <v>37</v>
      </c>
    </row>
    <row r="94" spans="1:25" ht="12.75" customHeight="1" x14ac:dyDescent="0.3">
      <c r="A94" s="20" t="s">
        <v>39</v>
      </c>
      <c r="B94" s="28"/>
      <c r="C94" s="29" t="s">
        <v>82</v>
      </c>
      <c r="D94" s="35"/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2</v>
      </c>
      <c r="L94" s="16">
        <v>2</v>
      </c>
      <c r="M94" s="16">
        <v>6</v>
      </c>
      <c r="N94" s="16">
        <v>3</v>
      </c>
      <c r="O94" s="16">
        <v>0</v>
      </c>
      <c r="P94" s="16">
        <v>3</v>
      </c>
      <c r="Q94" s="16">
        <v>1</v>
      </c>
      <c r="R94" s="16">
        <v>1</v>
      </c>
      <c r="S94" s="16">
        <v>3</v>
      </c>
      <c r="T94" s="16">
        <v>6</v>
      </c>
      <c r="U94" s="16">
        <v>0</v>
      </c>
      <c r="V94" s="16">
        <v>8</v>
      </c>
      <c r="W94" s="16">
        <v>5</v>
      </c>
      <c r="X94" s="16">
        <v>2</v>
      </c>
      <c r="Y94" s="13">
        <f t="shared" si="21"/>
        <v>42</v>
      </c>
    </row>
    <row r="95" spans="1:25" ht="12.75" customHeight="1" x14ac:dyDescent="0.3">
      <c r="A95" s="15"/>
      <c r="B95" s="28"/>
      <c r="C95" s="29" t="s">
        <v>83</v>
      </c>
      <c r="D95" s="35"/>
      <c r="E95" s="16">
        <v>3</v>
      </c>
      <c r="F95" s="16">
        <v>1</v>
      </c>
      <c r="G95" s="16">
        <v>1</v>
      </c>
      <c r="H95" s="16">
        <v>0</v>
      </c>
      <c r="I95" s="16">
        <v>1</v>
      </c>
      <c r="J95" s="16">
        <v>0</v>
      </c>
      <c r="K95" s="16">
        <v>0</v>
      </c>
      <c r="L95" s="16">
        <v>1</v>
      </c>
      <c r="M95" s="16">
        <v>0</v>
      </c>
      <c r="N95" s="16">
        <v>0</v>
      </c>
      <c r="O95" s="16">
        <v>0</v>
      </c>
      <c r="P95" s="16">
        <v>2</v>
      </c>
      <c r="Q95" s="16">
        <v>1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3">
        <f t="shared" si="21"/>
        <v>10</v>
      </c>
    </row>
    <row r="96" spans="1:25" ht="12.75" customHeight="1" x14ac:dyDescent="0.3">
      <c r="A96" s="15"/>
      <c r="B96" s="28"/>
      <c r="C96" s="29" t="s">
        <v>84</v>
      </c>
      <c r="D96" s="35"/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1</v>
      </c>
      <c r="P96" s="16">
        <v>0</v>
      </c>
      <c r="Q96" s="16">
        <v>1</v>
      </c>
      <c r="R96" s="16">
        <v>0</v>
      </c>
      <c r="S96" s="16">
        <v>0</v>
      </c>
      <c r="T96" s="16">
        <v>0</v>
      </c>
      <c r="U96" s="16">
        <v>1</v>
      </c>
      <c r="V96" s="16">
        <v>0</v>
      </c>
      <c r="W96" s="16">
        <v>0</v>
      </c>
      <c r="X96" s="16">
        <v>0</v>
      </c>
      <c r="Y96" s="13">
        <f t="shared" si="21"/>
        <v>3</v>
      </c>
    </row>
    <row r="97" spans="1:25" ht="12.75" customHeight="1" x14ac:dyDescent="0.3">
      <c r="A97" s="15"/>
      <c r="B97" s="28"/>
      <c r="C97" s="29" t="s">
        <v>85</v>
      </c>
      <c r="D97" s="35"/>
      <c r="E97" s="16">
        <v>1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1</v>
      </c>
      <c r="U97" s="16">
        <v>0</v>
      </c>
      <c r="V97" s="16">
        <v>0</v>
      </c>
      <c r="W97" s="16">
        <v>1</v>
      </c>
      <c r="X97" s="16">
        <v>0</v>
      </c>
      <c r="Y97" s="13">
        <f t="shared" si="21"/>
        <v>3</v>
      </c>
    </row>
    <row r="98" spans="1:25" ht="12.75" customHeight="1" x14ac:dyDescent="0.3">
      <c r="A98" s="15"/>
      <c r="B98" s="28"/>
      <c r="C98" s="29" t="s">
        <v>86</v>
      </c>
      <c r="D98" s="30"/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1</v>
      </c>
      <c r="N98" s="16">
        <v>1</v>
      </c>
      <c r="O98" s="16">
        <v>0</v>
      </c>
      <c r="P98" s="16">
        <v>1</v>
      </c>
      <c r="Q98" s="16">
        <v>1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3">
        <f t="shared" si="21"/>
        <v>4</v>
      </c>
    </row>
    <row r="99" spans="1:25" ht="12.75" customHeight="1" x14ac:dyDescent="0.3">
      <c r="A99" s="15"/>
      <c r="B99" s="28"/>
      <c r="C99" s="29" t="s">
        <v>87</v>
      </c>
      <c r="D99" s="30"/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3">
        <f t="shared" si="21"/>
        <v>0</v>
      </c>
    </row>
    <row r="100" spans="1:25" ht="12.75" customHeight="1" x14ac:dyDescent="0.3">
      <c r="A100" s="15"/>
      <c r="B100" s="28"/>
      <c r="C100" s="29" t="s">
        <v>88</v>
      </c>
      <c r="D100" s="35"/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1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3">
        <f t="shared" si="21"/>
        <v>1</v>
      </c>
    </row>
    <row r="101" spans="1:25" ht="12.75" customHeight="1" x14ac:dyDescent="0.3">
      <c r="A101" s="15"/>
      <c r="B101" s="28"/>
      <c r="C101" s="29" t="s">
        <v>89</v>
      </c>
      <c r="D101" s="35"/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1</v>
      </c>
      <c r="X101" s="16">
        <v>0</v>
      </c>
      <c r="Y101" s="13">
        <f t="shared" si="21"/>
        <v>1</v>
      </c>
    </row>
    <row r="102" spans="1:25" ht="12.75" customHeight="1" x14ac:dyDescent="0.3">
      <c r="A102" s="15"/>
      <c r="B102" s="28"/>
      <c r="C102" s="29" t="s">
        <v>90</v>
      </c>
      <c r="D102" s="35"/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1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3">
        <f t="shared" si="21"/>
        <v>1</v>
      </c>
    </row>
    <row r="103" spans="1:25" ht="12.75" customHeight="1" x14ac:dyDescent="0.3">
      <c r="A103" s="16" t="s">
        <v>15</v>
      </c>
      <c r="B103" s="59" t="s">
        <v>49</v>
      </c>
      <c r="C103" s="60"/>
      <c r="D103" s="58"/>
      <c r="E103" s="13">
        <f t="shared" ref="E103:Y103" si="22">SUM(E93:E102)</f>
        <v>4</v>
      </c>
      <c r="F103" s="13">
        <f t="shared" si="22"/>
        <v>4</v>
      </c>
      <c r="G103" s="13">
        <f t="shared" si="22"/>
        <v>2</v>
      </c>
      <c r="H103" s="13">
        <f t="shared" si="22"/>
        <v>2</v>
      </c>
      <c r="I103" s="13">
        <f t="shared" si="22"/>
        <v>7</v>
      </c>
      <c r="J103" s="13">
        <f t="shared" si="22"/>
        <v>1</v>
      </c>
      <c r="K103" s="13">
        <f t="shared" si="22"/>
        <v>3</v>
      </c>
      <c r="L103" s="13">
        <f t="shared" si="22"/>
        <v>7</v>
      </c>
      <c r="M103" s="13">
        <f t="shared" si="22"/>
        <v>8</v>
      </c>
      <c r="N103" s="13">
        <f t="shared" si="22"/>
        <v>6</v>
      </c>
      <c r="O103" s="13">
        <f t="shared" si="22"/>
        <v>3</v>
      </c>
      <c r="P103" s="13">
        <f t="shared" si="22"/>
        <v>10</v>
      </c>
      <c r="Q103" s="13">
        <f t="shared" si="22"/>
        <v>4</v>
      </c>
      <c r="R103" s="13">
        <f t="shared" si="22"/>
        <v>3</v>
      </c>
      <c r="S103" s="13">
        <f t="shared" si="22"/>
        <v>4</v>
      </c>
      <c r="T103" s="13">
        <f t="shared" si="22"/>
        <v>12</v>
      </c>
      <c r="U103" s="13">
        <f t="shared" si="22"/>
        <v>1</v>
      </c>
      <c r="V103" s="13">
        <f t="shared" si="22"/>
        <v>10</v>
      </c>
      <c r="W103" s="13">
        <f t="shared" si="22"/>
        <v>9</v>
      </c>
      <c r="X103" s="13">
        <f t="shared" si="22"/>
        <v>2</v>
      </c>
      <c r="Y103" s="13">
        <f t="shared" si="22"/>
        <v>102</v>
      </c>
    </row>
    <row r="104" spans="1:25" ht="12.75" customHeight="1" x14ac:dyDescent="0.3">
      <c r="A104" s="55"/>
      <c r="B104" s="56"/>
      <c r="C104" s="56"/>
      <c r="D104" s="56"/>
      <c r="E104" s="56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</row>
    <row r="105" spans="1:25" ht="12.75" customHeight="1" x14ac:dyDescent="0.3">
      <c r="A105" s="20" t="s">
        <v>37</v>
      </c>
      <c r="B105" s="27" t="s">
        <v>91</v>
      </c>
      <c r="C105" s="57" t="s">
        <v>92</v>
      </c>
      <c r="D105" s="58"/>
      <c r="E105" s="16">
        <v>1</v>
      </c>
      <c r="F105" s="16">
        <v>0</v>
      </c>
      <c r="G105" s="16">
        <v>0</v>
      </c>
      <c r="H105" s="16">
        <v>1</v>
      </c>
      <c r="I105" s="16">
        <v>0</v>
      </c>
      <c r="J105" s="16">
        <v>0</v>
      </c>
      <c r="K105" s="16">
        <v>0</v>
      </c>
      <c r="L105" s="16">
        <v>0</v>
      </c>
      <c r="M105" s="16">
        <v>2</v>
      </c>
      <c r="N105" s="16">
        <v>0</v>
      </c>
      <c r="O105" s="16">
        <v>0</v>
      </c>
      <c r="P105" s="16">
        <v>0</v>
      </c>
      <c r="Q105" s="16">
        <v>1</v>
      </c>
      <c r="R105" s="16">
        <v>0</v>
      </c>
      <c r="S105" s="16">
        <v>0</v>
      </c>
      <c r="T105" s="16">
        <v>1</v>
      </c>
      <c r="U105" s="16">
        <v>3</v>
      </c>
      <c r="V105" s="16">
        <v>1</v>
      </c>
      <c r="W105" s="16">
        <v>1</v>
      </c>
      <c r="X105" s="16">
        <v>0</v>
      </c>
      <c r="Y105" s="13">
        <f t="shared" ref="Y105:Y114" si="23">SUM(E105:X105)</f>
        <v>11</v>
      </c>
    </row>
    <row r="106" spans="1:25" ht="12.75" customHeight="1" x14ac:dyDescent="0.3">
      <c r="A106" s="20" t="s">
        <v>39</v>
      </c>
      <c r="B106" s="28"/>
      <c r="C106" s="29" t="s">
        <v>93</v>
      </c>
      <c r="D106" s="30"/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1</v>
      </c>
      <c r="M106" s="16">
        <v>0</v>
      </c>
      <c r="N106" s="16">
        <v>0</v>
      </c>
      <c r="O106" s="16">
        <v>0</v>
      </c>
      <c r="P106" s="16">
        <v>1</v>
      </c>
      <c r="Q106" s="16">
        <v>4</v>
      </c>
      <c r="R106" s="16">
        <v>1</v>
      </c>
      <c r="S106" s="16">
        <v>0</v>
      </c>
      <c r="T106" s="16">
        <v>0</v>
      </c>
      <c r="U106" s="16">
        <v>1</v>
      </c>
      <c r="V106" s="16">
        <v>0</v>
      </c>
      <c r="W106" s="16">
        <v>0</v>
      </c>
      <c r="X106" s="16">
        <v>0</v>
      </c>
      <c r="Y106" s="13">
        <f t="shared" si="23"/>
        <v>8</v>
      </c>
    </row>
    <row r="107" spans="1:25" ht="12.75" customHeight="1" x14ac:dyDescent="0.3">
      <c r="A107" s="15"/>
      <c r="B107" s="28"/>
      <c r="C107" s="29" t="s">
        <v>94</v>
      </c>
      <c r="D107" s="30"/>
      <c r="E107" s="16">
        <v>1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1</v>
      </c>
      <c r="V107" s="16">
        <v>1</v>
      </c>
      <c r="W107" s="16">
        <v>0</v>
      </c>
      <c r="X107" s="16">
        <v>0</v>
      </c>
      <c r="Y107" s="13">
        <f t="shared" si="23"/>
        <v>3</v>
      </c>
    </row>
    <row r="108" spans="1:25" ht="12.75" customHeight="1" x14ac:dyDescent="0.3">
      <c r="A108" s="15"/>
      <c r="B108" s="36"/>
      <c r="C108" s="37"/>
      <c r="D108" s="38"/>
      <c r="E108" s="52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3">
        <f t="shared" si="23"/>
        <v>0</v>
      </c>
    </row>
    <row r="109" spans="1:25" ht="12.75" customHeight="1" x14ac:dyDescent="0.3">
      <c r="A109" s="15"/>
      <c r="B109" s="36"/>
      <c r="C109" s="37"/>
      <c r="D109" s="38"/>
      <c r="E109" s="52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3">
        <f t="shared" si="23"/>
        <v>0</v>
      </c>
    </row>
    <row r="110" spans="1:25" ht="12.75" customHeight="1" x14ac:dyDescent="0.3">
      <c r="A110" s="15"/>
      <c r="B110" s="36"/>
      <c r="C110" s="37"/>
      <c r="D110" s="38"/>
      <c r="E110" s="52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3">
        <f t="shared" si="23"/>
        <v>0</v>
      </c>
    </row>
    <row r="111" spans="1:25" ht="12.75" customHeight="1" x14ac:dyDescent="0.3">
      <c r="A111" s="15"/>
      <c r="B111" s="36"/>
      <c r="C111" s="37"/>
      <c r="D111" s="38"/>
      <c r="E111" s="52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3">
        <f t="shared" si="23"/>
        <v>0</v>
      </c>
    </row>
    <row r="112" spans="1:25" ht="12.75" customHeight="1" x14ac:dyDescent="0.3">
      <c r="A112" s="15"/>
      <c r="B112" s="36"/>
      <c r="C112" s="37"/>
      <c r="D112" s="38"/>
      <c r="E112" s="52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3">
        <f t="shared" si="23"/>
        <v>0</v>
      </c>
    </row>
    <row r="113" spans="1:25" ht="12.75" customHeight="1" x14ac:dyDescent="0.3">
      <c r="A113" s="15"/>
      <c r="B113" s="36"/>
      <c r="C113" s="37"/>
      <c r="D113" s="38"/>
      <c r="E113" s="52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3">
        <f t="shared" si="23"/>
        <v>0</v>
      </c>
    </row>
    <row r="114" spans="1:25" ht="12.75" customHeight="1" x14ac:dyDescent="0.3">
      <c r="A114" s="15"/>
      <c r="B114" s="36"/>
      <c r="C114" s="37"/>
      <c r="D114" s="38"/>
      <c r="E114" s="52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3">
        <f t="shared" si="23"/>
        <v>0</v>
      </c>
    </row>
    <row r="115" spans="1:25" ht="12.75" customHeight="1" x14ac:dyDescent="0.3">
      <c r="A115" s="16" t="s">
        <v>15</v>
      </c>
      <c r="B115" s="59" t="s">
        <v>49</v>
      </c>
      <c r="C115" s="60"/>
      <c r="D115" s="58"/>
      <c r="E115" s="13">
        <f t="shared" ref="E115:Y115" si="24">SUM(E105:E114)</f>
        <v>2</v>
      </c>
      <c r="F115" s="13">
        <f t="shared" si="24"/>
        <v>0</v>
      </c>
      <c r="G115" s="13">
        <f t="shared" si="24"/>
        <v>0</v>
      </c>
      <c r="H115" s="13">
        <f t="shared" si="24"/>
        <v>1</v>
      </c>
      <c r="I115" s="13">
        <f t="shared" si="24"/>
        <v>0</v>
      </c>
      <c r="J115" s="13">
        <f t="shared" si="24"/>
        <v>0</v>
      </c>
      <c r="K115" s="13">
        <f t="shared" si="24"/>
        <v>0</v>
      </c>
      <c r="L115" s="13">
        <f t="shared" si="24"/>
        <v>1</v>
      </c>
      <c r="M115" s="13">
        <f t="shared" si="24"/>
        <v>2</v>
      </c>
      <c r="N115" s="13">
        <f t="shared" si="24"/>
        <v>0</v>
      </c>
      <c r="O115" s="13">
        <f t="shared" si="24"/>
        <v>0</v>
      </c>
      <c r="P115" s="13">
        <f t="shared" si="24"/>
        <v>1</v>
      </c>
      <c r="Q115" s="13">
        <f t="shared" si="24"/>
        <v>5</v>
      </c>
      <c r="R115" s="13">
        <f t="shared" si="24"/>
        <v>1</v>
      </c>
      <c r="S115" s="13">
        <f t="shared" si="24"/>
        <v>0</v>
      </c>
      <c r="T115" s="13">
        <f t="shared" si="24"/>
        <v>1</v>
      </c>
      <c r="U115" s="13">
        <f t="shared" si="24"/>
        <v>5</v>
      </c>
      <c r="V115" s="13">
        <f t="shared" si="24"/>
        <v>2</v>
      </c>
      <c r="W115" s="13">
        <f t="shared" si="24"/>
        <v>1</v>
      </c>
      <c r="X115" s="13">
        <f t="shared" si="24"/>
        <v>0</v>
      </c>
      <c r="Y115" s="13">
        <f t="shared" si="24"/>
        <v>22</v>
      </c>
    </row>
    <row r="116" spans="1:25" ht="12.75" customHeight="1" x14ac:dyDescent="0.3">
      <c r="A116" s="61"/>
      <c r="B116" s="60"/>
      <c r="C116" s="60"/>
      <c r="D116" s="60"/>
      <c r="E116" s="58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13"/>
    </row>
    <row r="117" spans="1:25" ht="12.75" customHeight="1" x14ac:dyDescent="0.3">
      <c r="A117" s="20" t="s">
        <v>37</v>
      </c>
      <c r="B117" s="27" t="s">
        <v>95</v>
      </c>
      <c r="C117" s="57" t="s">
        <v>96</v>
      </c>
      <c r="D117" s="58"/>
      <c r="E117" s="16">
        <v>0</v>
      </c>
      <c r="F117" s="16">
        <v>0</v>
      </c>
      <c r="G117" s="16">
        <v>1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1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1</v>
      </c>
      <c r="X117" s="16">
        <v>0</v>
      </c>
      <c r="Y117" s="13">
        <f t="shared" ref="Y117:Y126" si="25">SUM(E117:X117)</f>
        <v>3</v>
      </c>
    </row>
    <row r="118" spans="1:25" ht="12.75" customHeight="1" x14ac:dyDescent="0.3">
      <c r="A118" s="20" t="s">
        <v>39</v>
      </c>
      <c r="B118" s="28"/>
      <c r="C118" s="29" t="s">
        <v>97</v>
      </c>
      <c r="D118" s="30"/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1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1</v>
      </c>
      <c r="X118" s="16">
        <v>0</v>
      </c>
      <c r="Y118" s="13">
        <f t="shared" si="25"/>
        <v>2</v>
      </c>
    </row>
    <row r="119" spans="1:25" ht="12.75" customHeight="1" x14ac:dyDescent="0.3">
      <c r="A119" s="15"/>
      <c r="B119" s="28"/>
      <c r="C119" s="29" t="s">
        <v>98</v>
      </c>
      <c r="D119" s="30"/>
      <c r="E119" s="16">
        <v>0</v>
      </c>
      <c r="F119" s="16">
        <v>0</v>
      </c>
      <c r="G119" s="16">
        <v>1</v>
      </c>
      <c r="H119" s="16">
        <v>1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3">
        <f t="shared" si="25"/>
        <v>2</v>
      </c>
    </row>
    <row r="120" spans="1:25" ht="12.75" customHeight="1" x14ac:dyDescent="0.3">
      <c r="A120" s="15"/>
      <c r="B120" s="28"/>
      <c r="C120" s="29" t="s">
        <v>99</v>
      </c>
      <c r="D120" s="30"/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1</v>
      </c>
      <c r="R120" s="16">
        <v>1</v>
      </c>
      <c r="S120" s="16">
        <v>0</v>
      </c>
      <c r="T120" s="16">
        <v>1</v>
      </c>
      <c r="U120" s="16">
        <v>0</v>
      </c>
      <c r="V120" s="16">
        <v>0</v>
      </c>
      <c r="W120" s="16">
        <v>0</v>
      </c>
      <c r="X120" s="16">
        <v>0</v>
      </c>
      <c r="Y120" s="13">
        <f t="shared" si="25"/>
        <v>3</v>
      </c>
    </row>
    <row r="121" spans="1:25" ht="12.75" customHeight="1" x14ac:dyDescent="0.3">
      <c r="A121" s="15"/>
      <c r="B121" s="28"/>
      <c r="C121" s="29" t="s">
        <v>100</v>
      </c>
      <c r="D121" s="30"/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3">
        <f t="shared" si="25"/>
        <v>0</v>
      </c>
    </row>
    <row r="122" spans="1:25" ht="12.75" customHeight="1" x14ac:dyDescent="0.3">
      <c r="A122" s="15"/>
      <c r="B122" s="28"/>
      <c r="C122" s="29" t="s">
        <v>101</v>
      </c>
      <c r="D122" s="30"/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1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3">
        <f t="shared" si="25"/>
        <v>1</v>
      </c>
    </row>
    <row r="123" spans="1:25" ht="12.75" customHeight="1" x14ac:dyDescent="0.3">
      <c r="A123" s="15"/>
      <c r="B123" s="36"/>
      <c r="C123" s="37"/>
      <c r="D123" s="40"/>
      <c r="E123" s="41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13">
        <f t="shared" si="25"/>
        <v>0</v>
      </c>
    </row>
    <row r="124" spans="1:25" ht="12.75" customHeight="1" x14ac:dyDescent="0.3">
      <c r="A124" s="15"/>
      <c r="B124" s="36"/>
      <c r="C124" s="37"/>
      <c r="D124" s="38"/>
      <c r="E124" s="41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13">
        <f t="shared" si="25"/>
        <v>0</v>
      </c>
    </row>
    <row r="125" spans="1:25" ht="12.75" customHeight="1" x14ac:dyDescent="0.3">
      <c r="A125" s="15"/>
      <c r="B125" s="36"/>
      <c r="C125" s="37"/>
      <c r="D125" s="38"/>
      <c r="E125" s="41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13">
        <f t="shared" si="25"/>
        <v>0</v>
      </c>
    </row>
    <row r="126" spans="1:25" ht="12.75" customHeight="1" x14ac:dyDescent="0.3">
      <c r="A126" s="15"/>
      <c r="B126" s="36"/>
      <c r="C126" s="37"/>
      <c r="D126" s="38"/>
      <c r="E126" s="41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13">
        <f t="shared" si="25"/>
        <v>0</v>
      </c>
    </row>
    <row r="127" spans="1:25" ht="12.75" customHeight="1" x14ac:dyDescent="0.3">
      <c r="A127" s="16" t="s">
        <v>15</v>
      </c>
      <c r="B127" s="59" t="s">
        <v>49</v>
      </c>
      <c r="C127" s="60"/>
      <c r="D127" s="58"/>
      <c r="E127" s="13">
        <f t="shared" ref="E127:Y127" si="26">SUM(E117:E126)</f>
        <v>0</v>
      </c>
      <c r="F127" s="13">
        <f t="shared" si="26"/>
        <v>0</v>
      </c>
      <c r="G127" s="13">
        <f t="shared" si="26"/>
        <v>2</v>
      </c>
      <c r="H127" s="13">
        <f t="shared" si="26"/>
        <v>1</v>
      </c>
      <c r="I127" s="13">
        <f t="shared" si="26"/>
        <v>0</v>
      </c>
      <c r="J127" s="13">
        <f t="shared" si="26"/>
        <v>0</v>
      </c>
      <c r="K127" s="13">
        <f t="shared" si="26"/>
        <v>0</v>
      </c>
      <c r="L127" s="13">
        <f t="shared" si="26"/>
        <v>0</v>
      </c>
      <c r="M127" s="13">
        <f t="shared" si="26"/>
        <v>0</v>
      </c>
      <c r="N127" s="13">
        <f t="shared" si="26"/>
        <v>0</v>
      </c>
      <c r="O127" s="13">
        <f t="shared" si="26"/>
        <v>0</v>
      </c>
      <c r="P127" s="13">
        <f t="shared" si="26"/>
        <v>1</v>
      </c>
      <c r="Q127" s="13">
        <f t="shared" si="26"/>
        <v>2</v>
      </c>
      <c r="R127" s="13">
        <f t="shared" si="26"/>
        <v>2</v>
      </c>
      <c r="S127" s="13">
        <f t="shared" si="26"/>
        <v>0</v>
      </c>
      <c r="T127" s="13">
        <f t="shared" si="26"/>
        <v>1</v>
      </c>
      <c r="U127" s="13">
        <f t="shared" si="26"/>
        <v>0</v>
      </c>
      <c r="V127" s="13">
        <f t="shared" si="26"/>
        <v>0</v>
      </c>
      <c r="W127" s="13">
        <f t="shared" si="26"/>
        <v>2</v>
      </c>
      <c r="X127" s="13">
        <f t="shared" si="26"/>
        <v>0</v>
      </c>
      <c r="Y127" s="13">
        <f t="shared" si="26"/>
        <v>11</v>
      </c>
    </row>
    <row r="128" spans="1:25" ht="12.75" customHeight="1" x14ac:dyDescent="0.3">
      <c r="A128" s="61"/>
      <c r="B128" s="60"/>
      <c r="C128" s="60"/>
      <c r="D128" s="60"/>
      <c r="E128" s="58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</row>
    <row r="129" spans="1:25" ht="12.75" customHeight="1" x14ac:dyDescent="0.3">
      <c r="A129" s="20" t="s">
        <v>37</v>
      </c>
      <c r="B129" s="27" t="s">
        <v>102</v>
      </c>
      <c r="C129" s="57" t="s">
        <v>103</v>
      </c>
      <c r="D129" s="58"/>
      <c r="E129" s="16">
        <v>2</v>
      </c>
      <c r="F129" s="16">
        <v>2</v>
      </c>
      <c r="G129" s="16">
        <v>4</v>
      </c>
      <c r="H129" s="16">
        <v>2</v>
      </c>
      <c r="I129" s="16">
        <v>3</v>
      </c>
      <c r="J129" s="16">
        <v>1</v>
      </c>
      <c r="K129" s="16">
        <v>0</v>
      </c>
      <c r="L129" s="16">
        <v>6</v>
      </c>
      <c r="M129" s="16">
        <v>1</v>
      </c>
      <c r="N129" s="16">
        <v>3</v>
      </c>
      <c r="O129" s="16">
        <v>1</v>
      </c>
      <c r="P129" s="16">
        <v>2</v>
      </c>
      <c r="Q129" s="16">
        <v>5</v>
      </c>
      <c r="R129" s="16">
        <v>0</v>
      </c>
      <c r="S129" s="16">
        <v>1</v>
      </c>
      <c r="T129" s="16">
        <v>3</v>
      </c>
      <c r="U129" s="16">
        <v>1</v>
      </c>
      <c r="V129" s="16">
        <v>9</v>
      </c>
      <c r="W129" s="16">
        <v>2</v>
      </c>
      <c r="X129" s="16">
        <v>2</v>
      </c>
      <c r="Y129" s="13">
        <f t="shared" ref="Y129:Y138" si="27">SUM(E129:X129)</f>
        <v>50</v>
      </c>
    </row>
    <row r="130" spans="1:25" ht="12.75" customHeight="1" x14ac:dyDescent="0.3">
      <c r="A130" s="20" t="s">
        <v>39</v>
      </c>
      <c r="B130" s="28"/>
      <c r="C130" s="29" t="s">
        <v>104</v>
      </c>
      <c r="D130" s="30"/>
      <c r="E130" s="16">
        <v>2</v>
      </c>
      <c r="F130" s="16">
        <v>9</v>
      </c>
      <c r="G130" s="16">
        <v>1</v>
      </c>
      <c r="H130" s="16">
        <v>1</v>
      </c>
      <c r="I130" s="16">
        <v>2</v>
      </c>
      <c r="J130" s="16">
        <v>1</v>
      </c>
      <c r="K130" s="16">
        <v>3</v>
      </c>
      <c r="L130" s="16">
        <v>5</v>
      </c>
      <c r="M130" s="16">
        <v>1</v>
      </c>
      <c r="N130" s="16">
        <v>0</v>
      </c>
      <c r="O130" s="16">
        <v>0</v>
      </c>
      <c r="P130" s="16">
        <v>0</v>
      </c>
      <c r="Q130" s="16">
        <v>1</v>
      </c>
      <c r="R130" s="16">
        <v>0</v>
      </c>
      <c r="S130" s="16">
        <v>3</v>
      </c>
      <c r="T130" s="16">
        <v>1</v>
      </c>
      <c r="U130" s="16">
        <v>1</v>
      </c>
      <c r="V130" s="16">
        <v>0</v>
      </c>
      <c r="W130" s="16">
        <v>7</v>
      </c>
      <c r="X130" s="16">
        <v>1</v>
      </c>
      <c r="Y130" s="13">
        <f t="shared" si="27"/>
        <v>39</v>
      </c>
    </row>
    <row r="131" spans="1:25" ht="12.75" customHeight="1" x14ac:dyDescent="0.3">
      <c r="A131" s="15"/>
      <c r="B131" s="28"/>
      <c r="C131" s="29" t="s">
        <v>105</v>
      </c>
      <c r="D131" s="30"/>
      <c r="E131" s="16">
        <v>0</v>
      </c>
      <c r="F131" s="16">
        <v>2</v>
      </c>
      <c r="G131" s="16">
        <v>0</v>
      </c>
      <c r="H131" s="16">
        <v>0</v>
      </c>
      <c r="I131" s="16">
        <v>1</v>
      </c>
      <c r="J131" s="16">
        <v>0</v>
      </c>
      <c r="K131" s="16">
        <v>1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1</v>
      </c>
      <c r="W131" s="16">
        <v>0</v>
      </c>
      <c r="X131" s="16">
        <v>0</v>
      </c>
      <c r="Y131" s="13">
        <f t="shared" si="27"/>
        <v>5</v>
      </c>
    </row>
    <row r="132" spans="1:25" ht="12.75" customHeight="1" x14ac:dyDescent="0.3">
      <c r="A132" s="15"/>
      <c r="B132" s="28"/>
      <c r="C132" s="29" t="s">
        <v>106</v>
      </c>
      <c r="D132" s="30"/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1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1</v>
      </c>
      <c r="U132" s="16">
        <v>0</v>
      </c>
      <c r="V132" s="16">
        <v>1</v>
      </c>
      <c r="W132" s="16">
        <v>0</v>
      </c>
      <c r="X132" s="16">
        <v>0</v>
      </c>
      <c r="Y132" s="13">
        <f t="shared" si="27"/>
        <v>3</v>
      </c>
    </row>
    <row r="133" spans="1:25" ht="12.75" customHeight="1" x14ac:dyDescent="0.3">
      <c r="A133" s="15"/>
      <c r="B133" s="28"/>
      <c r="C133" s="29" t="s">
        <v>107</v>
      </c>
      <c r="D133" s="30"/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1</v>
      </c>
      <c r="M133" s="16">
        <v>0</v>
      </c>
      <c r="N133" s="16">
        <v>1</v>
      </c>
      <c r="O133" s="16">
        <v>0</v>
      </c>
      <c r="P133" s="16">
        <v>0</v>
      </c>
      <c r="Q133" s="16">
        <v>1</v>
      </c>
      <c r="R133" s="16">
        <v>0</v>
      </c>
      <c r="S133" s="16">
        <v>0</v>
      </c>
      <c r="T133" s="16">
        <v>1</v>
      </c>
      <c r="U133" s="16">
        <v>0</v>
      </c>
      <c r="V133" s="16">
        <v>0</v>
      </c>
      <c r="W133" s="16">
        <v>0</v>
      </c>
      <c r="X133" s="16">
        <v>1</v>
      </c>
      <c r="Y133" s="13">
        <f t="shared" si="27"/>
        <v>5</v>
      </c>
    </row>
    <row r="134" spans="1:25" ht="12.75" customHeight="1" x14ac:dyDescent="0.3">
      <c r="A134" s="15"/>
      <c r="B134" s="28"/>
      <c r="C134" s="29" t="s">
        <v>108</v>
      </c>
      <c r="D134" s="30"/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1</v>
      </c>
      <c r="M134" s="16">
        <v>2</v>
      </c>
      <c r="N134" s="16">
        <v>0</v>
      </c>
      <c r="O134" s="16">
        <v>6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4</v>
      </c>
      <c r="W134" s="16">
        <v>0</v>
      </c>
      <c r="X134" s="16">
        <v>1</v>
      </c>
      <c r="Y134" s="13">
        <f t="shared" si="27"/>
        <v>14</v>
      </c>
    </row>
    <row r="135" spans="1:25" ht="12.75" customHeight="1" x14ac:dyDescent="0.3">
      <c r="A135" s="15"/>
      <c r="B135" s="28"/>
      <c r="C135" s="29" t="s">
        <v>109</v>
      </c>
      <c r="D135" s="30"/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1</v>
      </c>
      <c r="U135" s="16">
        <v>1</v>
      </c>
      <c r="V135" s="16">
        <v>0</v>
      </c>
      <c r="W135" s="16">
        <v>6</v>
      </c>
      <c r="X135" s="16">
        <v>0</v>
      </c>
      <c r="Y135" s="13">
        <f t="shared" si="27"/>
        <v>8</v>
      </c>
    </row>
    <row r="136" spans="1:25" ht="12.75" customHeight="1" x14ac:dyDescent="0.3">
      <c r="A136" s="15"/>
      <c r="B136" s="28"/>
      <c r="C136" s="29" t="s">
        <v>110</v>
      </c>
      <c r="D136" s="30"/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1</v>
      </c>
      <c r="T136" s="16">
        <v>0</v>
      </c>
      <c r="U136" s="16">
        <v>0</v>
      </c>
      <c r="V136" s="16">
        <v>0</v>
      </c>
      <c r="W136" s="16">
        <v>0</v>
      </c>
      <c r="X136" s="16">
        <v>4</v>
      </c>
      <c r="Y136" s="13">
        <f t="shared" si="27"/>
        <v>5</v>
      </c>
    </row>
    <row r="137" spans="1:25" ht="12.75" customHeight="1" x14ac:dyDescent="0.3">
      <c r="A137" s="15"/>
      <c r="B137" s="28"/>
      <c r="C137" s="29" t="s">
        <v>111</v>
      </c>
      <c r="D137" s="30"/>
      <c r="E137" s="16">
        <v>0</v>
      </c>
      <c r="F137" s="16">
        <v>0</v>
      </c>
      <c r="G137" s="16">
        <v>0</v>
      </c>
      <c r="H137" s="16">
        <v>0</v>
      </c>
      <c r="I137" s="16">
        <v>1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1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1</v>
      </c>
      <c r="Y137" s="13">
        <f t="shared" si="27"/>
        <v>3</v>
      </c>
    </row>
    <row r="138" spans="1:25" ht="12.75" customHeight="1" x14ac:dyDescent="0.3">
      <c r="A138" s="15"/>
      <c r="B138" s="28"/>
      <c r="C138" s="29" t="s">
        <v>112</v>
      </c>
      <c r="D138" s="30"/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1</v>
      </c>
      <c r="W138" s="16">
        <v>0</v>
      </c>
      <c r="X138" s="16">
        <v>0</v>
      </c>
      <c r="Y138" s="13">
        <f t="shared" si="27"/>
        <v>1</v>
      </c>
    </row>
    <row r="139" spans="1:25" ht="12.75" customHeight="1" x14ac:dyDescent="0.3">
      <c r="A139" s="16" t="s">
        <v>15</v>
      </c>
      <c r="B139" s="59" t="s">
        <v>49</v>
      </c>
      <c r="C139" s="60"/>
      <c r="D139" s="58"/>
      <c r="E139" s="13">
        <f t="shared" ref="E139:Y139" si="28">SUM(E129:E138)</f>
        <v>4</v>
      </c>
      <c r="F139" s="13">
        <f t="shared" si="28"/>
        <v>13</v>
      </c>
      <c r="G139" s="13">
        <f t="shared" si="28"/>
        <v>5</v>
      </c>
      <c r="H139" s="13">
        <f t="shared" si="28"/>
        <v>3</v>
      </c>
      <c r="I139" s="13">
        <f t="shared" si="28"/>
        <v>7</v>
      </c>
      <c r="J139" s="13">
        <f t="shared" si="28"/>
        <v>2</v>
      </c>
      <c r="K139" s="13">
        <f t="shared" si="28"/>
        <v>5</v>
      </c>
      <c r="L139" s="13">
        <f t="shared" si="28"/>
        <v>13</v>
      </c>
      <c r="M139" s="13">
        <f t="shared" si="28"/>
        <v>4</v>
      </c>
      <c r="N139" s="13">
        <f t="shared" si="28"/>
        <v>4</v>
      </c>
      <c r="O139" s="13">
        <f t="shared" si="28"/>
        <v>7</v>
      </c>
      <c r="P139" s="13">
        <f t="shared" si="28"/>
        <v>2</v>
      </c>
      <c r="Q139" s="13">
        <f t="shared" si="28"/>
        <v>8</v>
      </c>
      <c r="R139" s="13">
        <f t="shared" si="28"/>
        <v>0</v>
      </c>
      <c r="S139" s="13">
        <f t="shared" si="28"/>
        <v>5</v>
      </c>
      <c r="T139" s="13">
        <f t="shared" si="28"/>
        <v>7</v>
      </c>
      <c r="U139" s="13">
        <f t="shared" si="28"/>
        <v>3</v>
      </c>
      <c r="V139" s="13">
        <f t="shared" si="28"/>
        <v>16</v>
      </c>
      <c r="W139" s="13">
        <f t="shared" si="28"/>
        <v>15</v>
      </c>
      <c r="X139" s="13">
        <f t="shared" si="28"/>
        <v>10</v>
      </c>
      <c r="Y139" s="13">
        <f t="shared" si="28"/>
        <v>133</v>
      </c>
    </row>
    <row r="140" spans="1:25" ht="12.75" customHeight="1" x14ac:dyDescent="0.3">
      <c r="A140" s="61"/>
      <c r="B140" s="60"/>
      <c r="C140" s="60"/>
      <c r="D140" s="60"/>
      <c r="E140" s="58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</row>
    <row r="141" spans="1:25" ht="12.75" customHeight="1" x14ac:dyDescent="0.3">
      <c r="A141" s="20" t="s">
        <v>37</v>
      </c>
      <c r="B141" s="27" t="s">
        <v>113</v>
      </c>
      <c r="C141" s="57" t="s">
        <v>114</v>
      </c>
      <c r="D141" s="58"/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3">
        <f t="shared" ref="Y141:Y150" si="29">SUM(E141:X141)</f>
        <v>0</v>
      </c>
    </row>
    <row r="142" spans="1:25" ht="12.75" customHeight="1" x14ac:dyDescent="0.3">
      <c r="A142" s="20" t="s">
        <v>39</v>
      </c>
      <c r="B142" s="28"/>
      <c r="C142" s="29" t="s">
        <v>115</v>
      </c>
      <c r="D142" s="30"/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1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3">
        <f t="shared" si="29"/>
        <v>1</v>
      </c>
    </row>
    <row r="143" spans="1:25" ht="12.75" customHeight="1" x14ac:dyDescent="0.3">
      <c r="A143" s="15"/>
      <c r="B143" s="28"/>
      <c r="C143" s="29" t="s">
        <v>116</v>
      </c>
      <c r="D143" s="30"/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3">
        <f t="shared" si="29"/>
        <v>0</v>
      </c>
    </row>
    <row r="144" spans="1:25" ht="12.75" customHeight="1" x14ac:dyDescent="0.3">
      <c r="A144" s="15"/>
      <c r="B144" s="28"/>
      <c r="C144" s="29" t="s">
        <v>117</v>
      </c>
      <c r="D144" s="30"/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3">
        <f t="shared" si="29"/>
        <v>0</v>
      </c>
    </row>
    <row r="145" spans="1:25" ht="12.75" customHeight="1" x14ac:dyDescent="0.3">
      <c r="A145" s="15"/>
      <c r="B145" s="36"/>
      <c r="C145" s="37"/>
      <c r="D145" s="40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3">
        <f t="shared" si="29"/>
        <v>0</v>
      </c>
    </row>
    <row r="146" spans="1:25" ht="12.75" customHeight="1" x14ac:dyDescent="0.3">
      <c r="A146" s="15"/>
      <c r="B146" s="36"/>
      <c r="C146" s="37"/>
      <c r="D146" s="40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3">
        <f t="shared" si="29"/>
        <v>0</v>
      </c>
    </row>
    <row r="147" spans="1:25" ht="12.75" customHeight="1" x14ac:dyDescent="0.3">
      <c r="A147" s="15"/>
      <c r="B147" s="36"/>
      <c r="C147" s="37"/>
      <c r="D147" s="40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3">
        <f t="shared" si="29"/>
        <v>0</v>
      </c>
    </row>
    <row r="148" spans="1:25" ht="12.75" customHeight="1" x14ac:dyDescent="0.3">
      <c r="A148" s="15"/>
      <c r="B148" s="36"/>
      <c r="C148" s="37"/>
      <c r="D148" s="38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3">
        <f t="shared" si="29"/>
        <v>0</v>
      </c>
    </row>
    <row r="149" spans="1:25" ht="12.75" customHeight="1" x14ac:dyDescent="0.3">
      <c r="A149" s="15"/>
      <c r="B149" s="36"/>
      <c r="C149" s="37"/>
      <c r="D149" s="38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3">
        <f t="shared" si="29"/>
        <v>0</v>
      </c>
    </row>
    <row r="150" spans="1:25" ht="12.75" customHeight="1" x14ac:dyDescent="0.3">
      <c r="A150" s="15"/>
      <c r="B150" s="36"/>
      <c r="C150" s="37"/>
      <c r="D150" s="38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3">
        <f t="shared" si="29"/>
        <v>0</v>
      </c>
    </row>
    <row r="151" spans="1:25" ht="12.75" customHeight="1" x14ac:dyDescent="0.3">
      <c r="A151" s="16" t="s">
        <v>15</v>
      </c>
      <c r="B151" s="59" t="s">
        <v>49</v>
      </c>
      <c r="C151" s="60"/>
      <c r="D151" s="58"/>
      <c r="E151" s="13">
        <f t="shared" ref="E151:Y151" si="30">SUM(E141:E150)</f>
        <v>0</v>
      </c>
      <c r="F151" s="13">
        <f t="shared" si="30"/>
        <v>0</v>
      </c>
      <c r="G151" s="13">
        <f t="shared" si="30"/>
        <v>0</v>
      </c>
      <c r="H151" s="13">
        <f t="shared" si="30"/>
        <v>0</v>
      </c>
      <c r="I151" s="13">
        <f t="shared" si="30"/>
        <v>0</v>
      </c>
      <c r="J151" s="13">
        <f t="shared" si="30"/>
        <v>0</v>
      </c>
      <c r="K151" s="13">
        <f t="shared" si="30"/>
        <v>0</v>
      </c>
      <c r="L151" s="13">
        <f t="shared" si="30"/>
        <v>0</v>
      </c>
      <c r="M151" s="13">
        <f t="shared" si="30"/>
        <v>1</v>
      </c>
      <c r="N151" s="13">
        <f t="shared" si="30"/>
        <v>0</v>
      </c>
      <c r="O151" s="13">
        <f t="shared" si="30"/>
        <v>0</v>
      </c>
      <c r="P151" s="13">
        <f t="shared" si="30"/>
        <v>0</v>
      </c>
      <c r="Q151" s="13">
        <f t="shared" si="30"/>
        <v>0</v>
      </c>
      <c r="R151" s="13">
        <f t="shared" si="30"/>
        <v>0</v>
      </c>
      <c r="S151" s="13">
        <f t="shared" si="30"/>
        <v>0</v>
      </c>
      <c r="T151" s="13">
        <f t="shared" si="30"/>
        <v>0</v>
      </c>
      <c r="U151" s="13">
        <f t="shared" si="30"/>
        <v>0</v>
      </c>
      <c r="V151" s="13">
        <f t="shared" si="30"/>
        <v>0</v>
      </c>
      <c r="W151" s="13">
        <f t="shared" si="30"/>
        <v>0</v>
      </c>
      <c r="X151" s="13">
        <f t="shared" si="30"/>
        <v>0</v>
      </c>
      <c r="Y151" s="13">
        <f t="shared" si="30"/>
        <v>1</v>
      </c>
    </row>
    <row r="152" spans="1:25" ht="12.75" customHeight="1" x14ac:dyDescent="0.3">
      <c r="A152" s="61"/>
      <c r="B152" s="60"/>
      <c r="C152" s="60"/>
      <c r="D152" s="60"/>
      <c r="E152" s="58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13"/>
    </row>
    <row r="153" spans="1:25" ht="12.75" customHeight="1" x14ac:dyDescent="0.3">
      <c r="A153" s="20" t="s">
        <v>37</v>
      </c>
      <c r="B153" s="14" t="s">
        <v>118</v>
      </c>
      <c r="C153" s="62" t="s">
        <v>119</v>
      </c>
      <c r="D153" s="63"/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1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3">
        <f t="shared" ref="Y153:Y156" si="31">SUM(E154:X154)</f>
        <v>4</v>
      </c>
    </row>
    <row r="154" spans="1:25" ht="12.75" customHeight="1" x14ac:dyDescent="0.3">
      <c r="A154" s="42" t="s">
        <v>39</v>
      </c>
      <c r="B154" s="28"/>
      <c r="C154" s="29" t="s">
        <v>120</v>
      </c>
      <c r="D154" s="30"/>
      <c r="E154" s="53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1</v>
      </c>
      <c r="P154" s="16">
        <v>2</v>
      </c>
      <c r="Q154" s="16">
        <v>0</v>
      </c>
      <c r="R154" s="16">
        <v>0</v>
      </c>
      <c r="S154" s="16">
        <v>1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3">
        <f t="shared" si="31"/>
        <v>0</v>
      </c>
    </row>
    <row r="155" spans="1:25" ht="12.75" customHeight="1" x14ac:dyDescent="0.3">
      <c r="A155" s="15"/>
      <c r="B155" s="28"/>
      <c r="C155" s="29" t="s">
        <v>121</v>
      </c>
      <c r="D155" s="30"/>
      <c r="E155" s="53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3">
        <f t="shared" si="31"/>
        <v>5</v>
      </c>
    </row>
    <row r="156" spans="1:25" ht="12.75" customHeight="1" x14ac:dyDescent="0.3">
      <c r="A156" s="15"/>
      <c r="B156" s="28"/>
      <c r="C156" s="29" t="s">
        <v>122</v>
      </c>
      <c r="D156" s="30"/>
      <c r="E156" s="53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1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1</v>
      </c>
      <c r="W156" s="16">
        <v>3</v>
      </c>
      <c r="X156" s="16">
        <v>0</v>
      </c>
      <c r="Y156" s="13">
        <f t="shared" si="31"/>
        <v>0</v>
      </c>
    </row>
    <row r="157" spans="1:25" ht="12.75" customHeight="1" x14ac:dyDescent="0.3">
      <c r="A157" s="15"/>
      <c r="B157" s="28"/>
      <c r="C157" s="29" t="s">
        <v>123</v>
      </c>
      <c r="D157" s="30"/>
      <c r="E157" s="53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3">
        <f t="shared" ref="Y157:Y162" si="32">SUM(E163:X163)</f>
        <v>10</v>
      </c>
    </row>
    <row r="158" spans="1:25" ht="12.75" customHeight="1" x14ac:dyDescent="0.3">
      <c r="A158" s="15"/>
      <c r="B158" s="28"/>
      <c r="C158" s="29" t="s">
        <v>124</v>
      </c>
      <c r="D158" s="30"/>
      <c r="E158" s="53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3">
        <f t="shared" si="32"/>
        <v>0</v>
      </c>
    </row>
    <row r="159" spans="1:25" ht="12.75" customHeight="1" x14ac:dyDescent="0.3">
      <c r="A159" s="15"/>
      <c r="B159" s="28"/>
      <c r="C159" s="29" t="s">
        <v>125</v>
      </c>
      <c r="D159" s="30"/>
      <c r="E159" s="53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3">
        <f t="shared" si="32"/>
        <v>2</v>
      </c>
    </row>
    <row r="160" spans="1:25" ht="12.75" customHeight="1" x14ac:dyDescent="0.3">
      <c r="A160" s="15"/>
      <c r="B160" s="28"/>
      <c r="C160" s="29" t="s">
        <v>126</v>
      </c>
      <c r="D160" s="30"/>
      <c r="E160" s="53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3">
        <f t="shared" si="32"/>
        <v>4</v>
      </c>
    </row>
    <row r="161" spans="1:25" ht="12.75" customHeight="1" x14ac:dyDescent="0.3">
      <c r="A161" s="15"/>
      <c r="B161" s="36"/>
      <c r="C161" s="43"/>
      <c r="D161" s="38"/>
      <c r="E161" s="53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3">
        <f t="shared" si="32"/>
        <v>0</v>
      </c>
    </row>
    <row r="162" spans="1:25" ht="12.75" customHeight="1" x14ac:dyDescent="0.3">
      <c r="A162" s="15"/>
      <c r="B162" s="36"/>
      <c r="C162" s="43"/>
      <c r="D162" s="38"/>
      <c r="E162" s="53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3">
        <f t="shared" si="32"/>
        <v>0</v>
      </c>
    </row>
    <row r="163" spans="1:25" ht="12.75" customHeight="1" x14ac:dyDescent="0.3">
      <c r="A163" s="16" t="s">
        <v>15</v>
      </c>
      <c r="B163" s="64" t="s">
        <v>49</v>
      </c>
      <c r="C163" s="56"/>
      <c r="D163" s="65"/>
      <c r="E163" s="13">
        <f t="shared" ref="E163:Y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1</v>
      </c>
      <c r="N163" s="13">
        <f t="shared" si="33"/>
        <v>0</v>
      </c>
      <c r="O163" s="13">
        <f t="shared" si="33"/>
        <v>2</v>
      </c>
      <c r="P163" s="13">
        <f t="shared" si="33"/>
        <v>2</v>
      </c>
      <c r="Q163" s="13">
        <f t="shared" si="33"/>
        <v>0</v>
      </c>
      <c r="R163" s="13">
        <f t="shared" si="33"/>
        <v>0</v>
      </c>
      <c r="S163" s="13">
        <f t="shared" si="33"/>
        <v>1</v>
      </c>
      <c r="T163" s="13">
        <f t="shared" si="33"/>
        <v>0</v>
      </c>
      <c r="U163" s="13">
        <f t="shared" si="33"/>
        <v>0</v>
      </c>
      <c r="V163" s="13">
        <f t="shared" si="33"/>
        <v>1</v>
      </c>
      <c r="W163" s="13">
        <f t="shared" si="33"/>
        <v>3</v>
      </c>
      <c r="X163" s="13">
        <f t="shared" si="33"/>
        <v>0</v>
      </c>
      <c r="Y163" s="13">
        <f t="shared" si="33"/>
        <v>25</v>
      </c>
    </row>
    <row r="164" spans="1:25" ht="12.75" customHeight="1" x14ac:dyDescent="0.3">
      <c r="A164" s="61"/>
      <c r="B164" s="60"/>
      <c r="C164" s="60"/>
      <c r="D164" s="60"/>
      <c r="E164" s="58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</row>
    <row r="165" spans="1:25" ht="12.75" customHeight="1" x14ac:dyDescent="0.3">
      <c r="A165" s="20" t="s">
        <v>37</v>
      </c>
      <c r="B165" s="27" t="s">
        <v>127</v>
      </c>
      <c r="C165" s="57" t="s">
        <v>128</v>
      </c>
      <c r="D165" s="58"/>
      <c r="E165" s="16">
        <v>0</v>
      </c>
      <c r="F165" s="16">
        <v>0</v>
      </c>
      <c r="G165" s="16">
        <v>0</v>
      </c>
      <c r="H165" s="16">
        <v>0</v>
      </c>
      <c r="I165" s="16">
        <v>1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1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3">
        <f t="shared" ref="Y165:Y174" si="34">SUM(E165:X165)</f>
        <v>2</v>
      </c>
    </row>
    <row r="166" spans="1:25" ht="12.75" customHeight="1" x14ac:dyDescent="0.3">
      <c r="A166" s="20" t="s">
        <v>39</v>
      </c>
      <c r="B166" s="28"/>
      <c r="C166" s="29" t="s">
        <v>129</v>
      </c>
      <c r="D166" s="30"/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1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1</v>
      </c>
      <c r="U166" s="16">
        <v>0</v>
      </c>
      <c r="V166" s="16">
        <v>1</v>
      </c>
      <c r="W166" s="16">
        <v>1</v>
      </c>
      <c r="X166" s="16">
        <v>0</v>
      </c>
      <c r="Y166" s="13">
        <f t="shared" si="34"/>
        <v>4</v>
      </c>
    </row>
    <row r="167" spans="1:25" ht="12.75" customHeight="1" x14ac:dyDescent="0.3">
      <c r="A167" s="15"/>
      <c r="B167" s="36"/>
      <c r="C167" s="37"/>
      <c r="D167" s="38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3">
        <f t="shared" si="34"/>
        <v>0</v>
      </c>
    </row>
    <row r="168" spans="1:25" ht="12.75" customHeight="1" x14ac:dyDescent="0.3">
      <c r="A168" s="15"/>
      <c r="B168" s="36"/>
      <c r="C168" s="37"/>
      <c r="D168" s="38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3">
        <f t="shared" si="34"/>
        <v>0</v>
      </c>
    </row>
    <row r="169" spans="1:25" ht="12.75" customHeight="1" x14ac:dyDescent="0.3">
      <c r="A169" s="15"/>
      <c r="B169" s="36"/>
      <c r="C169" s="37"/>
      <c r="D169" s="38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3">
        <f t="shared" si="34"/>
        <v>0</v>
      </c>
    </row>
    <row r="170" spans="1:25" ht="12.75" customHeight="1" x14ac:dyDescent="0.3">
      <c r="A170" s="15"/>
      <c r="B170" s="36"/>
      <c r="C170" s="37"/>
      <c r="D170" s="38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3">
        <f t="shared" si="34"/>
        <v>0</v>
      </c>
    </row>
    <row r="171" spans="1:25" ht="12.75" customHeight="1" x14ac:dyDescent="0.3">
      <c r="A171" s="15"/>
      <c r="B171" s="36"/>
      <c r="C171" s="37"/>
      <c r="D171" s="38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3">
        <f t="shared" si="34"/>
        <v>0</v>
      </c>
    </row>
    <row r="172" spans="1:25" ht="12.75" customHeight="1" x14ac:dyDescent="0.3">
      <c r="A172" s="15"/>
      <c r="B172" s="36"/>
      <c r="C172" s="37"/>
      <c r="D172" s="38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3">
        <f t="shared" si="34"/>
        <v>0</v>
      </c>
    </row>
    <row r="173" spans="1:25" ht="12.75" customHeight="1" x14ac:dyDescent="0.3">
      <c r="A173" s="15"/>
      <c r="B173" s="36"/>
      <c r="C173" s="37"/>
      <c r="D173" s="38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3">
        <f t="shared" si="34"/>
        <v>0</v>
      </c>
    </row>
    <row r="174" spans="1:25" ht="12.75" customHeight="1" x14ac:dyDescent="0.3">
      <c r="A174" s="15"/>
      <c r="B174" s="36"/>
      <c r="C174" s="37"/>
      <c r="D174" s="38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3">
        <f t="shared" si="34"/>
        <v>0</v>
      </c>
    </row>
    <row r="175" spans="1:25" ht="12.75" customHeight="1" x14ac:dyDescent="0.3">
      <c r="A175" s="16" t="s">
        <v>15</v>
      </c>
      <c r="B175" s="59" t="s">
        <v>49</v>
      </c>
      <c r="C175" s="60"/>
      <c r="D175" s="58"/>
      <c r="E175" s="13">
        <f t="shared" ref="E175:Y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1</v>
      </c>
      <c r="O175" s="13">
        <f t="shared" si="35"/>
        <v>0</v>
      </c>
      <c r="P175" s="13">
        <f t="shared" si="35"/>
        <v>0</v>
      </c>
      <c r="Q175" s="13">
        <f t="shared" si="35"/>
        <v>1</v>
      </c>
      <c r="R175" s="13">
        <f t="shared" si="35"/>
        <v>0</v>
      </c>
      <c r="S175" s="13">
        <f t="shared" si="35"/>
        <v>0</v>
      </c>
      <c r="T175" s="13">
        <f t="shared" si="35"/>
        <v>1</v>
      </c>
      <c r="U175" s="13">
        <f t="shared" si="35"/>
        <v>0</v>
      </c>
      <c r="V175" s="13">
        <f t="shared" si="35"/>
        <v>1</v>
      </c>
      <c r="W175" s="13">
        <f t="shared" si="35"/>
        <v>1</v>
      </c>
      <c r="X175" s="13">
        <f t="shared" si="35"/>
        <v>0</v>
      </c>
      <c r="Y175" s="13">
        <f t="shared" si="35"/>
        <v>6</v>
      </c>
    </row>
    <row r="176" spans="1:25" ht="12.75" customHeight="1" x14ac:dyDescent="0.3">
      <c r="A176" s="61"/>
      <c r="B176" s="60"/>
      <c r="C176" s="60"/>
      <c r="D176" s="60"/>
      <c r="E176" s="58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</row>
    <row r="177" spans="1:25" ht="12.75" customHeight="1" x14ac:dyDescent="0.3">
      <c r="A177" s="20" t="s">
        <v>37</v>
      </c>
      <c r="B177" s="27" t="s">
        <v>130</v>
      </c>
      <c r="C177" s="57" t="s">
        <v>131</v>
      </c>
      <c r="D177" s="58"/>
      <c r="E177" s="16">
        <v>2</v>
      </c>
      <c r="F177" s="16">
        <v>0</v>
      </c>
      <c r="G177" s="16">
        <v>0</v>
      </c>
      <c r="H177" s="16">
        <v>0</v>
      </c>
      <c r="I177" s="16">
        <v>2</v>
      </c>
      <c r="J177" s="16">
        <v>0</v>
      </c>
      <c r="K177" s="16">
        <v>0</v>
      </c>
      <c r="L177" s="16">
        <v>2</v>
      </c>
      <c r="M177" s="16">
        <v>0</v>
      </c>
      <c r="N177" s="16">
        <v>0</v>
      </c>
      <c r="O177" s="16">
        <v>1</v>
      </c>
      <c r="P177" s="16">
        <v>1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1</v>
      </c>
      <c r="X177" s="16">
        <v>0</v>
      </c>
      <c r="Y177" s="13">
        <f t="shared" ref="Y177:Y186" si="36">SUM(E177:X177)</f>
        <v>9</v>
      </c>
    </row>
    <row r="178" spans="1:25" ht="12.75" customHeight="1" x14ac:dyDescent="0.3">
      <c r="A178" s="20" t="s">
        <v>39</v>
      </c>
      <c r="B178" s="28"/>
      <c r="C178" s="29" t="s">
        <v>132</v>
      </c>
      <c r="D178" s="30"/>
      <c r="E178" s="16">
        <v>2</v>
      </c>
      <c r="F178" s="16">
        <v>0</v>
      </c>
      <c r="G178" s="16">
        <v>0</v>
      </c>
      <c r="H178" s="16">
        <v>0</v>
      </c>
      <c r="I178" s="16">
        <v>1</v>
      </c>
      <c r="J178" s="16">
        <v>0</v>
      </c>
      <c r="K178" s="16">
        <v>0</v>
      </c>
      <c r="L178" s="16">
        <v>2</v>
      </c>
      <c r="M178" s="16">
        <v>0</v>
      </c>
      <c r="N178" s="16">
        <v>0</v>
      </c>
      <c r="O178" s="16">
        <v>0</v>
      </c>
      <c r="P178" s="16">
        <v>0</v>
      </c>
      <c r="Q178" s="16">
        <v>1</v>
      </c>
      <c r="R178" s="16">
        <v>0</v>
      </c>
      <c r="S178" s="16">
        <v>2</v>
      </c>
      <c r="T178" s="16">
        <v>1</v>
      </c>
      <c r="U178" s="16">
        <v>0</v>
      </c>
      <c r="V178" s="16">
        <v>1</v>
      </c>
      <c r="W178" s="16">
        <v>2</v>
      </c>
      <c r="X178" s="16">
        <v>0</v>
      </c>
      <c r="Y178" s="13">
        <f t="shared" si="36"/>
        <v>12</v>
      </c>
    </row>
    <row r="179" spans="1:25" ht="12.75" customHeight="1" x14ac:dyDescent="0.3">
      <c r="A179" s="15"/>
      <c r="B179" s="28"/>
      <c r="C179" s="29" t="s">
        <v>133</v>
      </c>
      <c r="D179" s="30"/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2</v>
      </c>
      <c r="T179" s="16">
        <v>0</v>
      </c>
      <c r="U179" s="16">
        <v>0</v>
      </c>
      <c r="V179" s="16">
        <v>0</v>
      </c>
      <c r="W179" s="16">
        <v>0</v>
      </c>
      <c r="X179" s="16">
        <v>1</v>
      </c>
      <c r="Y179" s="13">
        <f t="shared" si="36"/>
        <v>3</v>
      </c>
    </row>
    <row r="180" spans="1:25" ht="12.75" customHeight="1" x14ac:dyDescent="0.3">
      <c r="A180" s="15"/>
      <c r="B180" s="28"/>
      <c r="C180" s="29" t="s">
        <v>134</v>
      </c>
      <c r="D180" s="30"/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1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1</v>
      </c>
      <c r="U180" s="16">
        <v>0</v>
      </c>
      <c r="V180" s="16">
        <v>0</v>
      </c>
      <c r="W180" s="16">
        <v>0</v>
      </c>
      <c r="X180" s="16">
        <v>0</v>
      </c>
      <c r="Y180" s="13">
        <f t="shared" si="36"/>
        <v>2</v>
      </c>
    </row>
    <row r="181" spans="1:25" ht="12.75" customHeight="1" x14ac:dyDescent="0.3">
      <c r="A181" s="15"/>
      <c r="B181" s="28"/>
      <c r="C181" s="29" t="s">
        <v>135</v>
      </c>
      <c r="D181" s="30"/>
      <c r="E181" s="16">
        <v>1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1</v>
      </c>
      <c r="L181" s="16">
        <v>3</v>
      </c>
      <c r="M181" s="16">
        <v>1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1</v>
      </c>
      <c r="T181" s="16">
        <v>1</v>
      </c>
      <c r="U181" s="16">
        <v>0</v>
      </c>
      <c r="V181" s="16">
        <v>0</v>
      </c>
      <c r="W181" s="16">
        <v>0</v>
      </c>
      <c r="X181" s="16">
        <v>1</v>
      </c>
      <c r="Y181" s="13">
        <f t="shared" si="36"/>
        <v>9</v>
      </c>
    </row>
    <row r="182" spans="1:25" ht="12.75" customHeight="1" x14ac:dyDescent="0.3">
      <c r="A182" s="15"/>
      <c r="B182" s="28"/>
      <c r="C182" s="29" t="s">
        <v>136</v>
      </c>
      <c r="D182" s="30"/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1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1</v>
      </c>
      <c r="U182" s="16">
        <v>0</v>
      </c>
      <c r="V182" s="16">
        <v>0</v>
      </c>
      <c r="W182" s="16">
        <v>0</v>
      </c>
      <c r="X182" s="16">
        <v>0</v>
      </c>
      <c r="Y182" s="13">
        <f t="shared" si="36"/>
        <v>2</v>
      </c>
    </row>
    <row r="183" spans="1:25" ht="12.75" customHeight="1" x14ac:dyDescent="0.3">
      <c r="A183" s="15"/>
      <c r="B183" s="28"/>
      <c r="C183" s="29" t="s">
        <v>137</v>
      </c>
      <c r="D183" s="30"/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3">
        <f t="shared" si="36"/>
        <v>0</v>
      </c>
    </row>
    <row r="184" spans="1:25" ht="12.75" customHeight="1" x14ac:dyDescent="0.3">
      <c r="A184" s="15"/>
      <c r="B184" s="28"/>
      <c r="C184" s="29" t="s">
        <v>138</v>
      </c>
      <c r="D184" s="30"/>
      <c r="E184" s="16">
        <v>0</v>
      </c>
      <c r="F184" s="16">
        <v>0</v>
      </c>
      <c r="G184" s="16">
        <v>0</v>
      </c>
      <c r="H184" s="16">
        <v>1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3">
        <f t="shared" si="36"/>
        <v>1</v>
      </c>
    </row>
    <row r="185" spans="1:25" ht="12.75" customHeight="1" x14ac:dyDescent="0.3">
      <c r="A185" s="15"/>
      <c r="B185" s="28"/>
      <c r="C185" s="29" t="s">
        <v>139</v>
      </c>
      <c r="D185" s="30"/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1</v>
      </c>
      <c r="Y185" s="13">
        <f t="shared" si="36"/>
        <v>1</v>
      </c>
    </row>
    <row r="186" spans="1:25" ht="12.75" customHeight="1" x14ac:dyDescent="0.3">
      <c r="A186" s="15"/>
      <c r="B186" s="28"/>
      <c r="C186" s="29" t="s">
        <v>140</v>
      </c>
      <c r="D186" s="30"/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3">
        <f t="shared" si="36"/>
        <v>0</v>
      </c>
    </row>
    <row r="187" spans="1:25" ht="12.75" customHeight="1" x14ac:dyDescent="0.3">
      <c r="A187" s="16" t="s">
        <v>15</v>
      </c>
      <c r="B187" s="59" t="s">
        <v>49</v>
      </c>
      <c r="C187" s="60"/>
      <c r="D187" s="58"/>
      <c r="E187" s="13">
        <f t="shared" ref="E187:Y187" si="37">SUM(E177:E186)</f>
        <v>5</v>
      </c>
      <c r="F187" s="13">
        <f t="shared" si="37"/>
        <v>0</v>
      </c>
      <c r="G187" s="13">
        <f t="shared" si="37"/>
        <v>0</v>
      </c>
      <c r="H187" s="13">
        <f t="shared" si="37"/>
        <v>1</v>
      </c>
      <c r="I187" s="13">
        <f t="shared" si="37"/>
        <v>3</v>
      </c>
      <c r="J187" s="13">
        <f t="shared" si="37"/>
        <v>0</v>
      </c>
      <c r="K187" s="13">
        <f t="shared" si="37"/>
        <v>1</v>
      </c>
      <c r="L187" s="13">
        <f t="shared" si="37"/>
        <v>9</v>
      </c>
      <c r="M187" s="13">
        <f t="shared" si="37"/>
        <v>1</v>
      </c>
      <c r="N187" s="13">
        <f t="shared" si="37"/>
        <v>0</v>
      </c>
      <c r="O187" s="13">
        <f t="shared" si="37"/>
        <v>1</v>
      </c>
      <c r="P187" s="13">
        <f t="shared" si="37"/>
        <v>1</v>
      </c>
      <c r="Q187" s="13">
        <f t="shared" si="37"/>
        <v>1</v>
      </c>
      <c r="R187" s="13">
        <f t="shared" si="37"/>
        <v>0</v>
      </c>
      <c r="S187" s="13">
        <f t="shared" si="37"/>
        <v>5</v>
      </c>
      <c r="T187" s="13">
        <f t="shared" si="37"/>
        <v>4</v>
      </c>
      <c r="U187" s="13">
        <f t="shared" si="37"/>
        <v>0</v>
      </c>
      <c r="V187" s="13">
        <f t="shared" si="37"/>
        <v>1</v>
      </c>
      <c r="W187" s="13">
        <f t="shared" si="37"/>
        <v>3</v>
      </c>
      <c r="X187" s="13">
        <f t="shared" si="37"/>
        <v>3</v>
      </c>
      <c r="Y187" s="13">
        <f t="shared" si="37"/>
        <v>39</v>
      </c>
    </row>
    <row r="188" spans="1:25" ht="12.75" customHeight="1" x14ac:dyDescent="0.3">
      <c r="A188" s="61"/>
      <c r="B188" s="60"/>
      <c r="C188" s="60"/>
      <c r="D188" s="60"/>
      <c r="E188" s="58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13"/>
    </row>
    <row r="189" spans="1:25" ht="12.75" customHeight="1" x14ac:dyDescent="0.3">
      <c r="A189" s="20" t="s">
        <v>37</v>
      </c>
      <c r="B189" s="27" t="s">
        <v>141</v>
      </c>
      <c r="C189" s="57" t="s">
        <v>142</v>
      </c>
      <c r="D189" s="58"/>
      <c r="E189" s="16">
        <v>0</v>
      </c>
      <c r="F189" s="16">
        <v>0</v>
      </c>
      <c r="G189" s="16">
        <v>1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1</v>
      </c>
      <c r="V189" s="16">
        <v>1</v>
      </c>
      <c r="W189" s="16">
        <v>0</v>
      </c>
      <c r="X189" s="16">
        <v>0</v>
      </c>
      <c r="Y189" s="13">
        <f t="shared" ref="Y189:Y198" si="38">SUM(E189:X189)</f>
        <v>3</v>
      </c>
    </row>
    <row r="190" spans="1:25" ht="12.75" customHeight="1" x14ac:dyDescent="0.3">
      <c r="A190" s="20" t="s">
        <v>39</v>
      </c>
      <c r="B190" s="28"/>
      <c r="C190" s="29" t="s">
        <v>143</v>
      </c>
      <c r="D190" s="30"/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1</v>
      </c>
      <c r="L190" s="16">
        <v>0</v>
      </c>
      <c r="M190" s="16">
        <v>1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2</v>
      </c>
      <c r="W190" s="16">
        <v>1</v>
      </c>
      <c r="X190" s="16">
        <v>0</v>
      </c>
      <c r="Y190" s="13">
        <f t="shared" si="38"/>
        <v>5</v>
      </c>
    </row>
    <row r="191" spans="1:25" ht="12.75" customHeight="1" x14ac:dyDescent="0.3">
      <c r="A191" s="15"/>
      <c r="B191" s="28"/>
      <c r="C191" s="29" t="s">
        <v>144</v>
      </c>
      <c r="D191" s="30"/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1</v>
      </c>
      <c r="R191" s="16">
        <v>0</v>
      </c>
      <c r="S191" s="16">
        <v>0</v>
      </c>
      <c r="T191" s="16">
        <v>0</v>
      </c>
      <c r="U191" s="16">
        <v>1</v>
      </c>
      <c r="V191" s="16">
        <v>0</v>
      </c>
      <c r="W191" s="16">
        <v>0</v>
      </c>
      <c r="X191" s="16">
        <v>0</v>
      </c>
      <c r="Y191" s="13">
        <f t="shared" si="38"/>
        <v>2</v>
      </c>
    </row>
    <row r="192" spans="1:25" ht="12.75" customHeight="1" x14ac:dyDescent="0.3">
      <c r="A192" s="15"/>
      <c r="B192" s="28"/>
      <c r="C192" s="29" t="s">
        <v>145</v>
      </c>
      <c r="D192" s="30"/>
      <c r="E192" s="16">
        <v>0</v>
      </c>
      <c r="F192" s="16">
        <v>1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3">
        <f t="shared" si="38"/>
        <v>1</v>
      </c>
    </row>
    <row r="193" spans="1:25" ht="12.75" customHeight="1" x14ac:dyDescent="0.3">
      <c r="A193" s="15"/>
      <c r="B193" s="28"/>
      <c r="C193" s="29" t="s">
        <v>146</v>
      </c>
      <c r="D193" s="30"/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3">
        <f t="shared" si="38"/>
        <v>0</v>
      </c>
    </row>
    <row r="194" spans="1:25" ht="12.75" customHeight="1" x14ac:dyDescent="0.3">
      <c r="A194" s="15"/>
      <c r="B194" s="28"/>
      <c r="C194" s="29" t="s">
        <v>147</v>
      </c>
      <c r="D194" s="30"/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3">
        <f t="shared" si="38"/>
        <v>0</v>
      </c>
    </row>
    <row r="195" spans="1:25" ht="12.75" customHeight="1" x14ac:dyDescent="0.3">
      <c r="A195" s="15"/>
      <c r="B195" s="28"/>
      <c r="C195" s="29" t="s">
        <v>148</v>
      </c>
      <c r="D195" s="30"/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3">
        <f t="shared" si="38"/>
        <v>0</v>
      </c>
    </row>
    <row r="196" spans="1:25" ht="12.75" customHeight="1" x14ac:dyDescent="0.3">
      <c r="A196" s="15"/>
      <c r="B196" s="28"/>
      <c r="C196" s="29" t="s">
        <v>149</v>
      </c>
      <c r="D196" s="30"/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1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3">
        <f t="shared" si="38"/>
        <v>1</v>
      </c>
    </row>
    <row r="197" spans="1:25" ht="12.75" customHeight="1" x14ac:dyDescent="0.3">
      <c r="A197" s="15"/>
      <c r="B197" s="28"/>
      <c r="C197" s="29" t="s">
        <v>150</v>
      </c>
      <c r="D197" s="30"/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3">
        <f t="shared" si="38"/>
        <v>0</v>
      </c>
    </row>
    <row r="198" spans="1:25" ht="12.75" customHeight="1" x14ac:dyDescent="0.3">
      <c r="A198" s="15"/>
      <c r="B198" s="28"/>
      <c r="C198" s="29" t="s">
        <v>151</v>
      </c>
      <c r="D198" s="30"/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3">
        <f t="shared" si="38"/>
        <v>0</v>
      </c>
    </row>
    <row r="199" spans="1:25" ht="12.75" customHeight="1" x14ac:dyDescent="0.3">
      <c r="A199" s="16" t="s">
        <v>15</v>
      </c>
      <c r="B199" s="59" t="s">
        <v>49</v>
      </c>
      <c r="C199" s="60"/>
      <c r="D199" s="58"/>
      <c r="E199" s="13">
        <f t="shared" ref="E199:Y199" si="39">SUM(E189:E198)</f>
        <v>0</v>
      </c>
      <c r="F199" s="13">
        <f t="shared" si="39"/>
        <v>1</v>
      </c>
      <c r="G199" s="13">
        <f t="shared" si="39"/>
        <v>1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1</v>
      </c>
      <c r="L199" s="13">
        <f t="shared" si="39"/>
        <v>0</v>
      </c>
      <c r="M199" s="13">
        <f t="shared" si="39"/>
        <v>1</v>
      </c>
      <c r="N199" s="13">
        <f t="shared" si="39"/>
        <v>0</v>
      </c>
      <c r="O199" s="13">
        <f t="shared" si="39"/>
        <v>0</v>
      </c>
      <c r="P199" s="13">
        <f t="shared" si="39"/>
        <v>1</v>
      </c>
      <c r="Q199" s="13">
        <f t="shared" si="39"/>
        <v>1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2</v>
      </c>
      <c r="V199" s="13">
        <f t="shared" si="39"/>
        <v>3</v>
      </c>
      <c r="W199" s="13">
        <f t="shared" si="39"/>
        <v>1</v>
      </c>
      <c r="X199" s="13">
        <f t="shared" si="39"/>
        <v>0</v>
      </c>
      <c r="Y199" s="13">
        <f t="shared" si="39"/>
        <v>12</v>
      </c>
    </row>
    <row r="200" spans="1:25" ht="12.75" customHeight="1" x14ac:dyDescent="0.3">
      <c r="A200" s="61"/>
      <c r="B200" s="60"/>
      <c r="C200" s="60"/>
      <c r="D200" s="60"/>
      <c r="E200" s="58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</row>
    <row r="201" spans="1:25" ht="12.75" customHeight="1" x14ac:dyDescent="0.3">
      <c r="A201" s="20" t="s">
        <v>37</v>
      </c>
      <c r="B201" s="27" t="s">
        <v>152</v>
      </c>
      <c r="C201" s="57" t="s">
        <v>153</v>
      </c>
      <c r="D201" s="58"/>
      <c r="E201" s="16">
        <v>11</v>
      </c>
      <c r="F201" s="16">
        <v>5</v>
      </c>
      <c r="G201" s="16">
        <v>1</v>
      </c>
      <c r="H201" s="16">
        <v>6</v>
      </c>
      <c r="I201" s="16">
        <v>1</v>
      </c>
      <c r="J201" s="16">
        <v>1</v>
      </c>
      <c r="K201" s="16">
        <v>1</v>
      </c>
      <c r="L201" s="16">
        <v>4</v>
      </c>
      <c r="M201" s="16">
        <v>3</v>
      </c>
      <c r="N201" s="16">
        <v>4</v>
      </c>
      <c r="O201" s="16">
        <v>2</v>
      </c>
      <c r="P201" s="16">
        <v>6</v>
      </c>
      <c r="Q201" s="16">
        <v>13</v>
      </c>
      <c r="R201" s="16">
        <v>4</v>
      </c>
      <c r="S201" s="16">
        <v>6</v>
      </c>
      <c r="T201" s="16">
        <v>5</v>
      </c>
      <c r="U201" s="16">
        <v>1</v>
      </c>
      <c r="V201" s="16">
        <v>3</v>
      </c>
      <c r="W201" s="16">
        <v>6</v>
      </c>
      <c r="X201" s="16">
        <v>7</v>
      </c>
      <c r="Y201" s="13">
        <f t="shared" ref="Y201:Y210" si="40">SUM(E201:X201)</f>
        <v>90</v>
      </c>
    </row>
    <row r="202" spans="1:25" ht="12.75" customHeight="1" x14ac:dyDescent="0.3">
      <c r="A202" s="20" t="s">
        <v>39</v>
      </c>
      <c r="B202" s="28"/>
      <c r="C202" s="29" t="s">
        <v>154</v>
      </c>
      <c r="D202" s="30"/>
      <c r="E202" s="16">
        <v>5</v>
      </c>
      <c r="F202" s="16">
        <v>1</v>
      </c>
      <c r="G202" s="16">
        <v>0</v>
      </c>
      <c r="H202" s="16">
        <v>2</v>
      </c>
      <c r="I202" s="16">
        <v>0</v>
      </c>
      <c r="J202" s="16">
        <v>1</v>
      </c>
      <c r="K202" s="16">
        <v>2</v>
      </c>
      <c r="L202" s="16">
        <v>9</v>
      </c>
      <c r="M202" s="16">
        <v>2</v>
      </c>
      <c r="N202" s="16">
        <v>5</v>
      </c>
      <c r="O202" s="16">
        <v>8</v>
      </c>
      <c r="P202" s="16">
        <v>3</v>
      </c>
      <c r="Q202" s="16">
        <v>7</v>
      </c>
      <c r="R202" s="16">
        <v>7</v>
      </c>
      <c r="S202" s="16">
        <v>3</v>
      </c>
      <c r="T202" s="16">
        <v>6</v>
      </c>
      <c r="U202" s="16">
        <v>4</v>
      </c>
      <c r="V202" s="16">
        <v>3</v>
      </c>
      <c r="W202" s="16">
        <v>4</v>
      </c>
      <c r="X202" s="16">
        <v>5</v>
      </c>
      <c r="Y202" s="13">
        <f t="shared" si="40"/>
        <v>77</v>
      </c>
    </row>
    <row r="203" spans="1:25" ht="12.75" customHeight="1" x14ac:dyDescent="0.3">
      <c r="A203" s="15"/>
      <c r="B203" s="28"/>
      <c r="C203" s="29" t="s">
        <v>155</v>
      </c>
      <c r="D203" s="30"/>
      <c r="E203" s="16">
        <v>3</v>
      </c>
      <c r="F203" s="16">
        <v>4</v>
      </c>
      <c r="G203" s="16">
        <v>2</v>
      </c>
      <c r="H203" s="16">
        <v>0</v>
      </c>
      <c r="I203" s="16">
        <v>0</v>
      </c>
      <c r="J203" s="16">
        <v>0</v>
      </c>
      <c r="K203" s="16">
        <v>0</v>
      </c>
      <c r="L203" s="16">
        <v>2</v>
      </c>
      <c r="M203" s="16">
        <v>9</v>
      </c>
      <c r="N203" s="16">
        <v>1</v>
      </c>
      <c r="O203" s="16">
        <v>5</v>
      </c>
      <c r="P203" s="16">
        <v>6</v>
      </c>
      <c r="Q203" s="16">
        <v>7</v>
      </c>
      <c r="R203" s="16">
        <v>6</v>
      </c>
      <c r="S203" s="16">
        <v>6</v>
      </c>
      <c r="T203" s="16">
        <v>3</v>
      </c>
      <c r="U203" s="16">
        <v>18</v>
      </c>
      <c r="V203" s="16">
        <v>2</v>
      </c>
      <c r="W203" s="16">
        <v>1</v>
      </c>
      <c r="X203" s="16">
        <v>5</v>
      </c>
      <c r="Y203" s="13">
        <f t="shared" si="40"/>
        <v>80</v>
      </c>
    </row>
    <row r="204" spans="1:25" ht="12.75" customHeight="1" x14ac:dyDescent="0.3">
      <c r="A204" s="15"/>
      <c r="B204" s="28"/>
      <c r="C204" s="29" t="s">
        <v>156</v>
      </c>
      <c r="D204" s="30"/>
      <c r="E204" s="16">
        <v>1</v>
      </c>
      <c r="F204" s="16">
        <v>2</v>
      </c>
      <c r="G204" s="16">
        <v>1</v>
      </c>
      <c r="H204" s="16">
        <v>1</v>
      </c>
      <c r="I204" s="16">
        <v>1</v>
      </c>
      <c r="J204" s="16">
        <v>0</v>
      </c>
      <c r="K204" s="16">
        <v>0</v>
      </c>
      <c r="L204" s="16">
        <v>3</v>
      </c>
      <c r="M204" s="16">
        <v>3</v>
      </c>
      <c r="N204" s="16">
        <v>0</v>
      </c>
      <c r="O204" s="16">
        <v>2</v>
      </c>
      <c r="P204" s="16">
        <v>0</v>
      </c>
      <c r="Q204" s="16">
        <v>3</v>
      </c>
      <c r="R204" s="16">
        <v>1</v>
      </c>
      <c r="S204" s="16">
        <v>0</v>
      </c>
      <c r="T204" s="16">
        <v>1</v>
      </c>
      <c r="U204" s="16">
        <v>2</v>
      </c>
      <c r="V204" s="16">
        <v>2</v>
      </c>
      <c r="W204" s="16">
        <v>0</v>
      </c>
      <c r="X204" s="16">
        <v>0</v>
      </c>
      <c r="Y204" s="13">
        <f t="shared" si="40"/>
        <v>23</v>
      </c>
    </row>
    <row r="205" spans="1:25" ht="12.75" customHeight="1" x14ac:dyDescent="0.3">
      <c r="A205" s="15"/>
      <c r="B205" s="28"/>
      <c r="C205" s="29" t="s">
        <v>157</v>
      </c>
      <c r="D205" s="30"/>
      <c r="E205" s="16">
        <v>0</v>
      </c>
      <c r="F205" s="16">
        <v>2</v>
      </c>
      <c r="G205" s="16">
        <v>0</v>
      </c>
      <c r="H205" s="16">
        <v>0</v>
      </c>
      <c r="I205" s="16">
        <v>2</v>
      </c>
      <c r="J205" s="16">
        <v>0</v>
      </c>
      <c r="K205" s="16">
        <v>0</v>
      </c>
      <c r="L205" s="16">
        <v>1</v>
      </c>
      <c r="M205" s="16">
        <v>0</v>
      </c>
      <c r="N205" s="16">
        <v>0</v>
      </c>
      <c r="O205" s="16">
        <v>1</v>
      </c>
      <c r="P205" s="16">
        <v>1</v>
      </c>
      <c r="Q205" s="16">
        <v>1</v>
      </c>
      <c r="R205" s="16">
        <v>1</v>
      </c>
      <c r="S205" s="16">
        <v>1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3">
        <f t="shared" si="40"/>
        <v>10</v>
      </c>
    </row>
    <row r="206" spans="1:25" ht="12.75" customHeight="1" x14ac:dyDescent="0.3">
      <c r="A206" s="15"/>
      <c r="B206" s="28"/>
      <c r="C206" s="29" t="s">
        <v>158</v>
      </c>
      <c r="D206" s="30"/>
      <c r="E206" s="16">
        <v>1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1</v>
      </c>
      <c r="R206" s="16">
        <v>0</v>
      </c>
      <c r="S206" s="16">
        <v>0</v>
      </c>
      <c r="T206" s="16">
        <v>0</v>
      </c>
      <c r="U206" s="16">
        <v>2</v>
      </c>
      <c r="V206" s="16">
        <v>0</v>
      </c>
      <c r="W206" s="16">
        <v>0</v>
      </c>
      <c r="X206" s="16">
        <v>0</v>
      </c>
      <c r="Y206" s="13">
        <f t="shared" si="40"/>
        <v>4</v>
      </c>
    </row>
    <row r="207" spans="1:25" ht="12.75" customHeight="1" x14ac:dyDescent="0.3">
      <c r="A207" s="15"/>
      <c r="B207" s="28"/>
      <c r="C207" s="29" t="s">
        <v>159</v>
      </c>
      <c r="D207" s="30"/>
      <c r="E207" s="16">
        <v>0</v>
      </c>
      <c r="F207" s="16">
        <v>0</v>
      </c>
      <c r="G207" s="16">
        <v>1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1</v>
      </c>
      <c r="O207" s="16">
        <v>1</v>
      </c>
      <c r="P207" s="16">
        <v>1</v>
      </c>
      <c r="Q207" s="16">
        <v>2</v>
      </c>
      <c r="R207" s="16">
        <v>0</v>
      </c>
      <c r="S207" s="16">
        <v>1</v>
      </c>
      <c r="T207" s="16">
        <v>2</v>
      </c>
      <c r="U207" s="16">
        <v>2</v>
      </c>
      <c r="V207" s="16">
        <v>1</v>
      </c>
      <c r="W207" s="16">
        <v>0</v>
      </c>
      <c r="X207" s="16">
        <v>1</v>
      </c>
      <c r="Y207" s="13">
        <f t="shared" si="40"/>
        <v>13</v>
      </c>
    </row>
    <row r="208" spans="1:25" ht="12.75" customHeight="1" x14ac:dyDescent="0.3">
      <c r="A208" s="15"/>
      <c r="B208" s="28"/>
      <c r="C208" s="29" t="s">
        <v>160</v>
      </c>
      <c r="D208" s="30"/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2</v>
      </c>
      <c r="L208" s="16">
        <v>0</v>
      </c>
      <c r="M208" s="16">
        <v>2</v>
      </c>
      <c r="N208" s="16">
        <v>0</v>
      </c>
      <c r="O208" s="16">
        <v>1</v>
      </c>
      <c r="P208" s="16">
        <v>2</v>
      </c>
      <c r="Q208" s="16">
        <v>2</v>
      </c>
      <c r="R208" s="16">
        <v>2</v>
      </c>
      <c r="S208" s="16">
        <v>1</v>
      </c>
      <c r="T208" s="16">
        <v>3</v>
      </c>
      <c r="U208" s="16">
        <v>0</v>
      </c>
      <c r="V208" s="16">
        <v>2</v>
      </c>
      <c r="W208" s="16">
        <v>0</v>
      </c>
      <c r="X208" s="16">
        <v>3</v>
      </c>
      <c r="Y208" s="13">
        <f t="shared" si="40"/>
        <v>20</v>
      </c>
    </row>
    <row r="209" spans="1:25" ht="12.75" customHeight="1" x14ac:dyDescent="0.3">
      <c r="A209" s="15"/>
      <c r="B209" s="28"/>
      <c r="C209" s="29" t="s">
        <v>161</v>
      </c>
      <c r="D209" s="30"/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3">
        <f t="shared" si="40"/>
        <v>0</v>
      </c>
    </row>
    <row r="210" spans="1:25" ht="12.75" customHeight="1" x14ac:dyDescent="0.3">
      <c r="A210" s="15"/>
      <c r="B210" s="28"/>
      <c r="C210" s="29" t="s">
        <v>162</v>
      </c>
      <c r="D210" s="30"/>
      <c r="E210" s="16">
        <v>0</v>
      </c>
      <c r="F210" s="16">
        <v>0</v>
      </c>
      <c r="G210" s="16">
        <v>0</v>
      </c>
      <c r="H210" s="16">
        <v>0</v>
      </c>
      <c r="I210" s="16">
        <v>1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6">
        <v>0</v>
      </c>
      <c r="P210" s="16">
        <v>0</v>
      </c>
      <c r="Q210" s="16">
        <v>2</v>
      </c>
      <c r="R210" s="16">
        <v>0</v>
      </c>
      <c r="S210" s="16">
        <v>0</v>
      </c>
      <c r="T210" s="16">
        <v>0</v>
      </c>
      <c r="U210" s="16">
        <v>0</v>
      </c>
      <c r="V210" s="16">
        <v>0</v>
      </c>
      <c r="W210" s="16">
        <v>0</v>
      </c>
      <c r="X210" s="16">
        <v>1</v>
      </c>
      <c r="Y210" s="13">
        <f t="shared" si="40"/>
        <v>4</v>
      </c>
    </row>
    <row r="211" spans="1:25" ht="12.75" customHeight="1" x14ac:dyDescent="0.3">
      <c r="A211" s="16" t="s">
        <v>15</v>
      </c>
      <c r="B211" s="59" t="s">
        <v>49</v>
      </c>
      <c r="C211" s="60"/>
      <c r="D211" s="58"/>
      <c r="E211" s="13">
        <f t="shared" ref="E211:Y211" si="41">SUM(E201:E210)</f>
        <v>21</v>
      </c>
      <c r="F211" s="13">
        <f t="shared" si="41"/>
        <v>14</v>
      </c>
      <c r="G211" s="13">
        <f t="shared" si="41"/>
        <v>5</v>
      </c>
      <c r="H211" s="13">
        <f t="shared" si="41"/>
        <v>9</v>
      </c>
      <c r="I211" s="13">
        <f t="shared" si="41"/>
        <v>5</v>
      </c>
      <c r="J211" s="13">
        <f t="shared" si="41"/>
        <v>2</v>
      </c>
      <c r="K211" s="13">
        <f t="shared" si="41"/>
        <v>5</v>
      </c>
      <c r="L211" s="13">
        <f t="shared" si="41"/>
        <v>19</v>
      </c>
      <c r="M211" s="13">
        <f t="shared" si="41"/>
        <v>19</v>
      </c>
      <c r="N211" s="13">
        <f t="shared" si="41"/>
        <v>11</v>
      </c>
      <c r="O211" s="13">
        <f t="shared" si="41"/>
        <v>20</v>
      </c>
      <c r="P211" s="13">
        <f t="shared" si="41"/>
        <v>19</v>
      </c>
      <c r="Q211" s="13">
        <f t="shared" si="41"/>
        <v>38</v>
      </c>
      <c r="R211" s="13">
        <f t="shared" si="41"/>
        <v>21</v>
      </c>
      <c r="S211" s="13">
        <f t="shared" si="41"/>
        <v>18</v>
      </c>
      <c r="T211" s="13">
        <f t="shared" si="41"/>
        <v>20</v>
      </c>
      <c r="U211" s="13">
        <f t="shared" si="41"/>
        <v>29</v>
      </c>
      <c r="V211" s="13">
        <f t="shared" si="41"/>
        <v>13</v>
      </c>
      <c r="W211" s="13">
        <f t="shared" si="41"/>
        <v>11</v>
      </c>
      <c r="X211" s="13">
        <f t="shared" si="41"/>
        <v>22</v>
      </c>
      <c r="Y211" s="13">
        <f t="shared" si="41"/>
        <v>321</v>
      </c>
    </row>
    <row r="212" spans="1:25" ht="12.75" customHeight="1" x14ac:dyDescent="0.3">
      <c r="A212" s="61"/>
      <c r="B212" s="60"/>
      <c r="C212" s="60"/>
      <c r="D212" s="60"/>
      <c r="E212" s="58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</row>
    <row r="213" spans="1:25" ht="12.75" customHeight="1" x14ac:dyDescent="0.3">
      <c r="A213" s="20" t="s">
        <v>37</v>
      </c>
      <c r="B213" s="27" t="s">
        <v>163</v>
      </c>
      <c r="C213" s="57" t="s">
        <v>164</v>
      </c>
      <c r="D213" s="58"/>
      <c r="E213" s="16">
        <v>1</v>
      </c>
      <c r="F213" s="16">
        <v>2</v>
      </c>
      <c r="G213" s="16">
        <v>4</v>
      </c>
      <c r="H213" s="16">
        <v>0</v>
      </c>
      <c r="I213" s="16">
        <v>0</v>
      </c>
      <c r="J213" s="16">
        <v>1</v>
      </c>
      <c r="K213" s="16">
        <v>0</v>
      </c>
      <c r="L213" s="16">
        <v>0</v>
      </c>
      <c r="M213" s="16">
        <v>2</v>
      </c>
      <c r="N213" s="16">
        <v>1</v>
      </c>
      <c r="O213" s="16">
        <v>2</v>
      </c>
      <c r="P213" s="16">
        <v>0</v>
      </c>
      <c r="Q213" s="16">
        <v>4</v>
      </c>
      <c r="R213" s="16">
        <v>1</v>
      </c>
      <c r="S213" s="16">
        <v>6</v>
      </c>
      <c r="T213" s="16">
        <v>2</v>
      </c>
      <c r="U213" s="16">
        <v>2</v>
      </c>
      <c r="V213" s="16">
        <v>1</v>
      </c>
      <c r="W213" s="16">
        <v>1</v>
      </c>
      <c r="X213" s="16">
        <v>1</v>
      </c>
      <c r="Y213" s="13">
        <f t="shared" ref="Y213:Y222" si="42">SUM(E213:X213)</f>
        <v>31</v>
      </c>
    </row>
    <row r="214" spans="1:25" ht="12.75" customHeight="1" x14ac:dyDescent="0.3">
      <c r="A214" s="20" t="s">
        <v>39</v>
      </c>
      <c r="B214" s="28"/>
      <c r="C214" s="29" t="s">
        <v>165</v>
      </c>
      <c r="D214" s="30"/>
      <c r="E214" s="16">
        <v>6</v>
      </c>
      <c r="F214" s="16">
        <v>2</v>
      </c>
      <c r="G214" s="16">
        <v>1</v>
      </c>
      <c r="H214" s="16">
        <v>1</v>
      </c>
      <c r="I214" s="16">
        <v>0</v>
      </c>
      <c r="J214" s="16">
        <v>0</v>
      </c>
      <c r="K214" s="16">
        <v>1</v>
      </c>
      <c r="L214" s="16">
        <v>4</v>
      </c>
      <c r="M214" s="16">
        <v>0</v>
      </c>
      <c r="N214" s="16">
        <v>1</v>
      </c>
      <c r="O214" s="16">
        <v>1</v>
      </c>
      <c r="P214" s="16">
        <v>0</v>
      </c>
      <c r="Q214" s="16">
        <v>1</v>
      </c>
      <c r="R214" s="16">
        <v>1</v>
      </c>
      <c r="S214" s="16">
        <v>2</v>
      </c>
      <c r="T214" s="16">
        <v>0</v>
      </c>
      <c r="U214" s="16">
        <v>3</v>
      </c>
      <c r="V214" s="16">
        <v>0</v>
      </c>
      <c r="W214" s="16">
        <v>1</v>
      </c>
      <c r="X214" s="16">
        <v>3</v>
      </c>
      <c r="Y214" s="13">
        <f t="shared" si="42"/>
        <v>28</v>
      </c>
    </row>
    <row r="215" spans="1:25" ht="12.75" customHeight="1" x14ac:dyDescent="0.3">
      <c r="A215" s="15"/>
      <c r="B215" s="28"/>
      <c r="C215" s="29" t="s">
        <v>166</v>
      </c>
      <c r="D215" s="30"/>
      <c r="E215" s="16">
        <v>3</v>
      </c>
      <c r="F215" s="16">
        <v>0</v>
      </c>
      <c r="G215" s="16">
        <v>0</v>
      </c>
      <c r="H215" s="16">
        <v>0</v>
      </c>
      <c r="I215" s="16">
        <v>1</v>
      </c>
      <c r="J215" s="16">
        <v>0</v>
      </c>
      <c r="K215" s="16">
        <v>1</v>
      </c>
      <c r="L215" s="16">
        <v>0</v>
      </c>
      <c r="M215" s="16">
        <v>1</v>
      </c>
      <c r="N215" s="16">
        <v>3</v>
      </c>
      <c r="O215" s="16">
        <v>2</v>
      </c>
      <c r="P215" s="16">
        <v>0</v>
      </c>
      <c r="Q215" s="16">
        <v>2</v>
      </c>
      <c r="R215" s="16">
        <v>2</v>
      </c>
      <c r="S215" s="16">
        <v>1</v>
      </c>
      <c r="T215" s="16">
        <v>0</v>
      </c>
      <c r="U215" s="16">
        <v>0</v>
      </c>
      <c r="V215" s="16">
        <v>2</v>
      </c>
      <c r="W215" s="16">
        <v>3</v>
      </c>
      <c r="X215" s="16">
        <v>0</v>
      </c>
      <c r="Y215" s="13">
        <f t="shared" si="42"/>
        <v>21</v>
      </c>
    </row>
    <row r="216" spans="1:25" ht="12.75" customHeight="1" x14ac:dyDescent="0.3">
      <c r="A216" s="15"/>
      <c r="B216" s="28"/>
      <c r="C216" s="29" t="s">
        <v>167</v>
      </c>
      <c r="D216" s="30"/>
      <c r="E216" s="16">
        <v>0</v>
      </c>
      <c r="F216" s="16">
        <v>0</v>
      </c>
      <c r="G216" s="16">
        <v>1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0</v>
      </c>
      <c r="N216" s="16">
        <v>0</v>
      </c>
      <c r="O216" s="16">
        <v>0</v>
      </c>
      <c r="P216" s="16">
        <v>0</v>
      </c>
      <c r="Q216" s="16">
        <v>2</v>
      </c>
      <c r="R216" s="16">
        <v>1</v>
      </c>
      <c r="S216" s="16">
        <v>1</v>
      </c>
      <c r="T216" s="16">
        <v>1</v>
      </c>
      <c r="U216" s="16">
        <v>0</v>
      </c>
      <c r="V216" s="16">
        <v>0</v>
      </c>
      <c r="W216" s="16">
        <v>0</v>
      </c>
      <c r="X216" s="16">
        <v>0</v>
      </c>
      <c r="Y216" s="13">
        <f t="shared" si="42"/>
        <v>6</v>
      </c>
    </row>
    <row r="217" spans="1:25" ht="12.75" customHeight="1" x14ac:dyDescent="0.3">
      <c r="A217" s="15"/>
      <c r="B217" s="36"/>
      <c r="C217" s="37"/>
      <c r="D217" s="40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3">
        <f t="shared" si="42"/>
        <v>0</v>
      </c>
    </row>
    <row r="218" spans="1:25" ht="12.75" customHeight="1" x14ac:dyDescent="0.3">
      <c r="A218" s="15"/>
      <c r="B218" s="36"/>
      <c r="C218" s="37"/>
      <c r="D218" s="40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3">
        <f t="shared" si="42"/>
        <v>0</v>
      </c>
    </row>
    <row r="219" spans="1:25" ht="12.75" customHeight="1" x14ac:dyDescent="0.3">
      <c r="A219" s="15"/>
      <c r="B219" s="36"/>
      <c r="C219" s="37"/>
      <c r="D219" s="40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3">
        <f t="shared" si="42"/>
        <v>0</v>
      </c>
    </row>
    <row r="220" spans="1:25" ht="12.75" customHeight="1" x14ac:dyDescent="0.3">
      <c r="A220" s="15"/>
      <c r="B220" s="36"/>
      <c r="C220" s="37"/>
      <c r="D220" s="40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3">
        <f t="shared" si="42"/>
        <v>0</v>
      </c>
    </row>
    <row r="221" spans="1:25" ht="12.75" customHeight="1" x14ac:dyDescent="0.3">
      <c r="A221" s="15"/>
      <c r="B221" s="36"/>
      <c r="C221" s="37"/>
      <c r="D221" s="40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3">
        <f t="shared" si="42"/>
        <v>0</v>
      </c>
    </row>
    <row r="222" spans="1:25" ht="12.75" customHeight="1" x14ac:dyDescent="0.3">
      <c r="A222" s="15"/>
      <c r="B222" s="36"/>
      <c r="C222" s="37"/>
      <c r="D222" s="40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3">
        <f t="shared" si="42"/>
        <v>0</v>
      </c>
    </row>
    <row r="223" spans="1:25" ht="12.75" customHeight="1" x14ac:dyDescent="0.3">
      <c r="A223" s="16" t="s">
        <v>15</v>
      </c>
      <c r="B223" s="59" t="s">
        <v>49</v>
      </c>
      <c r="C223" s="60"/>
      <c r="D223" s="58"/>
      <c r="E223" s="13">
        <f t="shared" ref="E223:Y223" si="43">SUM(E213:E222)</f>
        <v>10</v>
      </c>
      <c r="F223" s="13">
        <f t="shared" si="43"/>
        <v>4</v>
      </c>
      <c r="G223" s="13">
        <f t="shared" si="43"/>
        <v>6</v>
      </c>
      <c r="H223" s="13">
        <f t="shared" si="43"/>
        <v>1</v>
      </c>
      <c r="I223" s="13">
        <f t="shared" si="43"/>
        <v>1</v>
      </c>
      <c r="J223" s="13">
        <f t="shared" si="43"/>
        <v>1</v>
      </c>
      <c r="K223" s="13">
        <f t="shared" si="43"/>
        <v>2</v>
      </c>
      <c r="L223" s="13">
        <f t="shared" si="43"/>
        <v>4</v>
      </c>
      <c r="M223" s="13">
        <f t="shared" si="43"/>
        <v>3</v>
      </c>
      <c r="N223" s="13">
        <f t="shared" si="43"/>
        <v>5</v>
      </c>
      <c r="O223" s="13">
        <f t="shared" si="43"/>
        <v>5</v>
      </c>
      <c r="P223" s="13">
        <f t="shared" si="43"/>
        <v>0</v>
      </c>
      <c r="Q223" s="13">
        <f t="shared" si="43"/>
        <v>9</v>
      </c>
      <c r="R223" s="13">
        <f t="shared" si="43"/>
        <v>5</v>
      </c>
      <c r="S223" s="13">
        <f t="shared" si="43"/>
        <v>10</v>
      </c>
      <c r="T223" s="13">
        <f t="shared" si="43"/>
        <v>3</v>
      </c>
      <c r="U223" s="13">
        <f t="shared" si="43"/>
        <v>5</v>
      </c>
      <c r="V223" s="13">
        <f t="shared" si="43"/>
        <v>3</v>
      </c>
      <c r="W223" s="13">
        <f t="shared" si="43"/>
        <v>5</v>
      </c>
      <c r="X223" s="13">
        <f t="shared" si="43"/>
        <v>4</v>
      </c>
      <c r="Y223" s="13">
        <f t="shared" si="43"/>
        <v>86</v>
      </c>
    </row>
    <row r="224" spans="1:25" ht="12.75" customHeight="1" x14ac:dyDescent="0.3">
      <c r="A224" s="61"/>
      <c r="B224" s="60"/>
      <c r="C224" s="60"/>
      <c r="D224" s="60"/>
      <c r="E224" s="58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</row>
    <row r="225" spans="1:25" ht="12.75" customHeight="1" x14ac:dyDescent="0.3">
      <c r="A225" s="20" t="s">
        <v>37</v>
      </c>
      <c r="B225" s="27" t="s">
        <v>168</v>
      </c>
      <c r="C225" s="57" t="s">
        <v>169</v>
      </c>
      <c r="D225" s="58"/>
      <c r="E225" s="16">
        <v>0</v>
      </c>
      <c r="F225" s="16">
        <v>0</v>
      </c>
      <c r="G225" s="16">
        <v>0</v>
      </c>
      <c r="H225" s="16">
        <v>0</v>
      </c>
      <c r="I225" s="16">
        <v>0</v>
      </c>
      <c r="J225" s="16">
        <v>0</v>
      </c>
      <c r="K225" s="16">
        <v>0</v>
      </c>
      <c r="L225" s="16">
        <v>0</v>
      </c>
      <c r="M225" s="16">
        <v>0</v>
      </c>
      <c r="N225" s="16">
        <v>0</v>
      </c>
      <c r="O225" s="16">
        <v>0</v>
      </c>
      <c r="P225" s="16">
        <v>0</v>
      </c>
      <c r="Q225" s="16">
        <v>0</v>
      </c>
      <c r="R225" s="16">
        <v>0</v>
      </c>
      <c r="S225" s="16">
        <v>0</v>
      </c>
      <c r="T225" s="16">
        <v>1</v>
      </c>
      <c r="U225" s="16">
        <v>2</v>
      </c>
      <c r="V225" s="16">
        <v>0</v>
      </c>
      <c r="W225" s="16">
        <v>0</v>
      </c>
      <c r="X225" s="16">
        <v>0</v>
      </c>
      <c r="Y225" s="13">
        <f t="shared" ref="Y225:Y234" si="44">SUM(E225:X225)</f>
        <v>3</v>
      </c>
    </row>
    <row r="226" spans="1:25" ht="12.75" customHeight="1" x14ac:dyDescent="0.3">
      <c r="A226" s="20" t="s">
        <v>39</v>
      </c>
      <c r="B226" s="28"/>
      <c r="C226" s="29" t="s">
        <v>170</v>
      </c>
      <c r="D226" s="30"/>
      <c r="E226" s="16">
        <v>0</v>
      </c>
      <c r="F226" s="16">
        <v>0</v>
      </c>
      <c r="G226" s="16">
        <v>12</v>
      </c>
      <c r="H226" s="16">
        <v>1</v>
      </c>
      <c r="I226" s="16">
        <v>0</v>
      </c>
      <c r="J226" s="16">
        <v>1</v>
      </c>
      <c r="K226" s="16">
        <v>0</v>
      </c>
      <c r="L226" s="16">
        <v>1</v>
      </c>
      <c r="M226" s="16">
        <v>0</v>
      </c>
      <c r="N226" s="16">
        <v>0</v>
      </c>
      <c r="O226" s="16">
        <v>0</v>
      </c>
      <c r="P226" s="16">
        <v>0</v>
      </c>
      <c r="Q226" s="16">
        <v>1</v>
      </c>
      <c r="R226" s="16">
        <v>0</v>
      </c>
      <c r="S226" s="16">
        <v>2</v>
      </c>
      <c r="T226" s="16">
        <v>2</v>
      </c>
      <c r="U226" s="16">
        <v>1</v>
      </c>
      <c r="V226" s="16">
        <v>0</v>
      </c>
      <c r="W226" s="16">
        <v>0</v>
      </c>
      <c r="X226" s="16">
        <v>2</v>
      </c>
      <c r="Y226" s="13">
        <f t="shared" si="44"/>
        <v>23</v>
      </c>
    </row>
    <row r="227" spans="1:25" ht="12.75" customHeight="1" x14ac:dyDescent="0.3">
      <c r="A227" s="15"/>
      <c r="B227" s="28"/>
      <c r="C227" s="29" t="s">
        <v>171</v>
      </c>
      <c r="D227" s="30"/>
      <c r="E227" s="16">
        <v>0</v>
      </c>
      <c r="F227" s="16">
        <v>0</v>
      </c>
      <c r="G227" s="16">
        <v>0</v>
      </c>
      <c r="H227" s="16">
        <v>0</v>
      </c>
      <c r="I227" s="16">
        <v>0</v>
      </c>
      <c r="J227" s="16">
        <v>0</v>
      </c>
      <c r="K227" s="16">
        <v>0</v>
      </c>
      <c r="L227" s="16">
        <v>0</v>
      </c>
      <c r="M227" s="16">
        <v>0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3">
        <f t="shared" si="44"/>
        <v>0</v>
      </c>
    </row>
    <row r="228" spans="1:25" ht="12.75" customHeight="1" x14ac:dyDescent="0.3">
      <c r="A228" s="15"/>
      <c r="B228" s="28"/>
      <c r="C228" s="29" t="s">
        <v>172</v>
      </c>
      <c r="D228" s="30"/>
      <c r="E228" s="16">
        <v>0</v>
      </c>
      <c r="F228" s="16">
        <v>0</v>
      </c>
      <c r="G228" s="16">
        <v>0</v>
      </c>
      <c r="H228" s="16">
        <v>0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N228" s="16">
        <v>0</v>
      </c>
      <c r="O228" s="16">
        <v>0</v>
      </c>
      <c r="P228" s="16">
        <v>0</v>
      </c>
      <c r="Q228" s="16">
        <v>0</v>
      </c>
      <c r="R228" s="16">
        <v>0</v>
      </c>
      <c r="S228" s="16">
        <v>0</v>
      </c>
      <c r="T228" s="16">
        <v>0</v>
      </c>
      <c r="U228" s="16">
        <v>0</v>
      </c>
      <c r="V228" s="16">
        <v>0</v>
      </c>
      <c r="W228" s="16">
        <v>0</v>
      </c>
      <c r="X228" s="16">
        <v>0</v>
      </c>
      <c r="Y228" s="13">
        <f t="shared" si="44"/>
        <v>0</v>
      </c>
    </row>
    <row r="229" spans="1:25" ht="12.75" customHeight="1" x14ac:dyDescent="0.3">
      <c r="A229" s="15"/>
      <c r="B229" s="28"/>
      <c r="C229" s="29" t="s">
        <v>173</v>
      </c>
      <c r="D229" s="30"/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0</v>
      </c>
      <c r="M229" s="16">
        <v>0</v>
      </c>
      <c r="N229" s="16">
        <v>0</v>
      </c>
      <c r="O229" s="16">
        <v>0</v>
      </c>
      <c r="P229" s="16">
        <v>0</v>
      </c>
      <c r="Q229" s="16">
        <v>0</v>
      </c>
      <c r="R229" s="16">
        <v>0</v>
      </c>
      <c r="S229" s="16">
        <v>0</v>
      </c>
      <c r="T229" s="16">
        <v>0</v>
      </c>
      <c r="U229" s="16">
        <v>0</v>
      </c>
      <c r="V229" s="16">
        <v>0</v>
      </c>
      <c r="W229" s="16">
        <v>0</v>
      </c>
      <c r="X229" s="16">
        <v>0</v>
      </c>
      <c r="Y229" s="13">
        <f t="shared" si="44"/>
        <v>0</v>
      </c>
    </row>
    <row r="230" spans="1:25" ht="12.75" customHeight="1" x14ac:dyDescent="0.3">
      <c r="A230" s="15"/>
      <c r="B230" s="36"/>
      <c r="C230" s="37"/>
      <c r="D230" s="40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3">
        <f t="shared" si="44"/>
        <v>0</v>
      </c>
    </row>
    <row r="231" spans="1:25" ht="12.75" customHeight="1" x14ac:dyDescent="0.3">
      <c r="A231" s="15"/>
      <c r="B231" s="36"/>
      <c r="C231" s="37"/>
      <c r="D231" s="40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3">
        <f t="shared" si="44"/>
        <v>0</v>
      </c>
    </row>
    <row r="232" spans="1:25" ht="12.75" customHeight="1" x14ac:dyDescent="0.3">
      <c r="A232" s="15"/>
      <c r="B232" s="36"/>
      <c r="C232" s="37"/>
      <c r="D232" s="38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3">
        <f t="shared" si="44"/>
        <v>0</v>
      </c>
    </row>
    <row r="233" spans="1:25" ht="12.75" customHeight="1" x14ac:dyDescent="0.3">
      <c r="A233" s="15"/>
      <c r="B233" s="36"/>
      <c r="C233" s="37"/>
      <c r="D233" s="38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3">
        <f t="shared" si="44"/>
        <v>0</v>
      </c>
    </row>
    <row r="234" spans="1:25" ht="12.75" customHeight="1" x14ac:dyDescent="0.3">
      <c r="A234" s="15"/>
      <c r="B234" s="36"/>
      <c r="C234" s="37"/>
      <c r="D234" s="38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3">
        <f t="shared" si="44"/>
        <v>0</v>
      </c>
    </row>
    <row r="235" spans="1:25" ht="12.75" customHeight="1" x14ac:dyDescent="0.3">
      <c r="A235" s="16" t="s">
        <v>15</v>
      </c>
      <c r="B235" s="59" t="s">
        <v>49</v>
      </c>
      <c r="C235" s="60"/>
      <c r="D235" s="58"/>
      <c r="E235" s="13">
        <f t="shared" ref="E235:Y235" si="45">SUM(E225:E234)</f>
        <v>0</v>
      </c>
      <c r="F235" s="13">
        <f t="shared" si="45"/>
        <v>0</v>
      </c>
      <c r="G235" s="13">
        <f t="shared" si="45"/>
        <v>12</v>
      </c>
      <c r="H235" s="13">
        <f t="shared" si="45"/>
        <v>1</v>
      </c>
      <c r="I235" s="13">
        <f t="shared" si="45"/>
        <v>0</v>
      </c>
      <c r="J235" s="13">
        <f t="shared" si="45"/>
        <v>1</v>
      </c>
      <c r="K235" s="13">
        <f t="shared" si="45"/>
        <v>0</v>
      </c>
      <c r="L235" s="13">
        <f t="shared" si="45"/>
        <v>1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1</v>
      </c>
      <c r="R235" s="13">
        <f t="shared" si="45"/>
        <v>0</v>
      </c>
      <c r="S235" s="13">
        <f t="shared" si="45"/>
        <v>2</v>
      </c>
      <c r="T235" s="13">
        <f t="shared" si="45"/>
        <v>3</v>
      </c>
      <c r="U235" s="13">
        <f t="shared" si="45"/>
        <v>3</v>
      </c>
      <c r="V235" s="13">
        <f t="shared" si="45"/>
        <v>0</v>
      </c>
      <c r="W235" s="13">
        <f t="shared" si="45"/>
        <v>0</v>
      </c>
      <c r="X235" s="13">
        <f t="shared" si="45"/>
        <v>2</v>
      </c>
      <c r="Y235" s="13">
        <f t="shared" si="45"/>
        <v>26</v>
      </c>
    </row>
    <row r="236" spans="1:25" ht="12.75" customHeight="1" x14ac:dyDescent="0.3">
      <c r="A236" s="61"/>
      <c r="B236" s="60"/>
      <c r="C236" s="60"/>
      <c r="D236" s="60"/>
      <c r="E236" s="58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</row>
    <row r="237" spans="1:25" ht="12.75" customHeight="1" x14ac:dyDescent="0.3">
      <c r="A237" s="20" t="s">
        <v>37</v>
      </c>
      <c r="B237" s="27" t="s">
        <v>174</v>
      </c>
      <c r="C237" s="57" t="s">
        <v>175</v>
      </c>
      <c r="D237" s="58"/>
      <c r="E237" s="16">
        <v>1</v>
      </c>
      <c r="F237" s="16">
        <v>1</v>
      </c>
      <c r="G237" s="16">
        <v>0</v>
      </c>
      <c r="H237" s="16">
        <v>0</v>
      </c>
      <c r="I237" s="16">
        <v>0</v>
      </c>
      <c r="J237" s="16">
        <v>4</v>
      </c>
      <c r="K237" s="16">
        <v>4</v>
      </c>
      <c r="L237" s="16">
        <v>0</v>
      </c>
      <c r="M237" s="16">
        <v>0</v>
      </c>
      <c r="N237" s="16">
        <v>0</v>
      </c>
      <c r="O237" s="16">
        <v>0</v>
      </c>
      <c r="P237" s="16">
        <v>1</v>
      </c>
      <c r="Q237" s="16">
        <v>0</v>
      </c>
      <c r="R237" s="16">
        <v>0</v>
      </c>
      <c r="S237" s="16">
        <v>2</v>
      </c>
      <c r="T237" s="16">
        <v>1</v>
      </c>
      <c r="U237" s="16">
        <v>0</v>
      </c>
      <c r="V237" s="16">
        <v>1</v>
      </c>
      <c r="W237" s="16">
        <v>0</v>
      </c>
      <c r="X237" s="16">
        <v>1</v>
      </c>
      <c r="Y237" s="13">
        <f t="shared" ref="Y237:Y246" si="46">SUM(E237:X237)</f>
        <v>16</v>
      </c>
    </row>
    <row r="238" spans="1:25" ht="12.75" customHeight="1" x14ac:dyDescent="0.3">
      <c r="A238" s="20" t="s">
        <v>39</v>
      </c>
      <c r="B238" s="28"/>
      <c r="C238" s="29" t="s">
        <v>176</v>
      </c>
      <c r="D238" s="30"/>
      <c r="E238" s="16">
        <v>1</v>
      </c>
      <c r="F238" s="16">
        <v>0</v>
      </c>
      <c r="G238" s="16">
        <v>0</v>
      </c>
      <c r="H238" s="16">
        <v>0</v>
      </c>
      <c r="I238" s="16">
        <v>3</v>
      </c>
      <c r="J238" s="16">
        <v>6</v>
      </c>
      <c r="K238" s="16">
        <v>1</v>
      </c>
      <c r="L238" s="16">
        <v>0</v>
      </c>
      <c r="M238" s="16">
        <v>1</v>
      </c>
      <c r="N238" s="16">
        <v>0</v>
      </c>
      <c r="O238" s="16">
        <v>3</v>
      </c>
      <c r="P238" s="16">
        <v>1</v>
      </c>
      <c r="Q238" s="16">
        <v>1</v>
      </c>
      <c r="R238" s="16">
        <v>0</v>
      </c>
      <c r="S238" s="16">
        <v>1</v>
      </c>
      <c r="T238" s="16">
        <v>0</v>
      </c>
      <c r="U238" s="16">
        <v>0</v>
      </c>
      <c r="V238" s="16">
        <v>5</v>
      </c>
      <c r="W238" s="16">
        <v>0</v>
      </c>
      <c r="X238" s="16">
        <v>0</v>
      </c>
      <c r="Y238" s="13">
        <f t="shared" si="46"/>
        <v>23</v>
      </c>
    </row>
    <row r="239" spans="1:25" ht="12.75" customHeight="1" x14ac:dyDescent="0.3">
      <c r="A239" s="15"/>
      <c r="B239" s="28"/>
      <c r="C239" s="29" t="s">
        <v>177</v>
      </c>
      <c r="D239" s="30"/>
      <c r="E239" s="16">
        <v>3</v>
      </c>
      <c r="F239" s="16">
        <v>0</v>
      </c>
      <c r="G239" s="16">
        <v>5</v>
      </c>
      <c r="H239" s="16">
        <v>4</v>
      </c>
      <c r="I239" s="16">
        <v>3</v>
      </c>
      <c r="J239" s="16">
        <v>4</v>
      </c>
      <c r="K239" s="16">
        <v>7</v>
      </c>
      <c r="L239" s="16">
        <v>0</v>
      </c>
      <c r="M239" s="16">
        <v>2</v>
      </c>
      <c r="N239" s="16">
        <v>0</v>
      </c>
      <c r="O239" s="16">
        <v>0</v>
      </c>
      <c r="P239" s="16">
        <v>0</v>
      </c>
      <c r="Q239" s="16">
        <v>2</v>
      </c>
      <c r="R239" s="16">
        <v>2</v>
      </c>
      <c r="S239" s="16">
        <v>1</v>
      </c>
      <c r="T239" s="16">
        <v>0</v>
      </c>
      <c r="U239" s="16">
        <v>2</v>
      </c>
      <c r="V239" s="16">
        <v>4</v>
      </c>
      <c r="W239" s="16">
        <v>1</v>
      </c>
      <c r="X239" s="16">
        <v>1</v>
      </c>
      <c r="Y239" s="13">
        <f t="shared" si="46"/>
        <v>41</v>
      </c>
    </row>
    <row r="240" spans="1:25" ht="12.75" customHeight="1" x14ac:dyDescent="0.3">
      <c r="A240" s="15"/>
      <c r="B240" s="28"/>
      <c r="C240" s="29" t="s">
        <v>178</v>
      </c>
      <c r="D240" s="30"/>
      <c r="E240" s="16">
        <v>0</v>
      </c>
      <c r="F240" s="16">
        <v>0</v>
      </c>
      <c r="G240" s="16">
        <v>0</v>
      </c>
      <c r="H240" s="16">
        <v>0</v>
      </c>
      <c r="I240" s="16">
        <v>0</v>
      </c>
      <c r="J240" s="16">
        <v>0</v>
      </c>
      <c r="K240" s="16">
        <v>0</v>
      </c>
      <c r="L240" s="16">
        <v>0</v>
      </c>
      <c r="M240" s="16">
        <v>0</v>
      </c>
      <c r="N240" s="16">
        <v>0</v>
      </c>
      <c r="O240" s="16">
        <v>0</v>
      </c>
      <c r="P240" s="16">
        <v>0</v>
      </c>
      <c r="Q240" s="16">
        <v>0</v>
      </c>
      <c r="R240" s="16">
        <v>0</v>
      </c>
      <c r="S240" s="16">
        <v>0</v>
      </c>
      <c r="T240" s="16">
        <v>0</v>
      </c>
      <c r="U240" s="16">
        <v>0</v>
      </c>
      <c r="V240" s="16">
        <v>1</v>
      </c>
      <c r="W240" s="16">
        <v>0</v>
      </c>
      <c r="X240" s="16">
        <v>0</v>
      </c>
      <c r="Y240" s="13">
        <f t="shared" si="46"/>
        <v>1</v>
      </c>
    </row>
    <row r="241" spans="1:25" ht="12.75" customHeight="1" x14ac:dyDescent="0.3">
      <c r="A241" s="15"/>
      <c r="B241" s="28"/>
      <c r="C241" s="29" t="s">
        <v>179</v>
      </c>
      <c r="D241" s="30"/>
      <c r="E241" s="16">
        <v>0</v>
      </c>
      <c r="F241" s="16">
        <v>0</v>
      </c>
      <c r="G241" s="16">
        <v>0</v>
      </c>
      <c r="H241" s="16">
        <v>2</v>
      </c>
      <c r="I241" s="16">
        <v>0</v>
      </c>
      <c r="J241" s="16">
        <v>0</v>
      </c>
      <c r="K241" s="16">
        <v>1</v>
      </c>
      <c r="L241" s="16">
        <v>0</v>
      </c>
      <c r="M241" s="16">
        <v>0</v>
      </c>
      <c r="N241" s="16">
        <v>1</v>
      </c>
      <c r="O241" s="16">
        <v>1</v>
      </c>
      <c r="P241" s="16">
        <v>0</v>
      </c>
      <c r="Q241" s="16">
        <v>0</v>
      </c>
      <c r="R241" s="16">
        <v>0</v>
      </c>
      <c r="S241" s="16">
        <v>0</v>
      </c>
      <c r="T241" s="16">
        <v>0</v>
      </c>
      <c r="U241" s="16">
        <v>0</v>
      </c>
      <c r="V241" s="16">
        <v>0</v>
      </c>
      <c r="W241" s="16">
        <v>0</v>
      </c>
      <c r="X241" s="16">
        <v>0</v>
      </c>
      <c r="Y241" s="13">
        <f t="shared" si="46"/>
        <v>5</v>
      </c>
    </row>
    <row r="242" spans="1:25" ht="12.75" customHeight="1" x14ac:dyDescent="0.3">
      <c r="A242" s="15"/>
      <c r="B242" s="28"/>
      <c r="C242" s="29" t="s">
        <v>180</v>
      </c>
      <c r="D242" s="30"/>
      <c r="E242" s="16">
        <v>1</v>
      </c>
      <c r="F242" s="16">
        <v>0</v>
      </c>
      <c r="G242" s="16">
        <v>0</v>
      </c>
      <c r="H242" s="16">
        <v>2</v>
      </c>
      <c r="I242" s="16">
        <v>0</v>
      </c>
      <c r="J242" s="16">
        <v>0</v>
      </c>
      <c r="K242" s="16">
        <v>6</v>
      </c>
      <c r="L242" s="16">
        <v>0</v>
      </c>
      <c r="M242" s="16">
        <v>2</v>
      </c>
      <c r="N242" s="16">
        <v>0</v>
      </c>
      <c r="O242" s="16">
        <v>0</v>
      </c>
      <c r="P242" s="16">
        <v>2</v>
      </c>
      <c r="Q242" s="16">
        <v>1</v>
      </c>
      <c r="R242" s="16">
        <v>0</v>
      </c>
      <c r="S242" s="16">
        <v>4</v>
      </c>
      <c r="T242" s="16">
        <v>0</v>
      </c>
      <c r="U242" s="16">
        <v>2</v>
      </c>
      <c r="V242" s="16">
        <v>7</v>
      </c>
      <c r="W242" s="16">
        <v>9</v>
      </c>
      <c r="X242" s="16">
        <v>70</v>
      </c>
      <c r="Y242" s="13">
        <f t="shared" si="46"/>
        <v>106</v>
      </c>
    </row>
    <row r="243" spans="1:25" ht="12.75" customHeight="1" x14ac:dyDescent="0.3">
      <c r="A243" s="15"/>
      <c r="B243" s="28"/>
      <c r="C243" s="29" t="s">
        <v>181</v>
      </c>
      <c r="D243" s="30"/>
      <c r="E243" s="16">
        <v>0</v>
      </c>
      <c r="F243" s="16">
        <v>1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0</v>
      </c>
      <c r="M243" s="16">
        <v>0</v>
      </c>
      <c r="N243" s="16">
        <v>0</v>
      </c>
      <c r="O243" s="16">
        <v>0</v>
      </c>
      <c r="P243" s="16">
        <v>0</v>
      </c>
      <c r="Q243" s="16">
        <v>0</v>
      </c>
      <c r="R243" s="16">
        <v>0</v>
      </c>
      <c r="S243" s="16">
        <v>0</v>
      </c>
      <c r="T243" s="16">
        <v>0</v>
      </c>
      <c r="U243" s="16">
        <v>0</v>
      </c>
      <c r="V243" s="16">
        <v>0</v>
      </c>
      <c r="W243" s="16">
        <v>0</v>
      </c>
      <c r="X243" s="16">
        <v>0</v>
      </c>
      <c r="Y243" s="13">
        <f t="shared" si="46"/>
        <v>1</v>
      </c>
    </row>
    <row r="244" spans="1:25" ht="12.75" customHeight="1" x14ac:dyDescent="0.3">
      <c r="A244" s="15"/>
      <c r="B244" s="28"/>
      <c r="C244" s="29" t="s">
        <v>182</v>
      </c>
      <c r="D244" s="30"/>
      <c r="E244" s="16">
        <v>0</v>
      </c>
      <c r="F244" s="16">
        <v>0</v>
      </c>
      <c r="G244" s="16">
        <v>0</v>
      </c>
      <c r="H244" s="16">
        <v>0</v>
      </c>
      <c r="I244" s="16">
        <v>0</v>
      </c>
      <c r="J244" s="16">
        <v>0</v>
      </c>
      <c r="K244" s="16">
        <v>0</v>
      </c>
      <c r="L244" s="16">
        <v>0</v>
      </c>
      <c r="M244" s="16">
        <v>0</v>
      </c>
      <c r="N244" s="16">
        <v>1</v>
      </c>
      <c r="O244" s="16">
        <v>0</v>
      </c>
      <c r="P244" s="16">
        <v>0</v>
      </c>
      <c r="Q244" s="16">
        <v>0</v>
      </c>
      <c r="R244" s="16">
        <v>0</v>
      </c>
      <c r="S244" s="16">
        <v>0</v>
      </c>
      <c r="T244" s="16">
        <v>0</v>
      </c>
      <c r="U244" s="16">
        <v>0</v>
      </c>
      <c r="V244" s="16">
        <v>0</v>
      </c>
      <c r="W244" s="16">
        <v>0</v>
      </c>
      <c r="X244" s="16">
        <v>0</v>
      </c>
      <c r="Y244" s="13">
        <f t="shared" si="46"/>
        <v>1</v>
      </c>
    </row>
    <row r="245" spans="1:25" ht="12.75" customHeight="1" x14ac:dyDescent="0.3">
      <c r="A245" s="15"/>
      <c r="B245" s="28"/>
      <c r="C245" s="29" t="s">
        <v>183</v>
      </c>
      <c r="D245" s="30"/>
      <c r="E245" s="16">
        <v>0</v>
      </c>
      <c r="F245" s="16">
        <v>0</v>
      </c>
      <c r="G245" s="16">
        <v>0</v>
      </c>
      <c r="H245" s="16">
        <v>0</v>
      </c>
      <c r="I245" s="16">
        <v>0</v>
      </c>
      <c r="J245" s="16">
        <v>0</v>
      </c>
      <c r="K245" s="16">
        <v>0</v>
      </c>
      <c r="L245" s="16">
        <v>0</v>
      </c>
      <c r="M245" s="16">
        <v>0</v>
      </c>
      <c r="N245" s="16">
        <v>0</v>
      </c>
      <c r="O245" s="16">
        <v>0</v>
      </c>
      <c r="P245" s="16">
        <v>0</v>
      </c>
      <c r="Q245" s="16">
        <v>0</v>
      </c>
      <c r="R245" s="16">
        <v>0</v>
      </c>
      <c r="S245" s="16">
        <v>0</v>
      </c>
      <c r="T245" s="16">
        <v>0</v>
      </c>
      <c r="U245" s="16">
        <v>0</v>
      </c>
      <c r="V245" s="16">
        <v>0</v>
      </c>
      <c r="W245" s="16">
        <v>0</v>
      </c>
      <c r="X245" s="16">
        <v>0</v>
      </c>
      <c r="Y245" s="13">
        <f t="shared" si="46"/>
        <v>0</v>
      </c>
    </row>
    <row r="246" spans="1:25" ht="12.75" customHeight="1" x14ac:dyDescent="0.3">
      <c r="A246" s="15"/>
      <c r="B246" s="28"/>
      <c r="C246" s="29" t="s">
        <v>184</v>
      </c>
      <c r="D246" s="30"/>
      <c r="E246" s="16">
        <v>0</v>
      </c>
      <c r="F246" s="16">
        <v>0</v>
      </c>
      <c r="G246" s="16">
        <v>0</v>
      </c>
      <c r="H246" s="16">
        <v>0</v>
      </c>
      <c r="I246" s="16">
        <v>0</v>
      </c>
      <c r="J246" s="16">
        <v>0</v>
      </c>
      <c r="K246" s="16">
        <v>0</v>
      </c>
      <c r="L246" s="16">
        <v>0</v>
      </c>
      <c r="M246" s="16">
        <v>0</v>
      </c>
      <c r="N246" s="16">
        <v>0</v>
      </c>
      <c r="O246" s="16">
        <v>0</v>
      </c>
      <c r="P246" s="16">
        <v>0</v>
      </c>
      <c r="Q246" s="16">
        <v>0</v>
      </c>
      <c r="R246" s="16">
        <v>0</v>
      </c>
      <c r="S246" s="16">
        <v>0</v>
      </c>
      <c r="T246" s="16">
        <v>0</v>
      </c>
      <c r="U246" s="16">
        <v>0</v>
      </c>
      <c r="V246" s="16">
        <v>0</v>
      </c>
      <c r="W246" s="16">
        <v>0</v>
      </c>
      <c r="X246" s="16">
        <v>0</v>
      </c>
      <c r="Y246" s="13">
        <f t="shared" si="46"/>
        <v>0</v>
      </c>
    </row>
    <row r="247" spans="1:25" ht="12.75" customHeight="1" x14ac:dyDescent="0.3">
      <c r="A247" s="16" t="s">
        <v>15</v>
      </c>
      <c r="B247" s="59" t="s">
        <v>49</v>
      </c>
      <c r="C247" s="60"/>
      <c r="D247" s="58"/>
      <c r="E247" s="13">
        <f t="shared" ref="E247:Y247" si="47">SUM(E237:E246)</f>
        <v>6</v>
      </c>
      <c r="F247" s="13">
        <f t="shared" si="47"/>
        <v>2</v>
      </c>
      <c r="G247" s="13">
        <f t="shared" si="47"/>
        <v>5</v>
      </c>
      <c r="H247" s="13">
        <f t="shared" si="47"/>
        <v>8</v>
      </c>
      <c r="I247" s="13">
        <f t="shared" si="47"/>
        <v>6</v>
      </c>
      <c r="J247" s="13">
        <f t="shared" si="47"/>
        <v>14</v>
      </c>
      <c r="K247" s="13">
        <f t="shared" si="47"/>
        <v>19</v>
      </c>
      <c r="L247" s="13">
        <f t="shared" si="47"/>
        <v>0</v>
      </c>
      <c r="M247" s="13">
        <f t="shared" si="47"/>
        <v>5</v>
      </c>
      <c r="N247" s="13">
        <f t="shared" si="47"/>
        <v>2</v>
      </c>
      <c r="O247" s="13">
        <f t="shared" si="47"/>
        <v>4</v>
      </c>
      <c r="P247" s="13">
        <f t="shared" si="47"/>
        <v>4</v>
      </c>
      <c r="Q247" s="13">
        <f t="shared" si="47"/>
        <v>4</v>
      </c>
      <c r="R247" s="13">
        <f t="shared" si="47"/>
        <v>2</v>
      </c>
      <c r="S247" s="13">
        <f t="shared" si="47"/>
        <v>8</v>
      </c>
      <c r="T247" s="13">
        <f t="shared" si="47"/>
        <v>1</v>
      </c>
      <c r="U247" s="13">
        <f t="shared" si="47"/>
        <v>4</v>
      </c>
      <c r="V247" s="13">
        <f t="shared" si="47"/>
        <v>18</v>
      </c>
      <c r="W247" s="13">
        <f t="shared" si="47"/>
        <v>10</v>
      </c>
      <c r="X247" s="13">
        <f t="shared" si="47"/>
        <v>72</v>
      </c>
      <c r="Y247" s="13">
        <f t="shared" si="47"/>
        <v>194</v>
      </c>
    </row>
    <row r="248" spans="1:25" ht="12.75" customHeight="1" x14ac:dyDescent="0.3">
      <c r="A248" s="61"/>
      <c r="B248" s="60"/>
      <c r="C248" s="60"/>
      <c r="D248" s="60"/>
      <c r="E248" s="58"/>
    </row>
    <row r="249" spans="1:25" ht="12.75" customHeight="1" x14ac:dyDescent="0.3">
      <c r="A249" s="20" t="s">
        <v>37</v>
      </c>
      <c r="B249" s="27" t="s">
        <v>185</v>
      </c>
      <c r="C249" s="57" t="s">
        <v>186</v>
      </c>
      <c r="D249" s="58"/>
      <c r="E249" s="16">
        <v>0</v>
      </c>
      <c r="F249" s="16">
        <v>0</v>
      </c>
      <c r="G249" s="16">
        <v>0</v>
      </c>
      <c r="H249" s="16">
        <v>0</v>
      </c>
      <c r="I249" s="16">
        <v>1</v>
      </c>
      <c r="J249" s="16">
        <v>0</v>
      </c>
      <c r="K249" s="16">
        <v>0</v>
      </c>
      <c r="L249" s="16">
        <v>1</v>
      </c>
      <c r="M249" s="16">
        <v>0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1</v>
      </c>
      <c r="X249" s="16">
        <v>0</v>
      </c>
      <c r="Y249" s="13">
        <f t="shared" ref="Y249:Y258" si="48">SUM(E249:X249)</f>
        <v>3</v>
      </c>
    </row>
    <row r="250" spans="1:25" ht="12.75" customHeight="1" x14ac:dyDescent="0.3">
      <c r="A250" s="20" t="s">
        <v>39</v>
      </c>
      <c r="B250" s="28"/>
      <c r="C250" s="29" t="s">
        <v>187</v>
      </c>
      <c r="D250" s="30"/>
      <c r="E250" s="16">
        <v>0</v>
      </c>
      <c r="F250" s="16">
        <v>0</v>
      </c>
      <c r="G250" s="16">
        <v>0</v>
      </c>
      <c r="H250" s="16">
        <v>0</v>
      </c>
      <c r="I250" s="16">
        <v>0</v>
      </c>
      <c r="J250" s="16">
        <v>0</v>
      </c>
      <c r="K250" s="16">
        <v>0</v>
      </c>
      <c r="L250" s="16">
        <v>0</v>
      </c>
      <c r="M250" s="16">
        <v>0</v>
      </c>
      <c r="N250" s="16">
        <v>0</v>
      </c>
      <c r="O250" s="16">
        <v>2</v>
      </c>
      <c r="P250" s="16">
        <v>0</v>
      </c>
      <c r="Q250" s="16">
        <v>3</v>
      </c>
      <c r="R250" s="16">
        <v>1</v>
      </c>
      <c r="S250" s="16">
        <v>0</v>
      </c>
      <c r="T250" s="16">
        <v>3</v>
      </c>
      <c r="U250" s="16">
        <v>0</v>
      </c>
      <c r="V250" s="16">
        <v>0</v>
      </c>
      <c r="W250" s="16">
        <v>0</v>
      </c>
      <c r="X250" s="16">
        <v>0</v>
      </c>
      <c r="Y250" s="13">
        <f t="shared" si="48"/>
        <v>9</v>
      </c>
    </row>
    <row r="251" spans="1:25" ht="12.75" customHeight="1" x14ac:dyDescent="0.3">
      <c r="A251" s="15"/>
      <c r="B251" s="28"/>
      <c r="C251" s="29" t="s">
        <v>188</v>
      </c>
      <c r="D251" s="30"/>
      <c r="E251" s="16">
        <v>0</v>
      </c>
      <c r="F251" s="16">
        <v>0</v>
      </c>
      <c r="G251" s="16">
        <v>0</v>
      </c>
      <c r="H251" s="16">
        <v>0</v>
      </c>
      <c r="I251" s="16">
        <v>0</v>
      </c>
      <c r="J251" s="16">
        <v>0</v>
      </c>
      <c r="K251" s="16">
        <v>0</v>
      </c>
      <c r="L251" s="16">
        <v>0</v>
      </c>
      <c r="M251" s="16">
        <v>0</v>
      </c>
      <c r="N251" s="16">
        <v>0</v>
      </c>
      <c r="O251" s="16">
        <v>0</v>
      </c>
      <c r="P251" s="16">
        <v>0</v>
      </c>
      <c r="Q251" s="16">
        <v>0</v>
      </c>
      <c r="R251" s="16">
        <v>0</v>
      </c>
      <c r="S251" s="16">
        <v>1</v>
      </c>
      <c r="T251" s="16">
        <v>0</v>
      </c>
      <c r="U251" s="16">
        <v>0</v>
      </c>
      <c r="V251" s="16">
        <v>1</v>
      </c>
      <c r="W251" s="16">
        <v>0</v>
      </c>
      <c r="X251" s="16">
        <v>0</v>
      </c>
      <c r="Y251" s="13">
        <f t="shared" si="48"/>
        <v>2</v>
      </c>
    </row>
    <row r="252" spans="1:25" ht="12.75" customHeight="1" x14ac:dyDescent="0.3">
      <c r="A252" s="15"/>
      <c r="B252" s="28"/>
      <c r="C252" s="29" t="s">
        <v>189</v>
      </c>
      <c r="D252" s="30"/>
      <c r="E252" s="16">
        <v>0</v>
      </c>
      <c r="F252" s="16">
        <v>0</v>
      </c>
      <c r="G252" s="16">
        <v>0</v>
      </c>
      <c r="H252" s="16">
        <v>0</v>
      </c>
      <c r="I252" s="16">
        <v>0</v>
      </c>
      <c r="J252" s="16">
        <v>0</v>
      </c>
      <c r="K252" s="16">
        <v>0</v>
      </c>
      <c r="L252" s="16">
        <v>0</v>
      </c>
      <c r="M252" s="16">
        <v>0</v>
      </c>
      <c r="N252" s="16">
        <v>0</v>
      </c>
      <c r="O252" s="16">
        <v>0</v>
      </c>
      <c r="P252" s="16">
        <v>0</v>
      </c>
      <c r="Q252" s="16">
        <v>0</v>
      </c>
      <c r="R252" s="16">
        <v>1</v>
      </c>
      <c r="S252" s="16">
        <v>0</v>
      </c>
      <c r="T252" s="16">
        <v>0</v>
      </c>
      <c r="U252" s="16">
        <v>0</v>
      </c>
      <c r="V252" s="16">
        <v>1</v>
      </c>
      <c r="W252" s="16">
        <v>0</v>
      </c>
      <c r="X252" s="16">
        <v>0</v>
      </c>
      <c r="Y252" s="13">
        <f t="shared" si="48"/>
        <v>2</v>
      </c>
    </row>
    <row r="253" spans="1:25" ht="12.75" customHeight="1" x14ac:dyDescent="0.3">
      <c r="A253" s="15"/>
      <c r="B253" s="36"/>
      <c r="C253" s="44"/>
      <c r="D253" s="38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3">
        <f t="shared" si="48"/>
        <v>0</v>
      </c>
    </row>
    <row r="254" spans="1:25" ht="12.75" customHeight="1" x14ac:dyDescent="0.3">
      <c r="A254" s="15"/>
      <c r="B254" s="36"/>
      <c r="C254" s="44"/>
      <c r="D254" s="38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3">
        <f t="shared" si="48"/>
        <v>0</v>
      </c>
    </row>
    <row r="255" spans="1:25" ht="12.75" customHeight="1" x14ac:dyDescent="0.3">
      <c r="A255" s="15"/>
      <c r="B255" s="36"/>
      <c r="C255" s="44"/>
      <c r="D255" s="38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3">
        <f t="shared" si="48"/>
        <v>0</v>
      </c>
    </row>
    <row r="256" spans="1:25" ht="12.75" customHeight="1" x14ac:dyDescent="0.3">
      <c r="A256" s="15"/>
      <c r="B256" s="36"/>
      <c r="C256" s="43"/>
      <c r="D256" s="38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3">
        <f t="shared" si="48"/>
        <v>0</v>
      </c>
    </row>
    <row r="257" spans="1:25" ht="12.75" customHeight="1" x14ac:dyDescent="0.3">
      <c r="A257" s="15"/>
      <c r="B257" s="36"/>
      <c r="C257" s="43"/>
      <c r="D257" s="38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3">
        <f t="shared" si="48"/>
        <v>0</v>
      </c>
    </row>
    <row r="258" spans="1:25" ht="12.75" customHeight="1" x14ac:dyDescent="0.3">
      <c r="A258" s="15"/>
      <c r="B258" s="36"/>
      <c r="C258" s="43"/>
      <c r="D258" s="38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3">
        <f t="shared" si="48"/>
        <v>0</v>
      </c>
    </row>
    <row r="259" spans="1:25" ht="12.75" customHeight="1" x14ac:dyDescent="0.3">
      <c r="A259" s="16" t="s">
        <v>15</v>
      </c>
      <c r="B259" s="59" t="s">
        <v>49</v>
      </c>
      <c r="C259" s="60"/>
      <c r="D259" s="58"/>
      <c r="E259" s="13">
        <f t="shared" ref="E259:Y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1</v>
      </c>
      <c r="J259" s="13">
        <f t="shared" si="49"/>
        <v>0</v>
      </c>
      <c r="K259" s="13">
        <f t="shared" si="49"/>
        <v>0</v>
      </c>
      <c r="L259" s="13">
        <f t="shared" si="49"/>
        <v>1</v>
      </c>
      <c r="M259" s="13">
        <f t="shared" si="49"/>
        <v>0</v>
      </c>
      <c r="N259" s="13">
        <f t="shared" si="49"/>
        <v>0</v>
      </c>
      <c r="O259" s="13">
        <f t="shared" si="49"/>
        <v>2</v>
      </c>
      <c r="P259" s="13">
        <f t="shared" si="49"/>
        <v>0</v>
      </c>
      <c r="Q259" s="13">
        <f t="shared" si="49"/>
        <v>3</v>
      </c>
      <c r="R259" s="13">
        <f t="shared" si="49"/>
        <v>2</v>
      </c>
      <c r="S259" s="13">
        <f t="shared" si="49"/>
        <v>1</v>
      </c>
      <c r="T259" s="13">
        <f t="shared" si="49"/>
        <v>3</v>
      </c>
      <c r="U259" s="13">
        <f t="shared" si="49"/>
        <v>0</v>
      </c>
      <c r="V259" s="13">
        <f t="shared" si="49"/>
        <v>2</v>
      </c>
      <c r="W259" s="13">
        <f t="shared" si="49"/>
        <v>1</v>
      </c>
      <c r="X259" s="13">
        <f t="shared" si="49"/>
        <v>0</v>
      </c>
      <c r="Y259" s="13">
        <f t="shared" si="49"/>
        <v>16</v>
      </c>
    </row>
    <row r="260" spans="1:25" ht="12.75" customHeight="1" x14ac:dyDescent="0.3"/>
    <row r="261" spans="1:25" ht="12.75" customHeight="1" x14ac:dyDescent="0.3">
      <c r="A261" s="26" t="s">
        <v>190</v>
      </c>
      <c r="B261" s="66" t="s">
        <v>191</v>
      </c>
      <c r="C261" s="60"/>
      <c r="D261" s="58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spans="1:25" ht="12.75" customHeight="1" x14ac:dyDescent="0.3">
      <c r="A262" s="26"/>
      <c r="B262" s="45" t="s">
        <v>192</v>
      </c>
      <c r="C262" s="67" t="s">
        <v>193</v>
      </c>
      <c r="D262" s="58"/>
      <c r="E262" s="16">
        <f t="shared" ref="E262:X262" si="50">E55+E67+E79+E91+E103+E115+E127+E139+E151+E163+E175+E187+E199+E211+E223+E235+E247+E259</f>
        <v>202</v>
      </c>
      <c r="F262" s="16">
        <f t="shared" si="50"/>
        <v>211</v>
      </c>
      <c r="G262" s="16">
        <f t="shared" si="50"/>
        <v>205</v>
      </c>
      <c r="H262" s="16">
        <f t="shared" si="50"/>
        <v>137</v>
      </c>
      <c r="I262" s="16">
        <f t="shared" si="50"/>
        <v>213</v>
      </c>
      <c r="J262" s="16">
        <f t="shared" si="50"/>
        <v>217</v>
      </c>
      <c r="K262" s="16">
        <f t="shared" si="50"/>
        <v>212</v>
      </c>
      <c r="L262" s="16">
        <f t="shared" si="50"/>
        <v>178</v>
      </c>
      <c r="M262" s="16">
        <f t="shared" si="50"/>
        <v>196</v>
      </c>
      <c r="N262" s="16">
        <f t="shared" si="50"/>
        <v>196</v>
      </c>
      <c r="O262" s="16">
        <f t="shared" si="50"/>
        <v>146</v>
      </c>
      <c r="P262" s="16">
        <f t="shared" si="50"/>
        <v>166</v>
      </c>
      <c r="Q262" s="16">
        <f t="shared" si="50"/>
        <v>186</v>
      </c>
      <c r="R262" s="16">
        <f t="shared" si="50"/>
        <v>159</v>
      </c>
      <c r="S262" s="16">
        <f t="shared" si="50"/>
        <v>179</v>
      </c>
      <c r="T262" s="16">
        <f t="shared" si="50"/>
        <v>187</v>
      </c>
      <c r="U262" s="16">
        <f t="shared" si="50"/>
        <v>192</v>
      </c>
      <c r="V262" s="16">
        <f t="shared" si="50"/>
        <v>205</v>
      </c>
      <c r="W262" s="16">
        <f t="shared" si="50"/>
        <v>201</v>
      </c>
      <c r="X262" s="16">
        <f t="shared" si="50"/>
        <v>206</v>
      </c>
      <c r="Y262" s="13">
        <f t="shared" ref="Y262:Y264" si="51">SUM(E262:X262)</f>
        <v>3794</v>
      </c>
    </row>
    <row r="263" spans="1:25" ht="12.75" customHeight="1" x14ac:dyDescent="0.3">
      <c r="A263" s="22"/>
      <c r="B263" s="45" t="s">
        <v>194</v>
      </c>
      <c r="C263" s="67" t="s">
        <v>195</v>
      </c>
      <c r="D263" s="58"/>
      <c r="E263" s="16">
        <v>29</v>
      </c>
      <c r="F263" s="16">
        <v>32</v>
      </c>
      <c r="G263" s="16">
        <v>23</v>
      </c>
      <c r="H263" s="16">
        <v>17</v>
      </c>
      <c r="I263" s="16">
        <v>19</v>
      </c>
      <c r="J263" s="16">
        <v>21</v>
      </c>
      <c r="K263" s="16">
        <v>22</v>
      </c>
      <c r="L263" s="16">
        <v>27</v>
      </c>
      <c r="M263" s="16">
        <v>37</v>
      </c>
      <c r="N263" s="16">
        <v>28</v>
      </c>
      <c r="O263" s="16">
        <v>38</v>
      </c>
      <c r="P263" s="16">
        <v>25</v>
      </c>
      <c r="Q263" s="16">
        <v>33</v>
      </c>
      <c r="R263" s="16">
        <v>50</v>
      </c>
      <c r="S263" s="16">
        <v>28</v>
      </c>
      <c r="T263" s="16">
        <v>25</v>
      </c>
      <c r="U263" s="16">
        <v>44</v>
      </c>
      <c r="V263" s="16">
        <v>16</v>
      </c>
      <c r="W263" s="16">
        <v>23</v>
      </c>
      <c r="X263" s="16">
        <v>31</v>
      </c>
      <c r="Y263" s="13">
        <f t="shared" si="51"/>
        <v>568</v>
      </c>
    </row>
    <row r="264" spans="1:25" ht="12.75" customHeight="1" x14ac:dyDescent="0.3">
      <c r="A264" s="25"/>
      <c r="B264" s="45" t="s">
        <v>196</v>
      </c>
      <c r="C264" s="67" t="s">
        <v>197</v>
      </c>
      <c r="D264" s="58"/>
      <c r="E264" s="13">
        <f t="shared" ref="E264:X264" si="52">SUM(E262:E263)</f>
        <v>231</v>
      </c>
      <c r="F264" s="13">
        <f t="shared" si="52"/>
        <v>243</v>
      </c>
      <c r="G264" s="13">
        <f t="shared" si="52"/>
        <v>228</v>
      </c>
      <c r="H264" s="13">
        <f t="shared" si="52"/>
        <v>154</v>
      </c>
      <c r="I264" s="13">
        <f t="shared" si="52"/>
        <v>232</v>
      </c>
      <c r="J264" s="13">
        <f t="shared" si="52"/>
        <v>238</v>
      </c>
      <c r="K264" s="13">
        <f t="shared" si="52"/>
        <v>234</v>
      </c>
      <c r="L264" s="13">
        <f t="shared" si="52"/>
        <v>205</v>
      </c>
      <c r="M264" s="13">
        <f t="shared" si="52"/>
        <v>233</v>
      </c>
      <c r="N264" s="13">
        <f t="shared" si="52"/>
        <v>224</v>
      </c>
      <c r="O264" s="13">
        <f t="shared" si="52"/>
        <v>184</v>
      </c>
      <c r="P264" s="13">
        <f t="shared" si="52"/>
        <v>191</v>
      </c>
      <c r="Q264" s="13">
        <f t="shared" si="52"/>
        <v>219</v>
      </c>
      <c r="R264" s="13">
        <f t="shared" si="52"/>
        <v>209</v>
      </c>
      <c r="S264" s="13">
        <f t="shared" si="52"/>
        <v>207</v>
      </c>
      <c r="T264" s="13">
        <f t="shared" si="52"/>
        <v>212</v>
      </c>
      <c r="U264" s="13">
        <f t="shared" si="52"/>
        <v>236</v>
      </c>
      <c r="V264" s="13">
        <f t="shared" si="52"/>
        <v>221</v>
      </c>
      <c r="W264" s="13">
        <f t="shared" si="52"/>
        <v>224</v>
      </c>
      <c r="X264" s="13">
        <f t="shared" si="52"/>
        <v>237</v>
      </c>
      <c r="Y264" s="13">
        <f t="shared" si="51"/>
        <v>4362</v>
      </c>
    </row>
    <row r="265" spans="1:25" ht="12.75" customHeight="1" x14ac:dyDescent="0.3"/>
    <row r="266" spans="1:25" ht="12.75" customHeight="1" x14ac:dyDescent="0.3"/>
    <row r="267" spans="1:25" ht="12.75" customHeight="1" x14ac:dyDescent="0.3"/>
    <row r="268" spans="1:25" ht="12.75" customHeight="1" x14ac:dyDescent="0.3"/>
    <row r="269" spans="1:25" ht="12.75" customHeight="1" x14ac:dyDescent="0.3"/>
    <row r="270" spans="1:25" ht="12.75" customHeight="1" x14ac:dyDescent="0.3"/>
    <row r="271" spans="1:25" ht="12.75" customHeight="1" x14ac:dyDescent="0.3"/>
    <row r="272" spans="1:25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86">
    <mergeCell ref="C69:D69"/>
    <mergeCell ref="B79:D79"/>
    <mergeCell ref="B139:D139"/>
    <mergeCell ref="A140:E140"/>
    <mergeCell ref="C141:D141"/>
    <mergeCell ref="B55:D55"/>
    <mergeCell ref="A56:E56"/>
    <mergeCell ref="C57:D57"/>
    <mergeCell ref="B67:D67"/>
    <mergeCell ref="A68:E68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W42"/>
    <mergeCell ref="B43:D43"/>
    <mergeCell ref="B25:B27"/>
    <mergeCell ref="C25:C27"/>
    <mergeCell ref="B28:B30"/>
    <mergeCell ref="A37:D37"/>
    <mergeCell ref="E37:W37"/>
    <mergeCell ref="A17:D17"/>
    <mergeCell ref="B18:D18"/>
    <mergeCell ref="B19:B21"/>
    <mergeCell ref="C19:C21"/>
    <mergeCell ref="B22:B24"/>
    <mergeCell ref="C22:C24"/>
    <mergeCell ref="B12:D12"/>
    <mergeCell ref="E12:X12"/>
    <mergeCell ref="Y12:Y13"/>
    <mergeCell ref="B13:D13"/>
    <mergeCell ref="B14:C16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A212:E212"/>
    <mergeCell ref="C213:D213"/>
    <mergeCell ref="B223:D223"/>
    <mergeCell ref="A224:E224"/>
    <mergeCell ref="C225:D225"/>
    <mergeCell ref="C189:D189"/>
    <mergeCell ref="B199:D199"/>
    <mergeCell ref="A200:E200"/>
    <mergeCell ref="C201:D201"/>
    <mergeCell ref="B211:D211"/>
    <mergeCell ref="B175:D175"/>
    <mergeCell ref="A176:E176"/>
    <mergeCell ref="C177:D177"/>
    <mergeCell ref="B187:D187"/>
    <mergeCell ref="A188:E188"/>
    <mergeCell ref="A152:E152"/>
    <mergeCell ref="C153:D153"/>
    <mergeCell ref="B163:D163"/>
    <mergeCell ref="A164:E164"/>
    <mergeCell ref="C165:D165"/>
    <mergeCell ref="C117:D117"/>
    <mergeCell ref="B127:D127"/>
    <mergeCell ref="A128:E128"/>
    <mergeCell ref="C129:D129"/>
    <mergeCell ref="B151:D151"/>
    <mergeCell ref="B103:D103"/>
    <mergeCell ref="A104:E104"/>
    <mergeCell ref="C105:D105"/>
    <mergeCell ref="B115:D115"/>
    <mergeCell ref="A116:E116"/>
    <mergeCell ref="A80:E80"/>
    <mergeCell ref="C81:D81"/>
    <mergeCell ref="B91:D91"/>
    <mergeCell ref="A92:E92"/>
    <mergeCell ref="C93:D93"/>
  </mergeCells>
  <conditionalFormatting sqref="E14:X15">
    <cfRule type="containsBlanks" dxfId="55" priority="1">
      <formula>LEN(TRIM(E14))=0</formula>
    </cfRule>
  </conditionalFormatting>
  <conditionalFormatting sqref="E19:X20">
    <cfRule type="containsBlanks" dxfId="54" priority="2">
      <formula>LEN(TRIM(E19))=0</formula>
    </cfRule>
  </conditionalFormatting>
  <conditionalFormatting sqref="E22:X23 E25:X26 E33:X33 E35:X35 E39:X40">
    <cfRule type="containsBlanks" dxfId="53" priority="3">
      <formula>LEN(TRIM(E22))=0</formula>
    </cfRule>
  </conditionalFormatting>
  <conditionalFormatting sqref="E30:X30">
    <cfRule type="expression" dxfId="52" priority="4">
      <formula>E30&lt;&gt;E47</formula>
    </cfRule>
    <cfRule type="expression" dxfId="51" priority="5">
      <formula>E30&lt;&gt;E34</formula>
    </cfRule>
  </conditionalFormatting>
  <conditionalFormatting sqref="E34:X34">
    <cfRule type="expression" dxfId="50" priority="6">
      <formula>E30&lt;&gt;E34</formula>
    </cfRule>
    <cfRule type="expression" dxfId="49" priority="7">
      <formula>E30=E34</formula>
    </cfRule>
    <cfRule type="expression" dxfId="48" priority="8">
      <formula>E34&lt;&gt;E30</formula>
    </cfRule>
    <cfRule type="expression" dxfId="47" priority="9">
      <formula>E34&lt;&gt;E64</formula>
    </cfRule>
  </conditionalFormatting>
  <conditionalFormatting sqref="E45:X54">
    <cfRule type="containsBlanks" dxfId="46" priority="10">
      <formula>LEN(TRIM(E45))=0</formula>
    </cfRule>
  </conditionalFormatting>
  <conditionalFormatting sqref="E57:X66">
    <cfRule type="containsBlanks" dxfId="45" priority="11">
      <formula>LEN(TRIM(E57))=0</formula>
    </cfRule>
  </conditionalFormatting>
  <conditionalFormatting sqref="E69:X78">
    <cfRule type="containsBlanks" dxfId="44" priority="12">
      <formula>LEN(TRIM(E69))=0</formula>
    </cfRule>
  </conditionalFormatting>
  <conditionalFormatting sqref="E81:X90">
    <cfRule type="containsBlanks" dxfId="43" priority="13">
      <formula>LEN(TRIM(E81))=0</formula>
    </cfRule>
  </conditionalFormatting>
  <conditionalFormatting sqref="E93:X102">
    <cfRule type="containsBlanks" dxfId="42" priority="14">
      <formula>LEN(TRIM(E93))=0</formula>
    </cfRule>
  </conditionalFormatting>
  <conditionalFormatting sqref="E105:X114">
    <cfRule type="containsBlanks" dxfId="41" priority="15">
      <formula>LEN(TRIM(E105))=0</formula>
    </cfRule>
  </conditionalFormatting>
  <conditionalFormatting sqref="E117:X126">
    <cfRule type="containsBlanks" dxfId="40" priority="16">
      <formula>LEN(TRIM(E117))=0</formula>
    </cfRule>
  </conditionalFormatting>
  <conditionalFormatting sqref="E129:X138">
    <cfRule type="containsBlanks" dxfId="39" priority="17">
      <formula>LEN(TRIM(E129))=0</formula>
    </cfRule>
  </conditionalFormatting>
  <conditionalFormatting sqref="E141:X150">
    <cfRule type="containsBlanks" dxfId="38" priority="18">
      <formula>LEN(TRIM(E141))=0</formula>
    </cfRule>
  </conditionalFormatting>
  <conditionalFormatting sqref="E153:X162">
    <cfRule type="containsBlanks" dxfId="37" priority="19">
      <formula>LEN(TRIM(E153))=0</formula>
    </cfRule>
  </conditionalFormatting>
  <conditionalFormatting sqref="E165:X174">
    <cfRule type="containsBlanks" dxfId="36" priority="20">
      <formula>LEN(TRIM(E165))=0</formula>
    </cfRule>
  </conditionalFormatting>
  <conditionalFormatting sqref="E177:X186">
    <cfRule type="containsBlanks" dxfId="35" priority="21">
      <formula>LEN(TRIM(E177))=0</formula>
    </cfRule>
  </conditionalFormatting>
  <conditionalFormatting sqref="E189:X198">
    <cfRule type="containsBlanks" dxfId="34" priority="22">
      <formula>LEN(TRIM(E189))=0</formula>
    </cfRule>
  </conditionalFormatting>
  <conditionalFormatting sqref="E201:X210">
    <cfRule type="containsBlanks" dxfId="33" priority="23">
      <formula>LEN(TRIM(E201))=0</formula>
    </cfRule>
  </conditionalFormatting>
  <conditionalFormatting sqref="E213:X222">
    <cfRule type="containsBlanks" dxfId="32" priority="24">
      <formula>LEN(TRIM(E213))=0</formula>
    </cfRule>
  </conditionalFormatting>
  <conditionalFormatting sqref="E225:X234">
    <cfRule type="containsBlanks" dxfId="31" priority="25">
      <formula>LEN(TRIM(E225))=0</formula>
    </cfRule>
  </conditionalFormatting>
  <conditionalFormatting sqref="E237:X246">
    <cfRule type="containsBlanks" dxfId="30" priority="26">
      <formula>LEN(TRIM(E237))=0</formula>
    </cfRule>
  </conditionalFormatting>
  <conditionalFormatting sqref="E249:X258">
    <cfRule type="containsBlanks" dxfId="29" priority="27">
      <formula>LEN(TRIM(E249))=0</formula>
    </cfRule>
  </conditionalFormatting>
  <conditionalFormatting sqref="E262:X263">
    <cfRule type="containsBlanks" dxfId="28" priority="28">
      <formula>LEN(TRIM(E262))=0</formula>
    </cfRule>
  </conditionalFormatting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1000"/>
  <sheetViews>
    <sheetView tabSelected="1" workbookViewId="0">
      <selection activeCell="E249" sqref="E249:AL252"/>
    </sheetView>
  </sheetViews>
  <sheetFormatPr defaultColWidth="14.3984375" defaultRowHeight="15" customHeight="1" x14ac:dyDescent="0.3"/>
  <cols>
    <col min="1" max="2" width="8.69921875" customWidth="1"/>
    <col min="3" max="3" width="67.09765625" customWidth="1"/>
    <col min="4" max="4" width="5.8984375" customWidth="1"/>
    <col min="5" max="38" width="8.69921875" customWidth="1"/>
    <col min="39" max="39" width="13.296875" customWidth="1"/>
  </cols>
  <sheetData>
    <row r="1" spans="1:39" ht="12.75" customHeight="1" x14ac:dyDescent="0.3"/>
    <row r="2" spans="1:39" ht="12.75" customHeight="1" x14ac:dyDescent="0.3">
      <c r="C2" s="8" t="s">
        <v>0</v>
      </c>
      <c r="D2" s="8" t="s">
        <v>1</v>
      </c>
    </row>
    <row r="3" spans="1:39" ht="12.75" customHeight="1" x14ac:dyDescent="0.3">
      <c r="C3" s="8" t="s">
        <v>2</v>
      </c>
      <c r="D3" s="8" t="s">
        <v>3</v>
      </c>
    </row>
    <row r="4" spans="1:39" ht="12.75" customHeight="1" x14ac:dyDescent="0.3">
      <c r="C4" s="8" t="s">
        <v>4</v>
      </c>
      <c r="D4" s="8" t="s">
        <v>5</v>
      </c>
    </row>
    <row r="5" spans="1:39" ht="12.75" customHeight="1" x14ac:dyDescent="0.3">
      <c r="C5" s="8"/>
      <c r="D5" s="8"/>
    </row>
    <row r="6" spans="1:39" ht="12.75" customHeight="1" x14ac:dyDescent="0.3">
      <c r="C6" s="8"/>
      <c r="D6" s="8"/>
    </row>
    <row r="7" spans="1:39" ht="12.75" customHeight="1" x14ac:dyDescent="0.3">
      <c r="C7" s="8"/>
      <c r="D7" s="8"/>
    </row>
    <row r="8" spans="1:39" ht="12.75" customHeight="1" x14ac:dyDescent="0.3">
      <c r="C8" s="8"/>
      <c r="D8" s="8"/>
    </row>
    <row r="9" spans="1:39" ht="12.75" customHeight="1" x14ac:dyDescent="0.3">
      <c r="C9" s="8" t="s">
        <v>198</v>
      </c>
      <c r="D9" s="8" t="s">
        <v>1</v>
      </c>
    </row>
    <row r="10" spans="1:39" ht="12.75" customHeight="1" x14ac:dyDescent="0.3"/>
    <row r="11" spans="1:39" ht="12.75" customHeight="1" x14ac:dyDescent="0.3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S11" s="1"/>
      <c r="T11" s="1"/>
      <c r="U11" s="1"/>
      <c r="V11" s="1"/>
      <c r="W11" s="1"/>
      <c r="X11" s="1"/>
      <c r="Y11" s="1"/>
      <c r="Z11" s="1"/>
      <c r="AA11" s="2"/>
      <c r="AF11" s="1"/>
      <c r="AG11" s="2"/>
    </row>
    <row r="12" spans="1:39" ht="12.75" customHeight="1" x14ac:dyDescent="0.3">
      <c r="A12" s="13" t="s">
        <v>6</v>
      </c>
      <c r="B12" s="66" t="s">
        <v>7</v>
      </c>
      <c r="C12" s="60"/>
      <c r="D12" s="58"/>
      <c r="E12" s="83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84" t="s">
        <v>8</v>
      </c>
    </row>
    <row r="13" spans="1:39" ht="12.75" customHeight="1" x14ac:dyDescent="0.3">
      <c r="A13" s="16" t="s">
        <v>9</v>
      </c>
      <c r="B13" s="70" t="s">
        <v>10</v>
      </c>
      <c r="C13" s="60"/>
      <c r="D13" s="58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220</v>
      </c>
      <c r="W13" s="13" t="s">
        <v>222</v>
      </c>
      <c r="X13" s="13" t="s">
        <v>223</v>
      </c>
      <c r="Y13" s="13" t="s">
        <v>224</v>
      </c>
      <c r="Z13" s="13" t="s">
        <v>229</v>
      </c>
      <c r="AA13" s="13" t="s">
        <v>230</v>
      </c>
      <c r="AB13" s="13" t="s">
        <v>231</v>
      </c>
      <c r="AC13" s="13" t="s">
        <v>232</v>
      </c>
      <c r="AD13" s="13" t="s">
        <v>233</v>
      </c>
      <c r="AE13" s="13" t="s">
        <v>234</v>
      </c>
      <c r="AF13" s="13" t="s">
        <v>235</v>
      </c>
      <c r="AG13" s="13" t="s">
        <v>236</v>
      </c>
      <c r="AH13" s="13" t="s">
        <v>237</v>
      </c>
      <c r="AI13" s="13" t="s">
        <v>238</v>
      </c>
      <c r="AJ13" s="13" t="s">
        <v>239</v>
      </c>
      <c r="AK13" s="13" t="s">
        <v>240</v>
      </c>
      <c r="AL13" s="13" t="s">
        <v>241</v>
      </c>
      <c r="AM13" s="76"/>
    </row>
    <row r="14" spans="1:39" ht="12.75" customHeight="1" x14ac:dyDescent="0.3">
      <c r="A14" s="15"/>
      <c r="B14" s="71" t="s">
        <v>11</v>
      </c>
      <c r="C14" s="63"/>
      <c r="D14" s="16" t="s">
        <v>12</v>
      </c>
      <c r="E14" s="16">
        <v>135</v>
      </c>
      <c r="F14" s="16">
        <v>140</v>
      </c>
      <c r="G14" s="16">
        <v>111</v>
      </c>
      <c r="H14" s="16">
        <v>115</v>
      </c>
      <c r="I14" s="16">
        <v>132</v>
      </c>
      <c r="J14" s="16">
        <v>112</v>
      </c>
      <c r="K14" s="16">
        <v>130</v>
      </c>
      <c r="L14" s="16">
        <v>127</v>
      </c>
      <c r="M14" s="16">
        <v>130</v>
      </c>
      <c r="N14" s="16">
        <v>141</v>
      </c>
      <c r="O14" s="16">
        <v>131</v>
      </c>
      <c r="P14" s="16">
        <v>122</v>
      </c>
      <c r="Q14" s="16">
        <v>124</v>
      </c>
      <c r="R14" s="16">
        <v>124</v>
      </c>
      <c r="S14" s="16">
        <v>127</v>
      </c>
      <c r="T14" s="16">
        <v>133</v>
      </c>
      <c r="U14" s="16">
        <v>127</v>
      </c>
      <c r="V14" s="16">
        <v>118</v>
      </c>
      <c r="W14" s="16">
        <v>117</v>
      </c>
      <c r="X14" s="16">
        <v>119</v>
      </c>
      <c r="Y14" s="16">
        <v>140</v>
      </c>
      <c r="Z14" s="16">
        <v>78</v>
      </c>
      <c r="AA14" s="16">
        <v>133</v>
      </c>
      <c r="AB14" s="16">
        <v>125</v>
      </c>
      <c r="AC14" s="16">
        <v>137</v>
      </c>
      <c r="AD14" s="16">
        <v>146</v>
      </c>
      <c r="AE14" s="16">
        <v>141</v>
      </c>
      <c r="AF14" s="16">
        <v>138</v>
      </c>
      <c r="AG14" s="16">
        <v>119</v>
      </c>
      <c r="AH14" s="16">
        <v>101</v>
      </c>
      <c r="AI14" s="16">
        <v>119</v>
      </c>
      <c r="AJ14" s="16">
        <v>127</v>
      </c>
      <c r="AK14" s="16">
        <v>129</v>
      </c>
      <c r="AL14" s="16">
        <v>124</v>
      </c>
      <c r="AM14" s="13">
        <f t="shared" ref="AM14:AM16" si="0">SUM(E14:AL14)</f>
        <v>4272</v>
      </c>
    </row>
    <row r="15" spans="1:39" ht="12.75" customHeight="1" x14ac:dyDescent="0.3">
      <c r="A15" s="15"/>
      <c r="B15" s="72"/>
      <c r="C15" s="73"/>
      <c r="D15" s="16" t="s">
        <v>13</v>
      </c>
      <c r="E15" s="16">
        <v>146</v>
      </c>
      <c r="F15" s="16">
        <v>146</v>
      </c>
      <c r="G15" s="16">
        <v>121</v>
      </c>
      <c r="H15" s="16">
        <v>125</v>
      </c>
      <c r="I15" s="16">
        <v>134</v>
      </c>
      <c r="J15" s="16">
        <v>125</v>
      </c>
      <c r="K15" s="16">
        <v>120</v>
      </c>
      <c r="L15" s="16">
        <v>123</v>
      </c>
      <c r="M15" s="16">
        <v>149</v>
      </c>
      <c r="N15" s="16">
        <v>141</v>
      </c>
      <c r="O15" s="16">
        <v>134</v>
      </c>
      <c r="P15" s="16">
        <v>121</v>
      </c>
      <c r="Q15" s="16">
        <v>126</v>
      </c>
      <c r="R15" s="16">
        <v>127</v>
      </c>
      <c r="S15" s="16">
        <v>131</v>
      </c>
      <c r="T15" s="16">
        <v>136</v>
      </c>
      <c r="U15" s="16">
        <v>136</v>
      </c>
      <c r="V15" s="16">
        <v>135</v>
      </c>
      <c r="W15" s="16">
        <v>135</v>
      </c>
      <c r="X15" s="16">
        <v>144</v>
      </c>
      <c r="Y15" s="16">
        <v>140</v>
      </c>
      <c r="Z15" s="16">
        <v>76</v>
      </c>
      <c r="AA15" s="16">
        <v>141</v>
      </c>
      <c r="AB15" s="16">
        <v>143</v>
      </c>
      <c r="AC15" s="16">
        <v>156</v>
      </c>
      <c r="AD15" s="16">
        <v>142</v>
      </c>
      <c r="AE15" s="16">
        <v>152</v>
      </c>
      <c r="AF15" s="16">
        <v>153</v>
      </c>
      <c r="AG15" s="16">
        <v>114</v>
      </c>
      <c r="AH15" s="16">
        <v>128</v>
      </c>
      <c r="AI15" s="16">
        <v>135</v>
      </c>
      <c r="AJ15" s="16">
        <v>142</v>
      </c>
      <c r="AK15" s="16">
        <v>131</v>
      </c>
      <c r="AL15" s="16">
        <v>142</v>
      </c>
      <c r="AM15" s="13">
        <f t="shared" si="0"/>
        <v>4550</v>
      </c>
    </row>
    <row r="16" spans="1:39" ht="12.75" customHeight="1" x14ac:dyDescent="0.3">
      <c r="A16" s="18"/>
      <c r="B16" s="69"/>
      <c r="C16" s="65"/>
      <c r="D16" s="13" t="s">
        <v>14</v>
      </c>
      <c r="E16" s="13">
        <f t="shared" ref="E16:AL16" si="1">SUM(E14:E15)</f>
        <v>281</v>
      </c>
      <c r="F16" s="13">
        <f t="shared" si="1"/>
        <v>286</v>
      </c>
      <c r="G16" s="13">
        <f t="shared" si="1"/>
        <v>232</v>
      </c>
      <c r="H16" s="13">
        <f t="shared" si="1"/>
        <v>240</v>
      </c>
      <c r="I16" s="13">
        <f t="shared" si="1"/>
        <v>266</v>
      </c>
      <c r="J16" s="13">
        <f t="shared" si="1"/>
        <v>237</v>
      </c>
      <c r="K16" s="13">
        <f t="shared" si="1"/>
        <v>250</v>
      </c>
      <c r="L16" s="13">
        <f t="shared" si="1"/>
        <v>250</v>
      </c>
      <c r="M16" s="13">
        <f t="shared" si="1"/>
        <v>279</v>
      </c>
      <c r="N16" s="13">
        <f t="shared" si="1"/>
        <v>282</v>
      </c>
      <c r="O16" s="13">
        <f t="shared" si="1"/>
        <v>265</v>
      </c>
      <c r="P16" s="13">
        <f t="shared" si="1"/>
        <v>243</v>
      </c>
      <c r="Q16" s="13">
        <f t="shared" si="1"/>
        <v>250</v>
      </c>
      <c r="R16" s="13">
        <f t="shared" si="1"/>
        <v>251</v>
      </c>
      <c r="S16" s="13">
        <f t="shared" si="1"/>
        <v>258</v>
      </c>
      <c r="T16" s="13">
        <f t="shared" si="1"/>
        <v>269</v>
      </c>
      <c r="U16" s="13">
        <f t="shared" si="1"/>
        <v>263</v>
      </c>
      <c r="V16" s="13">
        <f t="shared" si="1"/>
        <v>253</v>
      </c>
      <c r="W16" s="13">
        <f t="shared" si="1"/>
        <v>252</v>
      </c>
      <c r="X16" s="13">
        <f t="shared" si="1"/>
        <v>263</v>
      </c>
      <c r="Y16" s="13">
        <f t="shared" si="1"/>
        <v>280</v>
      </c>
      <c r="Z16" s="13">
        <f t="shared" si="1"/>
        <v>154</v>
      </c>
      <c r="AA16" s="13">
        <f t="shared" si="1"/>
        <v>274</v>
      </c>
      <c r="AB16" s="13">
        <f t="shared" si="1"/>
        <v>268</v>
      </c>
      <c r="AC16" s="13">
        <f t="shared" si="1"/>
        <v>293</v>
      </c>
      <c r="AD16" s="13">
        <f t="shared" si="1"/>
        <v>288</v>
      </c>
      <c r="AE16" s="13">
        <f t="shared" si="1"/>
        <v>293</v>
      </c>
      <c r="AF16" s="13">
        <f t="shared" si="1"/>
        <v>291</v>
      </c>
      <c r="AG16" s="13">
        <f t="shared" si="1"/>
        <v>233</v>
      </c>
      <c r="AH16" s="13">
        <f t="shared" si="1"/>
        <v>229</v>
      </c>
      <c r="AI16" s="13">
        <f t="shared" si="1"/>
        <v>254</v>
      </c>
      <c r="AJ16" s="13">
        <f t="shared" si="1"/>
        <v>269</v>
      </c>
      <c r="AK16" s="13">
        <f t="shared" si="1"/>
        <v>260</v>
      </c>
      <c r="AL16" s="13">
        <f t="shared" si="1"/>
        <v>266</v>
      </c>
      <c r="AM16" s="13">
        <f t="shared" si="0"/>
        <v>8822</v>
      </c>
    </row>
    <row r="17" spans="1:39" ht="12.75" customHeight="1" x14ac:dyDescent="0.3">
      <c r="A17" s="61"/>
      <c r="B17" s="60"/>
      <c r="C17" s="60"/>
      <c r="D17" s="58"/>
      <c r="E17" s="16"/>
      <c r="F17" s="16"/>
      <c r="G17" s="16"/>
      <c r="H17" s="16"/>
      <c r="I17" s="16"/>
      <c r="J17" s="16"/>
      <c r="K17" s="16"/>
      <c r="L17" s="16"/>
      <c r="M17" s="16"/>
      <c r="N17" s="48"/>
      <c r="O17" s="48"/>
      <c r="P17" s="48"/>
      <c r="Q17" s="48"/>
      <c r="R17" s="48"/>
      <c r="S17" s="16"/>
      <c r="T17" s="16"/>
      <c r="U17" s="16"/>
      <c r="V17" s="16"/>
      <c r="W17" s="16"/>
      <c r="X17" s="16"/>
      <c r="Y17" s="16"/>
      <c r="Z17" s="16"/>
      <c r="AA17" s="48"/>
      <c r="AB17" s="48"/>
      <c r="AC17" s="48"/>
      <c r="AD17" s="48"/>
      <c r="AE17" s="48"/>
      <c r="AF17" s="16"/>
      <c r="AG17" s="48"/>
      <c r="AH17" s="48"/>
      <c r="AI17" s="48"/>
      <c r="AJ17" s="48"/>
      <c r="AK17" s="48"/>
      <c r="AL17" s="48"/>
      <c r="AM17" s="49"/>
    </row>
    <row r="18" spans="1:39" ht="12.75" customHeight="1" x14ac:dyDescent="0.3">
      <c r="A18" s="20" t="s">
        <v>15</v>
      </c>
      <c r="B18" s="70" t="s">
        <v>16</v>
      </c>
      <c r="C18" s="60"/>
      <c r="D18" s="58"/>
      <c r="E18" s="16"/>
      <c r="F18" s="16"/>
      <c r="G18" s="16"/>
      <c r="H18" s="16"/>
      <c r="I18" s="16"/>
      <c r="J18" s="16"/>
      <c r="K18" s="16"/>
      <c r="L18" s="16"/>
      <c r="M18" s="16"/>
      <c r="N18" s="48"/>
      <c r="O18" s="48"/>
      <c r="P18" s="48"/>
      <c r="Q18" s="48"/>
      <c r="R18" s="48"/>
      <c r="S18" s="16"/>
      <c r="T18" s="16"/>
      <c r="U18" s="16"/>
      <c r="V18" s="16"/>
      <c r="W18" s="16"/>
      <c r="X18" s="16"/>
      <c r="Y18" s="16"/>
      <c r="Z18" s="16"/>
      <c r="AA18" s="48"/>
      <c r="AB18" s="48"/>
      <c r="AC18" s="48"/>
      <c r="AD18" s="48"/>
      <c r="AE18" s="48"/>
      <c r="AF18" s="16"/>
      <c r="AG18" s="48"/>
      <c r="AH18" s="48"/>
      <c r="AI18" s="48"/>
      <c r="AJ18" s="48"/>
      <c r="AK18" s="48"/>
      <c r="AL18" s="48"/>
      <c r="AM18" s="49"/>
    </row>
    <row r="19" spans="1:39" ht="12.75" customHeight="1" x14ac:dyDescent="0.3">
      <c r="A19" s="20"/>
      <c r="B19" s="77" t="s">
        <v>17</v>
      </c>
      <c r="C19" s="74" t="s">
        <v>18</v>
      </c>
      <c r="D19" s="16" t="s">
        <v>12</v>
      </c>
      <c r="E19" s="16">
        <v>88</v>
      </c>
      <c r="F19" s="16">
        <v>100</v>
      </c>
      <c r="G19" s="16">
        <v>79</v>
      </c>
      <c r="H19" s="16">
        <v>92</v>
      </c>
      <c r="I19" s="16">
        <v>110</v>
      </c>
      <c r="J19" s="16">
        <v>81</v>
      </c>
      <c r="K19" s="16">
        <v>96</v>
      </c>
      <c r="L19" s="16">
        <v>93</v>
      </c>
      <c r="M19" s="16">
        <v>95</v>
      </c>
      <c r="N19" s="16">
        <v>103</v>
      </c>
      <c r="O19" s="16">
        <v>92</v>
      </c>
      <c r="P19" s="16">
        <v>96</v>
      </c>
      <c r="Q19" s="16">
        <v>100</v>
      </c>
      <c r="R19" s="16">
        <v>93</v>
      </c>
      <c r="S19" s="16">
        <v>98</v>
      </c>
      <c r="T19" s="16">
        <v>106</v>
      </c>
      <c r="U19" s="16">
        <v>100</v>
      </c>
      <c r="V19" s="16">
        <v>88</v>
      </c>
      <c r="W19" s="16">
        <v>99</v>
      </c>
      <c r="X19" s="16">
        <v>95</v>
      </c>
      <c r="Y19" s="16">
        <v>101</v>
      </c>
      <c r="Z19" s="16">
        <v>54</v>
      </c>
      <c r="AA19" s="16">
        <v>98</v>
      </c>
      <c r="AB19" s="16">
        <v>100</v>
      </c>
      <c r="AC19" s="16">
        <v>102</v>
      </c>
      <c r="AD19" s="16">
        <v>104</v>
      </c>
      <c r="AE19" s="16">
        <v>104</v>
      </c>
      <c r="AF19" s="16">
        <v>120</v>
      </c>
      <c r="AG19" s="16">
        <v>91</v>
      </c>
      <c r="AH19" s="16">
        <v>77</v>
      </c>
      <c r="AI19" s="16">
        <v>84</v>
      </c>
      <c r="AJ19" s="16">
        <v>97</v>
      </c>
      <c r="AK19" s="16">
        <v>98</v>
      </c>
      <c r="AL19" s="16">
        <v>93</v>
      </c>
      <c r="AM19" s="13">
        <f t="shared" ref="AM19:AM30" si="2">SUM(E19:AL19)</f>
        <v>3227</v>
      </c>
    </row>
    <row r="20" spans="1:39" ht="12.75" customHeight="1" x14ac:dyDescent="0.3">
      <c r="A20" s="21"/>
      <c r="B20" s="73"/>
      <c r="C20" s="75"/>
      <c r="D20" s="16" t="s">
        <v>13</v>
      </c>
      <c r="E20" s="16">
        <v>103</v>
      </c>
      <c r="F20" s="16">
        <v>111</v>
      </c>
      <c r="G20" s="16">
        <v>98</v>
      </c>
      <c r="H20" s="16">
        <v>100</v>
      </c>
      <c r="I20" s="16">
        <v>109</v>
      </c>
      <c r="J20" s="16">
        <v>99</v>
      </c>
      <c r="K20" s="16">
        <v>105</v>
      </c>
      <c r="L20" s="16">
        <v>100</v>
      </c>
      <c r="M20" s="16">
        <v>112</v>
      </c>
      <c r="N20" s="16">
        <v>113</v>
      </c>
      <c r="O20" s="16">
        <v>101</v>
      </c>
      <c r="P20" s="16">
        <v>99</v>
      </c>
      <c r="Q20" s="16">
        <v>111</v>
      </c>
      <c r="R20" s="16">
        <v>104</v>
      </c>
      <c r="S20" s="16">
        <v>103</v>
      </c>
      <c r="T20" s="16">
        <v>109</v>
      </c>
      <c r="U20" s="16">
        <v>113</v>
      </c>
      <c r="V20" s="16">
        <v>108</v>
      </c>
      <c r="W20" s="16">
        <v>86</v>
      </c>
      <c r="X20" s="16">
        <v>110</v>
      </c>
      <c r="Y20" s="16">
        <v>118</v>
      </c>
      <c r="Z20" s="16">
        <v>57</v>
      </c>
      <c r="AA20" s="16">
        <v>115</v>
      </c>
      <c r="AB20" s="16">
        <v>102</v>
      </c>
      <c r="AC20" s="16">
        <v>122</v>
      </c>
      <c r="AD20" s="16">
        <v>115</v>
      </c>
      <c r="AE20" s="16">
        <v>112</v>
      </c>
      <c r="AF20" s="16">
        <v>120</v>
      </c>
      <c r="AG20" s="16">
        <v>78</v>
      </c>
      <c r="AH20" s="16">
        <v>102</v>
      </c>
      <c r="AI20" s="16">
        <v>112</v>
      </c>
      <c r="AJ20" s="16">
        <v>123</v>
      </c>
      <c r="AK20" s="16">
        <v>111</v>
      </c>
      <c r="AL20" s="16">
        <v>106</v>
      </c>
      <c r="AM20" s="13">
        <f t="shared" si="2"/>
        <v>3587</v>
      </c>
    </row>
    <row r="21" spans="1:39" ht="12.75" customHeight="1" x14ac:dyDescent="0.3">
      <c r="A21" s="22"/>
      <c r="B21" s="65"/>
      <c r="C21" s="76"/>
      <c r="D21" s="13" t="s">
        <v>14</v>
      </c>
      <c r="E21" s="13">
        <f t="shared" ref="E21:AL21" si="3">SUM(E19:E20)</f>
        <v>191</v>
      </c>
      <c r="F21" s="13">
        <f t="shared" si="3"/>
        <v>211</v>
      </c>
      <c r="G21" s="13">
        <f t="shared" si="3"/>
        <v>177</v>
      </c>
      <c r="H21" s="13">
        <f t="shared" si="3"/>
        <v>192</v>
      </c>
      <c r="I21" s="13">
        <f t="shared" si="3"/>
        <v>219</v>
      </c>
      <c r="J21" s="13">
        <f t="shared" si="3"/>
        <v>180</v>
      </c>
      <c r="K21" s="13">
        <f t="shared" si="3"/>
        <v>201</v>
      </c>
      <c r="L21" s="13">
        <f t="shared" si="3"/>
        <v>193</v>
      </c>
      <c r="M21" s="13">
        <f t="shared" si="3"/>
        <v>207</v>
      </c>
      <c r="N21" s="13">
        <f t="shared" si="3"/>
        <v>216</v>
      </c>
      <c r="O21" s="13">
        <f t="shared" si="3"/>
        <v>193</v>
      </c>
      <c r="P21" s="13">
        <f t="shared" si="3"/>
        <v>195</v>
      </c>
      <c r="Q21" s="13">
        <f t="shared" si="3"/>
        <v>211</v>
      </c>
      <c r="R21" s="13">
        <f t="shared" si="3"/>
        <v>197</v>
      </c>
      <c r="S21" s="13">
        <f t="shared" si="3"/>
        <v>201</v>
      </c>
      <c r="T21" s="13">
        <f t="shared" si="3"/>
        <v>215</v>
      </c>
      <c r="U21" s="13">
        <f t="shared" si="3"/>
        <v>213</v>
      </c>
      <c r="V21" s="13">
        <f t="shared" si="3"/>
        <v>196</v>
      </c>
      <c r="W21" s="13">
        <f t="shared" si="3"/>
        <v>185</v>
      </c>
      <c r="X21" s="13">
        <f t="shared" si="3"/>
        <v>205</v>
      </c>
      <c r="Y21" s="13">
        <f t="shared" si="3"/>
        <v>219</v>
      </c>
      <c r="Z21" s="13">
        <f t="shared" si="3"/>
        <v>111</v>
      </c>
      <c r="AA21" s="13">
        <f t="shared" si="3"/>
        <v>213</v>
      </c>
      <c r="AB21" s="13">
        <f t="shared" si="3"/>
        <v>202</v>
      </c>
      <c r="AC21" s="13">
        <f t="shared" si="3"/>
        <v>224</v>
      </c>
      <c r="AD21" s="13">
        <f t="shared" si="3"/>
        <v>219</v>
      </c>
      <c r="AE21" s="13">
        <f t="shared" si="3"/>
        <v>216</v>
      </c>
      <c r="AF21" s="13">
        <f t="shared" si="3"/>
        <v>240</v>
      </c>
      <c r="AG21" s="13">
        <f t="shared" si="3"/>
        <v>169</v>
      </c>
      <c r="AH21" s="13">
        <f t="shared" si="3"/>
        <v>179</v>
      </c>
      <c r="AI21" s="13">
        <f t="shared" si="3"/>
        <v>196</v>
      </c>
      <c r="AJ21" s="13">
        <f t="shared" si="3"/>
        <v>220</v>
      </c>
      <c r="AK21" s="13">
        <f t="shared" si="3"/>
        <v>209</v>
      </c>
      <c r="AL21" s="13">
        <f t="shared" si="3"/>
        <v>199</v>
      </c>
      <c r="AM21" s="13">
        <f t="shared" si="2"/>
        <v>6814</v>
      </c>
    </row>
    <row r="22" spans="1:39" ht="12.75" customHeight="1" x14ac:dyDescent="0.3">
      <c r="A22" s="21"/>
      <c r="B22" s="77" t="s">
        <v>19</v>
      </c>
      <c r="C22" s="74" t="s">
        <v>20</v>
      </c>
      <c r="D22" s="16" t="s">
        <v>12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1</v>
      </c>
      <c r="K22" s="16">
        <v>0</v>
      </c>
      <c r="L22" s="16">
        <v>0</v>
      </c>
      <c r="M22" s="16">
        <v>0</v>
      </c>
      <c r="N22" s="16">
        <v>1</v>
      </c>
      <c r="O22" s="16">
        <v>0</v>
      </c>
      <c r="P22" s="16">
        <v>0</v>
      </c>
      <c r="Q22" s="16">
        <v>0</v>
      </c>
      <c r="R22" s="16">
        <v>0</v>
      </c>
      <c r="S22" s="16">
        <v>1</v>
      </c>
      <c r="T22" s="16">
        <v>1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1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3">
        <f t="shared" si="2"/>
        <v>5</v>
      </c>
    </row>
    <row r="23" spans="1:39" ht="12.75" customHeight="1" x14ac:dyDescent="0.3">
      <c r="A23" s="21"/>
      <c r="B23" s="73"/>
      <c r="C23" s="75"/>
      <c r="D23" s="16" t="s">
        <v>13</v>
      </c>
      <c r="E23" s="16">
        <v>0</v>
      </c>
      <c r="F23" s="16">
        <v>1</v>
      </c>
      <c r="G23" s="16">
        <v>0</v>
      </c>
      <c r="H23" s="16">
        <v>0</v>
      </c>
      <c r="I23" s="16">
        <v>0</v>
      </c>
      <c r="J23" s="16">
        <v>1</v>
      </c>
      <c r="K23" s="16">
        <v>0</v>
      </c>
      <c r="L23" s="16">
        <v>0</v>
      </c>
      <c r="M23" s="16">
        <v>0</v>
      </c>
      <c r="N23" s="16">
        <v>1</v>
      </c>
      <c r="O23" s="16">
        <v>1</v>
      </c>
      <c r="P23" s="16">
        <v>0</v>
      </c>
      <c r="Q23" s="16">
        <v>0</v>
      </c>
      <c r="R23" s="16">
        <v>0</v>
      </c>
      <c r="S23" s="16">
        <v>0</v>
      </c>
      <c r="T23" s="16">
        <v>1</v>
      </c>
      <c r="U23" s="16">
        <v>0</v>
      </c>
      <c r="V23" s="16">
        <v>0</v>
      </c>
      <c r="W23" s="16">
        <v>0</v>
      </c>
      <c r="X23" s="16">
        <v>1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2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3">
        <f t="shared" si="2"/>
        <v>8</v>
      </c>
    </row>
    <row r="24" spans="1:39" ht="12.75" customHeight="1" x14ac:dyDescent="0.3">
      <c r="A24" s="22"/>
      <c r="B24" s="65"/>
      <c r="C24" s="76"/>
      <c r="D24" s="13" t="s">
        <v>14</v>
      </c>
      <c r="E24" s="13">
        <f t="shared" ref="E24:AL24" si="4">SUM(E22:E23)</f>
        <v>0</v>
      </c>
      <c r="F24" s="13">
        <f t="shared" si="4"/>
        <v>1</v>
      </c>
      <c r="G24" s="13">
        <f t="shared" si="4"/>
        <v>0</v>
      </c>
      <c r="H24" s="13">
        <f t="shared" si="4"/>
        <v>0</v>
      </c>
      <c r="I24" s="13">
        <f t="shared" si="4"/>
        <v>0</v>
      </c>
      <c r="J24" s="13">
        <f t="shared" si="4"/>
        <v>2</v>
      </c>
      <c r="K24" s="13">
        <f t="shared" si="4"/>
        <v>0</v>
      </c>
      <c r="L24" s="13">
        <f t="shared" si="4"/>
        <v>0</v>
      </c>
      <c r="M24" s="13">
        <f t="shared" si="4"/>
        <v>0</v>
      </c>
      <c r="N24" s="13">
        <f t="shared" si="4"/>
        <v>2</v>
      </c>
      <c r="O24" s="13">
        <f t="shared" si="4"/>
        <v>1</v>
      </c>
      <c r="P24" s="13">
        <f t="shared" si="4"/>
        <v>0</v>
      </c>
      <c r="Q24" s="13">
        <f t="shared" si="4"/>
        <v>0</v>
      </c>
      <c r="R24" s="13">
        <f t="shared" si="4"/>
        <v>0</v>
      </c>
      <c r="S24" s="13">
        <f t="shared" si="4"/>
        <v>1</v>
      </c>
      <c r="T24" s="13">
        <f t="shared" si="4"/>
        <v>2</v>
      </c>
      <c r="U24" s="13">
        <f t="shared" si="4"/>
        <v>0</v>
      </c>
      <c r="V24" s="13">
        <f t="shared" si="4"/>
        <v>0</v>
      </c>
      <c r="W24" s="13">
        <f t="shared" si="4"/>
        <v>0</v>
      </c>
      <c r="X24" s="13">
        <f t="shared" si="4"/>
        <v>1</v>
      </c>
      <c r="Y24" s="13">
        <f t="shared" si="4"/>
        <v>0</v>
      </c>
      <c r="Z24" s="13">
        <f t="shared" si="4"/>
        <v>0</v>
      </c>
      <c r="AA24" s="13">
        <f t="shared" si="4"/>
        <v>0</v>
      </c>
      <c r="AB24" s="13">
        <f t="shared" si="4"/>
        <v>0</v>
      </c>
      <c r="AC24" s="13">
        <f t="shared" si="4"/>
        <v>0</v>
      </c>
      <c r="AD24" s="13">
        <f t="shared" si="4"/>
        <v>0</v>
      </c>
      <c r="AE24" s="13">
        <f t="shared" si="4"/>
        <v>0</v>
      </c>
      <c r="AF24" s="13">
        <f t="shared" si="4"/>
        <v>0</v>
      </c>
      <c r="AG24" s="13">
        <f t="shared" si="4"/>
        <v>3</v>
      </c>
      <c r="AH24" s="13">
        <f t="shared" si="4"/>
        <v>0</v>
      </c>
      <c r="AI24" s="13">
        <f t="shared" si="4"/>
        <v>0</v>
      </c>
      <c r="AJ24" s="13">
        <f t="shared" si="4"/>
        <v>0</v>
      </c>
      <c r="AK24" s="13">
        <f t="shared" si="4"/>
        <v>0</v>
      </c>
      <c r="AL24" s="13">
        <f t="shared" si="4"/>
        <v>0</v>
      </c>
      <c r="AM24" s="13">
        <f t="shared" si="2"/>
        <v>13</v>
      </c>
    </row>
    <row r="25" spans="1:39" ht="12.75" customHeight="1" x14ac:dyDescent="0.3">
      <c r="A25" s="21"/>
      <c r="B25" s="77" t="s">
        <v>21</v>
      </c>
      <c r="C25" s="74" t="s">
        <v>22</v>
      </c>
      <c r="D25" s="16" t="s">
        <v>12</v>
      </c>
      <c r="E25" s="16">
        <v>4</v>
      </c>
      <c r="F25" s="16">
        <v>1</v>
      </c>
      <c r="G25" s="16">
        <v>1</v>
      </c>
      <c r="H25" s="16">
        <v>0</v>
      </c>
      <c r="I25" s="16">
        <v>0</v>
      </c>
      <c r="J25" s="16">
        <v>0</v>
      </c>
      <c r="K25" s="16">
        <v>1</v>
      </c>
      <c r="L25" s="16">
        <v>0</v>
      </c>
      <c r="M25" s="16">
        <v>1</v>
      </c>
      <c r="N25" s="16">
        <v>2</v>
      </c>
      <c r="O25" s="16">
        <v>1</v>
      </c>
      <c r="P25" s="16">
        <v>2</v>
      </c>
      <c r="Q25" s="16">
        <v>1</v>
      </c>
      <c r="R25" s="16">
        <v>2</v>
      </c>
      <c r="S25" s="16">
        <v>0</v>
      </c>
      <c r="T25" s="16">
        <v>0</v>
      </c>
      <c r="U25" s="16">
        <v>0</v>
      </c>
      <c r="V25" s="16">
        <v>0</v>
      </c>
      <c r="W25" s="16">
        <v>1</v>
      </c>
      <c r="X25" s="16">
        <v>0</v>
      </c>
      <c r="Y25" s="16">
        <v>0</v>
      </c>
      <c r="Z25" s="16">
        <v>1</v>
      </c>
      <c r="AA25" s="16">
        <v>2</v>
      </c>
      <c r="AB25" s="16">
        <v>1</v>
      </c>
      <c r="AC25" s="16">
        <v>4</v>
      </c>
      <c r="AD25" s="16">
        <v>0</v>
      </c>
      <c r="AE25" s="16">
        <v>0</v>
      </c>
      <c r="AF25" s="16">
        <v>0</v>
      </c>
      <c r="AG25" s="16">
        <v>7</v>
      </c>
      <c r="AH25" s="16">
        <v>2</v>
      </c>
      <c r="AI25" s="16">
        <v>1</v>
      </c>
      <c r="AJ25" s="16">
        <v>1</v>
      </c>
      <c r="AK25" s="16">
        <v>0</v>
      </c>
      <c r="AL25" s="16">
        <v>0</v>
      </c>
      <c r="AM25" s="13">
        <f t="shared" si="2"/>
        <v>36</v>
      </c>
    </row>
    <row r="26" spans="1:39" ht="12.75" customHeight="1" x14ac:dyDescent="0.3">
      <c r="A26" s="21"/>
      <c r="B26" s="73"/>
      <c r="C26" s="75"/>
      <c r="D26" s="16" t="s">
        <v>13</v>
      </c>
      <c r="E26" s="16">
        <v>0</v>
      </c>
      <c r="F26" s="16">
        <v>0</v>
      </c>
      <c r="G26" s="16">
        <v>0</v>
      </c>
      <c r="H26" s="16">
        <v>1</v>
      </c>
      <c r="I26" s="16">
        <v>0</v>
      </c>
      <c r="J26" s="16">
        <v>0</v>
      </c>
      <c r="K26" s="16">
        <v>2</v>
      </c>
      <c r="L26" s="16">
        <v>0</v>
      </c>
      <c r="M26" s="16">
        <v>1</v>
      </c>
      <c r="N26" s="16">
        <v>1</v>
      </c>
      <c r="O26" s="16">
        <v>3</v>
      </c>
      <c r="P26" s="16">
        <v>1</v>
      </c>
      <c r="Q26" s="16">
        <v>1</v>
      </c>
      <c r="R26" s="16">
        <v>1</v>
      </c>
      <c r="S26" s="16">
        <v>0</v>
      </c>
      <c r="T26" s="16">
        <v>0</v>
      </c>
      <c r="U26" s="16">
        <v>0</v>
      </c>
      <c r="V26" s="16">
        <v>4</v>
      </c>
      <c r="W26" s="16">
        <v>1</v>
      </c>
      <c r="X26" s="16">
        <v>2</v>
      </c>
      <c r="Y26" s="16">
        <v>3</v>
      </c>
      <c r="Z26" s="16">
        <v>2</v>
      </c>
      <c r="AA26" s="16">
        <v>0</v>
      </c>
      <c r="AB26" s="16">
        <v>2</v>
      </c>
      <c r="AC26" s="16">
        <v>3</v>
      </c>
      <c r="AD26" s="16">
        <v>0</v>
      </c>
      <c r="AE26" s="16">
        <v>0</v>
      </c>
      <c r="AF26" s="16">
        <v>0</v>
      </c>
      <c r="AG26" s="16">
        <v>6</v>
      </c>
      <c r="AH26" s="16">
        <v>1</v>
      </c>
      <c r="AI26" s="16">
        <v>0</v>
      </c>
      <c r="AJ26" s="16">
        <v>1</v>
      </c>
      <c r="AK26" s="16">
        <v>0</v>
      </c>
      <c r="AL26" s="16">
        <v>0</v>
      </c>
      <c r="AM26" s="13">
        <f t="shared" si="2"/>
        <v>36</v>
      </c>
    </row>
    <row r="27" spans="1:39" ht="12.75" customHeight="1" x14ac:dyDescent="0.3">
      <c r="A27" s="22"/>
      <c r="B27" s="65"/>
      <c r="C27" s="76"/>
      <c r="D27" s="13" t="s">
        <v>14</v>
      </c>
      <c r="E27" s="13">
        <f t="shared" ref="E27:AL27" si="5">SUM(E25:E26)</f>
        <v>4</v>
      </c>
      <c r="F27" s="13">
        <f t="shared" si="5"/>
        <v>1</v>
      </c>
      <c r="G27" s="13">
        <f t="shared" si="5"/>
        <v>1</v>
      </c>
      <c r="H27" s="13">
        <f t="shared" si="5"/>
        <v>1</v>
      </c>
      <c r="I27" s="13">
        <f t="shared" si="5"/>
        <v>0</v>
      </c>
      <c r="J27" s="13">
        <f t="shared" si="5"/>
        <v>0</v>
      </c>
      <c r="K27" s="13">
        <f t="shared" si="5"/>
        <v>3</v>
      </c>
      <c r="L27" s="13">
        <f t="shared" si="5"/>
        <v>0</v>
      </c>
      <c r="M27" s="13">
        <f t="shared" si="5"/>
        <v>2</v>
      </c>
      <c r="N27" s="13">
        <f t="shared" si="5"/>
        <v>3</v>
      </c>
      <c r="O27" s="13">
        <f t="shared" si="5"/>
        <v>4</v>
      </c>
      <c r="P27" s="13">
        <f t="shared" si="5"/>
        <v>3</v>
      </c>
      <c r="Q27" s="13">
        <f t="shared" si="5"/>
        <v>2</v>
      </c>
      <c r="R27" s="13">
        <f t="shared" si="5"/>
        <v>3</v>
      </c>
      <c r="S27" s="13">
        <f t="shared" si="5"/>
        <v>0</v>
      </c>
      <c r="T27" s="13">
        <f t="shared" si="5"/>
        <v>0</v>
      </c>
      <c r="U27" s="13">
        <f t="shared" si="5"/>
        <v>0</v>
      </c>
      <c r="V27" s="13">
        <f t="shared" si="5"/>
        <v>4</v>
      </c>
      <c r="W27" s="13">
        <f t="shared" si="5"/>
        <v>2</v>
      </c>
      <c r="X27" s="13">
        <f t="shared" si="5"/>
        <v>2</v>
      </c>
      <c r="Y27" s="13">
        <f t="shared" si="5"/>
        <v>3</v>
      </c>
      <c r="Z27" s="13">
        <f t="shared" si="5"/>
        <v>3</v>
      </c>
      <c r="AA27" s="13">
        <f t="shared" si="5"/>
        <v>2</v>
      </c>
      <c r="AB27" s="13">
        <f t="shared" si="5"/>
        <v>3</v>
      </c>
      <c r="AC27" s="13">
        <f t="shared" si="5"/>
        <v>7</v>
      </c>
      <c r="AD27" s="13">
        <f t="shared" si="5"/>
        <v>0</v>
      </c>
      <c r="AE27" s="13">
        <f t="shared" si="5"/>
        <v>0</v>
      </c>
      <c r="AF27" s="13">
        <f t="shared" si="5"/>
        <v>0</v>
      </c>
      <c r="AG27" s="13">
        <f t="shared" si="5"/>
        <v>13</v>
      </c>
      <c r="AH27" s="13">
        <f t="shared" si="5"/>
        <v>3</v>
      </c>
      <c r="AI27" s="13">
        <f t="shared" si="5"/>
        <v>1</v>
      </c>
      <c r="AJ27" s="13">
        <f t="shared" si="5"/>
        <v>2</v>
      </c>
      <c r="AK27" s="13">
        <f t="shared" si="5"/>
        <v>0</v>
      </c>
      <c r="AL27" s="13">
        <f t="shared" si="5"/>
        <v>0</v>
      </c>
      <c r="AM27" s="13">
        <f t="shared" si="2"/>
        <v>72</v>
      </c>
    </row>
    <row r="28" spans="1:39" ht="12.75" customHeight="1" x14ac:dyDescent="0.3">
      <c r="A28" s="22"/>
      <c r="B28" s="78" t="s">
        <v>23</v>
      </c>
      <c r="C28" s="79" t="s">
        <v>24</v>
      </c>
      <c r="D28" s="13" t="s">
        <v>12</v>
      </c>
      <c r="E28" s="13">
        <f t="shared" ref="E28:AL28" si="6">SUM(E19,E22,E25)</f>
        <v>92</v>
      </c>
      <c r="F28" s="13">
        <f t="shared" si="6"/>
        <v>101</v>
      </c>
      <c r="G28" s="13">
        <f t="shared" si="6"/>
        <v>80</v>
      </c>
      <c r="H28" s="13">
        <f t="shared" si="6"/>
        <v>92</v>
      </c>
      <c r="I28" s="13">
        <f t="shared" si="6"/>
        <v>110</v>
      </c>
      <c r="J28" s="13">
        <f t="shared" si="6"/>
        <v>82</v>
      </c>
      <c r="K28" s="13">
        <f t="shared" si="6"/>
        <v>97</v>
      </c>
      <c r="L28" s="13">
        <f t="shared" si="6"/>
        <v>93</v>
      </c>
      <c r="M28" s="13">
        <f t="shared" si="6"/>
        <v>96</v>
      </c>
      <c r="N28" s="13">
        <f t="shared" si="6"/>
        <v>106</v>
      </c>
      <c r="O28" s="13">
        <f t="shared" si="6"/>
        <v>93</v>
      </c>
      <c r="P28" s="13">
        <f t="shared" si="6"/>
        <v>98</v>
      </c>
      <c r="Q28" s="13">
        <f t="shared" si="6"/>
        <v>101</v>
      </c>
      <c r="R28" s="13">
        <f t="shared" si="6"/>
        <v>95</v>
      </c>
      <c r="S28" s="13">
        <f t="shared" si="6"/>
        <v>99</v>
      </c>
      <c r="T28" s="13">
        <f t="shared" si="6"/>
        <v>107</v>
      </c>
      <c r="U28" s="13">
        <f t="shared" si="6"/>
        <v>100</v>
      </c>
      <c r="V28" s="13">
        <f t="shared" si="6"/>
        <v>88</v>
      </c>
      <c r="W28" s="13">
        <f t="shared" si="6"/>
        <v>100</v>
      </c>
      <c r="X28" s="13">
        <f t="shared" si="6"/>
        <v>95</v>
      </c>
      <c r="Y28" s="13">
        <f t="shared" si="6"/>
        <v>101</v>
      </c>
      <c r="Z28" s="13">
        <f t="shared" si="6"/>
        <v>55</v>
      </c>
      <c r="AA28" s="13">
        <f t="shared" si="6"/>
        <v>100</v>
      </c>
      <c r="AB28" s="13">
        <f t="shared" si="6"/>
        <v>101</v>
      </c>
      <c r="AC28" s="13">
        <f t="shared" si="6"/>
        <v>106</v>
      </c>
      <c r="AD28" s="13">
        <f t="shared" si="6"/>
        <v>104</v>
      </c>
      <c r="AE28" s="13">
        <f t="shared" si="6"/>
        <v>104</v>
      </c>
      <c r="AF28" s="13">
        <f t="shared" si="6"/>
        <v>120</v>
      </c>
      <c r="AG28" s="13">
        <f t="shared" si="6"/>
        <v>99</v>
      </c>
      <c r="AH28" s="13">
        <f t="shared" si="6"/>
        <v>79</v>
      </c>
      <c r="AI28" s="13">
        <f t="shared" si="6"/>
        <v>85</v>
      </c>
      <c r="AJ28" s="13">
        <f t="shared" si="6"/>
        <v>98</v>
      </c>
      <c r="AK28" s="13">
        <f t="shared" si="6"/>
        <v>98</v>
      </c>
      <c r="AL28" s="13">
        <f t="shared" si="6"/>
        <v>93</v>
      </c>
      <c r="AM28" s="13">
        <f t="shared" si="2"/>
        <v>3268</v>
      </c>
    </row>
    <row r="29" spans="1:39" ht="12.75" customHeight="1" x14ac:dyDescent="0.3">
      <c r="A29" s="22"/>
      <c r="B29" s="73"/>
      <c r="C29" s="75"/>
      <c r="D29" s="13" t="s">
        <v>13</v>
      </c>
      <c r="E29" s="13">
        <f t="shared" ref="E29:AL29" si="7">SUM(E20,E23,E26)</f>
        <v>103</v>
      </c>
      <c r="F29" s="13">
        <f t="shared" si="7"/>
        <v>112</v>
      </c>
      <c r="G29" s="13">
        <f t="shared" si="7"/>
        <v>98</v>
      </c>
      <c r="H29" s="13">
        <f t="shared" si="7"/>
        <v>101</v>
      </c>
      <c r="I29" s="13">
        <f t="shared" si="7"/>
        <v>109</v>
      </c>
      <c r="J29" s="13">
        <f t="shared" si="7"/>
        <v>100</v>
      </c>
      <c r="K29" s="13">
        <f t="shared" si="7"/>
        <v>107</v>
      </c>
      <c r="L29" s="13">
        <f t="shared" si="7"/>
        <v>100</v>
      </c>
      <c r="M29" s="13">
        <f t="shared" si="7"/>
        <v>113</v>
      </c>
      <c r="N29" s="13">
        <f t="shared" si="7"/>
        <v>115</v>
      </c>
      <c r="O29" s="13">
        <f t="shared" si="7"/>
        <v>105</v>
      </c>
      <c r="P29" s="13">
        <f t="shared" si="7"/>
        <v>100</v>
      </c>
      <c r="Q29" s="13">
        <f t="shared" si="7"/>
        <v>112</v>
      </c>
      <c r="R29" s="13">
        <f t="shared" si="7"/>
        <v>105</v>
      </c>
      <c r="S29" s="13">
        <f t="shared" si="7"/>
        <v>103</v>
      </c>
      <c r="T29" s="13">
        <f t="shared" si="7"/>
        <v>110</v>
      </c>
      <c r="U29" s="13">
        <f t="shared" si="7"/>
        <v>113</v>
      </c>
      <c r="V29" s="13">
        <f t="shared" si="7"/>
        <v>112</v>
      </c>
      <c r="W29" s="13">
        <f t="shared" si="7"/>
        <v>87</v>
      </c>
      <c r="X29" s="13">
        <f t="shared" si="7"/>
        <v>113</v>
      </c>
      <c r="Y29" s="13">
        <f t="shared" si="7"/>
        <v>121</v>
      </c>
      <c r="Z29" s="13">
        <f t="shared" si="7"/>
        <v>59</v>
      </c>
      <c r="AA29" s="13">
        <f t="shared" si="7"/>
        <v>115</v>
      </c>
      <c r="AB29" s="13">
        <f t="shared" si="7"/>
        <v>104</v>
      </c>
      <c r="AC29" s="13">
        <f t="shared" si="7"/>
        <v>125</v>
      </c>
      <c r="AD29" s="13">
        <f t="shared" si="7"/>
        <v>115</v>
      </c>
      <c r="AE29" s="13">
        <f t="shared" si="7"/>
        <v>112</v>
      </c>
      <c r="AF29" s="13">
        <f t="shared" si="7"/>
        <v>120</v>
      </c>
      <c r="AG29" s="13">
        <f t="shared" si="7"/>
        <v>86</v>
      </c>
      <c r="AH29" s="13">
        <f t="shared" si="7"/>
        <v>103</v>
      </c>
      <c r="AI29" s="13">
        <f t="shared" si="7"/>
        <v>112</v>
      </c>
      <c r="AJ29" s="13">
        <f t="shared" si="7"/>
        <v>124</v>
      </c>
      <c r="AK29" s="13">
        <f t="shared" si="7"/>
        <v>111</v>
      </c>
      <c r="AL29" s="13">
        <f t="shared" si="7"/>
        <v>106</v>
      </c>
      <c r="AM29" s="13">
        <f t="shared" si="2"/>
        <v>3631</v>
      </c>
    </row>
    <row r="30" spans="1:39" ht="12.75" customHeight="1" x14ac:dyDescent="0.3">
      <c r="A30" s="22"/>
      <c r="B30" s="65"/>
      <c r="C30" s="76"/>
      <c r="D30" s="13" t="s">
        <v>14</v>
      </c>
      <c r="E30" s="13">
        <f t="shared" ref="E30:AL30" si="8">SUM(E28:E29)</f>
        <v>195</v>
      </c>
      <c r="F30" s="13">
        <f t="shared" si="8"/>
        <v>213</v>
      </c>
      <c r="G30" s="13">
        <f t="shared" si="8"/>
        <v>178</v>
      </c>
      <c r="H30" s="13">
        <f t="shared" si="8"/>
        <v>193</v>
      </c>
      <c r="I30" s="13">
        <f t="shared" si="8"/>
        <v>219</v>
      </c>
      <c r="J30" s="13">
        <f t="shared" si="8"/>
        <v>182</v>
      </c>
      <c r="K30" s="13">
        <f t="shared" si="8"/>
        <v>204</v>
      </c>
      <c r="L30" s="13">
        <f t="shared" si="8"/>
        <v>193</v>
      </c>
      <c r="M30" s="13">
        <f t="shared" si="8"/>
        <v>209</v>
      </c>
      <c r="N30" s="13">
        <f t="shared" si="8"/>
        <v>221</v>
      </c>
      <c r="O30" s="13">
        <f t="shared" si="8"/>
        <v>198</v>
      </c>
      <c r="P30" s="13">
        <f t="shared" si="8"/>
        <v>198</v>
      </c>
      <c r="Q30" s="13">
        <f t="shared" si="8"/>
        <v>213</v>
      </c>
      <c r="R30" s="13">
        <f t="shared" si="8"/>
        <v>200</v>
      </c>
      <c r="S30" s="13">
        <f t="shared" si="8"/>
        <v>202</v>
      </c>
      <c r="T30" s="13">
        <f t="shared" si="8"/>
        <v>217</v>
      </c>
      <c r="U30" s="13">
        <f t="shared" si="8"/>
        <v>213</v>
      </c>
      <c r="V30" s="13">
        <f t="shared" si="8"/>
        <v>200</v>
      </c>
      <c r="W30" s="13">
        <f t="shared" si="8"/>
        <v>187</v>
      </c>
      <c r="X30" s="13">
        <f t="shared" si="8"/>
        <v>208</v>
      </c>
      <c r="Y30" s="13">
        <f t="shared" si="8"/>
        <v>222</v>
      </c>
      <c r="Z30" s="13">
        <f t="shared" si="8"/>
        <v>114</v>
      </c>
      <c r="AA30" s="13">
        <f t="shared" si="8"/>
        <v>215</v>
      </c>
      <c r="AB30" s="13">
        <f t="shared" si="8"/>
        <v>205</v>
      </c>
      <c r="AC30" s="13">
        <f t="shared" si="8"/>
        <v>231</v>
      </c>
      <c r="AD30" s="13">
        <f t="shared" si="8"/>
        <v>219</v>
      </c>
      <c r="AE30" s="13">
        <f t="shared" si="8"/>
        <v>216</v>
      </c>
      <c r="AF30" s="13">
        <f t="shared" si="8"/>
        <v>240</v>
      </c>
      <c r="AG30" s="13">
        <f t="shared" si="8"/>
        <v>185</v>
      </c>
      <c r="AH30" s="13">
        <f t="shared" si="8"/>
        <v>182</v>
      </c>
      <c r="AI30" s="13">
        <f t="shared" si="8"/>
        <v>197</v>
      </c>
      <c r="AJ30" s="13">
        <f t="shared" si="8"/>
        <v>222</v>
      </c>
      <c r="AK30" s="13">
        <f t="shared" si="8"/>
        <v>209</v>
      </c>
      <c r="AL30" s="13">
        <f t="shared" si="8"/>
        <v>199</v>
      </c>
      <c r="AM30" s="13">
        <f t="shared" si="2"/>
        <v>6899</v>
      </c>
    </row>
    <row r="31" spans="1:39" ht="12.75" customHeight="1" x14ac:dyDescent="0.3">
      <c r="A31" s="61"/>
      <c r="B31" s="60"/>
      <c r="C31" s="60"/>
      <c r="D31" s="58"/>
      <c r="E31" s="16"/>
      <c r="F31" s="16"/>
      <c r="G31" s="16"/>
      <c r="H31" s="16"/>
      <c r="I31" s="16"/>
      <c r="J31" s="16"/>
      <c r="K31" s="16"/>
      <c r="L31" s="16"/>
      <c r="M31" s="16"/>
      <c r="N31" s="48"/>
      <c r="O31" s="48"/>
      <c r="P31" s="48"/>
      <c r="Q31" s="48"/>
      <c r="R31" s="48"/>
      <c r="S31" s="16"/>
      <c r="T31" s="16"/>
      <c r="U31" s="16"/>
      <c r="V31" s="16"/>
      <c r="W31" s="16"/>
      <c r="X31" s="16"/>
      <c r="Y31" s="16"/>
      <c r="Z31" s="16"/>
      <c r="AA31" s="48"/>
      <c r="AB31" s="48"/>
      <c r="AC31" s="48"/>
      <c r="AD31" s="48"/>
      <c r="AE31" s="48"/>
      <c r="AF31" s="16"/>
      <c r="AG31" s="48"/>
      <c r="AH31" s="48"/>
      <c r="AI31" s="48"/>
      <c r="AJ31" s="48"/>
      <c r="AK31" s="48"/>
      <c r="AL31" s="48"/>
      <c r="AM31" s="49"/>
    </row>
    <row r="32" spans="1:39" ht="12.75" customHeight="1" x14ac:dyDescent="0.3">
      <c r="A32" s="25" t="s">
        <v>25</v>
      </c>
      <c r="B32" s="66" t="s">
        <v>26</v>
      </c>
      <c r="C32" s="60"/>
      <c r="D32" s="58"/>
      <c r="E32" s="13"/>
      <c r="F32" s="13"/>
      <c r="G32" s="13"/>
      <c r="H32" s="13"/>
      <c r="I32" s="13"/>
      <c r="J32" s="13"/>
      <c r="K32" s="13"/>
      <c r="L32" s="13"/>
      <c r="M32" s="13"/>
      <c r="N32" s="50"/>
      <c r="O32" s="50"/>
      <c r="P32" s="50"/>
      <c r="Q32" s="50"/>
      <c r="R32" s="50"/>
      <c r="S32" s="13"/>
      <c r="T32" s="13"/>
      <c r="U32" s="13"/>
      <c r="V32" s="13"/>
      <c r="W32" s="13"/>
      <c r="X32" s="13"/>
      <c r="Y32" s="13"/>
      <c r="Z32" s="13"/>
      <c r="AA32" s="50"/>
      <c r="AB32" s="50"/>
      <c r="AC32" s="50"/>
      <c r="AD32" s="50"/>
      <c r="AE32" s="50"/>
      <c r="AF32" s="13"/>
      <c r="AG32" s="50"/>
      <c r="AH32" s="50"/>
      <c r="AI32" s="50"/>
      <c r="AJ32" s="50"/>
      <c r="AK32" s="50"/>
      <c r="AL32" s="50"/>
      <c r="AM32" s="49"/>
    </row>
    <row r="33" spans="1:39" ht="12.75" customHeight="1" x14ac:dyDescent="0.3">
      <c r="A33" s="16">
        <v>1</v>
      </c>
      <c r="B33" s="70" t="s">
        <v>27</v>
      </c>
      <c r="C33" s="60"/>
      <c r="D33" s="58"/>
      <c r="E33" s="16">
        <v>287</v>
      </c>
      <c r="F33" s="16">
        <v>292</v>
      </c>
      <c r="G33" s="16">
        <v>237</v>
      </c>
      <c r="H33" s="16">
        <v>245</v>
      </c>
      <c r="I33" s="16">
        <v>272</v>
      </c>
      <c r="J33" s="16">
        <v>242</v>
      </c>
      <c r="K33" s="16">
        <v>255</v>
      </c>
      <c r="L33" s="16">
        <v>255</v>
      </c>
      <c r="M33" s="16">
        <v>285</v>
      </c>
      <c r="N33" s="16">
        <v>288</v>
      </c>
      <c r="O33" s="16">
        <v>271</v>
      </c>
      <c r="P33" s="16">
        <v>248</v>
      </c>
      <c r="Q33" s="16">
        <v>255</v>
      </c>
      <c r="R33" s="16">
        <v>257</v>
      </c>
      <c r="S33" s="16">
        <v>264</v>
      </c>
      <c r="T33" s="16">
        <v>275</v>
      </c>
      <c r="U33" s="16">
        <v>269</v>
      </c>
      <c r="V33" s="16">
        <v>259</v>
      </c>
      <c r="W33" s="16">
        <v>259</v>
      </c>
      <c r="X33" s="16">
        <v>269</v>
      </c>
      <c r="Y33" s="16">
        <v>286</v>
      </c>
      <c r="Z33" s="16">
        <v>158</v>
      </c>
      <c r="AA33" s="16">
        <v>279</v>
      </c>
      <c r="AB33" s="16">
        <v>274</v>
      </c>
      <c r="AC33" s="16">
        <v>298</v>
      </c>
      <c r="AD33" s="16">
        <v>294</v>
      </c>
      <c r="AE33" s="16">
        <v>299</v>
      </c>
      <c r="AF33" s="16">
        <v>297</v>
      </c>
      <c r="AG33" s="16">
        <v>240</v>
      </c>
      <c r="AH33" s="16">
        <v>234</v>
      </c>
      <c r="AI33" s="16">
        <v>260</v>
      </c>
      <c r="AJ33" s="16">
        <v>275</v>
      </c>
      <c r="AK33" s="16">
        <v>266</v>
      </c>
      <c r="AL33" s="16">
        <v>272</v>
      </c>
      <c r="AM33" s="13">
        <f t="shared" ref="AM33:AM36" si="9">SUM(E33:AL33)</f>
        <v>9016</v>
      </c>
    </row>
    <row r="34" spans="1:39" ht="12.75" customHeight="1" x14ac:dyDescent="0.3">
      <c r="A34" s="16">
        <v>2</v>
      </c>
      <c r="B34" s="70" t="s">
        <v>28</v>
      </c>
      <c r="C34" s="60"/>
      <c r="D34" s="58"/>
      <c r="E34" s="13">
        <v>195</v>
      </c>
      <c r="F34" s="13">
        <v>213</v>
      </c>
      <c r="G34" s="13">
        <v>178</v>
      </c>
      <c r="H34" s="13">
        <v>193</v>
      </c>
      <c r="I34" s="13">
        <v>219</v>
      </c>
      <c r="J34" s="13">
        <v>182</v>
      </c>
      <c r="K34" s="13">
        <v>204</v>
      </c>
      <c r="L34" s="13">
        <v>193</v>
      </c>
      <c r="M34" s="13">
        <v>209</v>
      </c>
      <c r="N34" s="13">
        <v>221</v>
      </c>
      <c r="O34" s="13">
        <v>198</v>
      </c>
      <c r="P34" s="13">
        <v>198</v>
      </c>
      <c r="Q34" s="13">
        <v>213</v>
      </c>
      <c r="R34" s="13">
        <v>200</v>
      </c>
      <c r="S34" s="13">
        <v>202</v>
      </c>
      <c r="T34" s="13">
        <v>217</v>
      </c>
      <c r="U34" s="13">
        <v>213</v>
      </c>
      <c r="V34" s="13">
        <v>200</v>
      </c>
      <c r="W34" s="13">
        <v>187</v>
      </c>
      <c r="X34" s="13">
        <v>208</v>
      </c>
      <c r="Y34" s="13">
        <v>222</v>
      </c>
      <c r="Z34" s="13">
        <v>114</v>
      </c>
      <c r="AA34" s="13">
        <v>215</v>
      </c>
      <c r="AB34" s="13">
        <v>205</v>
      </c>
      <c r="AC34" s="13">
        <v>231</v>
      </c>
      <c r="AD34" s="13">
        <v>219</v>
      </c>
      <c r="AE34" s="13">
        <v>216</v>
      </c>
      <c r="AF34" s="13">
        <v>240</v>
      </c>
      <c r="AG34" s="13">
        <v>185</v>
      </c>
      <c r="AH34" s="13">
        <v>182</v>
      </c>
      <c r="AI34" s="13">
        <v>197</v>
      </c>
      <c r="AJ34" s="13">
        <v>222</v>
      </c>
      <c r="AK34" s="13">
        <v>209</v>
      </c>
      <c r="AL34" s="13">
        <v>199</v>
      </c>
      <c r="AM34" s="13">
        <f t="shared" si="9"/>
        <v>6899</v>
      </c>
    </row>
    <row r="35" spans="1:39" ht="12.75" customHeight="1" x14ac:dyDescent="0.3">
      <c r="A35" s="16">
        <v>3</v>
      </c>
      <c r="B35" s="70" t="s">
        <v>29</v>
      </c>
      <c r="C35" s="60"/>
      <c r="D35" s="58"/>
      <c r="E35" s="16">
        <v>0</v>
      </c>
      <c r="F35" s="16">
        <v>0</v>
      </c>
      <c r="G35" s="16">
        <v>1</v>
      </c>
      <c r="H35" s="16">
        <v>2</v>
      </c>
      <c r="I35" s="16">
        <v>0</v>
      </c>
      <c r="J35" s="16">
        <v>0</v>
      </c>
      <c r="K35" s="16">
        <v>1</v>
      </c>
      <c r="L35" s="16">
        <v>0</v>
      </c>
      <c r="M35" s="16">
        <v>0</v>
      </c>
      <c r="N35" s="16">
        <v>1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1</v>
      </c>
      <c r="AB35" s="16">
        <v>0</v>
      </c>
      <c r="AC35" s="16">
        <v>1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1</v>
      </c>
      <c r="AJ35" s="16">
        <v>0</v>
      </c>
      <c r="AK35" s="16">
        <v>0</v>
      </c>
      <c r="AL35" s="16">
        <v>2</v>
      </c>
      <c r="AM35" s="13">
        <f t="shared" si="9"/>
        <v>10</v>
      </c>
    </row>
    <row r="36" spans="1:39" ht="12.75" customHeight="1" x14ac:dyDescent="0.3">
      <c r="A36" s="16">
        <v>4</v>
      </c>
      <c r="B36" s="70" t="s">
        <v>30</v>
      </c>
      <c r="C36" s="60"/>
      <c r="D36" s="58"/>
      <c r="E36" s="13">
        <f t="shared" ref="E36:AL36" si="10">E33-(E34+E35)</f>
        <v>92</v>
      </c>
      <c r="F36" s="13">
        <f t="shared" si="10"/>
        <v>79</v>
      </c>
      <c r="G36" s="13">
        <f t="shared" si="10"/>
        <v>58</v>
      </c>
      <c r="H36" s="13">
        <f t="shared" si="10"/>
        <v>50</v>
      </c>
      <c r="I36" s="13">
        <f t="shared" si="10"/>
        <v>53</v>
      </c>
      <c r="J36" s="13">
        <f t="shared" si="10"/>
        <v>60</v>
      </c>
      <c r="K36" s="13">
        <f t="shared" si="10"/>
        <v>50</v>
      </c>
      <c r="L36" s="13">
        <f t="shared" si="10"/>
        <v>62</v>
      </c>
      <c r="M36" s="13">
        <f t="shared" si="10"/>
        <v>76</v>
      </c>
      <c r="N36" s="13">
        <f t="shared" si="10"/>
        <v>66</v>
      </c>
      <c r="O36" s="13">
        <f t="shared" si="10"/>
        <v>73</v>
      </c>
      <c r="P36" s="13">
        <f t="shared" si="10"/>
        <v>50</v>
      </c>
      <c r="Q36" s="13">
        <f t="shared" si="10"/>
        <v>42</v>
      </c>
      <c r="R36" s="13">
        <f t="shared" si="10"/>
        <v>57</v>
      </c>
      <c r="S36" s="13">
        <f t="shared" si="10"/>
        <v>62</v>
      </c>
      <c r="T36" s="13">
        <f t="shared" si="10"/>
        <v>58</v>
      </c>
      <c r="U36" s="13">
        <f t="shared" si="10"/>
        <v>56</v>
      </c>
      <c r="V36" s="13">
        <f t="shared" si="10"/>
        <v>59</v>
      </c>
      <c r="W36" s="13">
        <f t="shared" si="10"/>
        <v>72</v>
      </c>
      <c r="X36" s="13">
        <f t="shared" si="10"/>
        <v>61</v>
      </c>
      <c r="Y36" s="13">
        <f t="shared" si="10"/>
        <v>64</v>
      </c>
      <c r="Z36" s="13">
        <f t="shared" si="10"/>
        <v>44</v>
      </c>
      <c r="AA36" s="13">
        <f t="shared" si="10"/>
        <v>63</v>
      </c>
      <c r="AB36" s="13">
        <f t="shared" si="10"/>
        <v>69</v>
      </c>
      <c r="AC36" s="13">
        <f t="shared" si="10"/>
        <v>66</v>
      </c>
      <c r="AD36" s="13">
        <f t="shared" si="10"/>
        <v>75</v>
      </c>
      <c r="AE36" s="13">
        <f t="shared" si="10"/>
        <v>83</v>
      </c>
      <c r="AF36" s="13">
        <f t="shared" si="10"/>
        <v>57</v>
      </c>
      <c r="AG36" s="13">
        <f t="shared" si="10"/>
        <v>55</v>
      </c>
      <c r="AH36" s="13">
        <f t="shared" si="10"/>
        <v>52</v>
      </c>
      <c r="AI36" s="13">
        <f t="shared" si="10"/>
        <v>62</v>
      </c>
      <c r="AJ36" s="13">
        <f t="shared" si="10"/>
        <v>53</v>
      </c>
      <c r="AK36" s="13">
        <f t="shared" si="10"/>
        <v>57</v>
      </c>
      <c r="AL36" s="13">
        <f t="shared" si="10"/>
        <v>71</v>
      </c>
      <c r="AM36" s="13">
        <f t="shared" si="9"/>
        <v>2107</v>
      </c>
    </row>
    <row r="37" spans="1:39" ht="12.75" customHeight="1" x14ac:dyDescent="0.3">
      <c r="A37" s="61"/>
      <c r="B37" s="60"/>
      <c r="C37" s="60"/>
      <c r="D37" s="60"/>
      <c r="E37" s="61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58"/>
      <c r="W37" s="16"/>
      <c r="X37" s="16"/>
      <c r="Y37" s="16"/>
      <c r="Z37" s="16"/>
      <c r="AA37" s="48"/>
      <c r="AB37" s="54"/>
      <c r="AC37" s="54"/>
      <c r="AD37" s="54"/>
      <c r="AE37" s="54"/>
      <c r="AF37" s="16"/>
      <c r="AG37" s="48"/>
      <c r="AH37" s="54"/>
      <c r="AI37" s="54"/>
      <c r="AJ37" s="54"/>
      <c r="AK37" s="54"/>
      <c r="AL37" s="54"/>
      <c r="AM37" s="49"/>
    </row>
    <row r="38" spans="1:39" ht="12.75" customHeight="1" x14ac:dyDescent="0.3">
      <c r="A38" s="26" t="s">
        <v>31</v>
      </c>
      <c r="B38" s="66" t="s">
        <v>32</v>
      </c>
      <c r="C38" s="60"/>
      <c r="D38" s="58"/>
      <c r="E38" s="13"/>
      <c r="F38" s="13"/>
      <c r="G38" s="13"/>
      <c r="H38" s="13"/>
      <c r="I38" s="13"/>
      <c r="J38" s="13"/>
      <c r="K38" s="13"/>
      <c r="L38" s="13"/>
      <c r="M38" s="13"/>
      <c r="N38" s="50"/>
      <c r="O38" s="50"/>
      <c r="P38" s="50"/>
      <c r="Q38" s="50"/>
      <c r="R38" s="50"/>
      <c r="S38" s="13"/>
      <c r="T38" s="13"/>
      <c r="U38" s="13"/>
      <c r="V38" s="13"/>
      <c r="W38" s="13"/>
      <c r="X38" s="13"/>
      <c r="Y38" s="13"/>
      <c r="Z38" s="13"/>
      <c r="AA38" s="50"/>
      <c r="AB38" s="50"/>
      <c r="AC38" s="50"/>
      <c r="AD38" s="50"/>
      <c r="AE38" s="50"/>
      <c r="AF38" s="13"/>
      <c r="AG38" s="50"/>
      <c r="AH38" s="50"/>
      <c r="AI38" s="50"/>
      <c r="AJ38" s="50"/>
      <c r="AK38" s="50"/>
      <c r="AL38" s="50"/>
      <c r="AM38" s="49"/>
    </row>
    <row r="39" spans="1:39" ht="12.75" customHeight="1" x14ac:dyDescent="0.3">
      <c r="A39" s="20"/>
      <c r="B39" s="80" t="s">
        <v>33</v>
      </c>
      <c r="C39" s="63"/>
      <c r="D39" s="16" t="s">
        <v>12</v>
      </c>
      <c r="E39" s="16">
        <v>1</v>
      </c>
      <c r="F39" s="16">
        <v>1</v>
      </c>
      <c r="G39" s="16">
        <v>0</v>
      </c>
      <c r="H39" s="16">
        <v>0</v>
      </c>
      <c r="I39" s="16">
        <v>0</v>
      </c>
      <c r="J39" s="16">
        <v>0</v>
      </c>
      <c r="K39" s="16">
        <v>1</v>
      </c>
      <c r="L39" s="16">
        <v>0</v>
      </c>
      <c r="M39" s="16">
        <v>1</v>
      </c>
      <c r="N39" s="16">
        <v>0</v>
      </c>
      <c r="O39" s="16">
        <v>0</v>
      </c>
      <c r="P39" s="16">
        <v>0</v>
      </c>
      <c r="Q39" s="16">
        <v>0</v>
      </c>
      <c r="R39" s="16">
        <v>1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1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3">
        <f t="shared" ref="AM39:AM41" si="11">SUM(E39:AL39)</f>
        <v>6</v>
      </c>
    </row>
    <row r="40" spans="1:39" ht="12.75" customHeight="1" x14ac:dyDescent="0.3">
      <c r="A40" s="21"/>
      <c r="B40" s="81"/>
      <c r="C40" s="73"/>
      <c r="D40" s="16" t="s">
        <v>13</v>
      </c>
      <c r="E40" s="16">
        <v>1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4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3</v>
      </c>
      <c r="AM40" s="13">
        <f t="shared" si="11"/>
        <v>8</v>
      </c>
    </row>
    <row r="41" spans="1:39" ht="12.75" customHeight="1" x14ac:dyDescent="0.3">
      <c r="A41" s="25"/>
      <c r="B41" s="56"/>
      <c r="C41" s="65"/>
      <c r="D41" s="13" t="s">
        <v>14</v>
      </c>
      <c r="E41" s="13">
        <f t="shared" ref="E41:AL41" si="12">SUM(E39:E40)</f>
        <v>2</v>
      </c>
      <c r="F41" s="13">
        <f t="shared" si="12"/>
        <v>1</v>
      </c>
      <c r="G41" s="13">
        <f t="shared" si="12"/>
        <v>0</v>
      </c>
      <c r="H41" s="13">
        <f t="shared" si="12"/>
        <v>0</v>
      </c>
      <c r="I41" s="13">
        <f t="shared" si="12"/>
        <v>0</v>
      </c>
      <c r="J41" s="13">
        <f t="shared" si="12"/>
        <v>0</v>
      </c>
      <c r="K41" s="13">
        <f t="shared" si="12"/>
        <v>1</v>
      </c>
      <c r="L41" s="13">
        <f t="shared" si="12"/>
        <v>0</v>
      </c>
      <c r="M41" s="13">
        <f t="shared" si="12"/>
        <v>5</v>
      </c>
      <c r="N41" s="13">
        <f t="shared" si="12"/>
        <v>0</v>
      </c>
      <c r="O41" s="13">
        <f t="shared" si="12"/>
        <v>0</v>
      </c>
      <c r="P41" s="13">
        <f t="shared" si="12"/>
        <v>0</v>
      </c>
      <c r="Q41" s="13">
        <f t="shared" si="12"/>
        <v>0</v>
      </c>
      <c r="R41" s="13">
        <f t="shared" si="12"/>
        <v>1</v>
      </c>
      <c r="S41" s="13">
        <f t="shared" si="12"/>
        <v>0</v>
      </c>
      <c r="T41" s="13">
        <f t="shared" si="12"/>
        <v>0</v>
      </c>
      <c r="U41" s="13">
        <f t="shared" si="12"/>
        <v>0</v>
      </c>
      <c r="V41" s="13">
        <f t="shared" si="12"/>
        <v>0</v>
      </c>
      <c r="W41" s="13">
        <f t="shared" si="12"/>
        <v>0</v>
      </c>
      <c r="X41" s="13">
        <f t="shared" si="12"/>
        <v>0</v>
      </c>
      <c r="Y41" s="13">
        <f t="shared" si="12"/>
        <v>0</v>
      </c>
      <c r="Z41" s="13">
        <f t="shared" si="12"/>
        <v>0</v>
      </c>
      <c r="AA41" s="13">
        <f t="shared" si="12"/>
        <v>1</v>
      </c>
      <c r="AB41" s="13">
        <f t="shared" si="12"/>
        <v>0</v>
      </c>
      <c r="AC41" s="13">
        <f t="shared" si="12"/>
        <v>0</v>
      </c>
      <c r="AD41" s="13">
        <f t="shared" si="12"/>
        <v>0</v>
      </c>
      <c r="AE41" s="13">
        <f t="shared" si="12"/>
        <v>0</v>
      </c>
      <c r="AF41" s="13">
        <f t="shared" si="12"/>
        <v>0</v>
      </c>
      <c r="AG41" s="13">
        <f t="shared" si="12"/>
        <v>0</v>
      </c>
      <c r="AH41" s="13">
        <f t="shared" si="12"/>
        <v>0</v>
      </c>
      <c r="AI41" s="13">
        <f t="shared" si="12"/>
        <v>0</v>
      </c>
      <c r="AJ41" s="13">
        <f t="shared" si="12"/>
        <v>0</v>
      </c>
      <c r="AK41" s="13">
        <f t="shared" si="12"/>
        <v>0</v>
      </c>
      <c r="AL41" s="13">
        <f t="shared" si="12"/>
        <v>3</v>
      </c>
      <c r="AM41" s="13">
        <f t="shared" si="11"/>
        <v>14</v>
      </c>
    </row>
    <row r="42" spans="1:39" ht="12.75" customHeight="1" x14ac:dyDescent="0.3">
      <c r="A42" s="55"/>
      <c r="B42" s="56"/>
      <c r="C42" s="56"/>
      <c r="D42" s="65"/>
      <c r="E42" s="61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58"/>
      <c r="W42" s="16"/>
      <c r="X42" s="16"/>
      <c r="Y42" s="16"/>
      <c r="Z42" s="16"/>
      <c r="AA42" s="48"/>
      <c r="AB42" s="16"/>
      <c r="AC42" s="48"/>
      <c r="AD42" s="16"/>
      <c r="AE42" s="48"/>
      <c r="AF42" s="16"/>
      <c r="AG42" s="48"/>
      <c r="AH42" s="16"/>
      <c r="AI42" s="48"/>
      <c r="AJ42" s="16"/>
      <c r="AK42" s="48"/>
      <c r="AL42" s="16"/>
      <c r="AM42" s="13"/>
    </row>
    <row r="43" spans="1:39" ht="12.75" customHeight="1" x14ac:dyDescent="0.3">
      <c r="A43" s="26" t="s">
        <v>34</v>
      </c>
      <c r="B43" s="66" t="s">
        <v>35</v>
      </c>
      <c r="C43" s="60"/>
      <c r="D43" s="58"/>
      <c r="E43" s="19"/>
      <c r="F43" s="13"/>
      <c r="G43" s="13"/>
      <c r="H43" s="13"/>
      <c r="I43" s="13"/>
      <c r="J43" s="13"/>
      <c r="K43" s="13"/>
      <c r="L43" s="13"/>
      <c r="M43" s="13"/>
      <c r="N43" s="50"/>
      <c r="O43" s="13"/>
      <c r="P43" s="50"/>
      <c r="Q43" s="13"/>
      <c r="R43" s="50"/>
      <c r="S43" s="13"/>
      <c r="T43" s="13"/>
      <c r="U43" s="13"/>
      <c r="V43" s="13"/>
      <c r="W43" s="13"/>
      <c r="X43" s="13"/>
      <c r="Y43" s="13"/>
      <c r="Z43" s="13"/>
      <c r="AA43" s="50"/>
      <c r="AB43" s="13"/>
      <c r="AC43" s="50"/>
      <c r="AD43" s="13"/>
      <c r="AE43" s="50"/>
      <c r="AF43" s="13"/>
      <c r="AG43" s="50"/>
      <c r="AH43" s="13"/>
      <c r="AI43" s="50"/>
      <c r="AJ43" s="13"/>
      <c r="AK43" s="50"/>
      <c r="AL43" s="13"/>
      <c r="AM43" s="13"/>
    </row>
    <row r="44" spans="1:39" ht="12.75" customHeight="1" x14ac:dyDescent="0.3">
      <c r="A44" s="80" t="s">
        <v>36</v>
      </c>
      <c r="B44" s="82"/>
      <c r="C44" s="82"/>
      <c r="D44" s="63"/>
      <c r="E44" s="17"/>
      <c r="F44" s="16"/>
      <c r="G44" s="16"/>
      <c r="H44" s="16"/>
      <c r="I44" s="16"/>
      <c r="J44" s="16"/>
      <c r="K44" s="16"/>
      <c r="L44" s="16"/>
      <c r="M44" s="16"/>
      <c r="N44" s="48"/>
      <c r="O44" s="16"/>
      <c r="P44" s="48"/>
      <c r="Q44" s="16"/>
      <c r="R44" s="48"/>
      <c r="S44" s="16"/>
      <c r="T44" s="16"/>
      <c r="U44" s="16"/>
      <c r="V44" s="16"/>
      <c r="W44" s="16"/>
      <c r="X44" s="16"/>
      <c r="Y44" s="16"/>
      <c r="Z44" s="16"/>
      <c r="AA44" s="48"/>
      <c r="AB44" s="16"/>
      <c r="AC44" s="48"/>
      <c r="AD44" s="16"/>
      <c r="AE44" s="48"/>
      <c r="AF44" s="16"/>
      <c r="AG44" s="48"/>
      <c r="AH44" s="16"/>
      <c r="AI44" s="48"/>
      <c r="AJ44" s="16"/>
      <c r="AK44" s="48"/>
      <c r="AL44" s="16"/>
      <c r="AM44" s="13"/>
    </row>
    <row r="45" spans="1:39" ht="12.75" customHeight="1" x14ac:dyDescent="0.3">
      <c r="A45" s="20" t="s">
        <v>37</v>
      </c>
      <c r="B45" s="27" t="s">
        <v>17</v>
      </c>
      <c r="C45" s="57" t="s">
        <v>38</v>
      </c>
      <c r="D45" s="58"/>
      <c r="E45" s="16">
        <v>7</v>
      </c>
      <c r="F45" s="16">
        <v>7</v>
      </c>
      <c r="G45" s="16">
        <v>6</v>
      </c>
      <c r="H45" s="16">
        <v>3</v>
      </c>
      <c r="I45" s="16">
        <v>5</v>
      </c>
      <c r="J45" s="16">
        <v>14</v>
      </c>
      <c r="K45" s="16">
        <v>6</v>
      </c>
      <c r="L45" s="16">
        <v>3</v>
      </c>
      <c r="M45" s="16">
        <v>11</v>
      </c>
      <c r="N45" s="16">
        <v>8</v>
      </c>
      <c r="O45" s="16">
        <v>9</v>
      </c>
      <c r="P45" s="16">
        <v>12</v>
      </c>
      <c r="Q45" s="16">
        <v>10</v>
      </c>
      <c r="R45" s="16">
        <v>6</v>
      </c>
      <c r="S45" s="16">
        <v>3</v>
      </c>
      <c r="T45" s="16">
        <v>4</v>
      </c>
      <c r="U45" s="16">
        <v>7</v>
      </c>
      <c r="V45" s="16">
        <v>6</v>
      </c>
      <c r="W45" s="16">
        <v>13</v>
      </c>
      <c r="X45" s="16">
        <v>12</v>
      </c>
      <c r="Y45" s="16">
        <v>4</v>
      </c>
      <c r="Z45" s="16">
        <v>9</v>
      </c>
      <c r="AA45" s="16">
        <v>2</v>
      </c>
      <c r="AB45" s="16">
        <v>10</v>
      </c>
      <c r="AC45" s="16">
        <v>6</v>
      </c>
      <c r="AD45" s="16">
        <v>6</v>
      </c>
      <c r="AE45" s="16">
        <v>5</v>
      </c>
      <c r="AF45" s="16">
        <v>4</v>
      </c>
      <c r="AG45" s="16">
        <v>6</v>
      </c>
      <c r="AH45" s="16">
        <v>5</v>
      </c>
      <c r="AI45" s="16">
        <v>2</v>
      </c>
      <c r="AJ45" s="16">
        <v>4</v>
      </c>
      <c r="AK45" s="16">
        <v>3</v>
      </c>
      <c r="AL45" s="16">
        <v>8</v>
      </c>
      <c r="AM45" s="13">
        <f t="shared" ref="AM45:AM54" si="13">SUM(E45:AL45)</f>
        <v>226</v>
      </c>
    </row>
    <row r="46" spans="1:39" ht="12.75" customHeight="1" x14ac:dyDescent="0.3">
      <c r="A46" s="20" t="s">
        <v>39</v>
      </c>
      <c r="B46" s="28"/>
      <c r="C46" s="29" t="s">
        <v>40</v>
      </c>
      <c r="D46" s="30"/>
      <c r="E46" s="16">
        <v>8</v>
      </c>
      <c r="F46" s="16">
        <v>13</v>
      </c>
      <c r="G46" s="16">
        <v>15</v>
      </c>
      <c r="H46" s="16">
        <v>8</v>
      </c>
      <c r="I46" s="16">
        <v>10</v>
      </c>
      <c r="J46" s="16">
        <v>13</v>
      </c>
      <c r="K46" s="16">
        <v>10</v>
      </c>
      <c r="L46" s="16">
        <v>9</v>
      </c>
      <c r="M46" s="16">
        <v>12</v>
      </c>
      <c r="N46" s="16">
        <v>7</v>
      </c>
      <c r="O46" s="16">
        <v>5</v>
      </c>
      <c r="P46" s="16">
        <v>13</v>
      </c>
      <c r="Q46" s="16">
        <v>31</v>
      </c>
      <c r="R46" s="16">
        <v>17</v>
      </c>
      <c r="S46" s="16">
        <v>4</v>
      </c>
      <c r="T46" s="16">
        <v>5</v>
      </c>
      <c r="U46" s="16">
        <v>2</v>
      </c>
      <c r="V46" s="16">
        <v>7</v>
      </c>
      <c r="W46" s="16">
        <v>5</v>
      </c>
      <c r="X46" s="16">
        <v>18</v>
      </c>
      <c r="Y46" s="16">
        <v>6</v>
      </c>
      <c r="Z46" s="16">
        <v>7</v>
      </c>
      <c r="AA46" s="16">
        <v>17</v>
      </c>
      <c r="AB46" s="16">
        <v>26</v>
      </c>
      <c r="AC46" s="16">
        <v>14</v>
      </c>
      <c r="AD46" s="16">
        <v>20</v>
      </c>
      <c r="AE46" s="16">
        <v>3</v>
      </c>
      <c r="AF46" s="16">
        <v>4</v>
      </c>
      <c r="AG46" s="16">
        <v>3</v>
      </c>
      <c r="AH46" s="16">
        <v>7</v>
      </c>
      <c r="AI46" s="16">
        <v>5</v>
      </c>
      <c r="AJ46" s="16">
        <v>9</v>
      </c>
      <c r="AK46" s="16">
        <v>7</v>
      </c>
      <c r="AL46" s="16">
        <v>14</v>
      </c>
      <c r="AM46" s="13">
        <f t="shared" si="13"/>
        <v>354</v>
      </c>
    </row>
    <row r="47" spans="1:39" ht="12.75" customHeight="1" x14ac:dyDescent="0.3">
      <c r="A47" s="15"/>
      <c r="B47" s="28"/>
      <c r="C47" s="29" t="s">
        <v>41</v>
      </c>
      <c r="D47" s="30"/>
      <c r="E47" s="16">
        <v>2</v>
      </c>
      <c r="F47" s="16">
        <v>1</v>
      </c>
      <c r="G47" s="16">
        <v>1</v>
      </c>
      <c r="H47" s="16">
        <v>0</v>
      </c>
      <c r="I47" s="16">
        <v>3</v>
      </c>
      <c r="J47" s="16">
        <v>2</v>
      </c>
      <c r="K47" s="16">
        <v>4</v>
      </c>
      <c r="L47" s="16">
        <v>2</v>
      </c>
      <c r="M47" s="16">
        <v>1</v>
      </c>
      <c r="N47" s="16">
        <v>2</v>
      </c>
      <c r="O47" s="16">
        <v>8</v>
      </c>
      <c r="P47" s="16">
        <v>4</v>
      </c>
      <c r="Q47" s="16">
        <v>8</v>
      </c>
      <c r="R47" s="16">
        <v>1</v>
      </c>
      <c r="S47" s="16">
        <v>2</v>
      </c>
      <c r="T47" s="16">
        <v>1</v>
      </c>
      <c r="U47" s="16">
        <v>0</v>
      </c>
      <c r="V47" s="16">
        <v>0</v>
      </c>
      <c r="W47" s="16">
        <v>1</v>
      </c>
      <c r="X47" s="16">
        <v>2</v>
      </c>
      <c r="Y47" s="16">
        <v>1</v>
      </c>
      <c r="Z47" s="16">
        <v>0</v>
      </c>
      <c r="AA47" s="16">
        <v>4</v>
      </c>
      <c r="AB47" s="16">
        <v>5</v>
      </c>
      <c r="AC47" s="16">
        <v>3</v>
      </c>
      <c r="AD47" s="16">
        <v>1</v>
      </c>
      <c r="AE47" s="16">
        <v>0</v>
      </c>
      <c r="AF47" s="16">
        <v>2</v>
      </c>
      <c r="AG47" s="16">
        <v>2</v>
      </c>
      <c r="AH47" s="16">
        <v>0</v>
      </c>
      <c r="AI47" s="16">
        <v>0</v>
      </c>
      <c r="AJ47" s="16">
        <v>2</v>
      </c>
      <c r="AK47" s="16">
        <v>3</v>
      </c>
      <c r="AL47" s="16">
        <v>1</v>
      </c>
      <c r="AM47" s="13">
        <f t="shared" si="13"/>
        <v>69</v>
      </c>
    </row>
    <row r="48" spans="1:39" ht="12.75" customHeight="1" x14ac:dyDescent="0.3">
      <c r="A48" s="15"/>
      <c r="B48" s="28"/>
      <c r="C48" s="29" t="s">
        <v>42</v>
      </c>
      <c r="D48" s="30"/>
      <c r="E48" s="16">
        <v>2</v>
      </c>
      <c r="F48" s="16">
        <v>1</v>
      </c>
      <c r="G48" s="16">
        <v>0</v>
      </c>
      <c r="H48" s="16">
        <v>0</v>
      </c>
      <c r="I48" s="16">
        <v>1</v>
      </c>
      <c r="J48" s="16">
        <v>0</v>
      </c>
      <c r="K48" s="16">
        <v>0</v>
      </c>
      <c r="L48" s="16">
        <v>1</v>
      </c>
      <c r="M48" s="16">
        <v>0</v>
      </c>
      <c r="N48" s="16">
        <v>0</v>
      </c>
      <c r="O48" s="16">
        <v>1</v>
      </c>
      <c r="P48" s="16">
        <v>3</v>
      </c>
      <c r="Q48" s="16">
        <v>1</v>
      </c>
      <c r="R48" s="16">
        <v>1</v>
      </c>
      <c r="S48" s="16">
        <v>0</v>
      </c>
      <c r="T48" s="16">
        <v>1</v>
      </c>
      <c r="U48" s="16">
        <v>1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2</v>
      </c>
      <c r="AB48" s="16">
        <v>1</v>
      </c>
      <c r="AC48" s="16">
        <v>1</v>
      </c>
      <c r="AD48" s="16">
        <v>0</v>
      </c>
      <c r="AE48" s="16">
        <v>0</v>
      </c>
      <c r="AF48" s="16">
        <v>1</v>
      </c>
      <c r="AG48" s="16">
        <v>1</v>
      </c>
      <c r="AH48" s="16">
        <v>0</v>
      </c>
      <c r="AI48" s="16">
        <v>0</v>
      </c>
      <c r="AJ48" s="16">
        <v>3</v>
      </c>
      <c r="AK48" s="16">
        <v>1</v>
      </c>
      <c r="AL48" s="16">
        <v>1</v>
      </c>
      <c r="AM48" s="13">
        <f t="shared" si="13"/>
        <v>24</v>
      </c>
    </row>
    <row r="49" spans="1:39" ht="12.75" customHeight="1" x14ac:dyDescent="0.3">
      <c r="A49" s="15"/>
      <c r="B49" s="28"/>
      <c r="C49" s="29" t="s">
        <v>43</v>
      </c>
      <c r="D49" s="30"/>
      <c r="E49" s="16">
        <v>0</v>
      </c>
      <c r="F49" s="16">
        <v>2</v>
      </c>
      <c r="G49" s="16">
        <v>2</v>
      </c>
      <c r="H49" s="16">
        <v>2</v>
      </c>
      <c r="I49" s="16">
        <v>1</v>
      </c>
      <c r="J49" s="16">
        <v>5</v>
      </c>
      <c r="K49" s="16">
        <v>3</v>
      </c>
      <c r="L49" s="16">
        <v>0</v>
      </c>
      <c r="M49" s="16">
        <v>1</v>
      </c>
      <c r="N49" s="16">
        <v>0</v>
      </c>
      <c r="O49" s="16">
        <v>0</v>
      </c>
      <c r="P49" s="16">
        <v>1</v>
      </c>
      <c r="Q49" s="16">
        <v>8</v>
      </c>
      <c r="R49" s="16">
        <v>0</v>
      </c>
      <c r="S49" s="16">
        <v>1</v>
      </c>
      <c r="T49" s="16">
        <v>1</v>
      </c>
      <c r="U49" s="16">
        <v>0</v>
      </c>
      <c r="V49" s="16">
        <v>2</v>
      </c>
      <c r="W49" s="16">
        <v>0</v>
      </c>
      <c r="X49" s="16">
        <v>1</v>
      </c>
      <c r="Y49" s="16">
        <v>0</v>
      </c>
      <c r="Z49" s="16">
        <v>0</v>
      </c>
      <c r="AA49" s="16">
        <v>1</v>
      </c>
      <c r="AB49" s="16">
        <v>1</v>
      </c>
      <c r="AC49" s="16">
        <v>3</v>
      </c>
      <c r="AD49" s="16">
        <v>1</v>
      </c>
      <c r="AE49" s="16">
        <v>0</v>
      </c>
      <c r="AF49" s="16">
        <v>0</v>
      </c>
      <c r="AG49" s="16">
        <v>1</v>
      </c>
      <c r="AH49" s="16">
        <v>1</v>
      </c>
      <c r="AI49" s="16">
        <v>0</v>
      </c>
      <c r="AJ49" s="16">
        <v>0</v>
      </c>
      <c r="AK49" s="16">
        <v>0</v>
      </c>
      <c r="AL49" s="16">
        <v>0</v>
      </c>
      <c r="AM49" s="13">
        <f t="shared" si="13"/>
        <v>38</v>
      </c>
    </row>
    <row r="50" spans="1:39" ht="12.75" customHeight="1" x14ac:dyDescent="0.3">
      <c r="A50" s="15"/>
      <c r="B50" s="28"/>
      <c r="C50" s="29" t="s">
        <v>44</v>
      </c>
      <c r="D50" s="30"/>
      <c r="E50" s="16">
        <v>0</v>
      </c>
      <c r="F50" s="16">
        <v>1</v>
      </c>
      <c r="G50" s="16">
        <v>4</v>
      </c>
      <c r="H50" s="16">
        <v>1</v>
      </c>
      <c r="I50" s="16">
        <v>2</v>
      </c>
      <c r="J50" s="16">
        <v>0</v>
      </c>
      <c r="K50" s="16">
        <v>1</v>
      </c>
      <c r="L50" s="16">
        <v>3</v>
      </c>
      <c r="M50" s="16">
        <v>1</v>
      </c>
      <c r="N50" s="16">
        <v>0</v>
      </c>
      <c r="O50" s="16">
        <v>3</v>
      </c>
      <c r="P50" s="16">
        <v>3</v>
      </c>
      <c r="Q50" s="16">
        <v>1</v>
      </c>
      <c r="R50" s="16">
        <v>4</v>
      </c>
      <c r="S50" s="16">
        <v>0</v>
      </c>
      <c r="T50" s="16">
        <v>0</v>
      </c>
      <c r="U50" s="16">
        <v>4</v>
      </c>
      <c r="V50" s="16">
        <v>0</v>
      </c>
      <c r="W50" s="16">
        <v>0</v>
      </c>
      <c r="X50" s="16">
        <v>2</v>
      </c>
      <c r="Y50" s="16">
        <v>1</v>
      </c>
      <c r="Z50" s="16">
        <v>2</v>
      </c>
      <c r="AA50" s="16">
        <v>3</v>
      </c>
      <c r="AB50" s="16">
        <v>1</v>
      </c>
      <c r="AC50" s="16">
        <v>0</v>
      </c>
      <c r="AD50" s="16">
        <v>0</v>
      </c>
      <c r="AE50" s="16">
        <v>0</v>
      </c>
      <c r="AF50" s="16">
        <v>1</v>
      </c>
      <c r="AG50" s="16">
        <v>1</v>
      </c>
      <c r="AH50" s="16">
        <v>2</v>
      </c>
      <c r="AI50" s="16">
        <v>0</v>
      </c>
      <c r="AJ50" s="16">
        <v>2</v>
      </c>
      <c r="AK50" s="16">
        <v>1</v>
      </c>
      <c r="AL50" s="16">
        <v>0</v>
      </c>
      <c r="AM50" s="13">
        <f t="shared" si="13"/>
        <v>44</v>
      </c>
    </row>
    <row r="51" spans="1:39" ht="12.75" customHeight="1" x14ac:dyDescent="0.3">
      <c r="A51" s="15"/>
      <c r="B51" s="28"/>
      <c r="C51" s="29" t="s">
        <v>45</v>
      </c>
      <c r="D51" s="30"/>
      <c r="E51" s="16">
        <v>0</v>
      </c>
      <c r="F51" s="16">
        <v>0</v>
      </c>
      <c r="G51" s="16">
        <v>1</v>
      </c>
      <c r="H51" s="16">
        <v>0</v>
      </c>
      <c r="I51" s="16">
        <v>0</v>
      </c>
      <c r="J51" s="16">
        <v>1</v>
      </c>
      <c r="K51" s="16">
        <v>1</v>
      </c>
      <c r="L51" s="16">
        <v>2</v>
      </c>
      <c r="M51" s="16">
        <v>1</v>
      </c>
      <c r="N51" s="16">
        <v>0</v>
      </c>
      <c r="O51" s="16">
        <v>0</v>
      </c>
      <c r="P51" s="16">
        <v>1</v>
      </c>
      <c r="Q51" s="16">
        <v>2</v>
      </c>
      <c r="R51" s="16">
        <v>1</v>
      </c>
      <c r="S51" s="16">
        <v>1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1</v>
      </c>
      <c r="Z51" s="16">
        <v>0</v>
      </c>
      <c r="AA51" s="16">
        <v>2</v>
      </c>
      <c r="AB51" s="16">
        <v>0</v>
      </c>
      <c r="AC51" s="16">
        <v>1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3">
        <f t="shared" si="13"/>
        <v>15</v>
      </c>
    </row>
    <row r="52" spans="1:39" ht="12.75" customHeight="1" x14ac:dyDescent="0.3">
      <c r="A52" s="15"/>
      <c r="B52" s="28"/>
      <c r="C52" s="29" t="s">
        <v>46</v>
      </c>
      <c r="D52" s="30"/>
      <c r="E52" s="16">
        <v>2</v>
      </c>
      <c r="F52" s="16">
        <v>1</v>
      </c>
      <c r="G52" s="16">
        <v>1</v>
      </c>
      <c r="H52" s="16">
        <v>0</v>
      </c>
      <c r="I52" s="16">
        <v>0</v>
      </c>
      <c r="J52" s="16">
        <v>0</v>
      </c>
      <c r="K52" s="16">
        <v>0</v>
      </c>
      <c r="L52" s="16">
        <v>1</v>
      </c>
      <c r="M52" s="16">
        <v>1</v>
      </c>
      <c r="N52" s="16">
        <v>1</v>
      </c>
      <c r="O52" s="16">
        <v>2</v>
      </c>
      <c r="P52" s="16">
        <v>0</v>
      </c>
      <c r="Q52" s="16">
        <v>1</v>
      </c>
      <c r="R52" s="16">
        <v>0</v>
      </c>
      <c r="S52" s="16">
        <v>1</v>
      </c>
      <c r="T52" s="16">
        <v>1</v>
      </c>
      <c r="U52" s="16">
        <v>0</v>
      </c>
      <c r="V52" s="16">
        <v>0</v>
      </c>
      <c r="W52" s="16">
        <v>0</v>
      </c>
      <c r="X52" s="16">
        <v>2</v>
      </c>
      <c r="Y52" s="16">
        <v>0</v>
      </c>
      <c r="Z52" s="16">
        <v>1</v>
      </c>
      <c r="AA52" s="16">
        <v>1</v>
      </c>
      <c r="AB52" s="16">
        <v>0</v>
      </c>
      <c r="AC52" s="16">
        <v>0</v>
      </c>
      <c r="AD52" s="16">
        <v>2</v>
      </c>
      <c r="AE52" s="16">
        <v>1</v>
      </c>
      <c r="AF52" s="16">
        <v>0</v>
      </c>
      <c r="AG52" s="16">
        <v>0</v>
      </c>
      <c r="AH52" s="16">
        <v>0</v>
      </c>
      <c r="AI52" s="16">
        <v>0</v>
      </c>
      <c r="AJ52" s="16">
        <v>1</v>
      </c>
      <c r="AK52" s="16">
        <v>1</v>
      </c>
      <c r="AL52" s="16">
        <v>1</v>
      </c>
      <c r="AM52" s="13">
        <f t="shared" si="13"/>
        <v>22</v>
      </c>
    </row>
    <row r="53" spans="1:39" ht="12.75" customHeight="1" x14ac:dyDescent="0.3">
      <c r="A53" s="15"/>
      <c r="B53" s="28"/>
      <c r="C53" s="29" t="s">
        <v>47</v>
      </c>
      <c r="D53" s="35"/>
      <c r="E53" s="16">
        <v>1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1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1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3">
        <f t="shared" si="13"/>
        <v>3</v>
      </c>
    </row>
    <row r="54" spans="1:39" ht="12.75" customHeight="1" x14ac:dyDescent="0.3">
      <c r="A54" s="15"/>
      <c r="B54" s="28"/>
      <c r="C54" s="29" t="s">
        <v>48</v>
      </c>
      <c r="D54" s="30"/>
      <c r="E54" s="16">
        <v>0</v>
      </c>
      <c r="F54" s="16">
        <v>0</v>
      </c>
      <c r="G54" s="16">
        <v>0</v>
      </c>
      <c r="H54" s="16">
        <v>0</v>
      </c>
      <c r="I54" s="16">
        <v>1</v>
      </c>
      <c r="J54" s="16">
        <v>1</v>
      </c>
      <c r="K54" s="16">
        <v>0</v>
      </c>
      <c r="L54" s="16">
        <v>1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1</v>
      </c>
      <c r="X54" s="16">
        <v>0</v>
      </c>
      <c r="Y54" s="16">
        <v>0</v>
      </c>
      <c r="Z54" s="16">
        <v>0</v>
      </c>
      <c r="AA54" s="16">
        <v>1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1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3">
        <f t="shared" si="13"/>
        <v>6</v>
      </c>
    </row>
    <row r="55" spans="1:39" ht="12.75" customHeight="1" x14ac:dyDescent="0.3">
      <c r="A55" s="16" t="s">
        <v>15</v>
      </c>
      <c r="B55" s="59" t="s">
        <v>49</v>
      </c>
      <c r="C55" s="60"/>
      <c r="D55" s="58"/>
      <c r="E55" s="13">
        <f t="shared" ref="E55:AM55" si="14">SUM(E45:E54)</f>
        <v>22</v>
      </c>
      <c r="F55" s="13">
        <f t="shared" si="14"/>
        <v>26</v>
      </c>
      <c r="G55" s="13">
        <f t="shared" si="14"/>
        <v>30</v>
      </c>
      <c r="H55" s="13">
        <f t="shared" si="14"/>
        <v>14</v>
      </c>
      <c r="I55" s="13">
        <f t="shared" si="14"/>
        <v>23</v>
      </c>
      <c r="J55" s="13">
        <f t="shared" si="14"/>
        <v>36</v>
      </c>
      <c r="K55" s="13">
        <f t="shared" si="14"/>
        <v>25</v>
      </c>
      <c r="L55" s="13">
        <f t="shared" si="14"/>
        <v>22</v>
      </c>
      <c r="M55" s="13">
        <f t="shared" si="14"/>
        <v>28</v>
      </c>
      <c r="N55" s="13">
        <f t="shared" si="14"/>
        <v>18</v>
      </c>
      <c r="O55" s="13">
        <f t="shared" si="14"/>
        <v>28</v>
      </c>
      <c r="P55" s="13">
        <f t="shared" si="14"/>
        <v>37</v>
      </c>
      <c r="Q55" s="13">
        <f t="shared" si="14"/>
        <v>62</v>
      </c>
      <c r="R55" s="13">
        <f t="shared" si="14"/>
        <v>30</v>
      </c>
      <c r="S55" s="13">
        <f t="shared" si="14"/>
        <v>12</v>
      </c>
      <c r="T55" s="13">
        <f t="shared" si="14"/>
        <v>14</v>
      </c>
      <c r="U55" s="13">
        <f t="shared" si="14"/>
        <v>14</v>
      </c>
      <c r="V55" s="13">
        <f t="shared" si="14"/>
        <v>15</v>
      </c>
      <c r="W55" s="13">
        <f t="shared" si="14"/>
        <v>20</v>
      </c>
      <c r="X55" s="13">
        <f t="shared" si="14"/>
        <v>37</v>
      </c>
      <c r="Y55" s="13">
        <f t="shared" si="14"/>
        <v>13</v>
      </c>
      <c r="Z55" s="13">
        <f t="shared" si="14"/>
        <v>19</v>
      </c>
      <c r="AA55" s="13">
        <f t="shared" si="14"/>
        <v>33</v>
      </c>
      <c r="AB55" s="13">
        <f t="shared" si="14"/>
        <v>44</v>
      </c>
      <c r="AC55" s="13">
        <f t="shared" si="14"/>
        <v>28</v>
      </c>
      <c r="AD55" s="13">
        <f t="shared" si="14"/>
        <v>31</v>
      </c>
      <c r="AE55" s="13">
        <f t="shared" si="14"/>
        <v>9</v>
      </c>
      <c r="AF55" s="13">
        <f t="shared" si="14"/>
        <v>12</v>
      </c>
      <c r="AG55" s="13">
        <f t="shared" si="14"/>
        <v>15</v>
      </c>
      <c r="AH55" s="13">
        <f t="shared" si="14"/>
        <v>15</v>
      </c>
      <c r="AI55" s="13">
        <f t="shared" si="14"/>
        <v>7</v>
      </c>
      <c r="AJ55" s="13">
        <f t="shared" si="14"/>
        <v>21</v>
      </c>
      <c r="AK55" s="13">
        <f t="shared" si="14"/>
        <v>16</v>
      </c>
      <c r="AL55" s="13">
        <f t="shared" si="14"/>
        <v>25</v>
      </c>
      <c r="AM55" s="13">
        <f t="shared" si="14"/>
        <v>801</v>
      </c>
    </row>
    <row r="56" spans="1:39" ht="12.75" customHeight="1" x14ac:dyDescent="0.3">
      <c r="A56" s="55"/>
      <c r="B56" s="56"/>
      <c r="C56" s="56"/>
      <c r="D56" s="56"/>
      <c r="E56" s="56"/>
      <c r="AM56" s="13"/>
    </row>
    <row r="57" spans="1:39" ht="12.75" customHeight="1" x14ac:dyDescent="0.3">
      <c r="A57" s="20" t="s">
        <v>37</v>
      </c>
      <c r="B57" s="27" t="s">
        <v>19</v>
      </c>
      <c r="C57" s="57" t="s">
        <v>50</v>
      </c>
      <c r="D57" s="58"/>
      <c r="E57" s="16">
        <v>10</v>
      </c>
      <c r="F57" s="16">
        <v>8</v>
      </c>
      <c r="G57" s="16">
        <v>6</v>
      </c>
      <c r="H57" s="16">
        <v>7</v>
      </c>
      <c r="I57" s="16">
        <v>6</v>
      </c>
      <c r="J57" s="16">
        <v>8</v>
      </c>
      <c r="K57" s="16">
        <v>8</v>
      </c>
      <c r="L57" s="16">
        <v>6</v>
      </c>
      <c r="M57" s="16">
        <v>12</v>
      </c>
      <c r="N57" s="16">
        <v>14</v>
      </c>
      <c r="O57" s="16">
        <v>13</v>
      </c>
      <c r="P57" s="16">
        <v>6</v>
      </c>
      <c r="Q57" s="16">
        <v>13</v>
      </c>
      <c r="R57" s="16">
        <v>12</v>
      </c>
      <c r="S57" s="16">
        <v>6</v>
      </c>
      <c r="T57" s="16">
        <v>14</v>
      </c>
      <c r="U57" s="16">
        <v>12</v>
      </c>
      <c r="V57" s="16">
        <v>15</v>
      </c>
      <c r="W57" s="16">
        <v>21</v>
      </c>
      <c r="X57" s="16">
        <v>12</v>
      </c>
      <c r="Y57" s="16">
        <v>5</v>
      </c>
      <c r="Z57" s="16">
        <v>5</v>
      </c>
      <c r="AA57" s="16">
        <v>10</v>
      </c>
      <c r="AB57" s="16">
        <v>5</v>
      </c>
      <c r="AC57" s="16">
        <v>12</v>
      </c>
      <c r="AD57" s="16">
        <v>10</v>
      </c>
      <c r="AE57" s="16">
        <v>12</v>
      </c>
      <c r="AF57" s="16">
        <v>7</v>
      </c>
      <c r="AG57" s="16">
        <v>14</v>
      </c>
      <c r="AH57" s="16">
        <v>10</v>
      </c>
      <c r="AI57" s="16">
        <v>8</v>
      </c>
      <c r="AJ57" s="16">
        <v>14</v>
      </c>
      <c r="AK57" s="16">
        <v>6</v>
      </c>
      <c r="AL57" s="16">
        <v>7</v>
      </c>
      <c r="AM57" s="13">
        <f t="shared" ref="AM57:AM66" si="15">SUM(E57:AL57)</f>
        <v>334</v>
      </c>
    </row>
    <row r="58" spans="1:39" ht="12.75" customHeight="1" x14ac:dyDescent="0.3">
      <c r="A58" s="20" t="s">
        <v>39</v>
      </c>
      <c r="B58" s="28"/>
      <c r="C58" s="29" t="s">
        <v>51</v>
      </c>
      <c r="D58" s="30"/>
      <c r="E58" s="16">
        <v>3</v>
      </c>
      <c r="F58" s="16">
        <v>5</v>
      </c>
      <c r="G58" s="16">
        <v>0</v>
      </c>
      <c r="H58" s="16">
        <v>2</v>
      </c>
      <c r="I58" s="16">
        <v>2</v>
      </c>
      <c r="J58" s="16">
        <v>2</v>
      </c>
      <c r="K58" s="16">
        <v>3</v>
      </c>
      <c r="L58" s="16">
        <v>2</v>
      </c>
      <c r="M58" s="16">
        <v>3</v>
      </c>
      <c r="N58" s="16">
        <v>6</v>
      </c>
      <c r="O58" s="16">
        <v>1</v>
      </c>
      <c r="P58" s="16">
        <v>3</v>
      </c>
      <c r="Q58" s="16">
        <v>4</v>
      </c>
      <c r="R58" s="16">
        <v>2</v>
      </c>
      <c r="S58" s="16">
        <v>3</v>
      </c>
      <c r="T58" s="16">
        <v>4</v>
      </c>
      <c r="U58" s="16">
        <v>4</v>
      </c>
      <c r="V58" s="16">
        <v>2</v>
      </c>
      <c r="W58" s="16">
        <v>3</v>
      </c>
      <c r="X58" s="16">
        <v>5</v>
      </c>
      <c r="Y58" s="16">
        <v>0</v>
      </c>
      <c r="Z58" s="16">
        <v>1</v>
      </c>
      <c r="AA58" s="16">
        <v>9</v>
      </c>
      <c r="AB58" s="16">
        <v>55</v>
      </c>
      <c r="AC58" s="16">
        <v>6</v>
      </c>
      <c r="AD58" s="16">
        <v>3</v>
      </c>
      <c r="AE58" s="16">
        <v>7</v>
      </c>
      <c r="AF58" s="16">
        <v>5</v>
      </c>
      <c r="AG58" s="16">
        <v>5</v>
      </c>
      <c r="AH58" s="16">
        <v>5</v>
      </c>
      <c r="AI58" s="16">
        <v>2</v>
      </c>
      <c r="AJ58" s="16">
        <v>4</v>
      </c>
      <c r="AK58" s="16">
        <v>2</v>
      </c>
      <c r="AL58" s="16">
        <v>2</v>
      </c>
      <c r="AM58" s="13">
        <f t="shared" si="15"/>
        <v>165</v>
      </c>
    </row>
    <row r="59" spans="1:39" ht="12.75" customHeight="1" x14ac:dyDescent="0.3">
      <c r="A59" s="15"/>
      <c r="B59" s="28"/>
      <c r="C59" s="29" t="s">
        <v>52</v>
      </c>
      <c r="D59" s="30"/>
      <c r="E59" s="16">
        <v>4</v>
      </c>
      <c r="F59" s="16">
        <v>5</v>
      </c>
      <c r="G59" s="16">
        <v>1</v>
      </c>
      <c r="H59" s="16">
        <v>4</v>
      </c>
      <c r="I59" s="16">
        <v>3</v>
      </c>
      <c r="J59" s="16">
        <v>3</v>
      </c>
      <c r="K59" s="16">
        <v>13</v>
      </c>
      <c r="L59" s="16">
        <v>3</v>
      </c>
      <c r="M59" s="16">
        <v>4</v>
      </c>
      <c r="N59" s="16">
        <v>15</v>
      </c>
      <c r="O59" s="16">
        <v>3</v>
      </c>
      <c r="P59" s="16">
        <v>2</v>
      </c>
      <c r="Q59" s="16">
        <v>2</v>
      </c>
      <c r="R59" s="16">
        <v>5</v>
      </c>
      <c r="S59" s="16">
        <v>6</v>
      </c>
      <c r="T59" s="16">
        <v>12</v>
      </c>
      <c r="U59" s="16">
        <v>19</v>
      </c>
      <c r="V59" s="16">
        <v>3</v>
      </c>
      <c r="W59" s="16">
        <v>2</v>
      </c>
      <c r="X59" s="16">
        <v>5</v>
      </c>
      <c r="Y59" s="16">
        <v>0</v>
      </c>
      <c r="Z59" s="16">
        <v>3</v>
      </c>
      <c r="AA59" s="16">
        <v>6</v>
      </c>
      <c r="AB59" s="16">
        <v>10</v>
      </c>
      <c r="AC59" s="16">
        <v>8</v>
      </c>
      <c r="AD59" s="16">
        <v>8</v>
      </c>
      <c r="AE59" s="16">
        <v>2</v>
      </c>
      <c r="AF59" s="16">
        <v>6</v>
      </c>
      <c r="AG59" s="16">
        <v>5</v>
      </c>
      <c r="AH59" s="16">
        <v>3</v>
      </c>
      <c r="AI59" s="16">
        <v>4</v>
      </c>
      <c r="AJ59" s="16">
        <v>14</v>
      </c>
      <c r="AK59" s="16">
        <v>2</v>
      </c>
      <c r="AL59" s="16">
        <v>4</v>
      </c>
      <c r="AM59" s="13">
        <f t="shared" si="15"/>
        <v>189</v>
      </c>
    </row>
    <row r="60" spans="1:39" ht="12.75" customHeight="1" x14ac:dyDescent="0.3">
      <c r="A60" s="15"/>
      <c r="B60" s="28"/>
      <c r="C60" s="29" t="s">
        <v>53</v>
      </c>
      <c r="D60" s="30"/>
      <c r="E60" s="16">
        <v>2</v>
      </c>
      <c r="F60" s="16">
        <v>4</v>
      </c>
      <c r="G60" s="16">
        <v>0</v>
      </c>
      <c r="H60" s="16">
        <v>2</v>
      </c>
      <c r="I60" s="16">
        <v>0</v>
      </c>
      <c r="J60" s="16">
        <v>2</v>
      </c>
      <c r="K60" s="16">
        <v>8</v>
      </c>
      <c r="L60" s="16">
        <v>4</v>
      </c>
      <c r="M60" s="16">
        <v>0</v>
      </c>
      <c r="N60" s="16">
        <v>1</v>
      </c>
      <c r="O60" s="16">
        <v>0</v>
      </c>
      <c r="P60" s="16">
        <v>3</v>
      </c>
      <c r="Q60" s="16">
        <v>1</v>
      </c>
      <c r="R60" s="16">
        <v>1</v>
      </c>
      <c r="S60" s="16">
        <v>1</v>
      </c>
      <c r="T60" s="16">
        <v>1</v>
      </c>
      <c r="U60" s="16">
        <v>2</v>
      </c>
      <c r="V60" s="16">
        <v>0</v>
      </c>
      <c r="W60" s="16">
        <v>1</v>
      </c>
      <c r="X60" s="16">
        <v>2</v>
      </c>
      <c r="Y60" s="16">
        <v>2</v>
      </c>
      <c r="Z60" s="16">
        <v>2</v>
      </c>
      <c r="AA60" s="16">
        <v>1</v>
      </c>
      <c r="AB60" s="16">
        <v>3</v>
      </c>
      <c r="AC60" s="16">
        <v>3</v>
      </c>
      <c r="AD60" s="16">
        <v>1</v>
      </c>
      <c r="AE60" s="16">
        <v>1</v>
      </c>
      <c r="AF60" s="16">
        <v>5</v>
      </c>
      <c r="AG60" s="16">
        <v>2</v>
      </c>
      <c r="AH60" s="16">
        <v>4</v>
      </c>
      <c r="AI60" s="16">
        <v>0</v>
      </c>
      <c r="AJ60" s="16">
        <v>3</v>
      </c>
      <c r="AK60" s="16">
        <v>1</v>
      </c>
      <c r="AL60" s="16">
        <v>0</v>
      </c>
      <c r="AM60" s="13">
        <f t="shared" si="15"/>
        <v>63</v>
      </c>
    </row>
    <row r="61" spans="1:39" ht="12.75" customHeight="1" x14ac:dyDescent="0.3">
      <c r="A61" s="15"/>
      <c r="B61" s="28"/>
      <c r="C61" s="29" t="s">
        <v>54</v>
      </c>
      <c r="D61" s="30"/>
      <c r="E61" s="16">
        <v>3</v>
      </c>
      <c r="F61" s="16">
        <v>6</v>
      </c>
      <c r="G61" s="16">
        <v>0</v>
      </c>
      <c r="H61" s="16">
        <v>0</v>
      </c>
      <c r="I61" s="16">
        <v>0</v>
      </c>
      <c r="J61" s="16">
        <v>5</v>
      </c>
      <c r="K61" s="16">
        <v>1</v>
      </c>
      <c r="L61" s="16">
        <v>1</v>
      </c>
      <c r="M61" s="16">
        <v>3</v>
      </c>
      <c r="N61" s="16">
        <v>1</v>
      </c>
      <c r="O61" s="16">
        <v>2</v>
      </c>
      <c r="P61" s="16">
        <v>1</v>
      </c>
      <c r="Q61" s="16">
        <v>2</v>
      </c>
      <c r="R61" s="16">
        <v>4</v>
      </c>
      <c r="S61" s="16">
        <v>4</v>
      </c>
      <c r="T61" s="16">
        <v>10</v>
      </c>
      <c r="U61" s="16">
        <v>3</v>
      </c>
      <c r="V61" s="16">
        <v>2</v>
      </c>
      <c r="W61" s="16">
        <v>0</v>
      </c>
      <c r="X61" s="16">
        <v>1</v>
      </c>
      <c r="Y61" s="16">
        <v>5</v>
      </c>
      <c r="Z61" s="16">
        <v>3</v>
      </c>
      <c r="AA61" s="16">
        <v>3</v>
      </c>
      <c r="AB61" s="16">
        <v>1</v>
      </c>
      <c r="AC61" s="16">
        <v>3</v>
      </c>
      <c r="AD61" s="16">
        <v>3</v>
      </c>
      <c r="AE61" s="16">
        <v>1</v>
      </c>
      <c r="AF61" s="16">
        <v>3</v>
      </c>
      <c r="AG61" s="16">
        <v>0</v>
      </c>
      <c r="AH61" s="16">
        <v>1</v>
      </c>
      <c r="AI61" s="16">
        <v>2</v>
      </c>
      <c r="AJ61" s="16">
        <v>3</v>
      </c>
      <c r="AK61" s="16">
        <v>2</v>
      </c>
      <c r="AL61" s="16">
        <v>3</v>
      </c>
      <c r="AM61" s="13">
        <f t="shared" si="15"/>
        <v>82</v>
      </c>
    </row>
    <row r="62" spans="1:39" ht="12.75" customHeight="1" x14ac:dyDescent="0.3">
      <c r="A62" s="15"/>
      <c r="B62" s="28"/>
      <c r="C62" s="29" t="s">
        <v>55</v>
      </c>
      <c r="D62" s="30"/>
      <c r="E62" s="16">
        <v>3</v>
      </c>
      <c r="F62" s="16">
        <v>1</v>
      </c>
      <c r="G62" s="16">
        <v>1</v>
      </c>
      <c r="H62" s="16">
        <v>1</v>
      </c>
      <c r="I62" s="16">
        <v>0</v>
      </c>
      <c r="J62" s="16">
        <v>1</v>
      </c>
      <c r="K62" s="16">
        <v>0</v>
      </c>
      <c r="L62" s="16">
        <v>0</v>
      </c>
      <c r="M62" s="16">
        <v>1</v>
      </c>
      <c r="N62" s="16">
        <v>2</v>
      </c>
      <c r="O62" s="16">
        <v>0</v>
      </c>
      <c r="P62" s="16">
        <v>1</v>
      </c>
      <c r="Q62" s="16">
        <v>1</v>
      </c>
      <c r="R62" s="16">
        <v>0</v>
      </c>
      <c r="S62" s="16">
        <v>3</v>
      </c>
      <c r="T62" s="16">
        <v>0</v>
      </c>
      <c r="U62" s="16">
        <v>1</v>
      </c>
      <c r="V62" s="16">
        <v>0</v>
      </c>
      <c r="W62" s="16">
        <v>1</v>
      </c>
      <c r="X62" s="16">
        <v>0</v>
      </c>
      <c r="Y62" s="16">
        <v>2</v>
      </c>
      <c r="Z62" s="16">
        <v>0</v>
      </c>
      <c r="AA62" s="16">
        <v>5</v>
      </c>
      <c r="AB62" s="16">
        <v>1</v>
      </c>
      <c r="AC62" s="16">
        <v>1</v>
      </c>
      <c r="AD62" s="16">
        <v>1</v>
      </c>
      <c r="AE62" s="16">
        <v>0</v>
      </c>
      <c r="AF62" s="16">
        <v>1</v>
      </c>
      <c r="AG62" s="16">
        <v>0</v>
      </c>
      <c r="AH62" s="16">
        <v>1</v>
      </c>
      <c r="AI62" s="16">
        <v>1</v>
      </c>
      <c r="AJ62" s="16">
        <v>1</v>
      </c>
      <c r="AK62" s="16">
        <v>1</v>
      </c>
      <c r="AL62" s="16">
        <v>0</v>
      </c>
      <c r="AM62" s="13">
        <f t="shared" si="15"/>
        <v>32</v>
      </c>
    </row>
    <row r="63" spans="1:39" ht="12.75" customHeight="1" x14ac:dyDescent="0.3">
      <c r="A63" s="15"/>
      <c r="B63" s="28"/>
      <c r="C63" s="29" t="s">
        <v>56</v>
      </c>
      <c r="D63" s="30"/>
      <c r="E63" s="16">
        <v>1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1</v>
      </c>
      <c r="L63" s="16">
        <v>0</v>
      </c>
      <c r="M63" s="16">
        <v>1</v>
      </c>
      <c r="N63" s="16">
        <v>0</v>
      </c>
      <c r="O63" s="16">
        <v>0</v>
      </c>
      <c r="P63" s="16">
        <v>1</v>
      </c>
      <c r="Q63" s="16">
        <v>0</v>
      </c>
      <c r="R63" s="16">
        <v>0</v>
      </c>
      <c r="S63" s="16">
        <v>0</v>
      </c>
      <c r="T63" s="16">
        <v>2</v>
      </c>
      <c r="U63" s="16">
        <v>1</v>
      </c>
      <c r="V63" s="16">
        <v>0</v>
      </c>
      <c r="W63" s="16">
        <v>0</v>
      </c>
      <c r="X63" s="16">
        <v>4</v>
      </c>
      <c r="Y63" s="16">
        <v>0</v>
      </c>
      <c r="Z63" s="16">
        <v>0</v>
      </c>
      <c r="AA63" s="16">
        <v>2</v>
      </c>
      <c r="AB63" s="16">
        <v>0</v>
      </c>
      <c r="AC63" s="16">
        <v>0</v>
      </c>
      <c r="AD63" s="16">
        <v>0</v>
      </c>
      <c r="AE63" s="16">
        <v>1</v>
      </c>
      <c r="AF63" s="16">
        <v>1</v>
      </c>
      <c r="AG63" s="16">
        <v>0</v>
      </c>
      <c r="AH63" s="16">
        <v>0</v>
      </c>
      <c r="AI63" s="16">
        <v>1</v>
      </c>
      <c r="AJ63" s="16">
        <v>2</v>
      </c>
      <c r="AK63" s="16">
        <v>0</v>
      </c>
      <c r="AL63" s="16">
        <v>0</v>
      </c>
      <c r="AM63" s="13">
        <f t="shared" si="15"/>
        <v>18</v>
      </c>
    </row>
    <row r="64" spans="1:39" ht="12.75" customHeight="1" x14ac:dyDescent="0.3">
      <c r="A64" s="15"/>
      <c r="B64" s="28"/>
      <c r="C64" s="29" t="s">
        <v>57</v>
      </c>
      <c r="D64" s="30"/>
      <c r="E64" s="16">
        <v>2</v>
      </c>
      <c r="F64" s="16">
        <v>0</v>
      </c>
      <c r="G64" s="16">
        <v>0</v>
      </c>
      <c r="H64" s="16">
        <v>0</v>
      </c>
      <c r="I64" s="16">
        <v>0</v>
      </c>
      <c r="J64" s="16">
        <v>1</v>
      </c>
      <c r="K64" s="16">
        <v>0</v>
      </c>
      <c r="L64" s="16">
        <v>2</v>
      </c>
      <c r="M64" s="16">
        <v>0</v>
      </c>
      <c r="N64" s="16">
        <v>2</v>
      </c>
      <c r="O64" s="16">
        <v>0</v>
      </c>
      <c r="P64" s="16">
        <v>0</v>
      </c>
      <c r="Q64" s="16">
        <v>0</v>
      </c>
      <c r="R64" s="16">
        <v>1</v>
      </c>
      <c r="S64" s="16">
        <v>0</v>
      </c>
      <c r="T64" s="16">
        <v>1</v>
      </c>
      <c r="U64" s="16">
        <v>1</v>
      </c>
      <c r="V64" s="16">
        <v>0</v>
      </c>
      <c r="W64" s="16">
        <v>0</v>
      </c>
      <c r="X64" s="16">
        <v>0</v>
      </c>
      <c r="Y64" s="16">
        <v>0</v>
      </c>
      <c r="Z64" s="16">
        <v>1</v>
      </c>
      <c r="AA64" s="16">
        <v>0</v>
      </c>
      <c r="AB64" s="16">
        <v>1</v>
      </c>
      <c r="AC64" s="16">
        <v>1</v>
      </c>
      <c r="AD64" s="16">
        <v>0</v>
      </c>
      <c r="AE64" s="16">
        <v>0</v>
      </c>
      <c r="AF64" s="16">
        <v>1</v>
      </c>
      <c r="AG64" s="16">
        <v>0</v>
      </c>
      <c r="AH64" s="16">
        <v>0</v>
      </c>
      <c r="AI64" s="16">
        <v>0</v>
      </c>
      <c r="AJ64" s="16">
        <v>1</v>
      </c>
      <c r="AK64" s="16">
        <v>0</v>
      </c>
      <c r="AL64" s="16">
        <v>0</v>
      </c>
      <c r="AM64" s="13">
        <f t="shared" si="15"/>
        <v>15</v>
      </c>
    </row>
    <row r="65" spans="1:39" ht="12.75" customHeight="1" x14ac:dyDescent="0.3">
      <c r="A65" s="15"/>
      <c r="B65" s="28"/>
      <c r="C65" s="29" t="s">
        <v>58</v>
      </c>
      <c r="D65" s="30"/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1</v>
      </c>
      <c r="S65" s="16">
        <v>0</v>
      </c>
      <c r="T65" s="16">
        <v>0</v>
      </c>
      <c r="U65" s="16">
        <v>0</v>
      </c>
      <c r="V65" s="16">
        <v>1</v>
      </c>
      <c r="W65" s="16">
        <v>0</v>
      </c>
      <c r="X65" s="16">
        <v>1</v>
      </c>
      <c r="Y65" s="16">
        <v>1</v>
      </c>
      <c r="Z65" s="16">
        <v>0</v>
      </c>
      <c r="AA65" s="16">
        <v>1</v>
      </c>
      <c r="AB65" s="16">
        <v>0</v>
      </c>
      <c r="AC65" s="16">
        <v>0</v>
      </c>
      <c r="AD65" s="16">
        <v>3</v>
      </c>
      <c r="AE65" s="16">
        <v>0</v>
      </c>
      <c r="AF65" s="16">
        <v>0</v>
      </c>
      <c r="AG65" s="16">
        <v>1</v>
      </c>
      <c r="AH65" s="16">
        <v>0</v>
      </c>
      <c r="AI65" s="16">
        <v>0</v>
      </c>
      <c r="AJ65" s="16">
        <v>0</v>
      </c>
      <c r="AK65" s="16">
        <v>0</v>
      </c>
      <c r="AL65" s="16">
        <v>1</v>
      </c>
      <c r="AM65" s="13">
        <f t="shared" si="15"/>
        <v>10</v>
      </c>
    </row>
    <row r="66" spans="1:39" ht="12.75" customHeight="1" x14ac:dyDescent="0.3">
      <c r="A66" s="15"/>
      <c r="B66" s="28"/>
      <c r="C66" s="29" t="s">
        <v>59</v>
      </c>
      <c r="D66" s="30"/>
      <c r="E66" s="16">
        <v>0</v>
      </c>
      <c r="F66" s="16">
        <v>1</v>
      </c>
      <c r="G66" s="16">
        <v>0</v>
      </c>
      <c r="H66" s="16">
        <v>0</v>
      </c>
      <c r="I66" s="16">
        <v>0</v>
      </c>
      <c r="J66" s="16">
        <v>0</v>
      </c>
      <c r="K66" s="16">
        <v>3</v>
      </c>
      <c r="L66" s="16">
        <v>1</v>
      </c>
      <c r="M66" s="16">
        <v>1</v>
      </c>
      <c r="N66" s="16">
        <v>1</v>
      </c>
      <c r="O66" s="16">
        <v>0</v>
      </c>
      <c r="P66" s="16">
        <v>0</v>
      </c>
      <c r="Q66" s="16">
        <v>0</v>
      </c>
      <c r="R66" s="16">
        <v>1</v>
      </c>
      <c r="S66" s="16">
        <v>0</v>
      </c>
      <c r="T66" s="16">
        <v>0</v>
      </c>
      <c r="U66" s="16">
        <v>0</v>
      </c>
      <c r="V66" s="16">
        <v>0</v>
      </c>
      <c r="W66" s="16">
        <v>2</v>
      </c>
      <c r="X66" s="16">
        <v>0</v>
      </c>
      <c r="Y66" s="16">
        <v>0</v>
      </c>
      <c r="Z66" s="16">
        <v>1</v>
      </c>
      <c r="AA66" s="16">
        <v>0</v>
      </c>
      <c r="AB66" s="16">
        <v>0</v>
      </c>
      <c r="AC66" s="16">
        <v>3</v>
      </c>
      <c r="AD66" s="16">
        <v>2</v>
      </c>
      <c r="AE66" s="16">
        <v>0</v>
      </c>
      <c r="AF66" s="16">
        <v>3</v>
      </c>
      <c r="AG66" s="16">
        <v>1</v>
      </c>
      <c r="AH66" s="16">
        <v>0</v>
      </c>
      <c r="AI66" s="16">
        <v>0</v>
      </c>
      <c r="AJ66" s="16">
        <v>1</v>
      </c>
      <c r="AK66" s="16">
        <v>0</v>
      </c>
      <c r="AL66" s="16">
        <v>0</v>
      </c>
      <c r="AM66" s="13">
        <f t="shared" si="15"/>
        <v>21</v>
      </c>
    </row>
    <row r="67" spans="1:39" ht="12.75" customHeight="1" x14ac:dyDescent="0.3">
      <c r="A67" s="16" t="s">
        <v>15</v>
      </c>
      <c r="B67" s="59" t="s">
        <v>49</v>
      </c>
      <c r="C67" s="60"/>
      <c r="D67" s="58"/>
      <c r="E67" s="13">
        <f t="shared" ref="E67:AM67" si="16">SUM(E57:E66)</f>
        <v>28</v>
      </c>
      <c r="F67" s="13">
        <f t="shared" si="16"/>
        <v>30</v>
      </c>
      <c r="G67" s="13">
        <f t="shared" si="16"/>
        <v>8</v>
      </c>
      <c r="H67" s="13">
        <f t="shared" si="16"/>
        <v>16</v>
      </c>
      <c r="I67" s="13">
        <f t="shared" si="16"/>
        <v>11</v>
      </c>
      <c r="J67" s="13">
        <f t="shared" si="16"/>
        <v>22</v>
      </c>
      <c r="K67" s="13">
        <f t="shared" si="16"/>
        <v>37</v>
      </c>
      <c r="L67" s="13">
        <f t="shared" si="16"/>
        <v>19</v>
      </c>
      <c r="M67" s="13">
        <f t="shared" si="16"/>
        <v>25</v>
      </c>
      <c r="N67" s="13">
        <f t="shared" si="16"/>
        <v>42</v>
      </c>
      <c r="O67" s="13">
        <f t="shared" si="16"/>
        <v>19</v>
      </c>
      <c r="P67" s="13">
        <f t="shared" si="16"/>
        <v>17</v>
      </c>
      <c r="Q67" s="13">
        <f t="shared" si="16"/>
        <v>23</v>
      </c>
      <c r="R67" s="13">
        <f t="shared" si="16"/>
        <v>27</v>
      </c>
      <c r="S67" s="13">
        <f t="shared" si="16"/>
        <v>23</v>
      </c>
      <c r="T67" s="13">
        <f t="shared" si="16"/>
        <v>44</v>
      </c>
      <c r="U67" s="13">
        <f t="shared" si="16"/>
        <v>43</v>
      </c>
      <c r="V67" s="13">
        <f t="shared" si="16"/>
        <v>23</v>
      </c>
      <c r="W67" s="13">
        <f t="shared" si="16"/>
        <v>30</v>
      </c>
      <c r="X67" s="13">
        <f t="shared" si="16"/>
        <v>30</v>
      </c>
      <c r="Y67" s="13">
        <f t="shared" si="16"/>
        <v>15</v>
      </c>
      <c r="Z67" s="13">
        <f t="shared" si="16"/>
        <v>16</v>
      </c>
      <c r="AA67" s="13">
        <f t="shared" si="16"/>
        <v>37</v>
      </c>
      <c r="AB67" s="13">
        <f t="shared" si="16"/>
        <v>76</v>
      </c>
      <c r="AC67" s="13">
        <f t="shared" si="16"/>
        <v>37</v>
      </c>
      <c r="AD67" s="13">
        <f t="shared" si="16"/>
        <v>31</v>
      </c>
      <c r="AE67" s="13">
        <f t="shared" si="16"/>
        <v>24</v>
      </c>
      <c r="AF67" s="13">
        <f t="shared" si="16"/>
        <v>32</v>
      </c>
      <c r="AG67" s="13">
        <f t="shared" si="16"/>
        <v>28</v>
      </c>
      <c r="AH67" s="13">
        <f t="shared" si="16"/>
        <v>24</v>
      </c>
      <c r="AI67" s="13">
        <f t="shared" si="16"/>
        <v>18</v>
      </c>
      <c r="AJ67" s="13">
        <f t="shared" si="16"/>
        <v>43</v>
      </c>
      <c r="AK67" s="13">
        <f t="shared" si="16"/>
        <v>14</v>
      </c>
      <c r="AL67" s="13">
        <f t="shared" si="16"/>
        <v>17</v>
      </c>
      <c r="AM67" s="13">
        <f t="shared" si="16"/>
        <v>929</v>
      </c>
    </row>
    <row r="68" spans="1:39" ht="12.75" customHeight="1" x14ac:dyDescent="0.3">
      <c r="A68" s="55"/>
      <c r="B68" s="56"/>
      <c r="C68" s="56"/>
      <c r="D68" s="56"/>
      <c r="E68" s="56"/>
    </row>
    <row r="69" spans="1:39" ht="12.75" customHeight="1" x14ac:dyDescent="0.3">
      <c r="A69" s="20" t="s">
        <v>37</v>
      </c>
      <c r="B69" s="27" t="s">
        <v>21</v>
      </c>
      <c r="C69" s="57" t="s">
        <v>60</v>
      </c>
      <c r="D69" s="58"/>
      <c r="E69" s="16">
        <v>1</v>
      </c>
      <c r="F69" s="16">
        <v>2</v>
      </c>
      <c r="G69" s="16">
        <v>13</v>
      </c>
      <c r="H69" s="16">
        <v>5</v>
      </c>
      <c r="I69" s="16">
        <v>17</v>
      </c>
      <c r="J69" s="16">
        <v>6</v>
      </c>
      <c r="K69" s="16">
        <v>9</v>
      </c>
      <c r="L69" s="16">
        <v>11</v>
      </c>
      <c r="M69" s="16">
        <v>8</v>
      </c>
      <c r="N69" s="16">
        <v>0</v>
      </c>
      <c r="O69" s="16">
        <v>8</v>
      </c>
      <c r="P69" s="16">
        <v>5</v>
      </c>
      <c r="Q69" s="16">
        <v>15</v>
      </c>
      <c r="R69" s="16">
        <v>15</v>
      </c>
      <c r="S69" s="16">
        <v>8</v>
      </c>
      <c r="T69" s="16">
        <v>9</v>
      </c>
      <c r="U69" s="16">
        <v>10</v>
      </c>
      <c r="V69" s="16">
        <v>16</v>
      </c>
      <c r="W69" s="16">
        <v>26</v>
      </c>
      <c r="X69" s="16">
        <v>8</v>
      </c>
      <c r="Y69" s="16">
        <v>12</v>
      </c>
      <c r="Z69" s="16">
        <v>7</v>
      </c>
      <c r="AA69" s="16">
        <v>4</v>
      </c>
      <c r="AB69" s="16">
        <v>11</v>
      </c>
      <c r="AC69" s="16">
        <v>3</v>
      </c>
      <c r="AD69" s="16">
        <v>5</v>
      </c>
      <c r="AE69" s="16">
        <v>22</v>
      </c>
      <c r="AF69" s="16">
        <v>24</v>
      </c>
      <c r="AG69" s="16">
        <v>11</v>
      </c>
      <c r="AH69" s="16">
        <v>2</v>
      </c>
      <c r="AI69" s="16">
        <v>10</v>
      </c>
      <c r="AJ69" s="16">
        <v>6</v>
      </c>
      <c r="AK69" s="16">
        <v>3</v>
      </c>
      <c r="AL69" s="16">
        <v>16</v>
      </c>
      <c r="AM69" s="13">
        <f t="shared" ref="AM69:AM78" si="17">SUM(E69:AL69)</f>
        <v>328</v>
      </c>
    </row>
    <row r="70" spans="1:39" ht="12.75" customHeight="1" x14ac:dyDescent="0.3">
      <c r="A70" s="20" t="s">
        <v>39</v>
      </c>
      <c r="B70" s="28"/>
      <c r="C70" s="29" t="s">
        <v>61</v>
      </c>
      <c r="D70" s="30"/>
      <c r="E70" s="16">
        <v>9</v>
      </c>
      <c r="F70" s="16">
        <v>7</v>
      </c>
      <c r="G70" s="16">
        <v>4</v>
      </c>
      <c r="H70" s="16">
        <v>7</v>
      </c>
      <c r="I70" s="16">
        <v>3</v>
      </c>
      <c r="J70" s="16">
        <v>30</v>
      </c>
      <c r="K70" s="16">
        <v>4</v>
      </c>
      <c r="L70" s="16">
        <v>2</v>
      </c>
      <c r="M70" s="16">
        <v>4</v>
      </c>
      <c r="N70" s="16">
        <v>2</v>
      </c>
      <c r="O70" s="16">
        <v>4</v>
      </c>
      <c r="P70" s="16">
        <v>32</v>
      </c>
      <c r="Q70" s="16">
        <v>23</v>
      </c>
      <c r="R70" s="16">
        <v>1</v>
      </c>
      <c r="S70" s="16">
        <v>3</v>
      </c>
      <c r="T70" s="16">
        <v>3</v>
      </c>
      <c r="U70" s="16">
        <v>9</v>
      </c>
      <c r="V70" s="16">
        <v>4</v>
      </c>
      <c r="W70" s="16">
        <v>8</v>
      </c>
      <c r="X70" s="16">
        <v>4</v>
      </c>
      <c r="Y70" s="16">
        <v>1</v>
      </c>
      <c r="Z70" s="16">
        <v>2</v>
      </c>
      <c r="AA70" s="16">
        <v>7</v>
      </c>
      <c r="AB70" s="16">
        <v>2</v>
      </c>
      <c r="AC70" s="16">
        <v>6</v>
      </c>
      <c r="AD70" s="16">
        <v>41</v>
      </c>
      <c r="AE70" s="16">
        <v>19</v>
      </c>
      <c r="AF70" s="16">
        <v>7</v>
      </c>
      <c r="AG70" s="16">
        <v>4</v>
      </c>
      <c r="AH70" s="16">
        <v>3</v>
      </c>
      <c r="AI70" s="16">
        <v>7</v>
      </c>
      <c r="AJ70" s="16">
        <v>0</v>
      </c>
      <c r="AK70" s="16">
        <v>9</v>
      </c>
      <c r="AL70" s="16">
        <v>7</v>
      </c>
      <c r="AM70" s="13">
        <f t="shared" si="17"/>
        <v>278</v>
      </c>
    </row>
    <row r="71" spans="1:39" ht="12.75" customHeight="1" x14ac:dyDescent="0.3">
      <c r="A71" s="15"/>
      <c r="B71" s="28"/>
      <c r="C71" s="29" t="s">
        <v>62</v>
      </c>
      <c r="D71" s="30"/>
      <c r="E71" s="16">
        <v>8</v>
      </c>
      <c r="F71" s="16">
        <v>4</v>
      </c>
      <c r="G71" s="16">
        <v>4</v>
      </c>
      <c r="H71" s="16">
        <v>0</v>
      </c>
      <c r="I71" s="16">
        <v>4</v>
      </c>
      <c r="J71" s="16">
        <v>2</v>
      </c>
      <c r="K71" s="16">
        <v>4</v>
      </c>
      <c r="L71" s="16">
        <v>3</v>
      </c>
      <c r="M71" s="16">
        <v>5</v>
      </c>
      <c r="N71" s="16">
        <v>7</v>
      </c>
      <c r="O71" s="16">
        <v>3</v>
      </c>
      <c r="P71" s="16">
        <v>1</v>
      </c>
      <c r="Q71" s="16">
        <v>4</v>
      </c>
      <c r="R71" s="16">
        <v>8</v>
      </c>
      <c r="S71" s="16">
        <v>2</v>
      </c>
      <c r="T71" s="16">
        <v>5</v>
      </c>
      <c r="U71" s="16">
        <v>6</v>
      </c>
      <c r="V71" s="16">
        <v>3</v>
      </c>
      <c r="W71" s="16">
        <v>1</v>
      </c>
      <c r="X71" s="16">
        <v>3</v>
      </c>
      <c r="Y71" s="16">
        <v>1</v>
      </c>
      <c r="Z71" s="16">
        <v>0</v>
      </c>
      <c r="AA71" s="16">
        <v>4</v>
      </c>
      <c r="AB71" s="16">
        <v>3</v>
      </c>
      <c r="AC71" s="16">
        <v>1</v>
      </c>
      <c r="AD71" s="16">
        <v>3</v>
      </c>
      <c r="AE71" s="16">
        <v>2</v>
      </c>
      <c r="AF71" s="16">
        <v>5</v>
      </c>
      <c r="AG71" s="16">
        <v>2</v>
      </c>
      <c r="AH71" s="16">
        <v>2</v>
      </c>
      <c r="AI71" s="16">
        <v>6</v>
      </c>
      <c r="AJ71" s="16">
        <v>3</v>
      </c>
      <c r="AK71" s="16">
        <v>2</v>
      </c>
      <c r="AL71" s="16">
        <v>1</v>
      </c>
      <c r="AM71" s="13">
        <f t="shared" si="17"/>
        <v>112</v>
      </c>
    </row>
    <row r="72" spans="1:39" ht="12.75" customHeight="1" x14ac:dyDescent="0.3">
      <c r="A72" s="15"/>
      <c r="B72" s="28"/>
      <c r="C72" s="29" t="s">
        <v>63</v>
      </c>
      <c r="D72" s="30"/>
      <c r="E72" s="16">
        <v>3</v>
      </c>
      <c r="F72" s="16">
        <v>2</v>
      </c>
      <c r="G72" s="16">
        <v>1</v>
      </c>
      <c r="H72" s="16">
        <v>3</v>
      </c>
      <c r="I72" s="16">
        <v>10</v>
      </c>
      <c r="J72" s="16">
        <v>4</v>
      </c>
      <c r="K72" s="16">
        <v>4</v>
      </c>
      <c r="L72" s="16">
        <v>11</v>
      </c>
      <c r="M72" s="16">
        <v>2</v>
      </c>
      <c r="N72" s="16">
        <v>2</v>
      </c>
      <c r="O72" s="16">
        <v>0</v>
      </c>
      <c r="P72" s="16">
        <v>2</v>
      </c>
      <c r="Q72" s="16">
        <v>5</v>
      </c>
      <c r="R72" s="16">
        <v>2</v>
      </c>
      <c r="S72" s="16">
        <v>2</v>
      </c>
      <c r="T72" s="16">
        <v>6</v>
      </c>
      <c r="U72" s="16">
        <v>8</v>
      </c>
      <c r="V72" s="16">
        <v>3</v>
      </c>
      <c r="W72" s="16">
        <v>3</v>
      </c>
      <c r="X72" s="16">
        <v>1</v>
      </c>
      <c r="Y72" s="16">
        <v>3</v>
      </c>
      <c r="Z72" s="16">
        <v>2</v>
      </c>
      <c r="AA72" s="16">
        <v>5</v>
      </c>
      <c r="AB72" s="16">
        <v>2</v>
      </c>
      <c r="AC72" s="16">
        <v>0</v>
      </c>
      <c r="AD72" s="16">
        <v>2</v>
      </c>
      <c r="AE72" s="16">
        <v>0</v>
      </c>
      <c r="AF72" s="16">
        <v>18</v>
      </c>
      <c r="AG72" s="16">
        <v>3</v>
      </c>
      <c r="AH72" s="16">
        <v>3</v>
      </c>
      <c r="AI72" s="16">
        <v>3</v>
      </c>
      <c r="AJ72" s="16">
        <v>3</v>
      </c>
      <c r="AK72" s="16">
        <v>2</v>
      </c>
      <c r="AL72" s="16">
        <v>0</v>
      </c>
      <c r="AM72" s="13">
        <f t="shared" si="17"/>
        <v>120</v>
      </c>
    </row>
    <row r="73" spans="1:39" ht="12.75" customHeight="1" x14ac:dyDescent="0.3">
      <c r="A73" s="15"/>
      <c r="B73" s="28"/>
      <c r="C73" s="29" t="s">
        <v>64</v>
      </c>
      <c r="D73" s="30"/>
      <c r="E73" s="16">
        <v>3</v>
      </c>
      <c r="F73" s="16">
        <v>1</v>
      </c>
      <c r="G73" s="16">
        <v>2</v>
      </c>
      <c r="H73" s="16">
        <v>1</v>
      </c>
      <c r="I73" s="16">
        <v>13</v>
      </c>
      <c r="J73" s="16">
        <v>1</v>
      </c>
      <c r="K73" s="16">
        <v>3</v>
      </c>
      <c r="L73" s="16">
        <v>6</v>
      </c>
      <c r="M73" s="16">
        <v>1</v>
      </c>
      <c r="N73" s="16">
        <v>2</v>
      </c>
      <c r="O73" s="16">
        <v>1</v>
      </c>
      <c r="P73" s="16">
        <v>1</v>
      </c>
      <c r="Q73" s="16">
        <v>2</v>
      </c>
      <c r="R73" s="16">
        <v>0</v>
      </c>
      <c r="S73" s="16">
        <v>0</v>
      </c>
      <c r="T73" s="16">
        <v>1</v>
      </c>
      <c r="U73" s="16">
        <v>2</v>
      </c>
      <c r="V73" s="16">
        <v>0</v>
      </c>
      <c r="W73" s="16">
        <v>3</v>
      </c>
      <c r="X73" s="16">
        <v>5</v>
      </c>
      <c r="Y73" s="16">
        <v>1</v>
      </c>
      <c r="Z73" s="16">
        <v>9</v>
      </c>
      <c r="AA73" s="16">
        <v>2</v>
      </c>
      <c r="AB73" s="16">
        <v>0</v>
      </c>
      <c r="AC73" s="16">
        <v>2</v>
      </c>
      <c r="AD73" s="16">
        <v>0</v>
      </c>
      <c r="AE73" s="16">
        <v>1</v>
      </c>
      <c r="AF73" s="16">
        <v>2</v>
      </c>
      <c r="AG73" s="16">
        <v>2</v>
      </c>
      <c r="AH73" s="16">
        <v>1</v>
      </c>
      <c r="AI73" s="16">
        <v>2</v>
      </c>
      <c r="AJ73" s="16">
        <v>1</v>
      </c>
      <c r="AK73" s="16">
        <v>4</v>
      </c>
      <c r="AL73" s="16">
        <v>1</v>
      </c>
      <c r="AM73" s="13">
        <f t="shared" si="17"/>
        <v>76</v>
      </c>
    </row>
    <row r="74" spans="1:39" ht="12.75" customHeight="1" x14ac:dyDescent="0.3">
      <c r="A74" s="15"/>
      <c r="B74" s="28"/>
      <c r="C74" s="29" t="s">
        <v>65</v>
      </c>
      <c r="D74" s="30"/>
      <c r="E74" s="16">
        <v>0</v>
      </c>
      <c r="F74" s="16">
        <v>1</v>
      </c>
      <c r="G74" s="16">
        <v>2</v>
      </c>
      <c r="H74" s="16">
        <v>1</v>
      </c>
      <c r="I74" s="16">
        <v>0</v>
      </c>
      <c r="J74" s="16">
        <v>1</v>
      </c>
      <c r="K74" s="16">
        <v>2</v>
      </c>
      <c r="L74" s="16">
        <v>0</v>
      </c>
      <c r="M74" s="16">
        <v>3</v>
      </c>
      <c r="N74" s="16">
        <v>1</v>
      </c>
      <c r="O74" s="16">
        <v>1</v>
      </c>
      <c r="P74" s="16">
        <v>0</v>
      </c>
      <c r="Q74" s="16">
        <v>1</v>
      </c>
      <c r="R74" s="16">
        <v>2</v>
      </c>
      <c r="S74" s="16">
        <v>0</v>
      </c>
      <c r="T74" s="16">
        <v>0</v>
      </c>
      <c r="U74" s="16">
        <v>2</v>
      </c>
      <c r="V74" s="16">
        <v>0</v>
      </c>
      <c r="W74" s="16">
        <v>1</v>
      </c>
      <c r="X74" s="16">
        <v>0</v>
      </c>
      <c r="Y74" s="16">
        <v>2</v>
      </c>
      <c r="Z74" s="16">
        <v>0</v>
      </c>
      <c r="AA74" s="16">
        <v>0</v>
      </c>
      <c r="AB74" s="16">
        <v>0</v>
      </c>
      <c r="AC74" s="16">
        <v>1</v>
      </c>
      <c r="AD74" s="16">
        <v>0</v>
      </c>
      <c r="AE74" s="16">
        <v>0</v>
      </c>
      <c r="AF74" s="16">
        <v>4</v>
      </c>
      <c r="AG74" s="16">
        <v>1</v>
      </c>
      <c r="AH74" s="16">
        <v>1</v>
      </c>
      <c r="AI74" s="16">
        <v>2</v>
      </c>
      <c r="AJ74" s="16">
        <v>1</v>
      </c>
      <c r="AK74" s="16">
        <v>0</v>
      </c>
      <c r="AL74" s="16">
        <v>1</v>
      </c>
      <c r="AM74" s="13">
        <f t="shared" si="17"/>
        <v>31</v>
      </c>
    </row>
    <row r="75" spans="1:39" ht="12.75" customHeight="1" x14ac:dyDescent="0.3">
      <c r="A75" s="15"/>
      <c r="B75" s="28"/>
      <c r="C75" s="29" t="s">
        <v>66</v>
      </c>
      <c r="D75" s="30"/>
      <c r="E75" s="16">
        <v>0</v>
      </c>
      <c r="F75" s="16">
        <v>3</v>
      </c>
      <c r="G75" s="16">
        <v>0</v>
      </c>
      <c r="H75" s="16">
        <v>0</v>
      </c>
      <c r="I75" s="16">
        <v>2</v>
      </c>
      <c r="J75" s="16">
        <v>0</v>
      </c>
      <c r="K75" s="16">
        <v>0</v>
      </c>
      <c r="L75" s="16">
        <v>2</v>
      </c>
      <c r="M75" s="16">
        <v>0</v>
      </c>
      <c r="N75" s="16">
        <v>1</v>
      </c>
      <c r="O75" s="16">
        <v>0</v>
      </c>
      <c r="P75" s="16">
        <v>0</v>
      </c>
      <c r="Q75" s="16">
        <v>1</v>
      </c>
      <c r="R75" s="16">
        <v>2</v>
      </c>
      <c r="S75" s="16">
        <v>1</v>
      </c>
      <c r="T75" s="16">
        <v>1</v>
      </c>
      <c r="U75" s="16">
        <v>0</v>
      </c>
      <c r="V75" s="16">
        <v>0</v>
      </c>
      <c r="W75" s="16">
        <v>2</v>
      </c>
      <c r="X75" s="16">
        <v>1</v>
      </c>
      <c r="Y75" s="16">
        <v>1</v>
      </c>
      <c r="Z75" s="16">
        <v>0</v>
      </c>
      <c r="AA75" s="16">
        <v>1</v>
      </c>
      <c r="AB75" s="16">
        <v>1</v>
      </c>
      <c r="AC75" s="16">
        <v>1</v>
      </c>
      <c r="AD75" s="16">
        <v>0</v>
      </c>
      <c r="AE75" s="16">
        <v>4</v>
      </c>
      <c r="AF75" s="16">
        <v>0</v>
      </c>
      <c r="AG75" s="16">
        <v>0</v>
      </c>
      <c r="AH75" s="16">
        <v>2</v>
      </c>
      <c r="AI75" s="16">
        <v>3</v>
      </c>
      <c r="AJ75" s="16">
        <v>0</v>
      </c>
      <c r="AK75" s="16">
        <v>0</v>
      </c>
      <c r="AL75" s="16">
        <v>1</v>
      </c>
      <c r="AM75" s="13">
        <f t="shared" si="17"/>
        <v>30</v>
      </c>
    </row>
    <row r="76" spans="1:39" ht="12.75" customHeight="1" x14ac:dyDescent="0.3">
      <c r="A76" s="15"/>
      <c r="B76" s="28"/>
      <c r="C76" s="29" t="s">
        <v>67</v>
      </c>
      <c r="D76" s="30"/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1</v>
      </c>
      <c r="M76" s="16">
        <v>0</v>
      </c>
      <c r="N76" s="16">
        <v>0</v>
      </c>
      <c r="O76" s="16">
        <v>0</v>
      </c>
      <c r="P76" s="16">
        <v>1</v>
      </c>
      <c r="Q76" s="16">
        <v>0</v>
      </c>
      <c r="R76" s="16">
        <v>1</v>
      </c>
      <c r="S76" s="16">
        <v>3</v>
      </c>
      <c r="T76" s="16">
        <v>0</v>
      </c>
      <c r="U76" s="16">
        <v>0</v>
      </c>
      <c r="V76" s="16">
        <v>0</v>
      </c>
      <c r="W76" s="16">
        <v>2</v>
      </c>
      <c r="X76" s="16">
        <v>0</v>
      </c>
      <c r="Y76" s="16">
        <v>0</v>
      </c>
      <c r="Z76" s="16">
        <v>0</v>
      </c>
      <c r="AA76" s="16">
        <v>1</v>
      </c>
      <c r="AB76" s="16">
        <v>1</v>
      </c>
      <c r="AC76" s="16">
        <v>0</v>
      </c>
      <c r="AD76" s="16">
        <v>0</v>
      </c>
      <c r="AE76" s="16">
        <v>0</v>
      </c>
      <c r="AF76" s="16">
        <v>0</v>
      </c>
      <c r="AG76" s="16">
        <v>1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3">
        <f t="shared" si="17"/>
        <v>11</v>
      </c>
    </row>
    <row r="77" spans="1:39" ht="12.75" customHeight="1" x14ac:dyDescent="0.3">
      <c r="A77" s="15"/>
      <c r="B77" s="28"/>
      <c r="C77" s="29" t="s">
        <v>68</v>
      </c>
      <c r="D77" s="30"/>
      <c r="E77" s="16">
        <v>1</v>
      </c>
      <c r="F77" s="16">
        <v>1</v>
      </c>
      <c r="G77" s="16">
        <v>0</v>
      </c>
      <c r="H77" s="16">
        <v>1</v>
      </c>
      <c r="I77" s="16">
        <v>1</v>
      </c>
      <c r="J77" s="16">
        <v>1</v>
      </c>
      <c r="K77" s="16">
        <v>0</v>
      </c>
      <c r="L77" s="16">
        <v>2</v>
      </c>
      <c r="M77" s="16">
        <v>0</v>
      </c>
      <c r="N77" s="16">
        <v>0</v>
      </c>
      <c r="O77" s="16">
        <v>1</v>
      </c>
      <c r="P77" s="16">
        <v>0</v>
      </c>
      <c r="Q77" s="16">
        <v>0</v>
      </c>
      <c r="R77" s="16">
        <v>0</v>
      </c>
      <c r="S77" s="16">
        <v>2</v>
      </c>
      <c r="T77" s="16">
        <v>0</v>
      </c>
      <c r="U77" s="16">
        <v>0</v>
      </c>
      <c r="V77" s="16">
        <v>1</v>
      </c>
      <c r="W77" s="16">
        <v>2</v>
      </c>
      <c r="X77" s="16">
        <v>0</v>
      </c>
      <c r="Y77" s="16">
        <v>0</v>
      </c>
      <c r="Z77" s="16">
        <v>0</v>
      </c>
      <c r="AA77" s="16">
        <v>2</v>
      </c>
      <c r="AB77" s="16">
        <v>0</v>
      </c>
      <c r="AC77" s="16">
        <v>0</v>
      </c>
      <c r="AD77" s="16">
        <v>0</v>
      </c>
      <c r="AE77" s="16">
        <v>0</v>
      </c>
      <c r="AF77" s="16">
        <v>2</v>
      </c>
      <c r="AG77" s="16">
        <v>0</v>
      </c>
      <c r="AH77" s="16">
        <v>1</v>
      </c>
      <c r="AI77" s="16">
        <v>0</v>
      </c>
      <c r="AJ77" s="16">
        <v>0</v>
      </c>
      <c r="AK77" s="16">
        <v>0</v>
      </c>
      <c r="AL77" s="16">
        <v>2</v>
      </c>
      <c r="AM77" s="13">
        <f t="shared" si="17"/>
        <v>20</v>
      </c>
    </row>
    <row r="78" spans="1:39" ht="12.75" customHeight="1" x14ac:dyDescent="0.3">
      <c r="A78" s="15"/>
      <c r="B78" s="28"/>
      <c r="C78" s="29" t="s">
        <v>69</v>
      </c>
      <c r="D78" s="30"/>
      <c r="E78" s="16">
        <v>0</v>
      </c>
      <c r="F78" s="16">
        <v>1</v>
      </c>
      <c r="G78" s="16">
        <v>0</v>
      </c>
      <c r="H78" s="16">
        <v>1</v>
      </c>
      <c r="I78" s="16">
        <v>0</v>
      </c>
      <c r="J78" s="16">
        <v>0</v>
      </c>
      <c r="K78" s="16">
        <v>0</v>
      </c>
      <c r="L78" s="16">
        <v>2</v>
      </c>
      <c r="M78" s="16">
        <v>0</v>
      </c>
      <c r="N78" s="16">
        <v>1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1</v>
      </c>
      <c r="V78" s="16">
        <v>2</v>
      </c>
      <c r="W78" s="16">
        <v>0</v>
      </c>
      <c r="X78" s="16">
        <v>1</v>
      </c>
      <c r="Y78" s="16">
        <v>0</v>
      </c>
      <c r="Z78" s="16">
        <v>1</v>
      </c>
      <c r="AA78" s="16">
        <v>0</v>
      </c>
      <c r="AB78" s="16">
        <v>0</v>
      </c>
      <c r="AC78" s="16">
        <v>0</v>
      </c>
      <c r="AD78" s="16">
        <v>1</v>
      </c>
      <c r="AE78" s="16">
        <v>0</v>
      </c>
      <c r="AF78" s="16">
        <v>0</v>
      </c>
      <c r="AG78" s="16">
        <v>0</v>
      </c>
      <c r="AH78" s="16">
        <v>0</v>
      </c>
      <c r="AI78" s="16">
        <v>2</v>
      </c>
      <c r="AJ78" s="16">
        <v>0</v>
      </c>
      <c r="AK78" s="16">
        <v>0</v>
      </c>
      <c r="AL78" s="16">
        <v>1</v>
      </c>
      <c r="AM78" s="13">
        <f t="shared" si="17"/>
        <v>14</v>
      </c>
    </row>
    <row r="79" spans="1:39" ht="12.75" customHeight="1" x14ac:dyDescent="0.3">
      <c r="A79" s="16" t="s">
        <v>15</v>
      </c>
      <c r="B79" s="59" t="s">
        <v>49</v>
      </c>
      <c r="C79" s="60"/>
      <c r="D79" s="58"/>
      <c r="E79" s="13">
        <f t="shared" ref="E79:AM79" si="18">SUM(E69:E78)</f>
        <v>25</v>
      </c>
      <c r="F79" s="13">
        <f t="shared" si="18"/>
        <v>22</v>
      </c>
      <c r="G79" s="13">
        <f t="shared" si="18"/>
        <v>26</v>
      </c>
      <c r="H79" s="13">
        <f t="shared" si="18"/>
        <v>19</v>
      </c>
      <c r="I79" s="13">
        <f t="shared" si="18"/>
        <v>50</v>
      </c>
      <c r="J79" s="13">
        <f t="shared" si="18"/>
        <v>45</v>
      </c>
      <c r="K79" s="13">
        <f t="shared" si="18"/>
        <v>26</v>
      </c>
      <c r="L79" s="13">
        <f t="shared" si="18"/>
        <v>40</v>
      </c>
      <c r="M79" s="13">
        <f t="shared" si="18"/>
        <v>23</v>
      </c>
      <c r="N79" s="13">
        <f t="shared" si="18"/>
        <v>16</v>
      </c>
      <c r="O79" s="13">
        <f t="shared" si="18"/>
        <v>18</v>
      </c>
      <c r="P79" s="13">
        <f t="shared" si="18"/>
        <v>42</v>
      </c>
      <c r="Q79" s="13">
        <f t="shared" si="18"/>
        <v>51</v>
      </c>
      <c r="R79" s="13">
        <f t="shared" si="18"/>
        <v>31</v>
      </c>
      <c r="S79" s="13">
        <f t="shared" si="18"/>
        <v>21</v>
      </c>
      <c r="T79" s="13">
        <f t="shared" si="18"/>
        <v>25</v>
      </c>
      <c r="U79" s="13">
        <f t="shared" si="18"/>
        <v>38</v>
      </c>
      <c r="V79" s="13">
        <f t="shared" si="18"/>
        <v>29</v>
      </c>
      <c r="W79" s="13">
        <f t="shared" si="18"/>
        <v>48</v>
      </c>
      <c r="X79" s="13">
        <f t="shared" si="18"/>
        <v>23</v>
      </c>
      <c r="Y79" s="13">
        <f t="shared" si="18"/>
        <v>21</v>
      </c>
      <c r="Z79" s="13">
        <f t="shared" si="18"/>
        <v>21</v>
      </c>
      <c r="AA79" s="13">
        <f t="shared" si="18"/>
        <v>26</v>
      </c>
      <c r="AB79" s="13">
        <f t="shared" si="18"/>
        <v>20</v>
      </c>
      <c r="AC79" s="13">
        <f t="shared" si="18"/>
        <v>14</v>
      </c>
      <c r="AD79" s="13">
        <f t="shared" si="18"/>
        <v>52</v>
      </c>
      <c r="AE79" s="13">
        <f t="shared" si="18"/>
        <v>48</v>
      </c>
      <c r="AF79" s="13">
        <f t="shared" si="18"/>
        <v>62</v>
      </c>
      <c r="AG79" s="13">
        <f t="shared" si="18"/>
        <v>24</v>
      </c>
      <c r="AH79" s="13">
        <f t="shared" si="18"/>
        <v>15</v>
      </c>
      <c r="AI79" s="13">
        <f t="shared" si="18"/>
        <v>35</v>
      </c>
      <c r="AJ79" s="13">
        <f t="shared" si="18"/>
        <v>14</v>
      </c>
      <c r="AK79" s="13">
        <f t="shared" si="18"/>
        <v>20</v>
      </c>
      <c r="AL79" s="13">
        <f t="shared" si="18"/>
        <v>30</v>
      </c>
      <c r="AM79" s="13">
        <f t="shared" si="18"/>
        <v>1020</v>
      </c>
    </row>
    <row r="80" spans="1:39" ht="12.75" customHeight="1" x14ac:dyDescent="0.3">
      <c r="A80" s="55"/>
      <c r="B80" s="56"/>
      <c r="C80" s="56"/>
      <c r="D80" s="56"/>
      <c r="E80" s="56"/>
    </row>
    <row r="81" spans="1:39" ht="12.75" customHeight="1" x14ac:dyDescent="0.3">
      <c r="A81" s="20" t="s">
        <v>37</v>
      </c>
      <c r="B81" s="27" t="s">
        <v>23</v>
      </c>
      <c r="C81" s="57" t="s">
        <v>70</v>
      </c>
      <c r="D81" s="58"/>
      <c r="E81" s="16">
        <v>1</v>
      </c>
      <c r="F81" s="16">
        <v>4</v>
      </c>
      <c r="G81" s="16">
        <v>5</v>
      </c>
      <c r="H81" s="16">
        <v>1</v>
      </c>
      <c r="I81" s="16">
        <v>1</v>
      </c>
      <c r="J81" s="16">
        <v>2</v>
      </c>
      <c r="K81" s="16">
        <v>1</v>
      </c>
      <c r="L81" s="16">
        <v>0</v>
      </c>
      <c r="M81" s="16">
        <v>4</v>
      </c>
      <c r="N81" s="16">
        <v>5</v>
      </c>
      <c r="O81" s="16">
        <v>6</v>
      </c>
      <c r="P81" s="16">
        <v>2</v>
      </c>
      <c r="Q81" s="16">
        <v>0</v>
      </c>
      <c r="R81" s="16">
        <v>3</v>
      </c>
      <c r="S81" s="16">
        <v>1</v>
      </c>
      <c r="T81" s="16">
        <v>4</v>
      </c>
      <c r="U81" s="16">
        <v>3</v>
      </c>
      <c r="V81" s="16">
        <v>2</v>
      </c>
      <c r="W81" s="16">
        <v>2</v>
      </c>
      <c r="X81" s="16">
        <v>4</v>
      </c>
      <c r="Y81" s="16">
        <v>3</v>
      </c>
      <c r="Z81" s="16">
        <v>1</v>
      </c>
      <c r="AA81" s="16">
        <v>1</v>
      </c>
      <c r="AB81" s="16">
        <v>1</v>
      </c>
      <c r="AC81" s="16">
        <v>4</v>
      </c>
      <c r="AD81" s="16">
        <v>4</v>
      </c>
      <c r="AE81" s="16">
        <v>5</v>
      </c>
      <c r="AF81" s="16">
        <v>1</v>
      </c>
      <c r="AG81" s="16">
        <v>3</v>
      </c>
      <c r="AH81" s="16">
        <v>3</v>
      </c>
      <c r="AI81" s="16">
        <v>4</v>
      </c>
      <c r="AJ81" s="16">
        <v>5</v>
      </c>
      <c r="AK81" s="16">
        <v>0</v>
      </c>
      <c r="AL81" s="16">
        <v>3</v>
      </c>
      <c r="AM81" s="13">
        <f t="shared" ref="AM81:AM90" si="19">SUM(E81:AL81)</f>
        <v>89</v>
      </c>
    </row>
    <row r="82" spans="1:39" ht="12.75" customHeight="1" x14ac:dyDescent="0.3">
      <c r="A82" s="20" t="s">
        <v>39</v>
      </c>
      <c r="B82" s="28"/>
      <c r="C82" s="29" t="s">
        <v>71</v>
      </c>
      <c r="D82" s="30"/>
      <c r="E82" s="16">
        <v>2</v>
      </c>
      <c r="F82" s="16">
        <v>1</v>
      </c>
      <c r="G82" s="16">
        <v>5</v>
      </c>
      <c r="H82" s="16">
        <v>13</v>
      </c>
      <c r="I82" s="16">
        <v>8</v>
      </c>
      <c r="J82" s="16">
        <v>2</v>
      </c>
      <c r="K82" s="16">
        <v>4</v>
      </c>
      <c r="L82" s="16">
        <v>5</v>
      </c>
      <c r="M82" s="16">
        <v>1</v>
      </c>
      <c r="N82" s="16">
        <v>3</v>
      </c>
      <c r="O82" s="16">
        <v>7</v>
      </c>
      <c r="P82" s="16">
        <v>4</v>
      </c>
      <c r="Q82" s="16">
        <v>4</v>
      </c>
      <c r="R82" s="16">
        <v>3</v>
      </c>
      <c r="S82" s="16">
        <v>1</v>
      </c>
      <c r="T82" s="16">
        <v>3</v>
      </c>
      <c r="U82" s="16">
        <v>0</v>
      </c>
      <c r="V82" s="16">
        <v>1</v>
      </c>
      <c r="W82" s="16">
        <v>2</v>
      </c>
      <c r="X82" s="16">
        <v>0</v>
      </c>
      <c r="Y82" s="16">
        <v>1</v>
      </c>
      <c r="Z82" s="16">
        <v>2</v>
      </c>
      <c r="AA82" s="16">
        <v>0</v>
      </c>
      <c r="AB82" s="16">
        <v>2</v>
      </c>
      <c r="AC82" s="16">
        <v>3</v>
      </c>
      <c r="AD82" s="16">
        <v>1</v>
      </c>
      <c r="AE82" s="16">
        <v>2</v>
      </c>
      <c r="AF82" s="16">
        <v>0</v>
      </c>
      <c r="AG82" s="16">
        <v>2</v>
      </c>
      <c r="AH82" s="16">
        <v>1</v>
      </c>
      <c r="AI82" s="16">
        <v>3</v>
      </c>
      <c r="AJ82" s="16">
        <v>7</v>
      </c>
      <c r="AK82" s="16">
        <v>2</v>
      </c>
      <c r="AL82" s="16">
        <v>2</v>
      </c>
      <c r="AM82" s="13">
        <f t="shared" si="19"/>
        <v>97</v>
      </c>
    </row>
    <row r="83" spans="1:39" ht="12.75" customHeight="1" x14ac:dyDescent="0.3">
      <c r="A83" s="15"/>
      <c r="B83" s="28"/>
      <c r="C83" s="29" t="s">
        <v>72</v>
      </c>
      <c r="D83" s="30"/>
      <c r="E83" s="16">
        <v>2</v>
      </c>
      <c r="F83" s="16">
        <v>0</v>
      </c>
      <c r="G83" s="16">
        <v>4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2</v>
      </c>
      <c r="O83" s="16">
        <v>3</v>
      </c>
      <c r="P83" s="16">
        <v>0</v>
      </c>
      <c r="Q83" s="16">
        <v>0</v>
      </c>
      <c r="R83" s="16">
        <v>1</v>
      </c>
      <c r="S83" s="16">
        <v>1</v>
      </c>
      <c r="T83" s="16">
        <v>0</v>
      </c>
      <c r="U83" s="16">
        <v>0</v>
      </c>
      <c r="V83" s="16">
        <v>0</v>
      </c>
      <c r="W83" s="16">
        <v>0</v>
      </c>
      <c r="X83" s="16">
        <v>1</v>
      </c>
      <c r="Y83" s="16">
        <v>1</v>
      </c>
      <c r="Z83" s="16">
        <v>0</v>
      </c>
      <c r="AA83" s="16">
        <v>1</v>
      </c>
      <c r="AB83" s="16">
        <v>1</v>
      </c>
      <c r="AC83" s="16">
        <v>0</v>
      </c>
      <c r="AD83" s="16">
        <v>1</v>
      </c>
      <c r="AE83" s="16">
        <v>0</v>
      </c>
      <c r="AF83" s="16">
        <v>2</v>
      </c>
      <c r="AG83" s="16">
        <v>1</v>
      </c>
      <c r="AH83" s="16">
        <v>0</v>
      </c>
      <c r="AI83" s="16">
        <v>1</v>
      </c>
      <c r="AJ83" s="16">
        <v>2</v>
      </c>
      <c r="AK83" s="16">
        <v>1</v>
      </c>
      <c r="AL83" s="16">
        <v>1</v>
      </c>
      <c r="AM83" s="13">
        <f t="shared" si="19"/>
        <v>26</v>
      </c>
    </row>
    <row r="84" spans="1:39" ht="12.75" customHeight="1" x14ac:dyDescent="0.3">
      <c r="A84" s="15"/>
      <c r="B84" s="28"/>
      <c r="C84" s="29" t="s">
        <v>73</v>
      </c>
      <c r="D84" s="30"/>
      <c r="E84" s="16">
        <v>0</v>
      </c>
      <c r="F84" s="16">
        <v>2</v>
      </c>
      <c r="G84" s="16">
        <v>0</v>
      </c>
      <c r="H84" s="16">
        <v>0</v>
      </c>
      <c r="I84" s="16">
        <v>0</v>
      </c>
      <c r="J84" s="16">
        <v>0</v>
      </c>
      <c r="K84" s="16">
        <v>2</v>
      </c>
      <c r="L84" s="16">
        <v>1</v>
      </c>
      <c r="M84" s="16">
        <v>0</v>
      </c>
      <c r="N84" s="16">
        <v>2</v>
      </c>
      <c r="O84" s="16">
        <v>0</v>
      </c>
      <c r="P84" s="16">
        <v>0</v>
      </c>
      <c r="Q84" s="16">
        <v>1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1</v>
      </c>
      <c r="Z84" s="16">
        <v>0</v>
      </c>
      <c r="AA84" s="16">
        <v>1</v>
      </c>
      <c r="AB84" s="16">
        <v>0</v>
      </c>
      <c r="AC84" s="16">
        <v>0</v>
      </c>
      <c r="AD84" s="16">
        <v>0</v>
      </c>
      <c r="AE84" s="16">
        <v>0</v>
      </c>
      <c r="AF84" s="16">
        <v>1</v>
      </c>
      <c r="AG84" s="16">
        <v>0</v>
      </c>
      <c r="AH84" s="16">
        <v>1</v>
      </c>
      <c r="AI84" s="16">
        <v>2</v>
      </c>
      <c r="AJ84" s="16">
        <v>2</v>
      </c>
      <c r="AK84" s="16">
        <v>0</v>
      </c>
      <c r="AL84" s="16">
        <v>1</v>
      </c>
      <c r="AM84" s="13">
        <f t="shared" si="19"/>
        <v>17</v>
      </c>
    </row>
    <row r="85" spans="1:39" ht="12.75" customHeight="1" x14ac:dyDescent="0.3">
      <c r="A85" s="15"/>
      <c r="B85" s="28"/>
      <c r="C85" s="29" t="s">
        <v>74</v>
      </c>
      <c r="D85" s="30"/>
      <c r="E85" s="16">
        <v>0</v>
      </c>
      <c r="F85" s="16">
        <v>1</v>
      </c>
      <c r="G85" s="16">
        <v>0</v>
      </c>
      <c r="H85" s="16">
        <v>2</v>
      </c>
      <c r="I85" s="16">
        <v>0</v>
      </c>
      <c r="J85" s="16">
        <v>0</v>
      </c>
      <c r="K85" s="16">
        <v>1</v>
      </c>
      <c r="L85" s="16">
        <v>0</v>
      </c>
      <c r="M85" s="16">
        <v>0</v>
      </c>
      <c r="N85" s="16">
        <v>0</v>
      </c>
      <c r="O85" s="16">
        <v>1</v>
      </c>
      <c r="P85" s="16">
        <v>1</v>
      </c>
      <c r="Q85" s="16">
        <v>0</v>
      </c>
      <c r="R85" s="16">
        <v>2</v>
      </c>
      <c r="S85" s="16">
        <v>1</v>
      </c>
      <c r="T85" s="16">
        <v>0</v>
      </c>
      <c r="U85" s="16">
        <v>1</v>
      </c>
      <c r="V85" s="16">
        <v>2</v>
      </c>
      <c r="W85" s="16">
        <v>0</v>
      </c>
      <c r="X85" s="16">
        <v>2</v>
      </c>
      <c r="Y85" s="16">
        <v>0</v>
      </c>
      <c r="Z85" s="16">
        <v>0</v>
      </c>
      <c r="AA85" s="16">
        <v>1</v>
      </c>
      <c r="AB85" s="16">
        <v>1</v>
      </c>
      <c r="AC85" s="16">
        <v>0</v>
      </c>
      <c r="AD85" s="16">
        <v>1</v>
      </c>
      <c r="AE85" s="16">
        <v>0</v>
      </c>
      <c r="AF85" s="16">
        <v>1</v>
      </c>
      <c r="AG85" s="16">
        <v>0</v>
      </c>
      <c r="AH85" s="16">
        <v>0</v>
      </c>
      <c r="AI85" s="16">
        <v>0</v>
      </c>
      <c r="AJ85" s="16">
        <v>4</v>
      </c>
      <c r="AK85" s="16">
        <v>1</v>
      </c>
      <c r="AL85" s="16">
        <v>2</v>
      </c>
      <c r="AM85" s="13">
        <f t="shared" si="19"/>
        <v>25</v>
      </c>
    </row>
    <row r="86" spans="1:39" ht="12.75" customHeight="1" x14ac:dyDescent="0.3">
      <c r="A86" s="15"/>
      <c r="B86" s="28"/>
      <c r="C86" s="29" t="s">
        <v>75</v>
      </c>
      <c r="D86" s="30"/>
      <c r="E86" s="16">
        <v>41</v>
      </c>
      <c r="F86" s="16">
        <v>24</v>
      </c>
      <c r="G86" s="16">
        <v>45</v>
      </c>
      <c r="H86" s="16">
        <v>81</v>
      </c>
      <c r="I86" s="16">
        <v>62</v>
      </c>
      <c r="J86" s="16">
        <v>29</v>
      </c>
      <c r="K86" s="16">
        <v>36</v>
      </c>
      <c r="L86" s="16">
        <v>30</v>
      </c>
      <c r="M86" s="16">
        <v>16</v>
      </c>
      <c r="N86" s="16">
        <v>21</v>
      </c>
      <c r="O86" s="16">
        <v>29</v>
      </c>
      <c r="P86" s="16">
        <v>5</v>
      </c>
      <c r="Q86" s="16">
        <v>5</v>
      </c>
      <c r="R86" s="16">
        <v>13</v>
      </c>
      <c r="S86" s="16">
        <v>15</v>
      </c>
      <c r="T86" s="16">
        <v>4</v>
      </c>
      <c r="U86" s="16">
        <v>10</v>
      </c>
      <c r="V86" s="16">
        <v>7</v>
      </c>
      <c r="W86" s="16">
        <v>4</v>
      </c>
      <c r="X86" s="16">
        <v>8</v>
      </c>
      <c r="Y86" s="16">
        <v>92</v>
      </c>
      <c r="Z86" s="16">
        <v>22</v>
      </c>
      <c r="AA86" s="16">
        <v>19</v>
      </c>
      <c r="AB86" s="16">
        <v>11</v>
      </c>
      <c r="AC86" s="16">
        <v>62</v>
      </c>
      <c r="AD86" s="16">
        <v>23</v>
      </c>
      <c r="AE86" s="16">
        <v>15</v>
      </c>
      <c r="AF86" s="16">
        <v>20</v>
      </c>
      <c r="AG86" s="16">
        <v>13</v>
      </c>
      <c r="AH86" s="16">
        <v>33</v>
      </c>
      <c r="AI86" s="16">
        <v>24</v>
      </c>
      <c r="AJ86" s="16">
        <v>30</v>
      </c>
      <c r="AK86" s="16">
        <v>26</v>
      </c>
      <c r="AL86" s="16">
        <v>30</v>
      </c>
      <c r="AM86" s="13">
        <f t="shared" si="19"/>
        <v>905</v>
      </c>
    </row>
    <row r="87" spans="1:39" ht="12.75" customHeight="1" x14ac:dyDescent="0.3">
      <c r="A87" s="15"/>
      <c r="B87" s="28"/>
      <c r="C87" s="29" t="s">
        <v>76</v>
      </c>
      <c r="D87" s="30"/>
      <c r="E87" s="16">
        <v>0</v>
      </c>
      <c r="F87" s="16">
        <v>0</v>
      </c>
      <c r="G87" s="16">
        <v>1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1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1</v>
      </c>
      <c r="AF87" s="16">
        <v>0</v>
      </c>
      <c r="AG87" s="16">
        <v>0</v>
      </c>
      <c r="AH87" s="16">
        <v>1</v>
      </c>
      <c r="AI87" s="16">
        <v>1</v>
      </c>
      <c r="AJ87" s="16">
        <v>1</v>
      </c>
      <c r="AK87" s="16">
        <v>0</v>
      </c>
      <c r="AL87" s="16">
        <v>0</v>
      </c>
      <c r="AM87" s="13">
        <f t="shared" si="19"/>
        <v>6</v>
      </c>
    </row>
    <row r="88" spans="1:39" ht="12.75" customHeight="1" x14ac:dyDescent="0.3">
      <c r="A88" s="15"/>
      <c r="B88" s="28"/>
      <c r="C88" s="29" t="s">
        <v>77</v>
      </c>
      <c r="D88" s="30"/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1</v>
      </c>
      <c r="Y88" s="16">
        <v>0</v>
      </c>
      <c r="Z88" s="16">
        <v>0</v>
      </c>
      <c r="AA88" s="16">
        <v>0</v>
      </c>
      <c r="AB88" s="16">
        <v>1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1</v>
      </c>
      <c r="AK88" s="16">
        <v>0</v>
      </c>
      <c r="AL88" s="16">
        <v>0</v>
      </c>
      <c r="AM88" s="13">
        <f t="shared" si="19"/>
        <v>3</v>
      </c>
    </row>
    <row r="89" spans="1:39" ht="12.75" customHeight="1" x14ac:dyDescent="0.3">
      <c r="A89" s="15"/>
      <c r="B89" s="28"/>
      <c r="C89" s="29" t="s">
        <v>78</v>
      </c>
      <c r="D89" s="30"/>
      <c r="E89" s="16">
        <v>0</v>
      </c>
      <c r="F89" s="16">
        <v>1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3">
        <f t="shared" si="19"/>
        <v>1</v>
      </c>
    </row>
    <row r="90" spans="1:39" ht="12.75" customHeight="1" x14ac:dyDescent="0.3">
      <c r="A90" s="15"/>
      <c r="B90" s="28"/>
      <c r="C90" s="29" t="s">
        <v>79</v>
      </c>
      <c r="D90" s="30"/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1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1</v>
      </c>
      <c r="AD90" s="16">
        <v>1</v>
      </c>
      <c r="AE90" s="16">
        <v>0</v>
      </c>
      <c r="AF90" s="16">
        <v>0</v>
      </c>
      <c r="AG90" s="16">
        <v>1</v>
      </c>
      <c r="AH90" s="16">
        <v>1</v>
      </c>
      <c r="AI90" s="16">
        <v>0</v>
      </c>
      <c r="AJ90" s="16">
        <v>1</v>
      </c>
      <c r="AK90" s="16">
        <v>0</v>
      </c>
      <c r="AL90" s="16">
        <v>1</v>
      </c>
      <c r="AM90" s="13">
        <f t="shared" si="19"/>
        <v>7</v>
      </c>
    </row>
    <row r="91" spans="1:39" ht="12.75" customHeight="1" x14ac:dyDescent="0.3">
      <c r="A91" s="16" t="s">
        <v>15</v>
      </c>
      <c r="B91" s="59" t="s">
        <v>49</v>
      </c>
      <c r="C91" s="60"/>
      <c r="D91" s="58"/>
      <c r="E91" s="13">
        <f t="shared" ref="E91:AM91" si="20">SUM(E81:E90)</f>
        <v>46</v>
      </c>
      <c r="F91" s="13">
        <f t="shared" si="20"/>
        <v>33</v>
      </c>
      <c r="G91" s="13">
        <f t="shared" si="20"/>
        <v>60</v>
      </c>
      <c r="H91" s="13">
        <f t="shared" si="20"/>
        <v>97</v>
      </c>
      <c r="I91" s="13">
        <f t="shared" si="20"/>
        <v>71</v>
      </c>
      <c r="J91" s="13">
        <f t="shared" si="20"/>
        <v>33</v>
      </c>
      <c r="K91" s="13">
        <f t="shared" si="20"/>
        <v>44</v>
      </c>
      <c r="L91" s="13">
        <f t="shared" si="20"/>
        <v>36</v>
      </c>
      <c r="M91" s="13">
        <f t="shared" si="20"/>
        <v>21</v>
      </c>
      <c r="N91" s="13">
        <f t="shared" si="20"/>
        <v>33</v>
      </c>
      <c r="O91" s="13">
        <f t="shared" si="20"/>
        <v>46</v>
      </c>
      <c r="P91" s="13">
        <f t="shared" si="20"/>
        <v>12</v>
      </c>
      <c r="Q91" s="13">
        <f t="shared" si="20"/>
        <v>10</v>
      </c>
      <c r="R91" s="13">
        <f t="shared" si="20"/>
        <v>22</v>
      </c>
      <c r="S91" s="13">
        <f t="shared" si="20"/>
        <v>19</v>
      </c>
      <c r="T91" s="13">
        <f t="shared" si="20"/>
        <v>12</v>
      </c>
      <c r="U91" s="13">
        <f t="shared" si="20"/>
        <v>14</v>
      </c>
      <c r="V91" s="13">
        <f t="shared" si="20"/>
        <v>12</v>
      </c>
      <c r="W91" s="13">
        <f t="shared" si="20"/>
        <v>9</v>
      </c>
      <c r="X91" s="13">
        <f t="shared" si="20"/>
        <v>16</v>
      </c>
      <c r="Y91" s="13">
        <f t="shared" si="20"/>
        <v>98</v>
      </c>
      <c r="Z91" s="13">
        <f t="shared" si="20"/>
        <v>25</v>
      </c>
      <c r="AA91" s="13">
        <f t="shared" si="20"/>
        <v>23</v>
      </c>
      <c r="AB91" s="13">
        <f t="shared" si="20"/>
        <v>17</v>
      </c>
      <c r="AC91" s="13">
        <f t="shared" si="20"/>
        <v>70</v>
      </c>
      <c r="AD91" s="13">
        <f t="shared" si="20"/>
        <v>31</v>
      </c>
      <c r="AE91" s="13">
        <f t="shared" si="20"/>
        <v>23</v>
      </c>
      <c r="AF91" s="13">
        <f t="shared" si="20"/>
        <v>25</v>
      </c>
      <c r="AG91" s="13">
        <f t="shared" si="20"/>
        <v>20</v>
      </c>
      <c r="AH91" s="13">
        <f t="shared" si="20"/>
        <v>40</v>
      </c>
      <c r="AI91" s="13">
        <f t="shared" si="20"/>
        <v>35</v>
      </c>
      <c r="AJ91" s="13">
        <f t="shared" si="20"/>
        <v>53</v>
      </c>
      <c r="AK91" s="13">
        <f t="shared" si="20"/>
        <v>30</v>
      </c>
      <c r="AL91" s="13">
        <f t="shared" si="20"/>
        <v>40</v>
      </c>
      <c r="AM91" s="13">
        <f t="shared" si="20"/>
        <v>1176</v>
      </c>
    </row>
    <row r="92" spans="1:39" ht="12.75" customHeight="1" x14ac:dyDescent="0.3">
      <c r="A92" s="55"/>
      <c r="B92" s="56"/>
      <c r="C92" s="56"/>
      <c r="D92" s="56"/>
      <c r="E92" s="56"/>
    </row>
    <row r="93" spans="1:39" ht="12.75" customHeight="1" x14ac:dyDescent="0.3">
      <c r="A93" s="20" t="s">
        <v>37</v>
      </c>
      <c r="B93" s="27" t="s">
        <v>80</v>
      </c>
      <c r="C93" s="57" t="s">
        <v>81</v>
      </c>
      <c r="D93" s="58"/>
      <c r="E93" s="16">
        <v>0</v>
      </c>
      <c r="F93" s="16">
        <v>5</v>
      </c>
      <c r="G93" s="16">
        <v>1</v>
      </c>
      <c r="H93" s="16">
        <v>0</v>
      </c>
      <c r="I93" s="16">
        <v>2</v>
      </c>
      <c r="J93" s="16">
        <v>1</v>
      </c>
      <c r="K93" s="16">
        <v>0</v>
      </c>
      <c r="L93" s="16">
        <v>1</v>
      </c>
      <c r="M93" s="16">
        <v>0</v>
      </c>
      <c r="N93" s="16">
        <v>3</v>
      </c>
      <c r="O93" s="16">
        <v>2</v>
      </c>
      <c r="P93" s="16">
        <v>3</v>
      </c>
      <c r="Q93" s="16">
        <v>4</v>
      </c>
      <c r="R93" s="16">
        <v>2</v>
      </c>
      <c r="S93" s="16">
        <v>1</v>
      </c>
      <c r="T93" s="16">
        <v>2</v>
      </c>
      <c r="U93" s="16">
        <v>4</v>
      </c>
      <c r="V93" s="16">
        <v>0</v>
      </c>
      <c r="W93" s="16">
        <v>0</v>
      </c>
      <c r="X93" s="16">
        <v>6</v>
      </c>
      <c r="Y93" s="16">
        <v>1</v>
      </c>
      <c r="Z93" s="16">
        <v>0</v>
      </c>
      <c r="AA93" s="16">
        <v>2</v>
      </c>
      <c r="AB93" s="16">
        <v>2</v>
      </c>
      <c r="AC93" s="16">
        <v>2</v>
      </c>
      <c r="AD93" s="16">
        <v>0</v>
      </c>
      <c r="AE93" s="16">
        <v>0</v>
      </c>
      <c r="AF93" s="16">
        <v>2</v>
      </c>
      <c r="AG93" s="16">
        <v>4</v>
      </c>
      <c r="AH93" s="16">
        <v>4</v>
      </c>
      <c r="AI93" s="16">
        <v>0</v>
      </c>
      <c r="AJ93" s="16">
        <v>2</v>
      </c>
      <c r="AK93" s="16">
        <v>1</v>
      </c>
      <c r="AL93" s="16">
        <v>0</v>
      </c>
      <c r="AM93" s="13">
        <f t="shared" ref="AM93:AM102" si="21">SUM(E93:AL93)</f>
        <v>57</v>
      </c>
    </row>
    <row r="94" spans="1:39" ht="12.75" customHeight="1" x14ac:dyDescent="0.3">
      <c r="A94" s="20" t="s">
        <v>39</v>
      </c>
      <c r="B94" s="28"/>
      <c r="C94" s="29" t="s">
        <v>82</v>
      </c>
      <c r="D94" s="35"/>
      <c r="E94" s="16">
        <v>3</v>
      </c>
      <c r="F94" s="16">
        <v>10</v>
      </c>
      <c r="G94" s="16">
        <v>2</v>
      </c>
      <c r="H94" s="16">
        <v>0</v>
      </c>
      <c r="I94" s="16">
        <v>9</v>
      </c>
      <c r="J94" s="16">
        <v>2</v>
      </c>
      <c r="K94" s="16">
        <v>4</v>
      </c>
      <c r="L94" s="16">
        <v>6</v>
      </c>
      <c r="M94" s="16">
        <v>7</v>
      </c>
      <c r="N94" s="16">
        <v>6</v>
      </c>
      <c r="O94" s="16">
        <v>1</v>
      </c>
      <c r="P94" s="16">
        <v>3</v>
      </c>
      <c r="Q94" s="16">
        <v>1</v>
      </c>
      <c r="R94" s="16">
        <v>5</v>
      </c>
      <c r="S94" s="16">
        <v>3</v>
      </c>
      <c r="T94" s="16">
        <v>1</v>
      </c>
      <c r="U94" s="16">
        <v>5</v>
      </c>
      <c r="V94" s="16">
        <v>0</v>
      </c>
      <c r="W94" s="16">
        <v>0</v>
      </c>
      <c r="X94" s="16">
        <v>6</v>
      </c>
      <c r="Y94" s="16">
        <v>0</v>
      </c>
      <c r="Z94" s="16">
        <v>1</v>
      </c>
      <c r="AA94" s="16">
        <v>4</v>
      </c>
      <c r="AB94" s="16">
        <v>0</v>
      </c>
      <c r="AC94" s="16">
        <v>4</v>
      </c>
      <c r="AD94" s="16">
        <v>1</v>
      </c>
      <c r="AE94" s="16">
        <v>0</v>
      </c>
      <c r="AF94" s="16">
        <v>14</v>
      </c>
      <c r="AG94" s="16">
        <v>2</v>
      </c>
      <c r="AH94" s="16">
        <v>4</v>
      </c>
      <c r="AI94" s="16">
        <v>1</v>
      </c>
      <c r="AJ94" s="16">
        <v>9</v>
      </c>
      <c r="AK94" s="16">
        <v>3</v>
      </c>
      <c r="AL94" s="16">
        <v>0</v>
      </c>
      <c r="AM94" s="13">
        <f t="shared" si="21"/>
        <v>117</v>
      </c>
    </row>
    <row r="95" spans="1:39" ht="12.75" customHeight="1" x14ac:dyDescent="0.3">
      <c r="A95" s="15"/>
      <c r="B95" s="28"/>
      <c r="C95" s="29" t="s">
        <v>83</v>
      </c>
      <c r="D95" s="35"/>
      <c r="E95" s="16">
        <v>0</v>
      </c>
      <c r="F95" s="16">
        <v>0</v>
      </c>
      <c r="G95" s="16">
        <v>0</v>
      </c>
      <c r="H95" s="16">
        <v>0</v>
      </c>
      <c r="I95" s="16">
        <v>1</v>
      </c>
      <c r="J95" s="16">
        <v>0</v>
      </c>
      <c r="K95" s="16">
        <v>0</v>
      </c>
      <c r="L95" s="16">
        <v>0</v>
      </c>
      <c r="M95" s="16">
        <v>1</v>
      </c>
      <c r="N95" s="16">
        <v>0</v>
      </c>
      <c r="O95" s="16">
        <v>0</v>
      </c>
      <c r="P95" s="16">
        <v>1</v>
      </c>
      <c r="Q95" s="16">
        <v>1</v>
      </c>
      <c r="R95" s="16">
        <v>1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3">
        <f t="shared" si="21"/>
        <v>5</v>
      </c>
    </row>
    <row r="96" spans="1:39" ht="12.75" customHeight="1" x14ac:dyDescent="0.3">
      <c r="A96" s="15"/>
      <c r="B96" s="28"/>
      <c r="C96" s="29" t="s">
        <v>84</v>
      </c>
      <c r="D96" s="35"/>
      <c r="E96" s="16">
        <v>1</v>
      </c>
      <c r="F96" s="16">
        <v>0</v>
      </c>
      <c r="G96" s="16">
        <v>0</v>
      </c>
      <c r="H96" s="16">
        <v>0</v>
      </c>
      <c r="I96" s="16">
        <v>1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1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1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1</v>
      </c>
      <c r="AF96" s="16">
        <v>0</v>
      </c>
      <c r="AG96" s="16">
        <v>1</v>
      </c>
      <c r="AH96" s="16">
        <v>1</v>
      </c>
      <c r="AI96" s="16">
        <v>0</v>
      </c>
      <c r="AJ96" s="16">
        <v>0</v>
      </c>
      <c r="AK96" s="16">
        <v>0</v>
      </c>
      <c r="AL96" s="16">
        <v>0</v>
      </c>
      <c r="AM96" s="13">
        <f t="shared" si="21"/>
        <v>7</v>
      </c>
    </row>
    <row r="97" spans="1:39" ht="12.75" customHeight="1" x14ac:dyDescent="0.3">
      <c r="A97" s="15"/>
      <c r="B97" s="28"/>
      <c r="C97" s="29" t="s">
        <v>85</v>
      </c>
      <c r="D97" s="35"/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1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1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1</v>
      </c>
      <c r="AG97" s="16">
        <v>2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3">
        <f t="shared" si="21"/>
        <v>5</v>
      </c>
    </row>
    <row r="98" spans="1:39" ht="12.75" customHeight="1" x14ac:dyDescent="0.3">
      <c r="A98" s="15"/>
      <c r="B98" s="28"/>
      <c r="C98" s="29" t="s">
        <v>86</v>
      </c>
      <c r="D98" s="30"/>
      <c r="E98" s="16">
        <v>1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1</v>
      </c>
      <c r="Q98" s="16">
        <v>1</v>
      </c>
      <c r="R98" s="16">
        <v>0</v>
      </c>
      <c r="S98" s="16">
        <v>0</v>
      </c>
      <c r="T98" s="16">
        <v>0</v>
      </c>
      <c r="U98" s="16">
        <v>1</v>
      </c>
      <c r="V98" s="16">
        <v>0</v>
      </c>
      <c r="W98" s="16">
        <v>0</v>
      </c>
      <c r="X98" s="16">
        <v>1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1</v>
      </c>
      <c r="AL98" s="16">
        <v>0</v>
      </c>
      <c r="AM98" s="13">
        <f t="shared" si="21"/>
        <v>6</v>
      </c>
    </row>
    <row r="99" spans="1:39" ht="12.75" customHeight="1" x14ac:dyDescent="0.3">
      <c r="A99" s="15"/>
      <c r="B99" s="28"/>
      <c r="C99" s="29" t="s">
        <v>87</v>
      </c>
      <c r="D99" s="30"/>
      <c r="E99" s="16">
        <v>0</v>
      </c>
      <c r="F99" s="16">
        <v>1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1</v>
      </c>
      <c r="Q99" s="16">
        <v>0</v>
      </c>
      <c r="R99" s="16">
        <v>0</v>
      </c>
      <c r="S99" s="16">
        <v>0</v>
      </c>
      <c r="T99" s="16">
        <v>0</v>
      </c>
      <c r="U99" s="16">
        <v>1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0</v>
      </c>
      <c r="AL99" s="16">
        <v>0</v>
      </c>
      <c r="AM99" s="13">
        <f t="shared" si="21"/>
        <v>3</v>
      </c>
    </row>
    <row r="100" spans="1:39" ht="12.75" customHeight="1" x14ac:dyDescent="0.3">
      <c r="A100" s="15"/>
      <c r="B100" s="28"/>
      <c r="C100" s="29" t="s">
        <v>88</v>
      </c>
      <c r="D100" s="35"/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3">
        <f t="shared" si="21"/>
        <v>0</v>
      </c>
    </row>
    <row r="101" spans="1:39" ht="12.75" customHeight="1" x14ac:dyDescent="0.3">
      <c r="A101" s="15"/>
      <c r="B101" s="28"/>
      <c r="C101" s="29" t="s">
        <v>89</v>
      </c>
      <c r="D101" s="35"/>
      <c r="E101" s="16">
        <v>1</v>
      </c>
      <c r="F101" s="16">
        <v>0</v>
      </c>
      <c r="G101" s="16">
        <v>0</v>
      </c>
      <c r="H101" s="16">
        <v>0</v>
      </c>
      <c r="I101" s="16">
        <v>0</v>
      </c>
      <c r="J101" s="16">
        <v>1</v>
      </c>
      <c r="K101" s="16">
        <v>0</v>
      </c>
      <c r="L101" s="16">
        <v>0</v>
      </c>
      <c r="M101" s="16">
        <v>1</v>
      </c>
      <c r="N101" s="16">
        <v>1</v>
      </c>
      <c r="O101" s="16">
        <v>0</v>
      </c>
      <c r="P101" s="16">
        <v>0</v>
      </c>
      <c r="Q101" s="16">
        <v>0</v>
      </c>
      <c r="R101" s="16">
        <v>0</v>
      </c>
      <c r="S101" s="16">
        <v>1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1</v>
      </c>
      <c r="AH101" s="16">
        <v>1</v>
      </c>
      <c r="AI101" s="16">
        <v>0</v>
      </c>
      <c r="AJ101" s="16">
        <v>1</v>
      </c>
      <c r="AK101" s="16">
        <v>0</v>
      </c>
      <c r="AL101" s="16">
        <v>0</v>
      </c>
      <c r="AM101" s="13">
        <f t="shared" si="21"/>
        <v>8</v>
      </c>
    </row>
    <row r="102" spans="1:39" ht="12.75" customHeight="1" x14ac:dyDescent="0.3">
      <c r="A102" s="15"/>
      <c r="B102" s="28"/>
      <c r="C102" s="29" t="s">
        <v>90</v>
      </c>
      <c r="D102" s="35"/>
      <c r="E102" s="16">
        <v>0</v>
      </c>
      <c r="F102" s="16">
        <v>1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3">
        <f t="shared" si="21"/>
        <v>1</v>
      </c>
    </row>
    <row r="103" spans="1:39" ht="12.75" customHeight="1" x14ac:dyDescent="0.3">
      <c r="A103" s="16" t="s">
        <v>15</v>
      </c>
      <c r="B103" s="59" t="s">
        <v>49</v>
      </c>
      <c r="C103" s="60"/>
      <c r="D103" s="58"/>
      <c r="E103" s="13">
        <f t="shared" ref="E103:AM103" si="22">SUM(E93:E102)</f>
        <v>6</v>
      </c>
      <c r="F103" s="13">
        <f t="shared" si="22"/>
        <v>17</v>
      </c>
      <c r="G103" s="13">
        <f t="shared" si="22"/>
        <v>3</v>
      </c>
      <c r="H103" s="13">
        <f t="shared" si="22"/>
        <v>0</v>
      </c>
      <c r="I103" s="13">
        <f t="shared" si="22"/>
        <v>13</v>
      </c>
      <c r="J103" s="13">
        <f t="shared" si="22"/>
        <v>4</v>
      </c>
      <c r="K103" s="13">
        <f t="shared" si="22"/>
        <v>4</v>
      </c>
      <c r="L103" s="13">
        <f t="shared" si="22"/>
        <v>7</v>
      </c>
      <c r="M103" s="13">
        <f t="shared" si="22"/>
        <v>9</v>
      </c>
      <c r="N103" s="13">
        <f t="shared" si="22"/>
        <v>11</v>
      </c>
      <c r="O103" s="13">
        <f t="shared" si="22"/>
        <v>3</v>
      </c>
      <c r="P103" s="13">
        <f t="shared" si="22"/>
        <v>9</v>
      </c>
      <c r="Q103" s="13">
        <f t="shared" si="22"/>
        <v>7</v>
      </c>
      <c r="R103" s="13">
        <f t="shared" si="22"/>
        <v>8</v>
      </c>
      <c r="S103" s="13">
        <f t="shared" si="22"/>
        <v>6</v>
      </c>
      <c r="T103" s="13">
        <f t="shared" si="22"/>
        <v>4</v>
      </c>
      <c r="U103" s="13">
        <f t="shared" si="22"/>
        <v>11</v>
      </c>
      <c r="V103" s="13">
        <f t="shared" si="22"/>
        <v>0</v>
      </c>
      <c r="W103" s="13">
        <f t="shared" si="22"/>
        <v>0</v>
      </c>
      <c r="X103" s="13">
        <f t="shared" si="22"/>
        <v>13</v>
      </c>
      <c r="Y103" s="13">
        <f t="shared" si="22"/>
        <v>2</v>
      </c>
      <c r="Z103" s="13">
        <f t="shared" si="22"/>
        <v>1</v>
      </c>
      <c r="AA103" s="13">
        <f t="shared" si="22"/>
        <v>6</v>
      </c>
      <c r="AB103" s="13">
        <f t="shared" si="22"/>
        <v>2</v>
      </c>
      <c r="AC103" s="13">
        <f t="shared" si="22"/>
        <v>6</v>
      </c>
      <c r="AD103" s="13">
        <f t="shared" si="22"/>
        <v>1</v>
      </c>
      <c r="AE103" s="13">
        <f t="shared" si="22"/>
        <v>1</v>
      </c>
      <c r="AF103" s="13">
        <f t="shared" si="22"/>
        <v>17</v>
      </c>
      <c r="AG103" s="13">
        <f t="shared" si="22"/>
        <v>10</v>
      </c>
      <c r="AH103" s="13">
        <f t="shared" si="22"/>
        <v>10</v>
      </c>
      <c r="AI103" s="13">
        <f t="shared" si="22"/>
        <v>1</v>
      </c>
      <c r="AJ103" s="13">
        <f t="shared" si="22"/>
        <v>12</v>
      </c>
      <c r="AK103" s="13">
        <f t="shared" si="22"/>
        <v>5</v>
      </c>
      <c r="AL103" s="13">
        <f t="shared" si="22"/>
        <v>0</v>
      </c>
      <c r="AM103" s="13">
        <f t="shared" si="22"/>
        <v>209</v>
      </c>
    </row>
    <row r="104" spans="1:39" ht="12.75" customHeight="1" x14ac:dyDescent="0.3">
      <c r="A104" s="55"/>
      <c r="B104" s="56"/>
      <c r="C104" s="56"/>
      <c r="D104" s="56"/>
      <c r="E104" s="56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</row>
    <row r="105" spans="1:39" ht="12.75" customHeight="1" x14ac:dyDescent="0.3">
      <c r="A105" s="20" t="s">
        <v>37</v>
      </c>
      <c r="B105" s="27" t="s">
        <v>91</v>
      </c>
      <c r="C105" s="57" t="s">
        <v>92</v>
      </c>
      <c r="D105" s="58"/>
      <c r="E105" s="16">
        <v>0</v>
      </c>
      <c r="F105" s="16">
        <v>1</v>
      </c>
      <c r="G105" s="16">
        <v>0</v>
      </c>
      <c r="H105" s="16">
        <v>0</v>
      </c>
      <c r="I105" s="16">
        <v>1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1</v>
      </c>
      <c r="P105" s="16">
        <v>1</v>
      </c>
      <c r="Q105" s="16">
        <v>0</v>
      </c>
      <c r="R105" s="16">
        <v>1</v>
      </c>
      <c r="S105" s="16">
        <v>2</v>
      </c>
      <c r="T105" s="16">
        <v>0</v>
      </c>
      <c r="U105" s="16">
        <v>0</v>
      </c>
      <c r="V105" s="16">
        <v>1</v>
      </c>
      <c r="W105" s="16">
        <v>2</v>
      </c>
      <c r="X105" s="16">
        <v>3</v>
      </c>
      <c r="Y105" s="16">
        <v>0</v>
      </c>
      <c r="Z105" s="16">
        <v>0</v>
      </c>
      <c r="AA105" s="16">
        <v>1</v>
      </c>
      <c r="AB105" s="16">
        <v>0</v>
      </c>
      <c r="AC105" s="16">
        <v>2</v>
      </c>
      <c r="AD105" s="16">
        <v>2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  <c r="AK105" s="16">
        <v>1</v>
      </c>
      <c r="AL105" s="16">
        <v>0</v>
      </c>
      <c r="AM105" s="13">
        <f t="shared" ref="AM105:AM114" si="23">SUM(E105:AL105)</f>
        <v>19</v>
      </c>
    </row>
    <row r="106" spans="1:39" ht="12.75" customHeight="1" x14ac:dyDescent="0.3">
      <c r="A106" s="20" t="s">
        <v>39</v>
      </c>
      <c r="B106" s="28"/>
      <c r="C106" s="29" t="s">
        <v>93</v>
      </c>
      <c r="D106" s="30"/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1</v>
      </c>
      <c r="L106" s="16">
        <v>1</v>
      </c>
      <c r="M106" s="16">
        <v>0</v>
      </c>
      <c r="N106" s="16">
        <v>0</v>
      </c>
      <c r="O106" s="16">
        <v>1</v>
      </c>
      <c r="P106" s="16">
        <v>0</v>
      </c>
      <c r="Q106" s="16">
        <v>0</v>
      </c>
      <c r="R106" s="16">
        <v>0</v>
      </c>
      <c r="S106" s="16">
        <v>0</v>
      </c>
      <c r="T106" s="16">
        <v>1</v>
      </c>
      <c r="U106" s="16">
        <v>0</v>
      </c>
      <c r="V106" s="16">
        <v>0</v>
      </c>
      <c r="W106" s="16">
        <v>1</v>
      </c>
      <c r="X106" s="16">
        <v>1</v>
      </c>
      <c r="Y106" s="16">
        <v>0</v>
      </c>
      <c r="Z106" s="16">
        <v>0</v>
      </c>
      <c r="AA106" s="16">
        <v>1</v>
      </c>
      <c r="AB106" s="16">
        <v>0</v>
      </c>
      <c r="AC106" s="16">
        <v>0</v>
      </c>
      <c r="AD106" s="16">
        <v>0</v>
      </c>
      <c r="AE106" s="16">
        <v>2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  <c r="AK106" s="16">
        <v>0</v>
      </c>
      <c r="AL106" s="16">
        <v>0</v>
      </c>
      <c r="AM106" s="13">
        <f t="shared" si="23"/>
        <v>9</v>
      </c>
    </row>
    <row r="107" spans="1:39" ht="12.75" customHeight="1" x14ac:dyDescent="0.3">
      <c r="A107" s="15"/>
      <c r="B107" s="28"/>
      <c r="C107" s="29" t="s">
        <v>94</v>
      </c>
      <c r="D107" s="30"/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1</v>
      </c>
      <c r="S107" s="16">
        <v>1</v>
      </c>
      <c r="T107" s="16">
        <v>1</v>
      </c>
      <c r="U107" s="16">
        <v>0</v>
      </c>
      <c r="V107" s="16">
        <v>0</v>
      </c>
      <c r="W107" s="16">
        <v>0</v>
      </c>
      <c r="X107" s="16">
        <v>1</v>
      </c>
      <c r="Y107" s="16">
        <v>0</v>
      </c>
      <c r="Z107" s="16">
        <v>0</v>
      </c>
      <c r="AA107" s="16">
        <v>0</v>
      </c>
      <c r="AB107" s="16">
        <v>0</v>
      </c>
      <c r="AC107" s="16">
        <v>1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  <c r="AK107" s="16">
        <v>0</v>
      </c>
      <c r="AL107" s="16">
        <v>0</v>
      </c>
      <c r="AM107" s="13">
        <f t="shared" si="23"/>
        <v>5</v>
      </c>
    </row>
    <row r="108" spans="1:39" ht="12.75" customHeight="1" x14ac:dyDescent="0.3">
      <c r="A108" s="15"/>
      <c r="B108" s="36"/>
      <c r="C108" s="37"/>
      <c r="D108" s="38"/>
      <c r="E108" s="52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3">
        <f t="shared" si="23"/>
        <v>0</v>
      </c>
    </row>
    <row r="109" spans="1:39" ht="12.75" customHeight="1" x14ac:dyDescent="0.3">
      <c r="A109" s="15"/>
      <c r="B109" s="36"/>
      <c r="C109" s="37"/>
      <c r="D109" s="38"/>
      <c r="E109" s="52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3">
        <f t="shared" si="23"/>
        <v>0</v>
      </c>
    </row>
    <row r="110" spans="1:39" ht="12.75" customHeight="1" x14ac:dyDescent="0.3">
      <c r="A110" s="15"/>
      <c r="B110" s="36"/>
      <c r="C110" s="37"/>
      <c r="D110" s="38"/>
      <c r="E110" s="52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3">
        <f t="shared" si="23"/>
        <v>0</v>
      </c>
    </row>
    <row r="111" spans="1:39" ht="12.75" customHeight="1" x14ac:dyDescent="0.3">
      <c r="A111" s="15"/>
      <c r="B111" s="36"/>
      <c r="C111" s="37"/>
      <c r="D111" s="38"/>
      <c r="E111" s="52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3">
        <f t="shared" si="23"/>
        <v>0</v>
      </c>
    </row>
    <row r="112" spans="1:39" ht="12.75" customHeight="1" x14ac:dyDescent="0.3">
      <c r="A112" s="15"/>
      <c r="B112" s="36"/>
      <c r="C112" s="37"/>
      <c r="D112" s="38"/>
      <c r="E112" s="52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3">
        <f t="shared" si="23"/>
        <v>0</v>
      </c>
    </row>
    <row r="113" spans="1:39" ht="12.75" customHeight="1" x14ac:dyDescent="0.3">
      <c r="A113" s="15"/>
      <c r="B113" s="36"/>
      <c r="C113" s="37"/>
      <c r="D113" s="38"/>
      <c r="E113" s="52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3">
        <f t="shared" si="23"/>
        <v>0</v>
      </c>
    </row>
    <row r="114" spans="1:39" ht="12.75" customHeight="1" x14ac:dyDescent="0.3">
      <c r="A114" s="15"/>
      <c r="B114" s="36"/>
      <c r="C114" s="37"/>
      <c r="D114" s="38"/>
      <c r="E114" s="52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3">
        <f t="shared" si="23"/>
        <v>0</v>
      </c>
    </row>
    <row r="115" spans="1:39" ht="12.75" customHeight="1" x14ac:dyDescent="0.3">
      <c r="A115" s="16" t="s">
        <v>15</v>
      </c>
      <c r="B115" s="59" t="s">
        <v>49</v>
      </c>
      <c r="C115" s="60"/>
      <c r="D115" s="58"/>
      <c r="E115" s="13">
        <f t="shared" ref="E115:AM115" si="24">SUM(E105:E114)</f>
        <v>0</v>
      </c>
      <c r="F115" s="13">
        <f t="shared" si="24"/>
        <v>1</v>
      </c>
      <c r="G115" s="13">
        <f t="shared" si="24"/>
        <v>0</v>
      </c>
      <c r="H115" s="13">
        <f t="shared" si="24"/>
        <v>0</v>
      </c>
      <c r="I115" s="13">
        <f t="shared" si="24"/>
        <v>1</v>
      </c>
      <c r="J115" s="13">
        <f t="shared" si="24"/>
        <v>0</v>
      </c>
      <c r="K115" s="13">
        <f t="shared" si="24"/>
        <v>1</v>
      </c>
      <c r="L115" s="13">
        <f t="shared" si="24"/>
        <v>1</v>
      </c>
      <c r="M115" s="13">
        <f t="shared" si="24"/>
        <v>0</v>
      </c>
      <c r="N115" s="13">
        <f t="shared" si="24"/>
        <v>0</v>
      </c>
      <c r="O115" s="13">
        <f t="shared" si="24"/>
        <v>2</v>
      </c>
      <c r="P115" s="13">
        <f t="shared" si="24"/>
        <v>1</v>
      </c>
      <c r="Q115" s="13">
        <f t="shared" si="24"/>
        <v>0</v>
      </c>
      <c r="R115" s="13">
        <f t="shared" si="24"/>
        <v>2</v>
      </c>
      <c r="S115" s="13">
        <f t="shared" si="24"/>
        <v>3</v>
      </c>
      <c r="T115" s="13">
        <f t="shared" si="24"/>
        <v>2</v>
      </c>
      <c r="U115" s="13">
        <f t="shared" si="24"/>
        <v>0</v>
      </c>
      <c r="V115" s="13">
        <f t="shared" si="24"/>
        <v>1</v>
      </c>
      <c r="W115" s="13">
        <f t="shared" si="24"/>
        <v>3</v>
      </c>
      <c r="X115" s="13">
        <f t="shared" si="24"/>
        <v>5</v>
      </c>
      <c r="Y115" s="13">
        <f t="shared" si="24"/>
        <v>0</v>
      </c>
      <c r="Z115" s="13">
        <f t="shared" si="24"/>
        <v>0</v>
      </c>
      <c r="AA115" s="13">
        <f t="shared" si="24"/>
        <v>2</v>
      </c>
      <c r="AB115" s="13">
        <f t="shared" si="24"/>
        <v>0</v>
      </c>
      <c r="AC115" s="13">
        <f t="shared" si="24"/>
        <v>3</v>
      </c>
      <c r="AD115" s="13">
        <f t="shared" si="24"/>
        <v>2</v>
      </c>
      <c r="AE115" s="13">
        <f t="shared" si="24"/>
        <v>2</v>
      </c>
      <c r="AF115" s="13">
        <f t="shared" si="24"/>
        <v>0</v>
      </c>
      <c r="AG115" s="13">
        <f t="shared" si="24"/>
        <v>0</v>
      </c>
      <c r="AH115" s="13">
        <f t="shared" si="24"/>
        <v>0</v>
      </c>
      <c r="AI115" s="13">
        <f t="shared" si="24"/>
        <v>0</v>
      </c>
      <c r="AJ115" s="13">
        <f t="shared" si="24"/>
        <v>0</v>
      </c>
      <c r="AK115" s="13">
        <f t="shared" si="24"/>
        <v>1</v>
      </c>
      <c r="AL115" s="13">
        <f t="shared" si="24"/>
        <v>0</v>
      </c>
      <c r="AM115" s="13">
        <f t="shared" si="24"/>
        <v>33</v>
      </c>
    </row>
    <row r="116" spans="1:39" ht="12.75" customHeight="1" x14ac:dyDescent="0.3">
      <c r="A116" s="61"/>
      <c r="B116" s="60"/>
      <c r="C116" s="60"/>
      <c r="D116" s="60"/>
      <c r="E116" s="58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13"/>
    </row>
    <row r="117" spans="1:39" ht="12.75" customHeight="1" x14ac:dyDescent="0.3">
      <c r="A117" s="20" t="s">
        <v>37</v>
      </c>
      <c r="B117" s="27" t="s">
        <v>95</v>
      </c>
      <c r="C117" s="57" t="s">
        <v>96</v>
      </c>
      <c r="D117" s="58"/>
      <c r="E117" s="16">
        <v>0</v>
      </c>
      <c r="F117" s="16">
        <v>0</v>
      </c>
      <c r="G117" s="16">
        <v>1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2</v>
      </c>
      <c r="O117" s="16">
        <v>1</v>
      </c>
      <c r="P117" s="16">
        <v>0</v>
      </c>
      <c r="Q117" s="16">
        <v>0</v>
      </c>
      <c r="R117" s="16">
        <v>2</v>
      </c>
      <c r="S117" s="16">
        <v>0</v>
      </c>
      <c r="T117" s="16">
        <v>2</v>
      </c>
      <c r="U117" s="16">
        <v>1</v>
      </c>
      <c r="V117" s="16">
        <v>3</v>
      </c>
      <c r="W117" s="16">
        <v>1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1</v>
      </c>
      <c r="AJ117" s="16">
        <v>1</v>
      </c>
      <c r="AK117" s="16">
        <v>0</v>
      </c>
      <c r="AL117" s="16">
        <v>2</v>
      </c>
      <c r="AM117" s="13">
        <f t="shared" ref="AM117:AM126" si="25">SUM(E117:AL117)</f>
        <v>17</v>
      </c>
    </row>
    <row r="118" spans="1:39" ht="12.75" customHeight="1" x14ac:dyDescent="0.3">
      <c r="A118" s="20" t="s">
        <v>39</v>
      </c>
      <c r="B118" s="28"/>
      <c r="C118" s="29" t="s">
        <v>97</v>
      </c>
      <c r="D118" s="30"/>
      <c r="E118" s="16">
        <v>1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1</v>
      </c>
      <c r="P118" s="16">
        <v>0</v>
      </c>
      <c r="Q118" s="16">
        <v>0</v>
      </c>
      <c r="R118" s="16">
        <v>1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1</v>
      </c>
      <c r="AG118" s="16">
        <v>0</v>
      </c>
      <c r="AH118" s="16">
        <v>0</v>
      </c>
      <c r="AI118" s="16">
        <v>0</v>
      </c>
      <c r="AJ118" s="16">
        <v>0</v>
      </c>
      <c r="AK118" s="16">
        <v>0</v>
      </c>
      <c r="AL118" s="16">
        <v>0</v>
      </c>
      <c r="AM118" s="13">
        <f t="shared" si="25"/>
        <v>4</v>
      </c>
    </row>
    <row r="119" spans="1:39" ht="12.75" customHeight="1" x14ac:dyDescent="0.3">
      <c r="A119" s="15"/>
      <c r="B119" s="28"/>
      <c r="C119" s="29" t="s">
        <v>98</v>
      </c>
      <c r="D119" s="30"/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1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1</v>
      </c>
      <c r="X119" s="16">
        <v>0</v>
      </c>
      <c r="Y119" s="16">
        <v>0</v>
      </c>
      <c r="Z119" s="16">
        <v>1</v>
      </c>
      <c r="AA119" s="16">
        <v>0</v>
      </c>
      <c r="AB119" s="16">
        <v>1</v>
      </c>
      <c r="AC119" s="16">
        <v>0</v>
      </c>
      <c r="AD119" s="16">
        <v>0</v>
      </c>
      <c r="AE119" s="16">
        <v>1</v>
      </c>
      <c r="AF119" s="16">
        <v>1</v>
      </c>
      <c r="AG119" s="16">
        <v>0</v>
      </c>
      <c r="AH119" s="16">
        <v>0</v>
      </c>
      <c r="AI119" s="16">
        <v>0</v>
      </c>
      <c r="AJ119" s="16">
        <v>0</v>
      </c>
      <c r="AK119" s="16">
        <v>0</v>
      </c>
      <c r="AL119" s="16">
        <v>0</v>
      </c>
      <c r="AM119" s="13">
        <f t="shared" si="25"/>
        <v>6</v>
      </c>
    </row>
    <row r="120" spans="1:39" ht="12.75" customHeight="1" x14ac:dyDescent="0.3">
      <c r="A120" s="15"/>
      <c r="B120" s="28"/>
      <c r="C120" s="29" t="s">
        <v>99</v>
      </c>
      <c r="D120" s="30"/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1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1</v>
      </c>
      <c r="AG120" s="16">
        <v>0</v>
      </c>
      <c r="AH120" s="16">
        <v>0</v>
      </c>
      <c r="AI120" s="16">
        <v>1</v>
      </c>
      <c r="AJ120" s="16">
        <v>0</v>
      </c>
      <c r="AK120" s="16">
        <v>0</v>
      </c>
      <c r="AL120" s="16">
        <v>0</v>
      </c>
      <c r="AM120" s="13">
        <f t="shared" si="25"/>
        <v>3</v>
      </c>
    </row>
    <row r="121" spans="1:39" ht="12.75" customHeight="1" x14ac:dyDescent="0.3">
      <c r="A121" s="15"/>
      <c r="B121" s="28"/>
      <c r="C121" s="29" t="s">
        <v>100</v>
      </c>
      <c r="D121" s="30"/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1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  <c r="AK121" s="16">
        <v>0</v>
      </c>
      <c r="AL121" s="16">
        <v>0</v>
      </c>
      <c r="AM121" s="13">
        <f t="shared" si="25"/>
        <v>1</v>
      </c>
    </row>
    <row r="122" spans="1:39" ht="12.75" customHeight="1" x14ac:dyDescent="0.3">
      <c r="A122" s="15"/>
      <c r="B122" s="28"/>
      <c r="C122" s="29" t="s">
        <v>101</v>
      </c>
      <c r="D122" s="30"/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1</v>
      </c>
      <c r="AC122" s="16">
        <v>0</v>
      </c>
      <c r="AD122" s="16">
        <v>0</v>
      </c>
      <c r="AE122" s="16">
        <v>1</v>
      </c>
      <c r="AF122" s="16">
        <v>0</v>
      </c>
      <c r="AG122" s="16">
        <v>0</v>
      </c>
      <c r="AH122" s="16">
        <v>0</v>
      </c>
      <c r="AI122" s="16">
        <v>0</v>
      </c>
      <c r="AJ122" s="16">
        <v>1</v>
      </c>
      <c r="AK122" s="16">
        <v>0</v>
      </c>
      <c r="AL122" s="16">
        <v>0</v>
      </c>
      <c r="AM122" s="13">
        <f t="shared" si="25"/>
        <v>3</v>
      </c>
    </row>
    <row r="123" spans="1:39" ht="12.75" customHeight="1" x14ac:dyDescent="0.3">
      <c r="A123" s="15"/>
      <c r="B123" s="36"/>
      <c r="C123" s="37"/>
      <c r="D123" s="40"/>
      <c r="E123" s="41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13">
        <f t="shared" si="25"/>
        <v>0</v>
      </c>
    </row>
    <row r="124" spans="1:39" ht="12.75" customHeight="1" x14ac:dyDescent="0.3">
      <c r="A124" s="15"/>
      <c r="B124" s="36"/>
      <c r="C124" s="37"/>
      <c r="D124" s="38"/>
      <c r="E124" s="41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13">
        <f t="shared" si="25"/>
        <v>0</v>
      </c>
    </row>
    <row r="125" spans="1:39" ht="12.75" customHeight="1" x14ac:dyDescent="0.3">
      <c r="A125" s="15"/>
      <c r="B125" s="36"/>
      <c r="C125" s="37"/>
      <c r="D125" s="38"/>
      <c r="E125" s="41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13">
        <f t="shared" si="25"/>
        <v>0</v>
      </c>
    </row>
    <row r="126" spans="1:39" ht="12.75" customHeight="1" x14ac:dyDescent="0.3">
      <c r="A126" s="15"/>
      <c r="B126" s="36"/>
      <c r="C126" s="37"/>
      <c r="D126" s="38"/>
      <c r="E126" s="41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13">
        <f t="shared" si="25"/>
        <v>0</v>
      </c>
    </row>
    <row r="127" spans="1:39" ht="12.75" customHeight="1" x14ac:dyDescent="0.3">
      <c r="A127" s="16" t="s">
        <v>15</v>
      </c>
      <c r="B127" s="59" t="s">
        <v>49</v>
      </c>
      <c r="C127" s="60"/>
      <c r="D127" s="58"/>
      <c r="E127" s="13">
        <f t="shared" ref="E127:AM127" si="26">SUM(E117:E126)</f>
        <v>1</v>
      </c>
      <c r="F127" s="13">
        <f t="shared" si="26"/>
        <v>0</v>
      </c>
      <c r="G127" s="13">
        <f t="shared" si="26"/>
        <v>1</v>
      </c>
      <c r="H127" s="13">
        <f t="shared" si="26"/>
        <v>0</v>
      </c>
      <c r="I127" s="13">
        <f t="shared" si="26"/>
        <v>0</v>
      </c>
      <c r="J127" s="13">
        <f t="shared" si="26"/>
        <v>0</v>
      </c>
      <c r="K127" s="13">
        <f t="shared" si="26"/>
        <v>0</v>
      </c>
      <c r="L127" s="13">
        <f t="shared" si="26"/>
        <v>2</v>
      </c>
      <c r="M127" s="13">
        <f t="shared" si="26"/>
        <v>0</v>
      </c>
      <c r="N127" s="13">
        <f t="shared" si="26"/>
        <v>2</v>
      </c>
      <c r="O127" s="13">
        <f t="shared" si="26"/>
        <v>2</v>
      </c>
      <c r="P127" s="13">
        <f t="shared" si="26"/>
        <v>0</v>
      </c>
      <c r="Q127" s="13">
        <f t="shared" si="26"/>
        <v>0</v>
      </c>
      <c r="R127" s="13">
        <f t="shared" si="26"/>
        <v>3</v>
      </c>
      <c r="S127" s="13">
        <f t="shared" si="26"/>
        <v>0</v>
      </c>
      <c r="T127" s="13">
        <f t="shared" si="26"/>
        <v>2</v>
      </c>
      <c r="U127" s="13">
        <f t="shared" si="26"/>
        <v>1</v>
      </c>
      <c r="V127" s="13">
        <f t="shared" si="26"/>
        <v>3</v>
      </c>
      <c r="W127" s="13">
        <f t="shared" si="26"/>
        <v>2</v>
      </c>
      <c r="X127" s="13">
        <f t="shared" si="26"/>
        <v>0</v>
      </c>
      <c r="Y127" s="13">
        <f t="shared" si="26"/>
        <v>0</v>
      </c>
      <c r="Z127" s="13">
        <f t="shared" si="26"/>
        <v>2</v>
      </c>
      <c r="AA127" s="13">
        <f t="shared" si="26"/>
        <v>0</v>
      </c>
      <c r="AB127" s="13">
        <f t="shared" si="26"/>
        <v>2</v>
      </c>
      <c r="AC127" s="13">
        <f t="shared" si="26"/>
        <v>0</v>
      </c>
      <c r="AD127" s="13">
        <f t="shared" si="26"/>
        <v>0</v>
      </c>
      <c r="AE127" s="13">
        <f t="shared" si="26"/>
        <v>2</v>
      </c>
      <c r="AF127" s="13">
        <f t="shared" si="26"/>
        <v>3</v>
      </c>
      <c r="AG127" s="13">
        <f t="shared" si="26"/>
        <v>0</v>
      </c>
      <c r="AH127" s="13">
        <f t="shared" si="26"/>
        <v>0</v>
      </c>
      <c r="AI127" s="13">
        <f t="shared" si="26"/>
        <v>2</v>
      </c>
      <c r="AJ127" s="13">
        <f t="shared" si="26"/>
        <v>2</v>
      </c>
      <c r="AK127" s="13">
        <f t="shared" si="26"/>
        <v>0</v>
      </c>
      <c r="AL127" s="13">
        <f t="shared" si="26"/>
        <v>2</v>
      </c>
      <c r="AM127" s="13">
        <f t="shared" si="26"/>
        <v>34</v>
      </c>
    </row>
    <row r="128" spans="1:39" ht="12.75" customHeight="1" x14ac:dyDescent="0.3">
      <c r="A128" s="61"/>
      <c r="B128" s="60"/>
      <c r="C128" s="60"/>
      <c r="D128" s="60"/>
      <c r="E128" s="58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</row>
    <row r="129" spans="1:39" ht="12.75" customHeight="1" x14ac:dyDescent="0.3">
      <c r="A129" s="20" t="s">
        <v>37</v>
      </c>
      <c r="B129" s="27" t="s">
        <v>102</v>
      </c>
      <c r="C129" s="57" t="s">
        <v>103</v>
      </c>
      <c r="D129" s="58"/>
      <c r="E129" s="16">
        <v>5</v>
      </c>
      <c r="F129" s="16">
        <v>0</v>
      </c>
      <c r="G129" s="16">
        <v>1</v>
      </c>
      <c r="H129" s="16">
        <v>0</v>
      </c>
      <c r="I129" s="16">
        <v>1</v>
      </c>
      <c r="J129" s="16">
        <v>0</v>
      </c>
      <c r="K129" s="16">
        <v>0</v>
      </c>
      <c r="L129" s="16">
        <v>1</v>
      </c>
      <c r="M129" s="16">
        <v>6</v>
      </c>
      <c r="N129" s="16">
        <v>1</v>
      </c>
      <c r="O129" s="16">
        <v>1</v>
      </c>
      <c r="P129" s="16">
        <v>3</v>
      </c>
      <c r="Q129" s="16">
        <v>0</v>
      </c>
      <c r="R129" s="16">
        <v>1</v>
      </c>
      <c r="S129" s="16">
        <v>0</v>
      </c>
      <c r="T129" s="16">
        <v>0</v>
      </c>
      <c r="U129" s="16">
        <v>0</v>
      </c>
      <c r="V129" s="16">
        <v>2</v>
      </c>
      <c r="W129" s="16">
        <v>1</v>
      </c>
      <c r="X129" s="16">
        <v>6</v>
      </c>
      <c r="Y129" s="16">
        <v>0</v>
      </c>
      <c r="Z129" s="16">
        <v>0</v>
      </c>
      <c r="AA129" s="16">
        <v>1</v>
      </c>
      <c r="AB129" s="16">
        <v>0</v>
      </c>
      <c r="AC129" s="16">
        <v>4</v>
      </c>
      <c r="AD129" s="16">
        <v>2</v>
      </c>
      <c r="AE129" s="16">
        <v>2</v>
      </c>
      <c r="AF129" s="16">
        <v>1</v>
      </c>
      <c r="AG129" s="16">
        <v>4</v>
      </c>
      <c r="AH129" s="16">
        <v>2</v>
      </c>
      <c r="AI129" s="16">
        <v>1</v>
      </c>
      <c r="AJ129" s="16">
        <v>1</v>
      </c>
      <c r="AK129" s="16">
        <v>0</v>
      </c>
      <c r="AL129" s="16">
        <v>0</v>
      </c>
      <c r="AM129" s="13">
        <f t="shared" ref="AM129:AM138" si="27">SUM(E129:AL129)</f>
        <v>47</v>
      </c>
    </row>
    <row r="130" spans="1:39" ht="12.75" customHeight="1" x14ac:dyDescent="0.3">
      <c r="A130" s="20" t="s">
        <v>39</v>
      </c>
      <c r="B130" s="28"/>
      <c r="C130" s="29" t="s">
        <v>104</v>
      </c>
      <c r="D130" s="30"/>
      <c r="E130" s="16">
        <v>2</v>
      </c>
      <c r="F130" s="16">
        <v>3</v>
      </c>
      <c r="G130" s="16">
        <v>0</v>
      </c>
      <c r="H130" s="16">
        <v>2</v>
      </c>
      <c r="I130" s="16">
        <v>1</v>
      </c>
      <c r="J130" s="16">
        <v>0</v>
      </c>
      <c r="K130" s="16">
        <v>0</v>
      </c>
      <c r="L130" s="16">
        <v>0</v>
      </c>
      <c r="M130" s="16">
        <v>2</v>
      </c>
      <c r="N130" s="16">
        <v>1</v>
      </c>
      <c r="O130" s="16">
        <v>4</v>
      </c>
      <c r="P130" s="16">
        <v>0</v>
      </c>
      <c r="Q130" s="16">
        <v>2</v>
      </c>
      <c r="R130" s="16">
        <v>1</v>
      </c>
      <c r="S130" s="16">
        <v>0</v>
      </c>
      <c r="T130" s="16">
        <v>0</v>
      </c>
      <c r="U130" s="16">
        <v>1</v>
      </c>
      <c r="V130" s="16">
        <v>0</v>
      </c>
      <c r="W130" s="16">
        <v>2</v>
      </c>
      <c r="X130" s="16">
        <v>10</v>
      </c>
      <c r="Y130" s="16">
        <v>0</v>
      </c>
      <c r="Z130" s="16">
        <v>0</v>
      </c>
      <c r="AA130" s="16">
        <v>0</v>
      </c>
      <c r="AB130" s="16">
        <v>2</v>
      </c>
      <c r="AC130" s="16">
        <v>1</v>
      </c>
      <c r="AD130" s="16">
        <v>4</v>
      </c>
      <c r="AE130" s="16">
        <v>6</v>
      </c>
      <c r="AF130" s="16">
        <v>7</v>
      </c>
      <c r="AG130" s="16">
        <v>0</v>
      </c>
      <c r="AH130" s="16">
        <v>2</v>
      </c>
      <c r="AI130" s="16">
        <v>1</v>
      </c>
      <c r="AJ130" s="16">
        <v>0</v>
      </c>
      <c r="AK130" s="16">
        <v>0</v>
      </c>
      <c r="AL130" s="16">
        <v>1</v>
      </c>
      <c r="AM130" s="13">
        <f t="shared" si="27"/>
        <v>55</v>
      </c>
    </row>
    <row r="131" spans="1:39" ht="12.75" customHeight="1" x14ac:dyDescent="0.3">
      <c r="A131" s="15"/>
      <c r="B131" s="28"/>
      <c r="C131" s="29" t="s">
        <v>105</v>
      </c>
      <c r="D131" s="30"/>
      <c r="E131" s="16">
        <v>2</v>
      </c>
      <c r="F131" s="16">
        <v>0</v>
      </c>
      <c r="G131" s="16">
        <v>0</v>
      </c>
      <c r="H131" s="16">
        <v>0</v>
      </c>
      <c r="I131" s="16">
        <v>0</v>
      </c>
      <c r="J131" s="16">
        <v>1</v>
      </c>
      <c r="K131" s="16">
        <v>0</v>
      </c>
      <c r="L131" s="16">
        <v>0</v>
      </c>
      <c r="M131" s="16">
        <v>2</v>
      </c>
      <c r="N131" s="16">
        <v>1</v>
      </c>
      <c r="O131" s="16">
        <v>0</v>
      </c>
      <c r="P131" s="16">
        <v>0</v>
      </c>
      <c r="Q131" s="16">
        <v>0</v>
      </c>
      <c r="R131" s="16">
        <v>1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1</v>
      </c>
      <c r="AB131" s="16">
        <v>0</v>
      </c>
      <c r="AC131" s="16">
        <v>0</v>
      </c>
      <c r="AD131" s="16">
        <v>1</v>
      </c>
      <c r="AE131" s="16">
        <v>0</v>
      </c>
      <c r="AF131" s="16">
        <v>0</v>
      </c>
      <c r="AG131" s="16">
        <v>0</v>
      </c>
      <c r="AH131" s="16">
        <v>1</v>
      </c>
      <c r="AI131" s="16">
        <v>2</v>
      </c>
      <c r="AJ131" s="16">
        <v>0</v>
      </c>
      <c r="AK131" s="16">
        <v>0</v>
      </c>
      <c r="AL131" s="16">
        <v>0</v>
      </c>
      <c r="AM131" s="13">
        <f t="shared" si="27"/>
        <v>12</v>
      </c>
    </row>
    <row r="132" spans="1:39" ht="12.75" customHeight="1" x14ac:dyDescent="0.3">
      <c r="A132" s="15"/>
      <c r="B132" s="28"/>
      <c r="C132" s="29" t="s">
        <v>106</v>
      </c>
      <c r="D132" s="30"/>
      <c r="E132" s="16">
        <v>0</v>
      </c>
      <c r="F132" s="16">
        <v>1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1</v>
      </c>
      <c r="T132" s="16">
        <v>0</v>
      </c>
      <c r="U132" s="16">
        <v>0</v>
      </c>
      <c r="V132" s="16">
        <v>1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1</v>
      </c>
      <c r="AG132" s="16">
        <v>0</v>
      </c>
      <c r="AH132" s="16">
        <v>0</v>
      </c>
      <c r="AI132" s="16">
        <v>0</v>
      </c>
      <c r="AJ132" s="16">
        <v>0</v>
      </c>
      <c r="AK132" s="16">
        <v>0</v>
      </c>
      <c r="AL132" s="16">
        <v>0</v>
      </c>
      <c r="AM132" s="13">
        <f t="shared" si="27"/>
        <v>4</v>
      </c>
    </row>
    <row r="133" spans="1:39" ht="12.75" customHeight="1" x14ac:dyDescent="0.3">
      <c r="A133" s="15"/>
      <c r="B133" s="28"/>
      <c r="C133" s="29" t="s">
        <v>107</v>
      </c>
      <c r="D133" s="30"/>
      <c r="E133" s="16">
        <v>0</v>
      </c>
      <c r="F133" s="16">
        <v>1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1</v>
      </c>
      <c r="O133" s="16">
        <v>0</v>
      </c>
      <c r="P133" s="16">
        <v>0</v>
      </c>
      <c r="Q133" s="16">
        <v>1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1</v>
      </c>
      <c r="Z133" s="16">
        <v>0</v>
      </c>
      <c r="AA133" s="16">
        <v>0</v>
      </c>
      <c r="AB133" s="16">
        <v>1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  <c r="AK133" s="16">
        <v>1</v>
      </c>
      <c r="AL133" s="16">
        <v>0</v>
      </c>
      <c r="AM133" s="13">
        <f t="shared" si="27"/>
        <v>6</v>
      </c>
    </row>
    <row r="134" spans="1:39" ht="12.75" customHeight="1" x14ac:dyDescent="0.3">
      <c r="A134" s="15"/>
      <c r="B134" s="28"/>
      <c r="C134" s="29" t="s">
        <v>108</v>
      </c>
      <c r="D134" s="30"/>
      <c r="E134" s="16">
        <v>3</v>
      </c>
      <c r="F134" s="16">
        <v>1</v>
      </c>
      <c r="G134" s="16">
        <v>1</v>
      </c>
      <c r="H134" s="16">
        <v>0</v>
      </c>
      <c r="I134" s="16">
        <v>0</v>
      </c>
      <c r="J134" s="16">
        <v>0</v>
      </c>
      <c r="K134" s="16">
        <v>1</v>
      </c>
      <c r="L134" s="16">
        <v>0</v>
      </c>
      <c r="M134" s="16">
        <v>2</v>
      </c>
      <c r="N134" s="16">
        <v>1</v>
      </c>
      <c r="O134" s="16">
        <v>0</v>
      </c>
      <c r="P134" s="16">
        <v>1</v>
      </c>
      <c r="Q134" s="16">
        <v>0</v>
      </c>
      <c r="R134" s="16">
        <v>0</v>
      </c>
      <c r="S134" s="16">
        <v>1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4</v>
      </c>
      <c r="AB134" s="16">
        <v>1</v>
      </c>
      <c r="AC134" s="16">
        <v>2</v>
      </c>
      <c r="AD134" s="16">
        <v>2</v>
      </c>
      <c r="AE134" s="16">
        <v>0</v>
      </c>
      <c r="AF134" s="16">
        <v>1</v>
      </c>
      <c r="AG134" s="16">
        <v>7</v>
      </c>
      <c r="AH134" s="16">
        <v>0</v>
      </c>
      <c r="AI134" s="16">
        <v>0</v>
      </c>
      <c r="AJ134" s="16">
        <v>0</v>
      </c>
      <c r="AK134" s="16">
        <v>2</v>
      </c>
      <c r="AL134" s="16">
        <v>1</v>
      </c>
      <c r="AM134" s="13">
        <f t="shared" si="27"/>
        <v>31</v>
      </c>
    </row>
    <row r="135" spans="1:39" ht="12.75" customHeight="1" x14ac:dyDescent="0.3">
      <c r="A135" s="15"/>
      <c r="B135" s="28"/>
      <c r="C135" s="29" t="s">
        <v>109</v>
      </c>
      <c r="D135" s="30"/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1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1</v>
      </c>
      <c r="AD135" s="16">
        <v>0</v>
      </c>
      <c r="AE135" s="16">
        <v>1</v>
      </c>
      <c r="AF135" s="16">
        <v>0</v>
      </c>
      <c r="AG135" s="16">
        <v>1</v>
      </c>
      <c r="AH135" s="16">
        <v>1</v>
      </c>
      <c r="AI135" s="16">
        <v>0</v>
      </c>
      <c r="AJ135" s="16">
        <v>0</v>
      </c>
      <c r="AK135" s="16">
        <v>0</v>
      </c>
      <c r="AL135" s="16">
        <v>0</v>
      </c>
      <c r="AM135" s="13">
        <f t="shared" si="27"/>
        <v>5</v>
      </c>
    </row>
    <row r="136" spans="1:39" ht="12.75" customHeight="1" x14ac:dyDescent="0.3">
      <c r="A136" s="15"/>
      <c r="B136" s="28"/>
      <c r="C136" s="29" t="s">
        <v>110</v>
      </c>
      <c r="D136" s="30"/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1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1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1</v>
      </c>
      <c r="AG136" s="16">
        <v>0</v>
      </c>
      <c r="AH136" s="16">
        <v>1</v>
      </c>
      <c r="AI136" s="16">
        <v>0</v>
      </c>
      <c r="AJ136" s="16">
        <v>0</v>
      </c>
      <c r="AK136" s="16">
        <v>0</v>
      </c>
      <c r="AL136" s="16">
        <v>0</v>
      </c>
      <c r="AM136" s="13">
        <f t="shared" si="27"/>
        <v>4</v>
      </c>
    </row>
    <row r="137" spans="1:39" ht="12.75" customHeight="1" x14ac:dyDescent="0.3">
      <c r="A137" s="15"/>
      <c r="B137" s="28"/>
      <c r="C137" s="29" t="s">
        <v>111</v>
      </c>
      <c r="D137" s="30"/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1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  <c r="AK137" s="16">
        <v>0</v>
      </c>
      <c r="AL137" s="16">
        <v>0</v>
      </c>
      <c r="AM137" s="13">
        <f t="shared" si="27"/>
        <v>1</v>
      </c>
    </row>
    <row r="138" spans="1:39" ht="12.75" customHeight="1" x14ac:dyDescent="0.3">
      <c r="A138" s="15"/>
      <c r="B138" s="28"/>
      <c r="C138" s="29" t="s">
        <v>112</v>
      </c>
      <c r="D138" s="30"/>
      <c r="E138" s="16">
        <v>1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1</v>
      </c>
      <c r="S138" s="16">
        <v>0</v>
      </c>
      <c r="T138" s="16">
        <v>0</v>
      </c>
      <c r="U138" s="16">
        <v>0</v>
      </c>
      <c r="V138" s="16">
        <v>0</v>
      </c>
      <c r="W138" s="16">
        <v>1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1</v>
      </c>
      <c r="AE138" s="16">
        <v>0</v>
      </c>
      <c r="AF138" s="16">
        <v>1</v>
      </c>
      <c r="AG138" s="16">
        <v>0</v>
      </c>
      <c r="AH138" s="16">
        <v>0</v>
      </c>
      <c r="AI138" s="16">
        <v>0</v>
      </c>
      <c r="AJ138" s="16">
        <v>0</v>
      </c>
      <c r="AK138" s="16">
        <v>0</v>
      </c>
      <c r="AL138" s="16">
        <v>0</v>
      </c>
      <c r="AM138" s="13">
        <f t="shared" si="27"/>
        <v>5</v>
      </c>
    </row>
    <row r="139" spans="1:39" ht="12.75" customHeight="1" x14ac:dyDescent="0.3">
      <c r="A139" s="16" t="s">
        <v>15</v>
      </c>
      <c r="B139" s="59" t="s">
        <v>49</v>
      </c>
      <c r="C139" s="60"/>
      <c r="D139" s="58"/>
      <c r="E139" s="13">
        <f t="shared" ref="E139:AM139" si="28">SUM(E129:E138)</f>
        <v>13</v>
      </c>
      <c r="F139" s="13">
        <f t="shared" si="28"/>
        <v>6</v>
      </c>
      <c r="G139" s="13">
        <f t="shared" si="28"/>
        <v>2</v>
      </c>
      <c r="H139" s="13">
        <f t="shared" si="28"/>
        <v>2</v>
      </c>
      <c r="I139" s="13">
        <f t="shared" si="28"/>
        <v>2</v>
      </c>
      <c r="J139" s="13">
        <f t="shared" si="28"/>
        <v>1</v>
      </c>
      <c r="K139" s="13">
        <f t="shared" si="28"/>
        <v>1</v>
      </c>
      <c r="L139" s="13">
        <f t="shared" si="28"/>
        <v>2</v>
      </c>
      <c r="M139" s="13">
        <f t="shared" si="28"/>
        <v>12</v>
      </c>
      <c r="N139" s="13">
        <f t="shared" si="28"/>
        <v>5</v>
      </c>
      <c r="O139" s="13">
        <f t="shared" si="28"/>
        <v>5</v>
      </c>
      <c r="P139" s="13">
        <f t="shared" si="28"/>
        <v>4</v>
      </c>
      <c r="Q139" s="13">
        <f t="shared" si="28"/>
        <v>3</v>
      </c>
      <c r="R139" s="13">
        <f t="shared" si="28"/>
        <v>5</v>
      </c>
      <c r="S139" s="13">
        <f t="shared" si="28"/>
        <v>2</v>
      </c>
      <c r="T139" s="13">
        <f t="shared" si="28"/>
        <v>1</v>
      </c>
      <c r="U139" s="13">
        <f t="shared" si="28"/>
        <v>1</v>
      </c>
      <c r="V139" s="13">
        <f t="shared" si="28"/>
        <v>3</v>
      </c>
      <c r="W139" s="13">
        <f t="shared" si="28"/>
        <v>4</v>
      </c>
      <c r="X139" s="13">
        <f t="shared" si="28"/>
        <v>16</v>
      </c>
      <c r="Y139" s="13">
        <f t="shared" si="28"/>
        <v>1</v>
      </c>
      <c r="Z139" s="13">
        <f t="shared" si="28"/>
        <v>0</v>
      </c>
      <c r="AA139" s="13">
        <f t="shared" si="28"/>
        <v>7</v>
      </c>
      <c r="AB139" s="13">
        <f t="shared" si="28"/>
        <v>4</v>
      </c>
      <c r="AC139" s="13">
        <f t="shared" si="28"/>
        <v>8</v>
      </c>
      <c r="AD139" s="13">
        <f t="shared" si="28"/>
        <v>10</v>
      </c>
      <c r="AE139" s="13">
        <f t="shared" si="28"/>
        <v>9</v>
      </c>
      <c r="AF139" s="13">
        <f t="shared" si="28"/>
        <v>12</v>
      </c>
      <c r="AG139" s="13">
        <f t="shared" si="28"/>
        <v>12</v>
      </c>
      <c r="AH139" s="13">
        <f t="shared" si="28"/>
        <v>7</v>
      </c>
      <c r="AI139" s="13">
        <f t="shared" si="28"/>
        <v>4</v>
      </c>
      <c r="AJ139" s="13">
        <f t="shared" si="28"/>
        <v>1</v>
      </c>
      <c r="AK139" s="13">
        <f t="shared" si="28"/>
        <v>3</v>
      </c>
      <c r="AL139" s="13">
        <f t="shared" si="28"/>
        <v>2</v>
      </c>
      <c r="AM139" s="13">
        <f t="shared" si="28"/>
        <v>170</v>
      </c>
    </row>
    <row r="140" spans="1:39" ht="12.75" customHeight="1" x14ac:dyDescent="0.3">
      <c r="A140" s="61"/>
      <c r="B140" s="60"/>
      <c r="C140" s="60"/>
      <c r="D140" s="60"/>
      <c r="E140" s="58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</row>
    <row r="141" spans="1:39" ht="12.75" customHeight="1" x14ac:dyDescent="0.3">
      <c r="A141" s="20" t="s">
        <v>37</v>
      </c>
      <c r="B141" s="27" t="s">
        <v>113</v>
      </c>
      <c r="C141" s="57" t="s">
        <v>114</v>
      </c>
      <c r="D141" s="58"/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1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2</v>
      </c>
      <c r="AJ141" s="16">
        <v>0</v>
      </c>
      <c r="AK141" s="16">
        <v>0</v>
      </c>
      <c r="AL141" s="16">
        <v>0</v>
      </c>
      <c r="AM141" s="13">
        <f t="shared" ref="AM141:AM150" si="29">SUM(E141:AL141)</f>
        <v>3</v>
      </c>
    </row>
    <row r="142" spans="1:39" ht="12.75" customHeight="1" x14ac:dyDescent="0.3">
      <c r="A142" s="20" t="s">
        <v>39</v>
      </c>
      <c r="B142" s="28"/>
      <c r="C142" s="29" t="s">
        <v>115</v>
      </c>
      <c r="D142" s="30"/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1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1</v>
      </c>
      <c r="AF142" s="16">
        <v>0</v>
      </c>
      <c r="AG142" s="16">
        <v>0</v>
      </c>
      <c r="AH142" s="16">
        <v>0</v>
      </c>
      <c r="AI142" s="16">
        <v>1</v>
      </c>
      <c r="AJ142" s="16">
        <v>0</v>
      </c>
      <c r="AK142" s="16">
        <v>0</v>
      </c>
      <c r="AL142" s="16">
        <v>0</v>
      </c>
      <c r="AM142" s="13">
        <f t="shared" si="29"/>
        <v>3</v>
      </c>
    </row>
    <row r="143" spans="1:39" ht="12.75" customHeight="1" x14ac:dyDescent="0.3">
      <c r="A143" s="15"/>
      <c r="B143" s="28"/>
      <c r="C143" s="29" t="s">
        <v>116</v>
      </c>
      <c r="D143" s="30"/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1</v>
      </c>
      <c r="AJ143" s="16">
        <v>0</v>
      </c>
      <c r="AK143" s="16">
        <v>0</v>
      </c>
      <c r="AL143" s="16">
        <v>0</v>
      </c>
      <c r="AM143" s="13">
        <f t="shared" si="29"/>
        <v>1</v>
      </c>
    </row>
    <row r="144" spans="1:39" ht="12.75" customHeight="1" x14ac:dyDescent="0.3">
      <c r="A144" s="15"/>
      <c r="B144" s="28"/>
      <c r="C144" s="29" t="s">
        <v>117</v>
      </c>
      <c r="D144" s="30"/>
      <c r="E144" s="16">
        <v>0</v>
      </c>
      <c r="F144" s="16">
        <v>0</v>
      </c>
      <c r="G144" s="16">
        <v>1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1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1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  <c r="AK144" s="16">
        <v>0</v>
      </c>
      <c r="AL144" s="16">
        <v>0</v>
      </c>
      <c r="AM144" s="13">
        <f t="shared" si="29"/>
        <v>3</v>
      </c>
    </row>
    <row r="145" spans="1:39" ht="12.75" customHeight="1" x14ac:dyDescent="0.3">
      <c r="A145" s="15"/>
      <c r="B145" s="36"/>
      <c r="C145" s="37"/>
      <c r="D145" s="40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3">
        <f t="shared" si="29"/>
        <v>0</v>
      </c>
    </row>
    <row r="146" spans="1:39" ht="12.75" customHeight="1" x14ac:dyDescent="0.3">
      <c r="A146" s="15"/>
      <c r="B146" s="36"/>
      <c r="C146" s="37"/>
      <c r="D146" s="40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3">
        <f t="shared" si="29"/>
        <v>0</v>
      </c>
    </row>
    <row r="147" spans="1:39" ht="12.75" customHeight="1" x14ac:dyDescent="0.3">
      <c r="A147" s="15"/>
      <c r="B147" s="36"/>
      <c r="C147" s="37"/>
      <c r="D147" s="40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3">
        <f t="shared" si="29"/>
        <v>0</v>
      </c>
    </row>
    <row r="148" spans="1:39" ht="12.75" customHeight="1" x14ac:dyDescent="0.3">
      <c r="A148" s="15"/>
      <c r="B148" s="36"/>
      <c r="C148" s="37"/>
      <c r="D148" s="38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3">
        <f t="shared" si="29"/>
        <v>0</v>
      </c>
    </row>
    <row r="149" spans="1:39" ht="12.75" customHeight="1" x14ac:dyDescent="0.3">
      <c r="A149" s="15"/>
      <c r="B149" s="36"/>
      <c r="C149" s="37"/>
      <c r="D149" s="38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3">
        <f t="shared" si="29"/>
        <v>0</v>
      </c>
    </row>
    <row r="150" spans="1:39" ht="12.75" customHeight="1" x14ac:dyDescent="0.3">
      <c r="A150" s="15"/>
      <c r="B150" s="36"/>
      <c r="C150" s="37"/>
      <c r="D150" s="38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3">
        <f t="shared" si="29"/>
        <v>0</v>
      </c>
    </row>
    <row r="151" spans="1:39" ht="12.75" customHeight="1" x14ac:dyDescent="0.3">
      <c r="A151" s="16" t="s">
        <v>15</v>
      </c>
      <c r="B151" s="59" t="s">
        <v>49</v>
      </c>
      <c r="C151" s="60"/>
      <c r="D151" s="58"/>
      <c r="E151" s="13">
        <f t="shared" ref="E151:AM151" si="30">SUM(E141:E150)</f>
        <v>0</v>
      </c>
      <c r="F151" s="13">
        <f t="shared" si="30"/>
        <v>0</v>
      </c>
      <c r="G151" s="13">
        <f t="shared" si="30"/>
        <v>1</v>
      </c>
      <c r="H151" s="13">
        <f t="shared" si="30"/>
        <v>0</v>
      </c>
      <c r="I151" s="13">
        <f t="shared" si="30"/>
        <v>0</v>
      </c>
      <c r="J151" s="13">
        <f t="shared" si="30"/>
        <v>0</v>
      </c>
      <c r="K151" s="13">
        <f t="shared" si="30"/>
        <v>0</v>
      </c>
      <c r="L151" s="13">
        <f t="shared" si="30"/>
        <v>0</v>
      </c>
      <c r="M151" s="13">
        <f t="shared" si="30"/>
        <v>0</v>
      </c>
      <c r="N151" s="13">
        <f t="shared" si="30"/>
        <v>0</v>
      </c>
      <c r="O151" s="13">
        <f t="shared" si="30"/>
        <v>0</v>
      </c>
      <c r="P151" s="13">
        <f t="shared" si="30"/>
        <v>0</v>
      </c>
      <c r="Q151" s="13">
        <f t="shared" si="30"/>
        <v>0</v>
      </c>
      <c r="R151" s="13">
        <f t="shared" si="30"/>
        <v>0</v>
      </c>
      <c r="S151" s="13">
        <f t="shared" si="30"/>
        <v>0</v>
      </c>
      <c r="T151" s="13">
        <f t="shared" si="30"/>
        <v>1</v>
      </c>
      <c r="U151" s="13">
        <f t="shared" si="30"/>
        <v>0</v>
      </c>
      <c r="V151" s="13">
        <f t="shared" si="30"/>
        <v>1</v>
      </c>
      <c r="W151" s="13">
        <f t="shared" si="30"/>
        <v>0</v>
      </c>
      <c r="X151" s="13">
        <f t="shared" si="30"/>
        <v>0</v>
      </c>
      <c r="Y151" s="13">
        <f t="shared" si="30"/>
        <v>0</v>
      </c>
      <c r="Z151" s="13">
        <f t="shared" si="30"/>
        <v>0</v>
      </c>
      <c r="AA151" s="13">
        <f t="shared" si="30"/>
        <v>1</v>
      </c>
      <c r="AB151" s="13">
        <f t="shared" si="30"/>
        <v>1</v>
      </c>
      <c r="AC151" s="13">
        <f t="shared" si="30"/>
        <v>0</v>
      </c>
      <c r="AD151" s="13">
        <f t="shared" si="30"/>
        <v>0</v>
      </c>
      <c r="AE151" s="13">
        <f t="shared" si="30"/>
        <v>1</v>
      </c>
      <c r="AF151" s="13">
        <f t="shared" si="30"/>
        <v>0</v>
      </c>
      <c r="AG151" s="13">
        <f t="shared" si="30"/>
        <v>0</v>
      </c>
      <c r="AH151" s="13">
        <f t="shared" si="30"/>
        <v>0</v>
      </c>
      <c r="AI151" s="13">
        <f t="shared" si="30"/>
        <v>4</v>
      </c>
      <c r="AJ151" s="13">
        <f t="shared" si="30"/>
        <v>0</v>
      </c>
      <c r="AK151" s="13">
        <f t="shared" si="30"/>
        <v>0</v>
      </c>
      <c r="AL151" s="13">
        <f t="shared" si="30"/>
        <v>0</v>
      </c>
      <c r="AM151" s="13">
        <f t="shared" si="30"/>
        <v>10</v>
      </c>
    </row>
    <row r="152" spans="1:39" ht="12.75" customHeight="1" x14ac:dyDescent="0.3">
      <c r="A152" s="61"/>
      <c r="B152" s="60"/>
      <c r="C152" s="60"/>
      <c r="D152" s="60"/>
      <c r="E152" s="58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13"/>
    </row>
    <row r="153" spans="1:39" ht="12.75" customHeight="1" x14ac:dyDescent="0.3">
      <c r="A153" s="20" t="s">
        <v>37</v>
      </c>
      <c r="B153" s="14" t="s">
        <v>118</v>
      </c>
      <c r="C153" s="62" t="s">
        <v>119</v>
      </c>
      <c r="D153" s="63"/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1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1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  <c r="AK153" s="16">
        <v>0</v>
      </c>
      <c r="AL153" s="16">
        <v>0</v>
      </c>
      <c r="AM153" s="13">
        <f t="shared" ref="AM153:AM156" si="31">SUM(E154:AL154)</f>
        <v>1</v>
      </c>
    </row>
    <row r="154" spans="1:39" ht="12.75" customHeight="1" x14ac:dyDescent="0.3">
      <c r="A154" s="42" t="s">
        <v>39</v>
      </c>
      <c r="B154" s="28"/>
      <c r="C154" s="29" t="s">
        <v>120</v>
      </c>
      <c r="D154" s="30"/>
      <c r="E154" s="53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  <c r="AK154" s="16">
        <v>0</v>
      </c>
      <c r="AL154" s="16">
        <v>1</v>
      </c>
      <c r="AM154" s="13">
        <f t="shared" si="31"/>
        <v>3</v>
      </c>
    </row>
    <row r="155" spans="1:39" ht="12.75" customHeight="1" x14ac:dyDescent="0.3">
      <c r="A155" s="15"/>
      <c r="B155" s="28"/>
      <c r="C155" s="29" t="s">
        <v>121</v>
      </c>
      <c r="D155" s="30"/>
      <c r="E155" s="53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1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1</v>
      </c>
      <c r="AE155" s="16">
        <v>0</v>
      </c>
      <c r="AF155" s="16">
        <v>0</v>
      </c>
      <c r="AG155" s="16">
        <v>1</v>
      </c>
      <c r="AH155" s="16">
        <v>0</v>
      </c>
      <c r="AI155" s="16">
        <v>0</v>
      </c>
      <c r="AJ155" s="16">
        <v>0</v>
      </c>
      <c r="AK155" s="16">
        <v>0</v>
      </c>
      <c r="AL155" s="16">
        <v>0</v>
      </c>
      <c r="AM155" s="13">
        <f t="shared" si="31"/>
        <v>14</v>
      </c>
    </row>
    <row r="156" spans="1:39" ht="12.75" customHeight="1" x14ac:dyDescent="0.3">
      <c r="A156" s="15"/>
      <c r="B156" s="28"/>
      <c r="C156" s="29" t="s">
        <v>122</v>
      </c>
      <c r="D156" s="30"/>
      <c r="E156" s="53">
        <v>1</v>
      </c>
      <c r="F156" s="16">
        <v>0</v>
      </c>
      <c r="G156" s="16">
        <v>1</v>
      </c>
      <c r="H156" s="16">
        <v>0</v>
      </c>
      <c r="I156" s="16">
        <v>0</v>
      </c>
      <c r="J156" s="16">
        <v>0</v>
      </c>
      <c r="K156" s="16">
        <v>0</v>
      </c>
      <c r="L156" s="16">
        <v>1</v>
      </c>
      <c r="M156" s="16">
        <v>2</v>
      </c>
      <c r="N156" s="16">
        <v>1</v>
      </c>
      <c r="O156" s="16">
        <v>4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1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2</v>
      </c>
      <c r="AE156" s="16">
        <v>0</v>
      </c>
      <c r="AF156" s="16">
        <v>0</v>
      </c>
      <c r="AG156" s="16">
        <v>1</v>
      </c>
      <c r="AH156" s="16">
        <v>0</v>
      </c>
      <c r="AI156" s="16">
        <v>0</v>
      </c>
      <c r="AJ156" s="16">
        <v>0</v>
      </c>
      <c r="AK156" s="16">
        <v>0</v>
      </c>
      <c r="AL156" s="16">
        <v>0</v>
      </c>
      <c r="AM156" s="13">
        <f t="shared" si="31"/>
        <v>1</v>
      </c>
    </row>
    <row r="157" spans="1:39" ht="12.75" customHeight="1" x14ac:dyDescent="0.3">
      <c r="A157" s="15"/>
      <c r="B157" s="28"/>
      <c r="C157" s="29" t="s">
        <v>123</v>
      </c>
      <c r="D157" s="30"/>
      <c r="E157" s="53">
        <v>0</v>
      </c>
      <c r="F157" s="16">
        <v>0</v>
      </c>
      <c r="G157" s="16">
        <v>1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  <c r="AK157" s="16">
        <v>0</v>
      </c>
      <c r="AL157" s="16">
        <v>0</v>
      </c>
      <c r="AM157" s="13">
        <f t="shared" ref="AM157:AM162" si="32">SUM(E163:AL163)</f>
        <v>23</v>
      </c>
    </row>
    <row r="158" spans="1:39" ht="12.75" customHeight="1" x14ac:dyDescent="0.3">
      <c r="A158" s="15"/>
      <c r="B158" s="28"/>
      <c r="C158" s="29" t="s">
        <v>124</v>
      </c>
      <c r="D158" s="30"/>
      <c r="E158" s="53">
        <v>0</v>
      </c>
      <c r="F158" s="16">
        <v>1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  <c r="AK158" s="16">
        <v>0</v>
      </c>
      <c r="AL158" s="16">
        <v>0</v>
      </c>
      <c r="AM158" s="13">
        <f t="shared" si="32"/>
        <v>0</v>
      </c>
    </row>
    <row r="159" spans="1:39" ht="12.75" customHeight="1" x14ac:dyDescent="0.3">
      <c r="A159" s="15"/>
      <c r="B159" s="28"/>
      <c r="C159" s="29" t="s">
        <v>125</v>
      </c>
      <c r="D159" s="30"/>
      <c r="E159" s="53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1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  <c r="AK159" s="16">
        <v>0</v>
      </c>
      <c r="AL159" s="16">
        <v>0</v>
      </c>
      <c r="AM159" s="13">
        <f t="shared" si="32"/>
        <v>12</v>
      </c>
    </row>
    <row r="160" spans="1:39" ht="12.75" customHeight="1" x14ac:dyDescent="0.3">
      <c r="A160" s="15"/>
      <c r="B160" s="28"/>
      <c r="C160" s="29" t="s">
        <v>126</v>
      </c>
      <c r="D160" s="30"/>
      <c r="E160" s="53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  <c r="AK160" s="16">
        <v>0</v>
      </c>
      <c r="AL160" s="16">
        <v>0</v>
      </c>
      <c r="AM160" s="13">
        <f t="shared" si="32"/>
        <v>12</v>
      </c>
    </row>
    <row r="161" spans="1:39" ht="12.75" customHeight="1" x14ac:dyDescent="0.3">
      <c r="A161" s="15"/>
      <c r="B161" s="36"/>
      <c r="C161" s="43"/>
      <c r="D161" s="38"/>
      <c r="E161" s="53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3">
        <f t="shared" si="32"/>
        <v>0</v>
      </c>
    </row>
    <row r="162" spans="1:39" ht="12.75" customHeight="1" x14ac:dyDescent="0.3">
      <c r="A162" s="15"/>
      <c r="B162" s="36"/>
      <c r="C162" s="43"/>
      <c r="D162" s="38"/>
      <c r="E162" s="53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3">
        <f t="shared" si="32"/>
        <v>0</v>
      </c>
    </row>
    <row r="163" spans="1:39" ht="12.75" customHeight="1" x14ac:dyDescent="0.3">
      <c r="A163" s="16" t="s">
        <v>15</v>
      </c>
      <c r="B163" s="64" t="s">
        <v>49</v>
      </c>
      <c r="C163" s="56"/>
      <c r="D163" s="65"/>
      <c r="E163" s="13">
        <f t="shared" ref="E163:AM163" si="33">SUM(E153:E162)</f>
        <v>1</v>
      </c>
      <c r="F163" s="13">
        <f t="shared" si="33"/>
        <v>1</v>
      </c>
      <c r="G163" s="13">
        <f t="shared" si="33"/>
        <v>2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2</v>
      </c>
      <c r="M163" s="13">
        <f t="shared" si="33"/>
        <v>2</v>
      </c>
      <c r="N163" s="13">
        <f t="shared" si="33"/>
        <v>1</v>
      </c>
      <c r="O163" s="13">
        <f t="shared" si="33"/>
        <v>4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1</v>
      </c>
      <c r="W163" s="13">
        <f t="shared" si="33"/>
        <v>1</v>
      </c>
      <c r="X163" s="13">
        <f t="shared" si="33"/>
        <v>1</v>
      </c>
      <c r="Y163" s="13">
        <f t="shared" si="33"/>
        <v>0</v>
      </c>
      <c r="Z163" s="13">
        <f t="shared" si="33"/>
        <v>0</v>
      </c>
      <c r="AA163" s="13">
        <f t="shared" si="33"/>
        <v>0</v>
      </c>
      <c r="AB163" s="13">
        <f t="shared" si="33"/>
        <v>0</v>
      </c>
      <c r="AC163" s="13">
        <f t="shared" si="33"/>
        <v>0</v>
      </c>
      <c r="AD163" s="13">
        <f t="shared" si="33"/>
        <v>3</v>
      </c>
      <c r="AE163" s="13">
        <f t="shared" si="33"/>
        <v>1</v>
      </c>
      <c r="AF163" s="13">
        <f t="shared" si="33"/>
        <v>0</v>
      </c>
      <c r="AG163" s="13">
        <f t="shared" si="33"/>
        <v>2</v>
      </c>
      <c r="AH163" s="13">
        <f t="shared" si="33"/>
        <v>0</v>
      </c>
      <c r="AI163" s="13">
        <f t="shared" si="33"/>
        <v>0</v>
      </c>
      <c r="AJ163" s="13">
        <f t="shared" si="33"/>
        <v>0</v>
      </c>
      <c r="AK163" s="13">
        <f t="shared" si="33"/>
        <v>0</v>
      </c>
      <c r="AL163" s="13">
        <f t="shared" si="33"/>
        <v>1</v>
      </c>
      <c r="AM163" s="13">
        <f t="shared" si="33"/>
        <v>66</v>
      </c>
    </row>
    <row r="164" spans="1:39" ht="12.75" customHeight="1" x14ac:dyDescent="0.3">
      <c r="A164" s="61"/>
      <c r="B164" s="60"/>
      <c r="C164" s="60"/>
      <c r="D164" s="60"/>
      <c r="E164" s="58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</row>
    <row r="165" spans="1:39" ht="12.75" customHeight="1" x14ac:dyDescent="0.3">
      <c r="A165" s="20" t="s">
        <v>37</v>
      </c>
      <c r="B165" s="27" t="s">
        <v>127</v>
      </c>
      <c r="C165" s="57" t="s">
        <v>128</v>
      </c>
      <c r="D165" s="58"/>
      <c r="E165" s="16">
        <v>0</v>
      </c>
      <c r="F165" s="16">
        <v>0</v>
      </c>
      <c r="G165" s="16">
        <v>2</v>
      </c>
      <c r="H165" s="16">
        <v>1</v>
      </c>
      <c r="I165" s="16">
        <v>0</v>
      </c>
      <c r="J165" s="16">
        <v>0</v>
      </c>
      <c r="K165" s="16">
        <v>1</v>
      </c>
      <c r="L165" s="16">
        <v>0</v>
      </c>
      <c r="M165" s="16">
        <v>0</v>
      </c>
      <c r="N165" s="16">
        <v>2</v>
      </c>
      <c r="O165" s="16">
        <v>1</v>
      </c>
      <c r="P165" s="16">
        <v>0</v>
      </c>
      <c r="Q165" s="16">
        <v>0</v>
      </c>
      <c r="R165" s="16">
        <v>0</v>
      </c>
      <c r="S165" s="16">
        <v>2</v>
      </c>
      <c r="T165" s="16">
        <v>0</v>
      </c>
      <c r="U165" s="16">
        <v>1</v>
      </c>
      <c r="V165" s="16">
        <v>1</v>
      </c>
      <c r="W165" s="16">
        <v>1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  <c r="AK165" s="16">
        <v>0</v>
      </c>
      <c r="AL165" s="16">
        <v>0</v>
      </c>
      <c r="AM165" s="13">
        <f t="shared" ref="AM165:AM174" si="34">SUM(E165:AL165)</f>
        <v>12</v>
      </c>
    </row>
    <row r="166" spans="1:39" ht="12.75" customHeight="1" x14ac:dyDescent="0.3">
      <c r="A166" s="20" t="s">
        <v>39</v>
      </c>
      <c r="B166" s="28"/>
      <c r="C166" s="29" t="s">
        <v>129</v>
      </c>
      <c r="D166" s="30"/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1</v>
      </c>
      <c r="K166" s="16">
        <v>0</v>
      </c>
      <c r="L166" s="16">
        <v>0</v>
      </c>
      <c r="M166" s="16">
        <v>1</v>
      </c>
      <c r="N166" s="16">
        <v>0</v>
      </c>
      <c r="O166" s="16">
        <v>0</v>
      </c>
      <c r="P166" s="16">
        <v>0</v>
      </c>
      <c r="Q166" s="16">
        <v>1</v>
      </c>
      <c r="R166" s="16">
        <v>1</v>
      </c>
      <c r="S166" s="16">
        <v>2</v>
      </c>
      <c r="T166" s="16">
        <v>0</v>
      </c>
      <c r="U166" s="16">
        <v>0</v>
      </c>
      <c r="V166" s="16">
        <v>0</v>
      </c>
      <c r="W166" s="16">
        <v>1</v>
      </c>
      <c r="X166" s="16">
        <v>2</v>
      </c>
      <c r="Y166" s="16">
        <v>1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1</v>
      </c>
      <c r="AJ166" s="16">
        <v>0</v>
      </c>
      <c r="AK166" s="16">
        <v>1</v>
      </c>
      <c r="AL166" s="16">
        <v>0</v>
      </c>
      <c r="AM166" s="13">
        <f t="shared" si="34"/>
        <v>12</v>
      </c>
    </row>
    <row r="167" spans="1:39" ht="12.75" customHeight="1" x14ac:dyDescent="0.3">
      <c r="A167" s="15"/>
      <c r="B167" s="36"/>
      <c r="C167" s="37"/>
      <c r="D167" s="38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3">
        <f t="shared" si="34"/>
        <v>0</v>
      </c>
    </row>
    <row r="168" spans="1:39" ht="12.75" customHeight="1" x14ac:dyDescent="0.3">
      <c r="A168" s="15"/>
      <c r="B168" s="36"/>
      <c r="C168" s="37"/>
      <c r="D168" s="38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3">
        <f t="shared" si="34"/>
        <v>0</v>
      </c>
    </row>
    <row r="169" spans="1:39" ht="12.75" customHeight="1" x14ac:dyDescent="0.3">
      <c r="A169" s="15"/>
      <c r="B169" s="36"/>
      <c r="C169" s="37"/>
      <c r="D169" s="38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3">
        <f t="shared" si="34"/>
        <v>0</v>
      </c>
    </row>
    <row r="170" spans="1:39" ht="12.75" customHeight="1" x14ac:dyDescent="0.3">
      <c r="A170" s="15"/>
      <c r="B170" s="36"/>
      <c r="C170" s="37"/>
      <c r="D170" s="38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3">
        <f t="shared" si="34"/>
        <v>0</v>
      </c>
    </row>
    <row r="171" spans="1:39" ht="12.75" customHeight="1" x14ac:dyDescent="0.3">
      <c r="A171" s="15"/>
      <c r="B171" s="36"/>
      <c r="C171" s="37"/>
      <c r="D171" s="38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3">
        <f t="shared" si="34"/>
        <v>0</v>
      </c>
    </row>
    <row r="172" spans="1:39" ht="12.75" customHeight="1" x14ac:dyDescent="0.3">
      <c r="A172" s="15"/>
      <c r="B172" s="36"/>
      <c r="C172" s="37"/>
      <c r="D172" s="38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3">
        <f t="shared" si="34"/>
        <v>0</v>
      </c>
    </row>
    <row r="173" spans="1:39" ht="12.75" customHeight="1" x14ac:dyDescent="0.3">
      <c r="A173" s="15"/>
      <c r="B173" s="36"/>
      <c r="C173" s="37"/>
      <c r="D173" s="38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3">
        <f t="shared" si="34"/>
        <v>0</v>
      </c>
    </row>
    <row r="174" spans="1:39" ht="12.75" customHeight="1" x14ac:dyDescent="0.3">
      <c r="A174" s="15"/>
      <c r="B174" s="36"/>
      <c r="C174" s="37"/>
      <c r="D174" s="38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3">
        <f t="shared" si="34"/>
        <v>0</v>
      </c>
    </row>
    <row r="175" spans="1:39" ht="12.75" customHeight="1" x14ac:dyDescent="0.3">
      <c r="A175" s="16" t="s">
        <v>15</v>
      </c>
      <c r="B175" s="59" t="s">
        <v>49</v>
      </c>
      <c r="C175" s="60"/>
      <c r="D175" s="58"/>
      <c r="E175" s="13">
        <f t="shared" ref="E175:AM175" si="35">SUM(E165:E174)</f>
        <v>0</v>
      </c>
      <c r="F175" s="13">
        <f t="shared" si="35"/>
        <v>0</v>
      </c>
      <c r="G175" s="13">
        <f t="shared" si="35"/>
        <v>2</v>
      </c>
      <c r="H175" s="13">
        <f t="shared" si="35"/>
        <v>1</v>
      </c>
      <c r="I175" s="13">
        <f t="shared" si="35"/>
        <v>0</v>
      </c>
      <c r="J175" s="13">
        <f t="shared" si="35"/>
        <v>1</v>
      </c>
      <c r="K175" s="13">
        <f t="shared" si="35"/>
        <v>1</v>
      </c>
      <c r="L175" s="13">
        <f t="shared" si="35"/>
        <v>0</v>
      </c>
      <c r="M175" s="13">
        <f t="shared" si="35"/>
        <v>1</v>
      </c>
      <c r="N175" s="13">
        <f t="shared" si="35"/>
        <v>2</v>
      </c>
      <c r="O175" s="13">
        <f t="shared" si="35"/>
        <v>1</v>
      </c>
      <c r="P175" s="13">
        <f t="shared" si="35"/>
        <v>0</v>
      </c>
      <c r="Q175" s="13">
        <f t="shared" si="35"/>
        <v>1</v>
      </c>
      <c r="R175" s="13">
        <f t="shared" si="35"/>
        <v>1</v>
      </c>
      <c r="S175" s="13">
        <f t="shared" si="35"/>
        <v>4</v>
      </c>
      <c r="T175" s="13">
        <f t="shared" si="35"/>
        <v>0</v>
      </c>
      <c r="U175" s="13">
        <f t="shared" si="35"/>
        <v>1</v>
      </c>
      <c r="V175" s="13">
        <f t="shared" si="35"/>
        <v>1</v>
      </c>
      <c r="W175" s="13">
        <f t="shared" si="35"/>
        <v>2</v>
      </c>
      <c r="X175" s="13">
        <f t="shared" si="35"/>
        <v>2</v>
      </c>
      <c r="Y175" s="13">
        <f t="shared" si="35"/>
        <v>1</v>
      </c>
      <c r="Z175" s="13">
        <f t="shared" si="35"/>
        <v>0</v>
      </c>
      <c r="AA175" s="13">
        <f t="shared" si="35"/>
        <v>0</v>
      </c>
      <c r="AB175" s="13">
        <f t="shared" si="35"/>
        <v>0</v>
      </c>
      <c r="AC175" s="13">
        <f t="shared" si="35"/>
        <v>0</v>
      </c>
      <c r="AD175" s="13">
        <f t="shared" si="35"/>
        <v>0</v>
      </c>
      <c r="AE175" s="13">
        <f t="shared" si="35"/>
        <v>0</v>
      </c>
      <c r="AF175" s="13">
        <f t="shared" si="35"/>
        <v>0</v>
      </c>
      <c r="AG175" s="13">
        <f t="shared" si="35"/>
        <v>0</v>
      </c>
      <c r="AH175" s="13">
        <f t="shared" si="35"/>
        <v>0</v>
      </c>
      <c r="AI175" s="13">
        <f t="shared" si="35"/>
        <v>1</v>
      </c>
      <c r="AJ175" s="13">
        <f t="shared" si="35"/>
        <v>0</v>
      </c>
      <c r="AK175" s="13">
        <f t="shared" si="35"/>
        <v>1</v>
      </c>
      <c r="AL175" s="13">
        <f t="shared" si="35"/>
        <v>0</v>
      </c>
      <c r="AM175" s="13">
        <f t="shared" si="35"/>
        <v>24</v>
      </c>
    </row>
    <row r="176" spans="1:39" ht="12.75" customHeight="1" x14ac:dyDescent="0.3">
      <c r="A176" s="61"/>
      <c r="B176" s="60"/>
      <c r="C176" s="60"/>
      <c r="D176" s="60"/>
      <c r="E176" s="58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</row>
    <row r="177" spans="1:39" ht="12.75" customHeight="1" x14ac:dyDescent="0.3">
      <c r="A177" s="20" t="s">
        <v>37</v>
      </c>
      <c r="B177" s="27" t="s">
        <v>130</v>
      </c>
      <c r="C177" s="57" t="s">
        <v>131</v>
      </c>
      <c r="D177" s="58"/>
      <c r="E177" s="16">
        <v>0</v>
      </c>
      <c r="F177" s="16">
        <v>2</v>
      </c>
      <c r="G177" s="16">
        <v>2</v>
      </c>
      <c r="H177" s="16">
        <v>0</v>
      </c>
      <c r="I177" s="16">
        <v>0</v>
      </c>
      <c r="J177" s="16">
        <v>0</v>
      </c>
      <c r="K177" s="16">
        <v>1</v>
      </c>
      <c r="L177" s="16">
        <v>1</v>
      </c>
      <c r="M177" s="16">
        <v>6</v>
      </c>
      <c r="N177" s="16">
        <v>0</v>
      </c>
      <c r="O177" s="16">
        <v>0</v>
      </c>
      <c r="P177" s="16">
        <v>0</v>
      </c>
      <c r="Q177" s="16">
        <v>0</v>
      </c>
      <c r="R177" s="16">
        <v>1</v>
      </c>
      <c r="S177" s="16">
        <v>6</v>
      </c>
      <c r="T177" s="16">
        <v>3</v>
      </c>
      <c r="U177" s="16">
        <v>1</v>
      </c>
      <c r="V177" s="16">
        <v>1</v>
      </c>
      <c r="W177" s="16">
        <v>4</v>
      </c>
      <c r="X177" s="16">
        <v>2</v>
      </c>
      <c r="Y177" s="16">
        <v>1</v>
      </c>
      <c r="Z177" s="16">
        <v>0</v>
      </c>
      <c r="AA177" s="16">
        <v>0</v>
      </c>
      <c r="AB177" s="16">
        <v>0</v>
      </c>
      <c r="AC177" s="16">
        <v>1</v>
      </c>
      <c r="AD177" s="16">
        <v>0</v>
      </c>
      <c r="AE177" s="16">
        <v>1</v>
      </c>
      <c r="AF177" s="16">
        <v>1</v>
      </c>
      <c r="AG177" s="16">
        <v>1</v>
      </c>
      <c r="AH177" s="16">
        <v>2</v>
      </c>
      <c r="AI177" s="16">
        <v>1</v>
      </c>
      <c r="AJ177" s="16">
        <v>0</v>
      </c>
      <c r="AK177" s="16">
        <v>0</v>
      </c>
      <c r="AL177" s="16">
        <v>1</v>
      </c>
      <c r="AM177" s="13">
        <f t="shared" ref="AM177:AM186" si="36">SUM(E177:AL177)</f>
        <v>39</v>
      </c>
    </row>
    <row r="178" spans="1:39" ht="12.75" customHeight="1" x14ac:dyDescent="0.3">
      <c r="A178" s="20" t="s">
        <v>39</v>
      </c>
      <c r="B178" s="28"/>
      <c r="C178" s="29" t="s">
        <v>132</v>
      </c>
      <c r="D178" s="30"/>
      <c r="E178" s="16">
        <v>1</v>
      </c>
      <c r="F178" s="16">
        <v>0</v>
      </c>
      <c r="G178" s="16">
        <v>0</v>
      </c>
      <c r="H178" s="16">
        <v>1</v>
      </c>
      <c r="I178" s="16">
        <v>0</v>
      </c>
      <c r="J178" s="16">
        <v>0</v>
      </c>
      <c r="K178" s="16">
        <v>0</v>
      </c>
      <c r="L178" s="16">
        <v>4</v>
      </c>
      <c r="M178" s="16">
        <v>1</v>
      </c>
      <c r="N178" s="16">
        <v>1</v>
      </c>
      <c r="O178" s="16">
        <v>0</v>
      </c>
      <c r="P178" s="16">
        <v>0</v>
      </c>
      <c r="Q178" s="16">
        <v>0</v>
      </c>
      <c r="R178" s="16">
        <v>0</v>
      </c>
      <c r="S178" s="16">
        <v>4</v>
      </c>
      <c r="T178" s="16">
        <v>3</v>
      </c>
      <c r="U178" s="16">
        <v>0</v>
      </c>
      <c r="V178" s="16">
        <v>0</v>
      </c>
      <c r="W178" s="16">
        <v>0</v>
      </c>
      <c r="X178" s="16">
        <v>2</v>
      </c>
      <c r="Y178" s="16">
        <v>0</v>
      </c>
      <c r="Z178" s="16">
        <v>0</v>
      </c>
      <c r="AA178" s="16">
        <v>2</v>
      </c>
      <c r="AB178" s="16">
        <v>0</v>
      </c>
      <c r="AC178" s="16">
        <v>1</v>
      </c>
      <c r="AD178" s="16">
        <v>0</v>
      </c>
      <c r="AE178" s="16">
        <v>0</v>
      </c>
      <c r="AF178" s="16">
        <v>0</v>
      </c>
      <c r="AG178" s="16">
        <v>2</v>
      </c>
      <c r="AH178" s="16">
        <v>0</v>
      </c>
      <c r="AI178" s="16">
        <v>1</v>
      </c>
      <c r="AJ178" s="16">
        <v>1</v>
      </c>
      <c r="AK178" s="16">
        <v>0</v>
      </c>
      <c r="AL178" s="16">
        <v>0</v>
      </c>
      <c r="AM178" s="13">
        <f t="shared" si="36"/>
        <v>24</v>
      </c>
    </row>
    <row r="179" spans="1:39" ht="12.75" customHeight="1" x14ac:dyDescent="0.3">
      <c r="A179" s="15"/>
      <c r="B179" s="28"/>
      <c r="C179" s="29" t="s">
        <v>133</v>
      </c>
      <c r="D179" s="30"/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1</v>
      </c>
      <c r="N179" s="16">
        <v>1</v>
      </c>
      <c r="O179" s="16">
        <v>0</v>
      </c>
      <c r="P179" s="16">
        <v>1</v>
      </c>
      <c r="Q179" s="16">
        <v>0</v>
      </c>
      <c r="R179" s="16">
        <v>1</v>
      </c>
      <c r="S179" s="16">
        <v>1</v>
      </c>
      <c r="T179" s="16">
        <v>0</v>
      </c>
      <c r="U179" s="16">
        <v>0</v>
      </c>
      <c r="V179" s="16">
        <v>0</v>
      </c>
      <c r="W179" s="16">
        <v>1</v>
      </c>
      <c r="X179" s="16">
        <v>1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1</v>
      </c>
      <c r="AF179" s="16">
        <v>0</v>
      </c>
      <c r="AG179" s="16">
        <v>0</v>
      </c>
      <c r="AH179" s="16">
        <v>1</v>
      </c>
      <c r="AI179" s="16">
        <v>0</v>
      </c>
      <c r="AJ179" s="16">
        <v>1</v>
      </c>
      <c r="AK179" s="16">
        <v>0</v>
      </c>
      <c r="AL179" s="16">
        <v>0</v>
      </c>
      <c r="AM179" s="13">
        <f t="shared" si="36"/>
        <v>10</v>
      </c>
    </row>
    <row r="180" spans="1:39" ht="12.75" customHeight="1" x14ac:dyDescent="0.3">
      <c r="A180" s="15"/>
      <c r="B180" s="28"/>
      <c r="C180" s="29" t="s">
        <v>134</v>
      </c>
      <c r="D180" s="30"/>
      <c r="E180" s="16">
        <v>1</v>
      </c>
      <c r="F180" s="16">
        <v>5</v>
      </c>
      <c r="G180" s="16">
        <v>1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1</v>
      </c>
      <c r="N180" s="16">
        <v>0</v>
      </c>
      <c r="O180" s="16">
        <v>1</v>
      </c>
      <c r="P180" s="16">
        <v>0</v>
      </c>
      <c r="Q180" s="16">
        <v>0</v>
      </c>
      <c r="R180" s="16">
        <v>0</v>
      </c>
      <c r="S180" s="16">
        <v>2</v>
      </c>
      <c r="T180" s="16">
        <v>1</v>
      </c>
      <c r="U180" s="16">
        <v>0</v>
      </c>
      <c r="V180" s="16">
        <v>0</v>
      </c>
      <c r="W180" s="16">
        <v>0</v>
      </c>
      <c r="X180" s="16">
        <v>2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1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  <c r="AK180" s="16">
        <v>1</v>
      </c>
      <c r="AL180" s="16">
        <v>0</v>
      </c>
      <c r="AM180" s="13">
        <f t="shared" si="36"/>
        <v>16</v>
      </c>
    </row>
    <row r="181" spans="1:39" ht="12.75" customHeight="1" x14ac:dyDescent="0.3">
      <c r="A181" s="15"/>
      <c r="B181" s="28"/>
      <c r="C181" s="29" t="s">
        <v>135</v>
      </c>
      <c r="D181" s="30"/>
      <c r="E181" s="16">
        <v>0</v>
      </c>
      <c r="F181" s="16">
        <v>0</v>
      </c>
      <c r="G181" s="16">
        <v>0</v>
      </c>
      <c r="H181" s="16">
        <v>1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1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1</v>
      </c>
      <c r="AC181" s="16">
        <v>1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1</v>
      </c>
      <c r="AJ181" s="16">
        <v>0</v>
      </c>
      <c r="AK181" s="16">
        <v>0</v>
      </c>
      <c r="AL181" s="16">
        <v>0</v>
      </c>
      <c r="AM181" s="13">
        <f t="shared" si="36"/>
        <v>5</v>
      </c>
    </row>
    <row r="182" spans="1:39" ht="12.75" customHeight="1" x14ac:dyDescent="0.3">
      <c r="A182" s="15"/>
      <c r="B182" s="28"/>
      <c r="C182" s="29" t="s">
        <v>136</v>
      </c>
      <c r="D182" s="30"/>
      <c r="E182" s="16">
        <v>0</v>
      </c>
      <c r="F182" s="16">
        <v>0</v>
      </c>
      <c r="G182" s="16">
        <v>0</v>
      </c>
      <c r="H182" s="16">
        <v>1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1</v>
      </c>
      <c r="S182" s="16">
        <v>2</v>
      </c>
      <c r="T182" s="16">
        <v>0</v>
      </c>
      <c r="U182" s="16">
        <v>1</v>
      </c>
      <c r="V182" s="16">
        <v>0</v>
      </c>
      <c r="W182" s="16">
        <v>0</v>
      </c>
      <c r="X182" s="16">
        <v>1</v>
      </c>
      <c r="Y182" s="16">
        <v>0</v>
      </c>
      <c r="Z182" s="16">
        <v>0</v>
      </c>
      <c r="AA182" s="16">
        <v>1</v>
      </c>
      <c r="AB182" s="16">
        <v>0</v>
      </c>
      <c r="AC182" s="16">
        <v>2</v>
      </c>
      <c r="AD182" s="16">
        <v>0</v>
      </c>
      <c r="AE182" s="16">
        <v>0</v>
      </c>
      <c r="AF182" s="16">
        <v>1</v>
      </c>
      <c r="AG182" s="16">
        <v>0</v>
      </c>
      <c r="AH182" s="16">
        <v>1</v>
      </c>
      <c r="AI182" s="16">
        <v>0</v>
      </c>
      <c r="AJ182" s="16">
        <v>0</v>
      </c>
      <c r="AK182" s="16">
        <v>1</v>
      </c>
      <c r="AL182" s="16">
        <v>0</v>
      </c>
      <c r="AM182" s="13">
        <f t="shared" si="36"/>
        <v>12</v>
      </c>
    </row>
    <row r="183" spans="1:39" ht="12.75" customHeight="1" x14ac:dyDescent="0.3">
      <c r="A183" s="15"/>
      <c r="B183" s="28"/>
      <c r="C183" s="29" t="s">
        <v>137</v>
      </c>
      <c r="D183" s="30"/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1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1</v>
      </c>
      <c r="AF183" s="16">
        <v>1</v>
      </c>
      <c r="AG183" s="16">
        <v>0</v>
      </c>
      <c r="AH183" s="16">
        <v>0</v>
      </c>
      <c r="AI183" s="16">
        <v>0</v>
      </c>
      <c r="AJ183" s="16">
        <v>0</v>
      </c>
      <c r="AK183" s="16">
        <v>0</v>
      </c>
      <c r="AL183" s="16">
        <v>0</v>
      </c>
      <c r="AM183" s="13">
        <f t="shared" si="36"/>
        <v>6</v>
      </c>
    </row>
    <row r="184" spans="1:39" ht="12.75" customHeight="1" x14ac:dyDescent="0.3">
      <c r="A184" s="15"/>
      <c r="B184" s="28"/>
      <c r="C184" s="29" t="s">
        <v>138</v>
      </c>
      <c r="D184" s="30"/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1</v>
      </c>
      <c r="P184" s="16">
        <v>0</v>
      </c>
      <c r="Q184" s="16">
        <v>0</v>
      </c>
      <c r="R184" s="16">
        <v>1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1</v>
      </c>
      <c r="AJ184" s="16">
        <v>0</v>
      </c>
      <c r="AK184" s="16">
        <v>0</v>
      </c>
      <c r="AL184" s="16">
        <v>0</v>
      </c>
      <c r="AM184" s="13">
        <f t="shared" si="36"/>
        <v>3</v>
      </c>
    </row>
    <row r="185" spans="1:39" ht="12.75" customHeight="1" x14ac:dyDescent="0.3">
      <c r="A185" s="15"/>
      <c r="B185" s="28"/>
      <c r="C185" s="29" t="s">
        <v>139</v>
      </c>
      <c r="D185" s="30"/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1</v>
      </c>
      <c r="N185" s="16">
        <v>1</v>
      </c>
      <c r="O185" s="16">
        <v>0</v>
      </c>
      <c r="P185" s="16">
        <v>1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1</v>
      </c>
      <c r="X185" s="16">
        <v>1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  <c r="AK185" s="16">
        <v>0</v>
      </c>
      <c r="AL185" s="16">
        <v>0</v>
      </c>
      <c r="AM185" s="13">
        <f t="shared" si="36"/>
        <v>5</v>
      </c>
    </row>
    <row r="186" spans="1:39" ht="12.75" customHeight="1" x14ac:dyDescent="0.3">
      <c r="A186" s="15"/>
      <c r="B186" s="28"/>
      <c r="C186" s="29" t="s">
        <v>140</v>
      </c>
      <c r="D186" s="30"/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1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1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1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  <c r="AK186" s="16">
        <v>0</v>
      </c>
      <c r="AL186" s="16">
        <v>0</v>
      </c>
      <c r="AM186" s="13">
        <f t="shared" si="36"/>
        <v>3</v>
      </c>
    </row>
    <row r="187" spans="1:39" ht="12.75" customHeight="1" x14ac:dyDescent="0.3">
      <c r="A187" s="16" t="s">
        <v>15</v>
      </c>
      <c r="B187" s="59" t="s">
        <v>49</v>
      </c>
      <c r="C187" s="60"/>
      <c r="D187" s="58"/>
      <c r="E187" s="13">
        <f t="shared" ref="E187:AM187" si="37">SUM(E177:E186)</f>
        <v>2</v>
      </c>
      <c r="F187" s="13">
        <f t="shared" si="37"/>
        <v>7</v>
      </c>
      <c r="G187" s="13">
        <f t="shared" si="37"/>
        <v>3</v>
      </c>
      <c r="H187" s="13">
        <f t="shared" si="37"/>
        <v>3</v>
      </c>
      <c r="I187" s="13">
        <f t="shared" si="37"/>
        <v>0</v>
      </c>
      <c r="J187" s="13">
        <f t="shared" si="37"/>
        <v>0</v>
      </c>
      <c r="K187" s="13">
        <f t="shared" si="37"/>
        <v>1</v>
      </c>
      <c r="L187" s="13">
        <f t="shared" si="37"/>
        <v>5</v>
      </c>
      <c r="M187" s="13">
        <f t="shared" si="37"/>
        <v>12</v>
      </c>
      <c r="N187" s="13">
        <f t="shared" si="37"/>
        <v>3</v>
      </c>
      <c r="O187" s="13">
        <f t="shared" si="37"/>
        <v>2</v>
      </c>
      <c r="P187" s="13">
        <f t="shared" si="37"/>
        <v>2</v>
      </c>
      <c r="Q187" s="13">
        <f t="shared" si="37"/>
        <v>0</v>
      </c>
      <c r="R187" s="13">
        <f t="shared" si="37"/>
        <v>5</v>
      </c>
      <c r="S187" s="13">
        <f t="shared" si="37"/>
        <v>19</v>
      </c>
      <c r="T187" s="13">
        <f t="shared" si="37"/>
        <v>7</v>
      </c>
      <c r="U187" s="13">
        <f t="shared" si="37"/>
        <v>2</v>
      </c>
      <c r="V187" s="13">
        <f t="shared" si="37"/>
        <v>1</v>
      </c>
      <c r="W187" s="13">
        <f t="shared" si="37"/>
        <v>6</v>
      </c>
      <c r="X187" s="13">
        <f t="shared" si="37"/>
        <v>9</v>
      </c>
      <c r="Y187" s="13">
        <f t="shared" si="37"/>
        <v>2</v>
      </c>
      <c r="Z187" s="13">
        <f t="shared" si="37"/>
        <v>0</v>
      </c>
      <c r="AA187" s="13">
        <f t="shared" si="37"/>
        <v>3</v>
      </c>
      <c r="AB187" s="13">
        <f t="shared" si="37"/>
        <v>1</v>
      </c>
      <c r="AC187" s="13">
        <f t="shared" si="37"/>
        <v>5</v>
      </c>
      <c r="AD187" s="13">
        <f t="shared" si="37"/>
        <v>0</v>
      </c>
      <c r="AE187" s="13">
        <f t="shared" si="37"/>
        <v>4</v>
      </c>
      <c r="AF187" s="13">
        <f t="shared" si="37"/>
        <v>3</v>
      </c>
      <c r="AG187" s="13">
        <f t="shared" si="37"/>
        <v>3</v>
      </c>
      <c r="AH187" s="13">
        <f t="shared" si="37"/>
        <v>4</v>
      </c>
      <c r="AI187" s="13">
        <f t="shared" si="37"/>
        <v>4</v>
      </c>
      <c r="AJ187" s="13">
        <f t="shared" si="37"/>
        <v>2</v>
      </c>
      <c r="AK187" s="13">
        <f t="shared" si="37"/>
        <v>2</v>
      </c>
      <c r="AL187" s="13">
        <f t="shared" si="37"/>
        <v>1</v>
      </c>
      <c r="AM187" s="13">
        <f t="shared" si="37"/>
        <v>123</v>
      </c>
    </row>
    <row r="188" spans="1:39" ht="12.75" customHeight="1" x14ac:dyDescent="0.3">
      <c r="A188" s="61"/>
      <c r="B188" s="60"/>
      <c r="C188" s="60"/>
      <c r="D188" s="60"/>
      <c r="E188" s="58"/>
      <c r="F188" s="51"/>
      <c r="G188" s="51"/>
      <c r="H188" s="51"/>
      <c r="I188" s="51"/>
      <c r="J188" s="51"/>
      <c r="K188" s="51"/>
      <c r="L188" s="51"/>
      <c r="M188" s="51"/>
      <c r="N188" s="51"/>
      <c r="S188" s="51"/>
      <c r="T188" s="51"/>
      <c r="U188" s="51"/>
      <c r="V188" s="51"/>
      <c r="W188" s="51"/>
      <c r="X188" s="51"/>
      <c r="Y188" s="51"/>
      <c r="Z188" s="51"/>
      <c r="AA188" s="51"/>
      <c r="AF188" s="51"/>
      <c r="AG188" s="51"/>
      <c r="AM188" s="13"/>
    </row>
    <row r="189" spans="1:39" ht="12.75" customHeight="1" x14ac:dyDescent="0.3">
      <c r="A189" s="20" t="s">
        <v>37</v>
      </c>
      <c r="B189" s="27" t="s">
        <v>141</v>
      </c>
      <c r="C189" s="57" t="s">
        <v>142</v>
      </c>
      <c r="D189" s="58"/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1</v>
      </c>
      <c r="S189" s="16">
        <v>0</v>
      </c>
      <c r="T189" s="16">
        <v>0</v>
      </c>
      <c r="U189" s="16">
        <v>1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1</v>
      </c>
      <c r="AH189" s="16">
        <v>0</v>
      </c>
      <c r="AI189" s="16">
        <v>0</v>
      </c>
      <c r="AJ189" s="16">
        <v>0</v>
      </c>
      <c r="AK189" s="16">
        <v>0</v>
      </c>
      <c r="AL189" s="16">
        <v>0</v>
      </c>
      <c r="AM189" s="13">
        <f t="shared" ref="AM189:AM198" si="38">SUM(E189:AL189)</f>
        <v>3</v>
      </c>
    </row>
    <row r="190" spans="1:39" ht="12.75" customHeight="1" x14ac:dyDescent="0.3">
      <c r="A190" s="20" t="s">
        <v>39</v>
      </c>
      <c r="B190" s="28"/>
      <c r="C190" s="29" t="s">
        <v>143</v>
      </c>
      <c r="D190" s="30"/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1</v>
      </c>
      <c r="S190" s="16">
        <v>2</v>
      </c>
      <c r="T190" s="16">
        <v>0</v>
      </c>
      <c r="U190" s="16">
        <v>1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  <c r="AK190" s="16">
        <v>0</v>
      </c>
      <c r="AL190" s="16">
        <v>0</v>
      </c>
      <c r="AM190" s="13">
        <f t="shared" si="38"/>
        <v>4</v>
      </c>
    </row>
    <row r="191" spans="1:39" ht="12.75" customHeight="1" x14ac:dyDescent="0.3">
      <c r="A191" s="15"/>
      <c r="B191" s="28"/>
      <c r="C191" s="29" t="s">
        <v>144</v>
      </c>
      <c r="D191" s="30"/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1</v>
      </c>
      <c r="P191" s="16">
        <v>0</v>
      </c>
      <c r="Q191" s="16">
        <v>0</v>
      </c>
      <c r="R191" s="16">
        <v>1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  <c r="AK191" s="16">
        <v>0</v>
      </c>
      <c r="AL191" s="16">
        <v>0</v>
      </c>
      <c r="AM191" s="13">
        <f t="shared" si="38"/>
        <v>2</v>
      </c>
    </row>
    <row r="192" spans="1:39" ht="12.75" customHeight="1" x14ac:dyDescent="0.3">
      <c r="A192" s="15"/>
      <c r="B192" s="28"/>
      <c r="C192" s="29" t="s">
        <v>145</v>
      </c>
      <c r="D192" s="30"/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1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  <c r="AK192" s="16">
        <v>0</v>
      </c>
      <c r="AL192" s="16">
        <v>0</v>
      </c>
      <c r="AM192" s="13">
        <f t="shared" si="38"/>
        <v>1</v>
      </c>
    </row>
    <row r="193" spans="1:39" ht="12.75" customHeight="1" x14ac:dyDescent="0.3">
      <c r="A193" s="15"/>
      <c r="B193" s="28"/>
      <c r="C193" s="29" t="s">
        <v>146</v>
      </c>
      <c r="D193" s="30"/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  <c r="AK193" s="16">
        <v>0</v>
      </c>
      <c r="AL193" s="16">
        <v>0</v>
      </c>
      <c r="AM193" s="13">
        <f t="shared" si="38"/>
        <v>0</v>
      </c>
    </row>
    <row r="194" spans="1:39" ht="12.75" customHeight="1" x14ac:dyDescent="0.3">
      <c r="A194" s="15"/>
      <c r="B194" s="28"/>
      <c r="C194" s="29" t="s">
        <v>147</v>
      </c>
      <c r="D194" s="30"/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  <c r="AK194" s="16">
        <v>0</v>
      </c>
      <c r="AL194" s="16">
        <v>0</v>
      </c>
      <c r="AM194" s="13">
        <f t="shared" si="38"/>
        <v>0</v>
      </c>
    </row>
    <row r="195" spans="1:39" ht="12.75" customHeight="1" x14ac:dyDescent="0.3">
      <c r="A195" s="15"/>
      <c r="B195" s="28"/>
      <c r="C195" s="29" t="s">
        <v>148</v>
      </c>
      <c r="D195" s="30"/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1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  <c r="AK195" s="16">
        <v>0</v>
      </c>
      <c r="AL195" s="16">
        <v>0</v>
      </c>
      <c r="AM195" s="13">
        <f t="shared" si="38"/>
        <v>1</v>
      </c>
    </row>
    <row r="196" spans="1:39" ht="12.75" customHeight="1" x14ac:dyDescent="0.3">
      <c r="A196" s="15"/>
      <c r="B196" s="28"/>
      <c r="C196" s="29" t="s">
        <v>149</v>
      </c>
      <c r="D196" s="30"/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1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  <c r="AK196" s="16">
        <v>0</v>
      </c>
      <c r="AL196" s="16">
        <v>0</v>
      </c>
      <c r="AM196" s="13">
        <f t="shared" si="38"/>
        <v>1</v>
      </c>
    </row>
    <row r="197" spans="1:39" ht="12.75" customHeight="1" x14ac:dyDescent="0.3">
      <c r="A197" s="15"/>
      <c r="B197" s="28"/>
      <c r="C197" s="29" t="s">
        <v>150</v>
      </c>
      <c r="D197" s="30"/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1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  <c r="AK197" s="16">
        <v>0</v>
      </c>
      <c r="AL197" s="16">
        <v>0</v>
      </c>
      <c r="AM197" s="13">
        <f t="shared" si="38"/>
        <v>1</v>
      </c>
    </row>
    <row r="198" spans="1:39" ht="12.75" customHeight="1" x14ac:dyDescent="0.3">
      <c r="A198" s="15"/>
      <c r="B198" s="28"/>
      <c r="C198" s="29" t="s">
        <v>151</v>
      </c>
      <c r="D198" s="30"/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1</v>
      </c>
      <c r="S198" s="16">
        <v>0</v>
      </c>
      <c r="T198" s="16">
        <v>0</v>
      </c>
      <c r="U198" s="16">
        <v>1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  <c r="AI198" s="16">
        <v>0</v>
      </c>
      <c r="AJ198" s="16">
        <v>0</v>
      </c>
      <c r="AK198" s="16">
        <v>0</v>
      </c>
      <c r="AL198" s="16">
        <v>0</v>
      </c>
      <c r="AM198" s="13">
        <f t="shared" si="38"/>
        <v>2</v>
      </c>
    </row>
    <row r="199" spans="1:39" ht="12.75" customHeight="1" x14ac:dyDescent="0.3">
      <c r="A199" s="16" t="s">
        <v>15</v>
      </c>
      <c r="B199" s="59" t="s">
        <v>49</v>
      </c>
      <c r="C199" s="60"/>
      <c r="D199" s="58"/>
      <c r="E199" s="13">
        <f t="shared" ref="E199:AM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2</v>
      </c>
      <c r="M199" s="13">
        <f t="shared" si="39"/>
        <v>0</v>
      </c>
      <c r="N199" s="13">
        <f t="shared" si="39"/>
        <v>0</v>
      </c>
      <c r="O199" s="13">
        <f t="shared" si="39"/>
        <v>1</v>
      </c>
      <c r="P199" s="13">
        <f t="shared" si="39"/>
        <v>0</v>
      </c>
      <c r="Q199" s="13">
        <f t="shared" si="39"/>
        <v>0</v>
      </c>
      <c r="R199" s="13">
        <f t="shared" si="39"/>
        <v>4</v>
      </c>
      <c r="S199" s="13">
        <f t="shared" si="39"/>
        <v>3</v>
      </c>
      <c r="T199" s="13">
        <f t="shared" si="39"/>
        <v>0</v>
      </c>
      <c r="U199" s="13">
        <f t="shared" si="39"/>
        <v>3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1</v>
      </c>
      <c r="AB199" s="13">
        <f t="shared" si="39"/>
        <v>0</v>
      </c>
      <c r="AC199" s="13">
        <f t="shared" si="39"/>
        <v>0</v>
      </c>
      <c r="AD199" s="13">
        <f t="shared" si="39"/>
        <v>0</v>
      </c>
      <c r="AE199" s="13">
        <f t="shared" si="39"/>
        <v>0</v>
      </c>
      <c r="AF199" s="13">
        <f t="shared" si="39"/>
        <v>0</v>
      </c>
      <c r="AG199" s="13">
        <f t="shared" si="39"/>
        <v>1</v>
      </c>
      <c r="AH199" s="13">
        <f t="shared" si="39"/>
        <v>0</v>
      </c>
      <c r="AI199" s="13">
        <f t="shared" si="39"/>
        <v>0</v>
      </c>
      <c r="AJ199" s="13">
        <f t="shared" si="39"/>
        <v>0</v>
      </c>
      <c r="AK199" s="13">
        <f t="shared" si="39"/>
        <v>0</v>
      </c>
      <c r="AL199" s="13">
        <f t="shared" si="39"/>
        <v>0</v>
      </c>
      <c r="AM199" s="13">
        <f t="shared" si="39"/>
        <v>15</v>
      </c>
    </row>
    <row r="200" spans="1:39" ht="12.75" customHeight="1" x14ac:dyDescent="0.3">
      <c r="A200" s="61"/>
      <c r="B200" s="60"/>
      <c r="C200" s="60"/>
      <c r="D200" s="60"/>
      <c r="E200" s="58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</row>
    <row r="201" spans="1:39" ht="12.75" customHeight="1" x14ac:dyDescent="0.3">
      <c r="A201" s="20" t="s">
        <v>37</v>
      </c>
      <c r="B201" s="27" t="s">
        <v>152</v>
      </c>
      <c r="C201" s="57" t="s">
        <v>153</v>
      </c>
      <c r="D201" s="58"/>
      <c r="E201" s="16">
        <v>4</v>
      </c>
      <c r="F201" s="16">
        <v>4</v>
      </c>
      <c r="G201" s="16">
        <v>7</v>
      </c>
      <c r="H201" s="16">
        <v>4</v>
      </c>
      <c r="I201" s="16">
        <v>5</v>
      </c>
      <c r="J201" s="16">
        <v>2</v>
      </c>
      <c r="K201" s="16">
        <v>11</v>
      </c>
      <c r="L201" s="16">
        <v>6</v>
      </c>
      <c r="M201" s="16">
        <v>13</v>
      </c>
      <c r="N201" s="16">
        <v>12</v>
      </c>
      <c r="O201" s="16">
        <v>19</v>
      </c>
      <c r="P201" s="16">
        <v>12</v>
      </c>
      <c r="Q201" s="16">
        <v>6</v>
      </c>
      <c r="R201" s="16">
        <v>7</v>
      </c>
      <c r="S201" s="16">
        <v>21</v>
      </c>
      <c r="T201" s="16">
        <v>10</v>
      </c>
      <c r="U201" s="16">
        <v>18</v>
      </c>
      <c r="V201" s="16">
        <v>18</v>
      </c>
      <c r="W201" s="16">
        <v>9</v>
      </c>
      <c r="X201" s="16">
        <v>8</v>
      </c>
      <c r="Y201" s="16">
        <v>4</v>
      </c>
      <c r="Z201" s="16">
        <v>4</v>
      </c>
      <c r="AA201" s="16">
        <v>1</v>
      </c>
      <c r="AB201" s="16">
        <v>4</v>
      </c>
      <c r="AC201" s="16">
        <v>2</v>
      </c>
      <c r="AD201" s="16">
        <v>4</v>
      </c>
      <c r="AE201" s="16">
        <v>10</v>
      </c>
      <c r="AF201" s="16">
        <v>8</v>
      </c>
      <c r="AG201" s="16">
        <v>11</v>
      </c>
      <c r="AH201" s="16">
        <v>8</v>
      </c>
      <c r="AI201" s="16">
        <v>24</v>
      </c>
      <c r="AJ201" s="16">
        <v>11</v>
      </c>
      <c r="AK201" s="16">
        <v>19</v>
      </c>
      <c r="AL201" s="16">
        <v>13</v>
      </c>
      <c r="AM201" s="13">
        <f t="shared" ref="AM201:AM210" si="40">SUM(E201:AL201)</f>
        <v>319</v>
      </c>
    </row>
    <row r="202" spans="1:39" ht="12.75" customHeight="1" x14ac:dyDescent="0.3">
      <c r="A202" s="20" t="s">
        <v>39</v>
      </c>
      <c r="B202" s="28"/>
      <c r="C202" s="29" t="s">
        <v>154</v>
      </c>
      <c r="D202" s="30"/>
      <c r="E202" s="16">
        <v>8</v>
      </c>
      <c r="F202" s="16">
        <v>7</v>
      </c>
      <c r="G202" s="16">
        <v>5</v>
      </c>
      <c r="H202" s="16">
        <v>3</v>
      </c>
      <c r="I202" s="16">
        <v>3</v>
      </c>
      <c r="J202" s="16">
        <v>7</v>
      </c>
      <c r="K202" s="16">
        <v>7</v>
      </c>
      <c r="L202" s="16">
        <v>6</v>
      </c>
      <c r="M202" s="16">
        <v>12</v>
      </c>
      <c r="N202" s="16">
        <v>9</v>
      </c>
      <c r="O202" s="16">
        <v>7</v>
      </c>
      <c r="P202" s="16">
        <v>13</v>
      </c>
      <c r="Q202" s="16">
        <v>3</v>
      </c>
      <c r="R202" s="16">
        <v>8</v>
      </c>
      <c r="S202" s="16">
        <v>13</v>
      </c>
      <c r="T202" s="16">
        <v>9</v>
      </c>
      <c r="U202" s="16">
        <v>8</v>
      </c>
      <c r="V202" s="16">
        <v>9</v>
      </c>
      <c r="W202" s="16">
        <v>0</v>
      </c>
      <c r="X202" s="16">
        <v>0</v>
      </c>
      <c r="Y202" s="16">
        <v>4</v>
      </c>
      <c r="Z202" s="16">
        <v>0</v>
      </c>
      <c r="AA202" s="16">
        <v>6</v>
      </c>
      <c r="AB202" s="16">
        <v>4</v>
      </c>
      <c r="AC202" s="16">
        <v>3</v>
      </c>
      <c r="AD202" s="16">
        <v>6</v>
      </c>
      <c r="AE202" s="16">
        <v>9</v>
      </c>
      <c r="AF202" s="16">
        <v>4</v>
      </c>
      <c r="AG202" s="16">
        <v>9</v>
      </c>
      <c r="AH202" s="16">
        <v>7</v>
      </c>
      <c r="AI202" s="16">
        <v>10</v>
      </c>
      <c r="AJ202" s="16">
        <v>11</v>
      </c>
      <c r="AK202" s="16">
        <v>11</v>
      </c>
      <c r="AL202" s="16">
        <v>6</v>
      </c>
      <c r="AM202" s="13">
        <f t="shared" si="40"/>
        <v>227</v>
      </c>
    </row>
    <row r="203" spans="1:39" ht="12.75" customHeight="1" x14ac:dyDescent="0.3">
      <c r="A203" s="15"/>
      <c r="B203" s="28"/>
      <c r="C203" s="29" t="s">
        <v>155</v>
      </c>
      <c r="D203" s="30"/>
      <c r="E203" s="16">
        <v>5</v>
      </c>
      <c r="F203" s="16">
        <v>5</v>
      </c>
      <c r="G203" s="16">
        <v>1</v>
      </c>
      <c r="H203" s="16">
        <v>3</v>
      </c>
      <c r="I203" s="16">
        <v>3</v>
      </c>
      <c r="J203" s="16">
        <v>5</v>
      </c>
      <c r="K203" s="16">
        <v>6</v>
      </c>
      <c r="L203" s="16">
        <v>4</v>
      </c>
      <c r="M203" s="16">
        <v>4</v>
      </c>
      <c r="N203" s="16">
        <v>21</v>
      </c>
      <c r="O203" s="16">
        <v>10</v>
      </c>
      <c r="P203" s="16">
        <v>4</v>
      </c>
      <c r="Q203" s="16">
        <v>5</v>
      </c>
      <c r="R203" s="16">
        <v>9</v>
      </c>
      <c r="S203" s="16">
        <v>14</v>
      </c>
      <c r="T203" s="16">
        <v>28</v>
      </c>
      <c r="U203" s="16">
        <v>7</v>
      </c>
      <c r="V203" s="16">
        <v>15</v>
      </c>
      <c r="W203" s="16">
        <v>1</v>
      </c>
      <c r="X203" s="16">
        <v>1</v>
      </c>
      <c r="Y203" s="16">
        <v>19</v>
      </c>
      <c r="Z203" s="16">
        <v>0</v>
      </c>
      <c r="AA203" s="16">
        <v>3</v>
      </c>
      <c r="AB203" s="16">
        <v>1</v>
      </c>
      <c r="AC203" s="16">
        <v>4</v>
      </c>
      <c r="AD203" s="16">
        <v>1</v>
      </c>
      <c r="AE203" s="16">
        <v>20</v>
      </c>
      <c r="AF203" s="16">
        <v>9</v>
      </c>
      <c r="AG203" s="16">
        <v>8</v>
      </c>
      <c r="AH203" s="16">
        <v>9</v>
      </c>
      <c r="AI203" s="16">
        <v>23</v>
      </c>
      <c r="AJ203" s="16">
        <v>16</v>
      </c>
      <c r="AK203" s="16">
        <v>42</v>
      </c>
      <c r="AL203" s="16">
        <v>15</v>
      </c>
      <c r="AM203" s="13">
        <f t="shared" si="40"/>
        <v>321</v>
      </c>
    </row>
    <row r="204" spans="1:39" ht="12.75" customHeight="1" x14ac:dyDescent="0.3">
      <c r="A204" s="15"/>
      <c r="B204" s="28"/>
      <c r="C204" s="29" t="s">
        <v>156</v>
      </c>
      <c r="D204" s="30"/>
      <c r="E204" s="16">
        <v>0</v>
      </c>
      <c r="F204" s="16">
        <v>0</v>
      </c>
      <c r="G204" s="16">
        <v>0</v>
      </c>
      <c r="H204" s="16">
        <v>0</v>
      </c>
      <c r="I204" s="16">
        <v>1</v>
      </c>
      <c r="J204" s="16">
        <v>0</v>
      </c>
      <c r="K204" s="16">
        <v>2</v>
      </c>
      <c r="L204" s="16">
        <v>1</v>
      </c>
      <c r="M204" s="16">
        <v>0</v>
      </c>
      <c r="N204" s="16">
        <v>2</v>
      </c>
      <c r="O204" s="16">
        <v>1</v>
      </c>
      <c r="P204" s="16">
        <v>3</v>
      </c>
      <c r="Q204" s="16">
        <v>2</v>
      </c>
      <c r="R204" s="16">
        <v>0</v>
      </c>
      <c r="S204" s="16">
        <v>4</v>
      </c>
      <c r="T204" s="16">
        <v>0</v>
      </c>
      <c r="U204" s="16">
        <v>1</v>
      </c>
      <c r="V204" s="16">
        <v>4</v>
      </c>
      <c r="W204" s="16">
        <v>1</v>
      </c>
      <c r="X204" s="16">
        <v>0</v>
      </c>
      <c r="Y204" s="16">
        <v>1</v>
      </c>
      <c r="Z204" s="16">
        <v>0</v>
      </c>
      <c r="AA204" s="16">
        <v>1</v>
      </c>
      <c r="AB204" s="16">
        <v>0</v>
      </c>
      <c r="AC204" s="16">
        <v>1</v>
      </c>
      <c r="AD204" s="16">
        <v>1</v>
      </c>
      <c r="AE204" s="16">
        <v>0</v>
      </c>
      <c r="AF204" s="16">
        <v>1</v>
      </c>
      <c r="AG204" s="16">
        <v>1</v>
      </c>
      <c r="AH204" s="16">
        <v>2</v>
      </c>
      <c r="AI204" s="16">
        <v>1</v>
      </c>
      <c r="AJ204" s="16">
        <v>3</v>
      </c>
      <c r="AK204" s="16">
        <v>3</v>
      </c>
      <c r="AL204" s="16">
        <v>0</v>
      </c>
      <c r="AM204" s="13">
        <f t="shared" si="40"/>
        <v>37</v>
      </c>
    </row>
    <row r="205" spans="1:39" ht="12.75" customHeight="1" x14ac:dyDescent="0.3">
      <c r="A205" s="15"/>
      <c r="B205" s="28"/>
      <c r="C205" s="29" t="s">
        <v>157</v>
      </c>
      <c r="D205" s="30"/>
      <c r="E205" s="16">
        <v>0</v>
      </c>
      <c r="F205" s="16">
        <v>0</v>
      </c>
      <c r="G205" s="16">
        <v>1</v>
      </c>
      <c r="H205" s="16">
        <v>0</v>
      </c>
      <c r="I205" s="16">
        <v>1</v>
      </c>
      <c r="J205" s="16">
        <v>0</v>
      </c>
      <c r="K205" s="16">
        <v>0</v>
      </c>
      <c r="L205" s="16">
        <v>2</v>
      </c>
      <c r="M205" s="16">
        <v>1</v>
      </c>
      <c r="N205" s="16">
        <v>2</v>
      </c>
      <c r="O205" s="16">
        <v>0</v>
      </c>
      <c r="P205" s="16">
        <v>1</v>
      </c>
      <c r="Q205" s="16">
        <v>0</v>
      </c>
      <c r="R205" s="16">
        <v>0</v>
      </c>
      <c r="S205" s="16">
        <v>1</v>
      </c>
      <c r="T205" s="16">
        <v>1</v>
      </c>
      <c r="U205" s="16">
        <v>0</v>
      </c>
      <c r="V205" s="16">
        <v>1</v>
      </c>
      <c r="W205" s="16">
        <v>0</v>
      </c>
      <c r="X205" s="16">
        <v>0</v>
      </c>
      <c r="Y205" s="16">
        <v>0</v>
      </c>
      <c r="Z205" s="16">
        <v>0</v>
      </c>
      <c r="AA205" s="16">
        <v>1</v>
      </c>
      <c r="AB205" s="16">
        <v>0</v>
      </c>
      <c r="AC205" s="16">
        <v>0</v>
      </c>
      <c r="AD205" s="16">
        <v>0</v>
      </c>
      <c r="AE205" s="16">
        <v>1</v>
      </c>
      <c r="AF205" s="16">
        <v>0</v>
      </c>
      <c r="AG205" s="16">
        <v>0</v>
      </c>
      <c r="AH205" s="16">
        <v>0</v>
      </c>
      <c r="AI205" s="16">
        <v>1</v>
      </c>
      <c r="AJ205" s="16">
        <v>0</v>
      </c>
      <c r="AK205" s="16">
        <v>1</v>
      </c>
      <c r="AL205" s="16">
        <v>1</v>
      </c>
      <c r="AM205" s="13">
        <f t="shared" si="40"/>
        <v>16</v>
      </c>
    </row>
    <row r="206" spans="1:39" ht="12.75" customHeight="1" x14ac:dyDescent="0.3">
      <c r="A206" s="15"/>
      <c r="B206" s="28"/>
      <c r="C206" s="29" t="s">
        <v>158</v>
      </c>
      <c r="D206" s="30"/>
      <c r="E206" s="16">
        <v>1</v>
      </c>
      <c r="F206" s="16">
        <v>0</v>
      </c>
      <c r="G206" s="16">
        <v>1</v>
      </c>
      <c r="H206" s="16">
        <v>0</v>
      </c>
      <c r="I206" s="16">
        <v>1</v>
      </c>
      <c r="J206" s="16">
        <v>0</v>
      </c>
      <c r="K206" s="16">
        <v>1</v>
      </c>
      <c r="L206" s="16">
        <v>0</v>
      </c>
      <c r="M206" s="16">
        <v>1</v>
      </c>
      <c r="N206" s="16">
        <v>0</v>
      </c>
      <c r="O206" s="16">
        <v>0</v>
      </c>
      <c r="P206" s="16">
        <v>3</v>
      </c>
      <c r="Q206" s="16">
        <v>0</v>
      </c>
      <c r="R206" s="16">
        <v>0</v>
      </c>
      <c r="S206" s="16">
        <v>1</v>
      </c>
      <c r="T206" s="16">
        <v>1</v>
      </c>
      <c r="U206" s="16">
        <v>1</v>
      </c>
      <c r="V206" s="16">
        <v>0</v>
      </c>
      <c r="W206" s="16">
        <v>0</v>
      </c>
      <c r="X206" s="16">
        <v>0</v>
      </c>
      <c r="Y206" s="16">
        <v>1</v>
      </c>
      <c r="Z206" s="16">
        <v>0</v>
      </c>
      <c r="AA206" s="16">
        <v>0</v>
      </c>
      <c r="AB206" s="16">
        <v>0</v>
      </c>
      <c r="AC206" s="16">
        <v>0</v>
      </c>
      <c r="AD206" s="16">
        <v>1</v>
      </c>
      <c r="AE206" s="16">
        <v>0</v>
      </c>
      <c r="AF206" s="16">
        <v>0</v>
      </c>
      <c r="AG206" s="16">
        <v>0</v>
      </c>
      <c r="AH206" s="16">
        <v>0</v>
      </c>
      <c r="AI206" s="16">
        <v>1</v>
      </c>
      <c r="AJ206" s="16">
        <v>0</v>
      </c>
      <c r="AK206" s="16">
        <v>0</v>
      </c>
      <c r="AL206" s="16">
        <v>0</v>
      </c>
      <c r="AM206" s="13">
        <f t="shared" si="40"/>
        <v>14</v>
      </c>
    </row>
    <row r="207" spans="1:39" ht="12.75" customHeight="1" x14ac:dyDescent="0.3">
      <c r="A207" s="15"/>
      <c r="B207" s="28"/>
      <c r="C207" s="29" t="s">
        <v>159</v>
      </c>
      <c r="D207" s="30"/>
      <c r="E207" s="16">
        <v>0</v>
      </c>
      <c r="F207" s="16">
        <v>0</v>
      </c>
      <c r="G207" s="16">
        <v>0</v>
      </c>
      <c r="H207" s="16">
        <v>0</v>
      </c>
      <c r="I207" s="16">
        <v>1</v>
      </c>
      <c r="J207" s="16">
        <v>0</v>
      </c>
      <c r="K207" s="16">
        <v>2</v>
      </c>
      <c r="L207" s="16">
        <v>0</v>
      </c>
      <c r="M207" s="16">
        <v>0</v>
      </c>
      <c r="N207" s="16">
        <v>0</v>
      </c>
      <c r="O207" s="16">
        <v>0</v>
      </c>
      <c r="P207" s="16">
        <v>1</v>
      </c>
      <c r="Q207" s="16">
        <v>0</v>
      </c>
      <c r="R207" s="16">
        <v>1</v>
      </c>
      <c r="S207" s="16">
        <v>2</v>
      </c>
      <c r="T207" s="16">
        <v>1</v>
      </c>
      <c r="U207" s="16">
        <v>0</v>
      </c>
      <c r="V207" s="16">
        <v>1</v>
      </c>
      <c r="W207" s="16">
        <v>2</v>
      </c>
      <c r="X207" s="16">
        <v>2</v>
      </c>
      <c r="Y207" s="16">
        <v>0</v>
      </c>
      <c r="Z207" s="16">
        <v>1</v>
      </c>
      <c r="AA207" s="16">
        <v>0</v>
      </c>
      <c r="AB207" s="16">
        <v>1</v>
      </c>
      <c r="AC207" s="16">
        <v>0</v>
      </c>
      <c r="AD207" s="16">
        <v>0</v>
      </c>
      <c r="AE207" s="16">
        <v>1</v>
      </c>
      <c r="AF207" s="16">
        <v>0</v>
      </c>
      <c r="AG207" s="16">
        <v>2</v>
      </c>
      <c r="AH207" s="16">
        <v>2</v>
      </c>
      <c r="AI207" s="16">
        <v>0</v>
      </c>
      <c r="AJ207" s="16">
        <v>1</v>
      </c>
      <c r="AK207" s="16">
        <v>1</v>
      </c>
      <c r="AL207" s="16">
        <v>0</v>
      </c>
      <c r="AM207" s="13">
        <f t="shared" si="40"/>
        <v>22</v>
      </c>
    </row>
    <row r="208" spans="1:39" ht="12.75" customHeight="1" x14ac:dyDescent="0.3">
      <c r="A208" s="15"/>
      <c r="B208" s="28"/>
      <c r="C208" s="29" t="s">
        <v>160</v>
      </c>
      <c r="D208" s="30"/>
      <c r="E208" s="16">
        <v>0</v>
      </c>
      <c r="F208" s="16">
        <v>0</v>
      </c>
      <c r="G208" s="16">
        <v>0</v>
      </c>
      <c r="H208" s="16">
        <v>2</v>
      </c>
      <c r="I208" s="16">
        <v>1</v>
      </c>
      <c r="J208" s="16">
        <v>2</v>
      </c>
      <c r="K208" s="16">
        <v>2</v>
      </c>
      <c r="L208" s="16">
        <v>0</v>
      </c>
      <c r="M208" s="16">
        <v>1</v>
      </c>
      <c r="N208" s="16">
        <v>2</v>
      </c>
      <c r="O208" s="16">
        <v>1</v>
      </c>
      <c r="P208" s="16">
        <v>0</v>
      </c>
      <c r="Q208" s="16">
        <v>0</v>
      </c>
      <c r="R208" s="16">
        <v>1</v>
      </c>
      <c r="S208" s="16">
        <v>3</v>
      </c>
      <c r="T208" s="16">
        <v>3</v>
      </c>
      <c r="U208" s="16">
        <v>0</v>
      </c>
      <c r="V208" s="16">
        <v>0</v>
      </c>
      <c r="W208" s="16">
        <v>0</v>
      </c>
      <c r="X208" s="16">
        <v>0</v>
      </c>
      <c r="Y208" s="16">
        <v>1</v>
      </c>
      <c r="Z208" s="16">
        <v>0</v>
      </c>
      <c r="AA208" s="16">
        <v>0</v>
      </c>
      <c r="AB208" s="16">
        <v>0</v>
      </c>
      <c r="AC208" s="16">
        <v>2</v>
      </c>
      <c r="AD208" s="16">
        <v>1</v>
      </c>
      <c r="AE208" s="16">
        <v>2</v>
      </c>
      <c r="AF208" s="16">
        <v>0</v>
      </c>
      <c r="AG208" s="16">
        <v>2</v>
      </c>
      <c r="AH208" s="16">
        <v>2</v>
      </c>
      <c r="AI208" s="16">
        <v>3</v>
      </c>
      <c r="AJ208" s="16">
        <v>1</v>
      </c>
      <c r="AK208" s="16">
        <v>3</v>
      </c>
      <c r="AL208" s="16">
        <v>2</v>
      </c>
      <c r="AM208" s="13">
        <f t="shared" si="40"/>
        <v>37</v>
      </c>
    </row>
    <row r="209" spans="1:39" ht="12.75" customHeight="1" x14ac:dyDescent="0.3">
      <c r="A209" s="15"/>
      <c r="B209" s="28"/>
      <c r="C209" s="29" t="s">
        <v>161</v>
      </c>
      <c r="D209" s="30"/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1</v>
      </c>
      <c r="Z209" s="16">
        <v>0</v>
      </c>
      <c r="AA209" s="16">
        <v>0</v>
      </c>
      <c r="AB209" s="16">
        <v>0</v>
      </c>
      <c r="AC209" s="16">
        <v>0</v>
      </c>
      <c r="AD209" s="16">
        <v>0</v>
      </c>
      <c r="AE209" s="16">
        <v>0</v>
      </c>
      <c r="AF209" s="16">
        <v>0</v>
      </c>
      <c r="AG209" s="16">
        <v>0</v>
      </c>
      <c r="AH209" s="16">
        <v>0</v>
      </c>
      <c r="AI209" s="16">
        <v>0</v>
      </c>
      <c r="AJ209" s="16">
        <v>0</v>
      </c>
      <c r="AK209" s="16">
        <v>0</v>
      </c>
      <c r="AL209" s="16">
        <v>0</v>
      </c>
      <c r="AM209" s="13">
        <f t="shared" si="40"/>
        <v>1</v>
      </c>
    </row>
    <row r="210" spans="1:39" ht="12.75" customHeight="1" x14ac:dyDescent="0.3">
      <c r="A210" s="15"/>
      <c r="B210" s="28"/>
      <c r="C210" s="29" t="s">
        <v>162</v>
      </c>
      <c r="D210" s="30"/>
      <c r="E210" s="16">
        <v>0</v>
      </c>
      <c r="F210" s="16">
        <v>1</v>
      </c>
      <c r="G210" s="16">
        <v>2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16">
        <v>1</v>
      </c>
      <c r="N210" s="16">
        <v>0</v>
      </c>
      <c r="O210" s="16">
        <v>2</v>
      </c>
      <c r="P210" s="16">
        <v>0</v>
      </c>
      <c r="Q210" s="16">
        <v>0</v>
      </c>
      <c r="R210" s="16">
        <v>0</v>
      </c>
      <c r="S210" s="16">
        <v>1</v>
      </c>
      <c r="T210" s="16">
        <v>2</v>
      </c>
      <c r="U210" s="16">
        <v>0</v>
      </c>
      <c r="V210" s="16">
        <v>1</v>
      </c>
      <c r="W210" s="16">
        <v>0</v>
      </c>
      <c r="X210" s="16">
        <v>0</v>
      </c>
      <c r="Y210" s="16">
        <v>0</v>
      </c>
      <c r="Z210" s="16">
        <v>0</v>
      </c>
      <c r="AA210" s="16">
        <v>0</v>
      </c>
      <c r="AB210" s="16">
        <v>0</v>
      </c>
      <c r="AC210" s="16">
        <v>0</v>
      </c>
      <c r="AD210" s="16">
        <v>0</v>
      </c>
      <c r="AE210" s="16">
        <v>0</v>
      </c>
      <c r="AF210" s="16">
        <v>0</v>
      </c>
      <c r="AG210" s="16">
        <v>0</v>
      </c>
      <c r="AH210" s="16">
        <v>0</v>
      </c>
      <c r="AI210" s="16">
        <v>0</v>
      </c>
      <c r="AJ210" s="16">
        <v>0</v>
      </c>
      <c r="AK210" s="16">
        <v>1</v>
      </c>
      <c r="AL210" s="16">
        <v>1</v>
      </c>
      <c r="AM210" s="13">
        <f t="shared" si="40"/>
        <v>12</v>
      </c>
    </row>
    <row r="211" spans="1:39" ht="12.75" customHeight="1" x14ac:dyDescent="0.3">
      <c r="A211" s="16" t="s">
        <v>15</v>
      </c>
      <c r="B211" s="59" t="s">
        <v>49</v>
      </c>
      <c r="C211" s="60"/>
      <c r="D211" s="58"/>
      <c r="E211" s="13">
        <f t="shared" ref="E211:AM211" si="41">SUM(E201:E210)</f>
        <v>18</v>
      </c>
      <c r="F211" s="13">
        <f t="shared" si="41"/>
        <v>17</v>
      </c>
      <c r="G211" s="13">
        <f t="shared" si="41"/>
        <v>17</v>
      </c>
      <c r="H211" s="13">
        <f t="shared" si="41"/>
        <v>12</v>
      </c>
      <c r="I211" s="13">
        <f t="shared" si="41"/>
        <v>16</v>
      </c>
      <c r="J211" s="13">
        <f t="shared" si="41"/>
        <v>16</v>
      </c>
      <c r="K211" s="13">
        <f t="shared" si="41"/>
        <v>31</v>
      </c>
      <c r="L211" s="13">
        <f t="shared" si="41"/>
        <v>19</v>
      </c>
      <c r="M211" s="13">
        <f t="shared" si="41"/>
        <v>33</v>
      </c>
      <c r="N211" s="13">
        <f t="shared" si="41"/>
        <v>48</v>
      </c>
      <c r="O211" s="13">
        <f t="shared" si="41"/>
        <v>40</v>
      </c>
      <c r="P211" s="13">
        <f t="shared" si="41"/>
        <v>37</v>
      </c>
      <c r="Q211" s="13">
        <f t="shared" si="41"/>
        <v>16</v>
      </c>
      <c r="R211" s="13">
        <f t="shared" si="41"/>
        <v>26</v>
      </c>
      <c r="S211" s="13">
        <f t="shared" si="41"/>
        <v>60</v>
      </c>
      <c r="T211" s="13">
        <f t="shared" si="41"/>
        <v>55</v>
      </c>
      <c r="U211" s="13">
        <f t="shared" si="41"/>
        <v>35</v>
      </c>
      <c r="V211" s="13">
        <f t="shared" si="41"/>
        <v>49</v>
      </c>
      <c r="W211" s="13">
        <f t="shared" si="41"/>
        <v>13</v>
      </c>
      <c r="X211" s="13">
        <f t="shared" si="41"/>
        <v>11</v>
      </c>
      <c r="Y211" s="13">
        <f t="shared" si="41"/>
        <v>31</v>
      </c>
      <c r="Z211" s="13">
        <f t="shared" si="41"/>
        <v>5</v>
      </c>
      <c r="AA211" s="13">
        <f t="shared" si="41"/>
        <v>12</v>
      </c>
      <c r="AB211" s="13">
        <f t="shared" si="41"/>
        <v>10</v>
      </c>
      <c r="AC211" s="13">
        <f t="shared" si="41"/>
        <v>12</v>
      </c>
      <c r="AD211" s="13">
        <f t="shared" si="41"/>
        <v>14</v>
      </c>
      <c r="AE211" s="13">
        <f t="shared" si="41"/>
        <v>43</v>
      </c>
      <c r="AF211" s="13">
        <f t="shared" si="41"/>
        <v>22</v>
      </c>
      <c r="AG211" s="13">
        <f t="shared" si="41"/>
        <v>33</v>
      </c>
      <c r="AH211" s="13">
        <f t="shared" si="41"/>
        <v>30</v>
      </c>
      <c r="AI211" s="13">
        <f t="shared" si="41"/>
        <v>63</v>
      </c>
      <c r="AJ211" s="13">
        <f t="shared" si="41"/>
        <v>43</v>
      </c>
      <c r="AK211" s="13">
        <f t="shared" si="41"/>
        <v>81</v>
      </c>
      <c r="AL211" s="13">
        <f t="shared" si="41"/>
        <v>38</v>
      </c>
      <c r="AM211" s="13">
        <f t="shared" si="41"/>
        <v>1006</v>
      </c>
    </row>
    <row r="212" spans="1:39" ht="12.75" customHeight="1" x14ac:dyDescent="0.3">
      <c r="A212" s="61"/>
      <c r="B212" s="60"/>
      <c r="C212" s="60"/>
      <c r="D212" s="60"/>
      <c r="E212" s="58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</row>
    <row r="213" spans="1:39" ht="12.75" customHeight="1" x14ac:dyDescent="0.3">
      <c r="A213" s="20" t="s">
        <v>37</v>
      </c>
      <c r="B213" s="27" t="s">
        <v>163</v>
      </c>
      <c r="C213" s="57" t="s">
        <v>164</v>
      </c>
      <c r="D213" s="58"/>
      <c r="E213" s="16">
        <v>3</v>
      </c>
      <c r="F213" s="16">
        <v>0</v>
      </c>
      <c r="G213" s="16">
        <v>1</v>
      </c>
      <c r="H213" s="16">
        <v>1</v>
      </c>
      <c r="I213" s="16">
        <v>3</v>
      </c>
      <c r="J213" s="16">
        <v>1</v>
      </c>
      <c r="K213" s="16">
        <v>2</v>
      </c>
      <c r="L213" s="16">
        <v>2</v>
      </c>
      <c r="M213" s="16">
        <v>2</v>
      </c>
      <c r="N213" s="16">
        <v>0</v>
      </c>
      <c r="O213" s="16">
        <v>1</v>
      </c>
      <c r="P213" s="16">
        <v>1</v>
      </c>
      <c r="Q213" s="16">
        <v>1</v>
      </c>
      <c r="R213" s="16">
        <v>0</v>
      </c>
      <c r="S213" s="16">
        <v>2</v>
      </c>
      <c r="T213" s="16">
        <v>4</v>
      </c>
      <c r="U213" s="16">
        <v>2</v>
      </c>
      <c r="V213" s="16">
        <v>3</v>
      </c>
      <c r="W213" s="16">
        <v>6</v>
      </c>
      <c r="X213" s="16">
        <v>4</v>
      </c>
      <c r="Y213" s="16">
        <v>2</v>
      </c>
      <c r="Z213" s="16">
        <v>2</v>
      </c>
      <c r="AA213" s="16">
        <v>1</v>
      </c>
      <c r="AB213" s="16">
        <v>2</v>
      </c>
      <c r="AC213" s="16">
        <v>6</v>
      </c>
      <c r="AD213" s="16">
        <v>2</v>
      </c>
      <c r="AE213" s="16">
        <v>1</v>
      </c>
      <c r="AF213" s="16">
        <v>3</v>
      </c>
      <c r="AG213" s="16">
        <v>3</v>
      </c>
      <c r="AH213" s="16">
        <v>2</v>
      </c>
      <c r="AI213" s="16">
        <v>3</v>
      </c>
      <c r="AJ213" s="16">
        <v>3</v>
      </c>
      <c r="AK213" s="16">
        <v>3</v>
      </c>
      <c r="AL213" s="16">
        <v>3</v>
      </c>
      <c r="AM213" s="13">
        <f t="shared" ref="AM213:AM222" si="42">SUM(E213:AL213)</f>
        <v>75</v>
      </c>
    </row>
    <row r="214" spans="1:39" ht="12.75" customHeight="1" x14ac:dyDescent="0.3">
      <c r="A214" s="20" t="s">
        <v>39</v>
      </c>
      <c r="B214" s="28"/>
      <c r="C214" s="29" t="s">
        <v>165</v>
      </c>
      <c r="D214" s="30"/>
      <c r="E214" s="16">
        <v>0</v>
      </c>
      <c r="F214" s="16">
        <v>2</v>
      </c>
      <c r="G214" s="16">
        <v>0</v>
      </c>
      <c r="H214" s="16">
        <v>1</v>
      </c>
      <c r="I214" s="16">
        <v>0</v>
      </c>
      <c r="J214" s="16">
        <v>1</v>
      </c>
      <c r="K214" s="16">
        <v>1</v>
      </c>
      <c r="L214" s="16">
        <v>0</v>
      </c>
      <c r="M214" s="16">
        <v>2</v>
      </c>
      <c r="N214" s="16">
        <v>1</v>
      </c>
      <c r="O214" s="16">
        <v>1</v>
      </c>
      <c r="P214" s="16">
        <v>1</v>
      </c>
      <c r="Q214" s="16">
        <v>3</v>
      </c>
      <c r="R214" s="16">
        <v>1</v>
      </c>
      <c r="S214" s="16">
        <v>3</v>
      </c>
      <c r="T214" s="16">
        <v>1</v>
      </c>
      <c r="U214" s="16">
        <v>1</v>
      </c>
      <c r="V214" s="16">
        <v>1</v>
      </c>
      <c r="W214" s="16">
        <v>3</v>
      </c>
      <c r="X214" s="16">
        <v>2</v>
      </c>
      <c r="Y214" s="16">
        <v>0</v>
      </c>
      <c r="Z214" s="16">
        <v>1</v>
      </c>
      <c r="AA214" s="16">
        <v>3</v>
      </c>
      <c r="AB214" s="16">
        <v>0</v>
      </c>
      <c r="AC214" s="16">
        <v>1</v>
      </c>
      <c r="AD214" s="16">
        <v>0</v>
      </c>
      <c r="AE214" s="16">
        <v>1</v>
      </c>
      <c r="AF214" s="16">
        <v>0</v>
      </c>
      <c r="AG214" s="16">
        <v>1</v>
      </c>
      <c r="AH214" s="16">
        <v>0</v>
      </c>
      <c r="AI214" s="16">
        <v>0</v>
      </c>
      <c r="AJ214" s="16">
        <v>1</v>
      </c>
      <c r="AK214" s="16">
        <v>3</v>
      </c>
      <c r="AL214" s="16">
        <v>0</v>
      </c>
      <c r="AM214" s="13">
        <f t="shared" si="42"/>
        <v>36</v>
      </c>
    </row>
    <row r="215" spans="1:39" ht="12.75" customHeight="1" x14ac:dyDescent="0.3">
      <c r="A215" s="15"/>
      <c r="B215" s="28"/>
      <c r="C215" s="29" t="s">
        <v>166</v>
      </c>
      <c r="D215" s="30"/>
      <c r="E215" s="16">
        <v>1</v>
      </c>
      <c r="F215" s="16">
        <v>4</v>
      </c>
      <c r="G215" s="16">
        <v>0</v>
      </c>
      <c r="H215" s="16">
        <v>2</v>
      </c>
      <c r="I215" s="16">
        <v>0</v>
      </c>
      <c r="J215" s="16">
        <v>1</v>
      </c>
      <c r="K215" s="16">
        <v>0</v>
      </c>
      <c r="L215" s="16">
        <v>0</v>
      </c>
      <c r="M215" s="16">
        <v>2</v>
      </c>
      <c r="N215" s="16">
        <v>3</v>
      </c>
      <c r="O215" s="16">
        <v>1</v>
      </c>
      <c r="P215" s="16">
        <v>1</v>
      </c>
      <c r="Q215" s="16">
        <v>0</v>
      </c>
      <c r="R215" s="16">
        <v>0</v>
      </c>
      <c r="S215" s="16">
        <v>0</v>
      </c>
      <c r="T215" s="16">
        <v>3</v>
      </c>
      <c r="U215" s="16">
        <v>1</v>
      </c>
      <c r="V215" s="16">
        <v>2</v>
      </c>
      <c r="W215" s="16">
        <v>4</v>
      </c>
      <c r="X215" s="16">
        <v>2</v>
      </c>
      <c r="Y215" s="16">
        <v>1</v>
      </c>
      <c r="Z215" s="16">
        <v>0</v>
      </c>
      <c r="AA215" s="16">
        <v>2</v>
      </c>
      <c r="AB215" s="16">
        <v>2</v>
      </c>
      <c r="AC215" s="16">
        <v>4</v>
      </c>
      <c r="AD215" s="16">
        <v>1</v>
      </c>
      <c r="AE215" s="16">
        <v>5</v>
      </c>
      <c r="AF215" s="16">
        <v>1</v>
      </c>
      <c r="AG215" s="16">
        <v>3</v>
      </c>
      <c r="AH215" s="16">
        <v>4</v>
      </c>
      <c r="AI215" s="16">
        <v>2</v>
      </c>
      <c r="AJ215" s="16">
        <v>3</v>
      </c>
      <c r="AK215" s="16">
        <v>0</v>
      </c>
      <c r="AL215" s="16">
        <v>1</v>
      </c>
      <c r="AM215" s="13">
        <f t="shared" si="42"/>
        <v>56</v>
      </c>
    </row>
    <row r="216" spans="1:39" ht="12.75" customHeight="1" x14ac:dyDescent="0.3">
      <c r="A216" s="15"/>
      <c r="B216" s="28"/>
      <c r="C216" s="29" t="s">
        <v>167</v>
      </c>
      <c r="D216" s="30"/>
      <c r="E216" s="16">
        <v>1</v>
      </c>
      <c r="F216" s="16">
        <v>0</v>
      </c>
      <c r="G216" s="16">
        <v>0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1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2</v>
      </c>
      <c r="U216" s="16">
        <v>1</v>
      </c>
      <c r="V216" s="16">
        <v>2</v>
      </c>
      <c r="W216" s="16">
        <v>1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  <c r="AC216" s="16">
        <v>1</v>
      </c>
      <c r="AD216" s="16">
        <v>0</v>
      </c>
      <c r="AE216" s="16">
        <v>2</v>
      </c>
      <c r="AF216" s="16">
        <v>1</v>
      </c>
      <c r="AG216" s="16">
        <v>2</v>
      </c>
      <c r="AH216" s="16">
        <v>0</v>
      </c>
      <c r="AI216" s="16">
        <v>0</v>
      </c>
      <c r="AJ216" s="16">
        <v>0</v>
      </c>
      <c r="AK216" s="16">
        <v>0</v>
      </c>
      <c r="AL216" s="16">
        <v>1</v>
      </c>
      <c r="AM216" s="13">
        <f t="shared" si="42"/>
        <v>15</v>
      </c>
    </row>
    <row r="217" spans="1:39" ht="12.75" customHeight="1" x14ac:dyDescent="0.3">
      <c r="A217" s="15"/>
      <c r="B217" s="36"/>
      <c r="C217" s="37"/>
      <c r="D217" s="40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3">
        <f t="shared" si="42"/>
        <v>0</v>
      </c>
    </row>
    <row r="218" spans="1:39" ht="12.75" customHeight="1" x14ac:dyDescent="0.3">
      <c r="A218" s="15"/>
      <c r="B218" s="36"/>
      <c r="C218" s="37"/>
      <c r="D218" s="40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3">
        <f t="shared" si="42"/>
        <v>0</v>
      </c>
    </row>
    <row r="219" spans="1:39" ht="12.75" customHeight="1" x14ac:dyDescent="0.3">
      <c r="A219" s="15"/>
      <c r="B219" s="36"/>
      <c r="C219" s="37"/>
      <c r="D219" s="40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3">
        <f t="shared" si="42"/>
        <v>0</v>
      </c>
    </row>
    <row r="220" spans="1:39" ht="12.75" customHeight="1" x14ac:dyDescent="0.3">
      <c r="A220" s="15"/>
      <c r="B220" s="36"/>
      <c r="C220" s="37"/>
      <c r="D220" s="40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3">
        <f t="shared" si="42"/>
        <v>0</v>
      </c>
    </row>
    <row r="221" spans="1:39" ht="12.75" customHeight="1" x14ac:dyDescent="0.3">
      <c r="A221" s="15"/>
      <c r="B221" s="36"/>
      <c r="C221" s="37"/>
      <c r="D221" s="40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3">
        <f t="shared" si="42"/>
        <v>0</v>
      </c>
    </row>
    <row r="222" spans="1:39" ht="12.75" customHeight="1" x14ac:dyDescent="0.3">
      <c r="A222" s="15"/>
      <c r="B222" s="36"/>
      <c r="C222" s="37"/>
      <c r="D222" s="40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3">
        <f t="shared" si="42"/>
        <v>0</v>
      </c>
    </row>
    <row r="223" spans="1:39" ht="12.75" customHeight="1" x14ac:dyDescent="0.3">
      <c r="A223" s="16" t="s">
        <v>15</v>
      </c>
      <c r="B223" s="59" t="s">
        <v>49</v>
      </c>
      <c r="C223" s="60"/>
      <c r="D223" s="58"/>
      <c r="E223" s="13">
        <f t="shared" ref="E223:AM223" si="43">SUM(E213:E222)</f>
        <v>5</v>
      </c>
      <c r="F223" s="13">
        <f t="shared" si="43"/>
        <v>6</v>
      </c>
      <c r="G223" s="13">
        <f t="shared" si="43"/>
        <v>1</v>
      </c>
      <c r="H223" s="13">
        <f t="shared" si="43"/>
        <v>4</v>
      </c>
      <c r="I223" s="13">
        <f t="shared" si="43"/>
        <v>3</v>
      </c>
      <c r="J223" s="13">
        <f t="shared" si="43"/>
        <v>3</v>
      </c>
      <c r="K223" s="13">
        <f t="shared" si="43"/>
        <v>3</v>
      </c>
      <c r="L223" s="13">
        <f t="shared" si="43"/>
        <v>2</v>
      </c>
      <c r="M223" s="13">
        <f t="shared" si="43"/>
        <v>7</v>
      </c>
      <c r="N223" s="13">
        <f t="shared" si="43"/>
        <v>4</v>
      </c>
      <c r="O223" s="13">
        <f t="shared" si="43"/>
        <v>3</v>
      </c>
      <c r="P223" s="13">
        <f t="shared" si="43"/>
        <v>3</v>
      </c>
      <c r="Q223" s="13">
        <f t="shared" si="43"/>
        <v>4</v>
      </c>
      <c r="R223" s="13">
        <f t="shared" si="43"/>
        <v>1</v>
      </c>
      <c r="S223" s="13">
        <f t="shared" si="43"/>
        <v>5</v>
      </c>
      <c r="T223" s="13">
        <f t="shared" si="43"/>
        <v>10</v>
      </c>
      <c r="U223" s="13">
        <f t="shared" si="43"/>
        <v>5</v>
      </c>
      <c r="V223" s="13">
        <f t="shared" si="43"/>
        <v>8</v>
      </c>
      <c r="W223" s="13">
        <f t="shared" si="43"/>
        <v>14</v>
      </c>
      <c r="X223" s="13">
        <f t="shared" si="43"/>
        <v>8</v>
      </c>
      <c r="Y223" s="13">
        <f t="shared" si="43"/>
        <v>3</v>
      </c>
      <c r="Z223" s="13">
        <f t="shared" si="43"/>
        <v>3</v>
      </c>
      <c r="AA223" s="13">
        <f t="shared" si="43"/>
        <v>6</v>
      </c>
      <c r="AB223" s="13">
        <f t="shared" si="43"/>
        <v>4</v>
      </c>
      <c r="AC223" s="13">
        <f t="shared" si="43"/>
        <v>12</v>
      </c>
      <c r="AD223" s="13">
        <f t="shared" si="43"/>
        <v>3</v>
      </c>
      <c r="AE223" s="13">
        <f t="shared" si="43"/>
        <v>9</v>
      </c>
      <c r="AF223" s="13">
        <f t="shared" si="43"/>
        <v>5</v>
      </c>
      <c r="AG223" s="13">
        <f t="shared" si="43"/>
        <v>9</v>
      </c>
      <c r="AH223" s="13">
        <f t="shared" si="43"/>
        <v>6</v>
      </c>
      <c r="AI223" s="13">
        <f t="shared" si="43"/>
        <v>5</v>
      </c>
      <c r="AJ223" s="13">
        <f t="shared" si="43"/>
        <v>7</v>
      </c>
      <c r="AK223" s="13">
        <f t="shared" si="43"/>
        <v>6</v>
      </c>
      <c r="AL223" s="13">
        <f t="shared" si="43"/>
        <v>5</v>
      </c>
      <c r="AM223" s="13">
        <f t="shared" si="43"/>
        <v>182</v>
      </c>
    </row>
    <row r="224" spans="1:39" ht="12.75" customHeight="1" x14ac:dyDescent="0.3">
      <c r="A224" s="61"/>
      <c r="B224" s="60"/>
      <c r="C224" s="60"/>
      <c r="D224" s="60"/>
      <c r="E224" s="58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  <c r="AJ224" s="51"/>
      <c r="AK224" s="51"/>
      <c r="AL224" s="51"/>
      <c r="AM224" s="51"/>
    </row>
    <row r="225" spans="1:39" ht="12.75" customHeight="1" x14ac:dyDescent="0.3">
      <c r="A225" s="20" t="s">
        <v>37</v>
      </c>
      <c r="B225" s="27" t="s">
        <v>168</v>
      </c>
      <c r="C225" s="57" t="s">
        <v>169</v>
      </c>
      <c r="D225" s="58"/>
      <c r="E225" s="16">
        <v>0</v>
      </c>
      <c r="F225" s="16">
        <v>0</v>
      </c>
      <c r="G225" s="16">
        <v>0</v>
      </c>
      <c r="H225" s="16">
        <v>0</v>
      </c>
      <c r="I225" s="16">
        <v>0</v>
      </c>
      <c r="J225" s="16">
        <v>0</v>
      </c>
      <c r="K225" s="16">
        <v>0</v>
      </c>
      <c r="L225" s="16">
        <v>1</v>
      </c>
      <c r="M225" s="16">
        <v>0</v>
      </c>
      <c r="N225" s="16">
        <v>0</v>
      </c>
      <c r="O225" s="16">
        <v>1</v>
      </c>
      <c r="P225" s="16">
        <v>0</v>
      </c>
      <c r="Q225" s="16">
        <v>0</v>
      </c>
      <c r="R225" s="16">
        <v>0</v>
      </c>
      <c r="S225" s="16">
        <v>0</v>
      </c>
      <c r="T225" s="16">
        <v>2</v>
      </c>
      <c r="U225" s="16">
        <v>0</v>
      </c>
      <c r="V225" s="16">
        <v>3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  <c r="AC225" s="16">
        <v>0</v>
      </c>
      <c r="AD225" s="16">
        <v>1</v>
      </c>
      <c r="AE225" s="16">
        <v>1</v>
      </c>
      <c r="AF225" s="16">
        <v>1</v>
      </c>
      <c r="AG225" s="16">
        <v>1</v>
      </c>
      <c r="AH225" s="16">
        <v>0</v>
      </c>
      <c r="AI225" s="16">
        <v>0</v>
      </c>
      <c r="AJ225" s="16">
        <v>0</v>
      </c>
      <c r="AK225" s="16">
        <v>0</v>
      </c>
      <c r="AL225" s="16">
        <v>0</v>
      </c>
      <c r="AM225" s="13">
        <f t="shared" ref="AM225:AM234" si="44">SUM(E225:AL225)</f>
        <v>11</v>
      </c>
    </row>
    <row r="226" spans="1:39" ht="12.75" customHeight="1" x14ac:dyDescent="0.3">
      <c r="A226" s="20" t="s">
        <v>39</v>
      </c>
      <c r="B226" s="28"/>
      <c r="C226" s="29" t="s">
        <v>170</v>
      </c>
      <c r="D226" s="30"/>
      <c r="E226" s="16">
        <v>0</v>
      </c>
      <c r="F226" s="16">
        <v>3</v>
      </c>
      <c r="G226" s="16">
        <v>0</v>
      </c>
      <c r="H226" s="16">
        <v>0</v>
      </c>
      <c r="I226" s="16">
        <v>0</v>
      </c>
      <c r="J226" s="16">
        <v>0</v>
      </c>
      <c r="K226" s="16">
        <v>0</v>
      </c>
      <c r="L226" s="16">
        <v>0</v>
      </c>
      <c r="M226" s="16">
        <v>0</v>
      </c>
      <c r="N226" s="16">
        <v>0</v>
      </c>
      <c r="O226" s="16">
        <v>0</v>
      </c>
      <c r="P226" s="16">
        <v>1</v>
      </c>
      <c r="Q226" s="16">
        <v>0</v>
      </c>
      <c r="R226" s="16">
        <v>0</v>
      </c>
      <c r="S226" s="16">
        <v>0</v>
      </c>
      <c r="T226" s="16">
        <v>2</v>
      </c>
      <c r="U226" s="16">
        <v>1</v>
      </c>
      <c r="V226" s="16">
        <v>0</v>
      </c>
      <c r="W226" s="16">
        <v>0</v>
      </c>
      <c r="X226" s="16">
        <v>0</v>
      </c>
      <c r="Y226" s="16">
        <v>0</v>
      </c>
      <c r="Z226" s="16">
        <v>0</v>
      </c>
      <c r="AA226" s="16">
        <v>3</v>
      </c>
      <c r="AB226" s="16">
        <v>0</v>
      </c>
      <c r="AC226" s="16">
        <v>0</v>
      </c>
      <c r="AD226" s="16">
        <v>1</v>
      </c>
      <c r="AE226" s="16">
        <v>0</v>
      </c>
      <c r="AF226" s="16">
        <v>0</v>
      </c>
      <c r="AG226" s="16">
        <v>0</v>
      </c>
      <c r="AH226" s="16">
        <v>0</v>
      </c>
      <c r="AI226" s="16">
        <v>0</v>
      </c>
      <c r="AJ226" s="16">
        <v>0</v>
      </c>
      <c r="AK226" s="16">
        <v>2</v>
      </c>
      <c r="AL226" s="16">
        <v>1</v>
      </c>
      <c r="AM226" s="13">
        <f t="shared" si="44"/>
        <v>14</v>
      </c>
    </row>
    <row r="227" spans="1:39" ht="12.75" customHeight="1" x14ac:dyDescent="0.3">
      <c r="A227" s="15"/>
      <c r="B227" s="28"/>
      <c r="C227" s="29" t="s">
        <v>171</v>
      </c>
      <c r="D227" s="30"/>
      <c r="E227" s="16">
        <v>0</v>
      </c>
      <c r="F227" s="16">
        <v>0</v>
      </c>
      <c r="G227" s="16">
        <v>0</v>
      </c>
      <c r="H227" s="16">
        <v>0</v>
      </c>
      <c r="I227" s="16">
        <v>0</v>
      </c>
      <c r="J227" s="16">
        <v>0</v>
      </c>
      <c r="K227" s="16">
        <v>0</v>
      </c>
      <c r="L227" s="16">
        <v>1</v>
      </c>
      <c r="M227" s="16">
        <v>0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1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  <c r="AC227" s="16">
        <v>0</v>
      </c>
      <c r="AD227" s="16">
        <v>0</v>
      </c>
      <c r="AE227" s="16">
        <v>0</v>
      </c>
      <c r="AF227" s="16">
        <v>0</v>
      </c>
      <c r="AG227" s="16">
        <v>0</v>
      </c>
      <c r="AH227" s="16">
        <v>0</v>
      </c>
      <c r="AI227" s="16">
        <v>0</v>
      </c>
      <c r="AJ227" s="16">
        <v>0</v>
      </c>
      <c r="AK227" s="16">
        <v>1</v>
      </c>
      <c r="AL227" s="16">
        <v>1</v>
      </c>
      <c r="AM227" s="13">
        <f t="shared" si="44"/>
        <v>4</v>
      </c>
    </row>
    <row r="228" spans="1:39" ht="12.75" customHeight="1" x14ac:dyDescent="0.3">
      <c r="A228" s="15"/>
      <c r="B228" s="28"/>
      <c r="C228" s="29" t="s">
        <v>172</v>
      </c>
      <c r="D228" s="30"/>
      <c r="E228" s="16">
        <v>0</v>
      </c>
      <c r="F228" s="16">
        <v>0</v>
      </c>
      <c r="G228" s="16">
        <v>0</v>
      </c>
      <c r="H228" s="16">
        <v>0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N228" s="16">
        <v>0</v>
      </c>
      <c r="O228" s="16">
        <v>0</v>
      </c>
      <c r="P228" s="16">
        <v>0</v>
      </c>
      <c r="Q228" s="16">
        <v>0</v>
      </c>
      <c r="R228" s="16">
        <v>0</v>
      </c>
      <c r="S228" s="16">
        <v>0</v>
      </c>
      <c r="T228" s="16">
        <v>0</v>
      </c>
      <c r="U228" s="16">
        <v>1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  <c r="AC228" s="16">
        <v>0</v>
      </c>
      <c r="AD228" s="16">
        <v>0</v>
      </c>
      <c r="AE228" s="16">
        <v>0</v>
      </c>
      <c r="AF228" s="16">
        <v>0</v>
      </c>
      <c r="AG228" s="16">
        <v>0</v>
      </c>
      <c r="AH228" s="16">
        <v>0</v>
      </c>
      <c r="AI228" s="16">
        <v>0</v>
      </c>
      <c r="AJ228" s="16">
        <v>0</v>
      </c>
      <c r="AK228" s="16">
        <v>1</v>
      </c>
      <c r="AL228" s="16">
        <v>0</v>
      </c>
      <c r="AM228" s="13">
        <f t="shared" si="44"/>
        <v>2</v>
      </c>
    </row>
    <row r="229" spans="1:39" ht="12.75" customHeight="1" x14ac:dyDescent="0.3">
      <c r="A229" s="15"/>
      <c r="B229" s="28"/>
      <c r="C229" s="29" t="s">
        <v>173</v>
      </c>
      <c r="D229" s="30"/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0</v>
      </c>
      <c r="M229" s="16">
        <v>0</v>
      </c>
      <c r="N229" s="16">
        <v>0</v>
      </c>
      <c r="O229" s="16">
        <v>0</v>
      </c>
      <c r="P229" s="16">
        <v>0</v>
      </c>
      <c r="Q229" s="16">
        <v>0</v>
      </c>
      <c r="R229" s="16">
        <v>0</v>
      </c>
      <c r="S229" s="16">
        <v>0</v>
      </c>
      <c r="T229" s="16">
        <v>0</v>
      </c>
      <c r="U229" s="16">
        <v>0</v>
      </c>
      <c r="V229" s="16">
        <v>0</v>
      </c>
      <c r="W229" s="16">
        <v>2</v>
      </c>
      <c r="X229" s="16">
        <v>0</v>
      </c>
      <c r="Y229" s="16">
        <v>0</v>
      </c>
      <c r="Z229" s="16">
        <v>0</v>
      </c>
      <c r="AA229" s="16">
        <v>0</v>
      </c>
      <c r="AB229" s="16">
        <v>0</v>
      </c>
      <c r="AC229" s="16">
        <v>0</v>
      </c>
      <c r="AD229" s="16">
        <v>0</v>
      </c>
      <c r="AE229" s="16">
        <v>0</v>
      </c>
      <c r="AF229" s="16">
        <v>1</v>
      </c>
      <c r="AG229" s="16">
        <v>0</v>
      </c>
      <c r="AH229" s="16">
        <v>0</v>
      </c>
      <c r="AI229" s="16">
        <v>2</v>
      </c>
      <c r="AJ229" s="16">
        <v>0</v>
      </c>
      <c r="AK229" s="16">
        <v>0</v>
      </c>
      <c r="AL229" s="16">
        <v>1</v>
      </c>
      <c r="AM229" s="13">
        <f t="shared" si="44"/>
        <v>6</v>
      </c>
    </row>
    <row r="230" spans="1:39" ht="12.75" customHeight="1" x14ac:dyDescent="0.3">
      <c r="A230" s="15"/>
      <c r="B230" s="36"/>
      <c r="C230" s="37"/>
      <c r="D230" s="40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3">
        <f t="shared" si="44"/>
        <v>0</v>
      </c>
    </row>
    <row r="231" spans="1:39" ht="12.75" customHeight="1" x14ac:dyDescent="0.3">
      <c r="A231" s="15"/>
      <c r="B231" s="36"/>
      <c r="C231" s="37"/>
      <c r="D231" s="40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3">
        <f t="shared" si="44"/>
        <v>0</v>
      </c>
    </row>
    <row r="232" spans="1:39" ht="12.75" customHeight="1" x14ac:dyDescent="0.3">
      <c r="A232" s="15"/>
      <c r="B232" s="36"/>
      <c r="C232" s="37"/>
      <c r="D232" s="38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3">
        <f t="shared" si="44"/>
        <v>0</v>
      </c>
    </row>
    <row r="233" spans="1:39" ht="12.75" customHeight="1" x14ac:dyDescent="0.3">
      <c r="A233" s="15"/>
      <c r="B233" s="36"/>
      <c r="C233" s="37"/>
      <c r="D233" s="38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3">
        <f t="shared" si="44"/>
        <v>0</v>
      </c>
    </row>
    <row r="234" spans="1:39" ht="12.75" customHeight="1" x14ac:dyDescent="0.3">
      <c r="A234" s="15"/>
      <c r="B234" s="36"/>
      <c r="C234" s="37"/>
      <c r="D234" s="38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3">
        <f t="shared" si="44"/>
        <v>0</v>
      </c>
    </row>
    <row r="235" spans="1:39" ht="12.75" customHeight="1" x14ac:dyDescent="0.3">
      <c r="A235" s="16" t="s">
        <v>15</v>
      </c>
      <c r="B235" s="59" t="s">
        <v>49</v>
      </c>
      <c r="C235" s="60"/>
      <c r="D235" s="58"/>
      <c r="E235" s="13">
        <f t="shared" ref="E235:AM235" si="45">SUM(E225:E234)</f>
        <v>0</v>
      </c>
      <c r="F235" s="13">
        <f t="shared" si="45"/>
        <v>3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2</v>
      </c>
      <c r="M235" s="13">
        <f t="shared" si="45"/>
        <v>0</v>
      </c>
      <c r="N235" s="13">
        <f t="shared" si="45"/>
        <v>0</v>
      </c>
      <c r="O235" s="13">
        <f t="shared" si="45"/>
        <v>1</v>
      </c>
      <c r="P235" s="13">
        <f t="shared" si="45"/>
        <v>1</v>
      </c>
      <c r="Q235" s="13">
        <f t="shared" si="45"/>
        <v>0</v>
      </c>
      <c r="R235" s="13">
        <f t="shared" si="45"/>
        <v>0</v>
      </c>
      <c r="S235" s="13">
        <f t="shared" si="45"/>
        <v>0</v>
      </c>
      <c r="T235" s="13">
        <f t="shared" si="45"/>
        <v>4</v>
      </c>
      <c r="U235" s="13">
        <f t="shared" si="45"/>
        <v>3</v>
      </c>
      <c r="V235" s="13">
        <f t="shared" si="45"/>
        <v>3</v>
      </c>
      <c r="W235" s="13">
        <f t="shared" si="45"/>
        <v>2</v>
      </c>
      <c r="X235" s="13">
        <f t="shared" si="45"/>
        <v>0</v>
      </c>
      <c r="Y235" s="13">
        <f t="shared" si="45"/>
        <v>0</v>
      </c>
      <c r="Z235" s="13">
        <f t="shared" si="45"/>
        <v>0</v>
      </c>
      <c r="AA235" s="13">
        <f t="shared" si="45"/>
        <v>3</v>
      </c>
      <c r="AB235" s="13">
        <f t="shared" si="45"/>
        <v>0</v>
      </c>
      <c r="AC235" s="13">
        <f t="shared" si="45"/>
        <v>0</v>
      </c>
      <c r="AD235" s="13">
        <f t="shared" si="45"/>
        <v>2</v>
      </c>
      <c r="AE235" s="13">
        <f t="shared" si="45"/>
        <v>1</v>
      </c>
      <c r="AF235" s="13">
        <f t="shared" si="45"/>
        <v>2</v>
      </c>
      <c r="AG235" s="13">
        <f t="shared" si="45"/>
        <v>1</v>
      </c>
      <c r="AH235" s="13">
        <f t="shared" si="45"/>
        <v>0</v>
      </c>
      <c r="AI235" s="13">
        <f t="shared" si="45"/>
        <v>2</v>
      </c>
      <c r="AJ235" s="13">
        <f t="shared" si="45"/>
        <v>0</v>
      </c>
      <c r="AK235" s="13">
        <f t="shared" si="45"/>
        <v>4</v>
      </c>
      <c r="AL235" s="13">
        <f t="shared" si="45"/>
        <v>3</v>
      </c>
      <c r="AM235" s="13">
        <f t="shared" si="45"/>
        <v>37</v>
      </c>
    </row>
    <row r="236" spans="1:39" ht="12.75" customHeight="1" x14ac:dyDescent="0.3">
      <c r="A236" s="61"/>
      <c r="B236" s="60"/>
      <c r="C236" s="60"/>
      <c r="D236" s="60"/>
      <c r="E236" s="58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51"/>
      <c r="AJ236" s="51"/>
      <c r="AK236" s="51"/>
      <c r="AL236" s="51"/>
      <c r="AM236" s="51"/>
    </row>
    <row r="237" spans="1:39" ht="12.75" customHeight="1" x14ac:dyDescent="0.3">
      <c r="A237" s="20" t="s">
        <v>37</v>
      </c>
      <c r="B237" s="27" t="s">
        <v>174</v>
      </c>
      <c r="C237" s="57" t="s">
        <v>175</v>
      </c>
      <c r="D237" s="58"/>
      <c r="E237" s="16">
        <v>0</v>
      </c>
      <c r="F237" s="16">
        <v>1</v>
      </c>
      <c r="G237" s="16">
        <v>3</v>
      </c>
      <c r="H237" s="16">
        <v>1</v>
      </c>
      <c r="I237" s="16">
        <v>0</v>
      </c>
      <c r="J237" s="16">
        <v>0</v>
      </c>
      <c r="K237" s="16">
        <v>0</v>
      </c>
      <c r="L237" s="16">
        <v>0</v>
      </c>
      <c r="M237" s="16">
        <v>3</v>
      </c>
      <c r="N237" s="16">
        <v>0</v>
      </c>
      <c r="O237" s="16">
        <v>1</v>
      </c>
      <c r="P237" s="16">
        <v>0</v>
      </c>
      <c r="Q237" s="16">
        <v>0</v>
      </c>
      <c r="R237" s="16">
        <v>0</v>
      </c>
      <c r="S237" s="16">
        <v>0</v>
      </c>
      <c r="T237" s="16">
        <v>0</v>
      </c>
      <c r="U237" s="16">
        <v>0</v>
      </c>
      <c r="V237" s="16">
        <v>1</v>
      </c>
      <c r="W237" s="16">
        <v>2</v>
      </c>
      <c r="X237" s="16">
        <v>2</v>
      </c>
      <c r="Y237" s="16">
        <v>1</v>
      </c>
      <c r="Z237" s="16">
        <v>1</v>
      </c>
      <c r="AA237" s="16">
        <v>0</v>
      </c>
      <c r="AB237" s="16">
        <v>0</v>
      </c>
      <c r="AC237" s="16">
        <v>0</v>
      </c>
      <c r="AD237" s="16">
        <v>0</v>
      </c>
      <c r="AE237" s="16">
        <v>0</v>
      </c>
      <c r="AF237" s="16">
        <v>0</v>
      </c>
      <c r="AG237" s="16">
        <v>1</v>
      </c>
      <c r="AH237" s="16">
        <v>1</v>
      </c>
      <c r="AI237" s="16">
        <v>2</v>
      </c>
      <c r="AJ237" s="16">
        <v>1</v>
      </c>
      <c r="AK237" s="16">
        <v>1</v>
      </c>
      <c r="AL237" s="16">
        <v>2</v>
      </c>
      <c r="AM237" s="13">
        <f t="shared" ref="AM237:AM246" si="46">SUM(E237:AL237)</f>
        <v>24</v>
      </c>
    </row>
    <row r="238" spans="1:39" ht="12.75" customHeight="1" x14ac:dyDescent="0.3">
      <c r="A238" s="20" t="s">
        <v>39</v>
      </c>
      <c r="B238" s="28"/>
      <c r="C238" s="29" t="s">
        <v>176</v>
      </c>
      <c r="D238" s="30"/>
      <c r="E238" s="16">
        <v>0</v>
      </c>
      <c r="F238" s="16">
        <v>1</v>
      </c>
      <c r="G238" s="16">
        <v>0</v>
      </c>
      <c r="H238" s="16">
        <v>0</v>
      </c>
      <c r="I238" s="16">
        <v>0</v>
      </c>
      <c r="J238" s="16">
        <v>0</v>
      </c>
      <c r="K238" s="16">
        <v>0</v>
      </c>
      <c r="L238" s="16">
        <v>0</v>
      </c>
      <c r="M238" s="16">
        <v>0</v>
      </c>
      <c r="N238" s="16">
        <v>0</v>
      </c>
      <c r="O238" s="16">
        <v>0</v>
      </c>
      <c r="P238" s="16">
        <v>0</v>
      </c>
      <c r="Q238" s="16">
        <v>0</v>
      </c>
      <c r="R238" s="16">
        <v>1</v>
      </c>
      <c r="S238" s="16">
        <v>1</v>
      </c>
      <c r="T238" s="16">
        <v>0</v>
      </c>
      <c r="U238" s="16">
        <v>2</v>
      </c>
      <c r="V238" s="16">
        <v>0</v>
      </c>
      <c r="W238" s="16">
        <v>0</v>
      </c>
      <c r="X238" s="16">
        <v>2</v>
      </c>
      <c r="Y238" s="16">
        <v>0</v>
      </c>
      <c r="Z238" s="16">
        <v>0</v>
      </c>
      <c r="AA238" s="16">
        <v>3</v>
      </c>
      <c r="AB238" s="16">
        <v>4</v>
      </c>
      <c r="AC238" s="16">
        <v>7</v>
      </c>
      <c r="AD238" s="16">
        <v>2</v>
      </c>
      <c r="AE238" s="16">
        <v>2</v>
      </c>
      <c r="AF238" s="16">
        <v>0</v>
      </c>
      <c r="AG238" s="16">
        <v>0</v>
      </c>
      <c r="AH238" s="16">
        <v>2</v>
      </c>
      <c r="AI238" s="16">
        <v>0</v>
      </c>
      <c r="AJ238" s="16">
        <v>0</v>
      </c>
      <c r="AK238" s="16">
        <v>2</v>
      </c>
      <c r="AL238" s="16">
        <v>0</v>
      </c>
      <c r="AM238" s="13">
        <f t="shared" si="46"/>
        <v>29</v>
      </c>
    </row>
    <row r="239" spans="1:39" ht="12.75" customHeight="1" x14ac:dyDescent="0.3">
      <c r="A239" s="15"/>
      <c r="B239" s="28"/>
      <c r="C239" s="29" t="s">
        <v>177</v>
      </c>
      <c r="D239" s="30"/>
      <c r="E239" s="16">
        <v>1</v>
      </c>
      <c r="F239" s="16">
        <v>3</v>
      </c>
      <c r="G239" s="16">
        <v>0</v>
      </c>
      <c r="H239" s="16">
        <v>0</v>
      </c>
      <c r="I239" s="16">
        <v>0</v>
      </c>
      <c r="J239" s="16">
        <v>0</v>
      </c>
      <c r="K239" s="16">
        <v>0</v>
      </c>
      <c r="L239" s="16">
        <v>0</v>
      </c>
      <c r="M239" s="16">
        <v>0</v>
      </c>
      <c r="N239" s="16">
        <v>1</v>
      </c>
      <c r="O239" s="16">
        <v>0</v>
      </c>
      <c r="P239" s="16">
        <v>0</v>
      </c>
      <c r="Q239" s="16">
        <v>1</v>
      </c>
      <c r="R239" s="16">
        <v>0</v>
      </c>
      <c r="S239" s="16">
        <v>1</v>
      </c>
      <c r="T239" s="16">
        <v>1</v>
      </c>
      <c r="U239" s="16">
        <v>0</v>
      </c>
      <c r="V239" s="16">
        <v>0</v>
      </c>
      <c r="W239" s="16">
        <v>0</v>
      </c>
      <c r="X239" s="16">
        <v>2</v>
      </c>
      <c r="Y239" s="16">
        <v>8</v>
      </c>
      <c r="Z239" s="16">
        <v>2</v>
      </c>
      <c r="AA239" s="16">
        <v>5</v>
      </c>
      <c r="AB239" s="16">
        <v>1</v>
      </c>
      <c r="AC239" s="16">
        <v>2</v>
      </c>
      <c r="AD239" s="16">
        <v>0</v>
      </c>
      <c r="AE239" s="16">
        <v>0</v>
      </c>
      <c r="AF239" s="16">
        <v>1</v>
      </c>
      <c r="AG239" s="16">
        <v>2</v>
      </c>
      <c r="AH239" s="16">
        <v>0</v>
      </c>
      <c r="AI239" s="16">
        <v>0</v>
      </c>
      <c r="AJ239" s="16">
        <v>0</v>
      </c>
      <c r="AK239" s="16">
        <v>1</v>
      </c>
      <c r="AL239" s="16">
        <v>2</v>
      </c>
      <c r="AM239" s="13">
        <f t="shared" si="46"/>
        <v>34</v>
      </c>
    </row>
    <row r="240" spans="1:39" ht="12.75" customHeight="1" x14ac:dyDescent="0.3">
      <c r="A240" s="15"/>
      <c r="B240" s="28"/>
      <c r="C240" s="29" t="s">
        <v>178</v>
      </c>
      <c r="D240" s="30"/>
      <c r="E240" s="16">
        <v>0</v>
      </c>
      <c r="F240" s="16">
        <v>0</v>
      </c>
      <c r="G240" s="16">
        <v>0</v>
      </c>
      <c r="H240" s="16">
        <v>0</v>
      </c>
      <c r="I240" s="16">
        <v>0</v>
      </c>
      <c r="J240" s="16">
        <v>0</v>
      </c>
      <c r="K240" s="16">
        <v>0</v>
      </c>
      <c r="L240" s="16">
        <v>0</v>
      </c>
      <c r="M240" s="16">
        <v>0</v>
      </c>
      <c r="N240" s="16">
        <v>1</v>
      </c>
      <c r="O240" s="16">
        <v>0</v>
      </c>
      <c r="P240" s="16">
        <v>0</v>
      </c>
      <c r="Q240" s="16">
        <v>0</v>
      </c>
      <c r="R240" s="16">
        <v>0</v>
      </c>
      <c r="S240" s="16">
        <v>0</v>
      </c>
      <c r="T240" s="16">
        <v>0</v>
      </c>
      <c r="U240" s="16">
        <v>0</v>
      </c>
      <c r="V240" s="16">
        <v>0</v>
      </c>
      <c r="W240" s="16">
        <v>0</v>
      </c>
      <c r="X240" s="16">
        <v>0</v>
      </c>
      <c r="Y240" s="16">
        <v>0</v>
      </c>
      <c r="Z240" s="16">
        <v>0</v>
      </c>
      <c r="AA240" s="16">
        <v>0</v>
      </c>
      <c r="AB240" s="16">
        <v>0</v>
      </c>
      <c r="AC240" s="16">
        <v>0</v>
      </c>
      <c r="AD240" s="16">
        <v>0</v>
      </c>
      <c r="AE240" s="16">
        <v>0</v>
      </c>
      <c r="AF240" s="16">
        <v>0</v>
      </c>
      <c r="AG240" s="16">
        <v>0</v>
      </c>
      <c r="AH240" s="16">
        <v>1</v>
      </c>
      <c r="AI240" s="16">
        <v>0</v>
      </c>
      <c r="AJ240" s="16">
        <v>0</v>
      </c>
      <c r="AK240" s="16">
        <v>2</v>
      </c>
      <c r="AL240" s="16">
        <v>1</v>
      </c>
      <c r="AM240" s="13">
        <f t="shared" si="46"/>
        <v>5</v>
      </c>
    </row>
    <row r="241" spans="1:39" ht="12.75" customHeight="1" x14ac:dyDescent="0.3">
      <c r="A241" s="15"/>
      <c r="B241" s="28"/>
      <c r="C241" s="29" t="s">
        <v>179</v>
      </c>
      <c r="D241" s="30"/>
      <c r="E241" s="16">
        <v>0</v>
      </c>
      <c r="F241" s="16">
        <v>0</v>
      </c>
      <c r="G241" s="16">
        <v>0</v>
      </c>
      <c r="H241" s="16">
        <v>0</v>
      </c>
      <c r="I241" s="16">
        <v>0</v>
      </c>
      <c r="J241" s="16">
        <v>0</v>
      </c>
      <c r="K241" s="16">
        <v>0</v>
      </c>
      <c r="L241" s="16">
        <v>0</v>
      </c>
      <c r="M241" s="16">
        <v>0</v>
      </c>
      <c r="N241" s="16">
        <v>0</v>
      </c>
      <c r="O241" s="16">
        <v>0</v>
      </c>
      <c r="P241" s="16">
        <v>0</v>
      </c>
      <c r="Q241" s="16">
        <v>0</v>
      </c>
      <c r="R241" s="16">
        <v>0</v>
      </c>
      <c r="S241" s="16">
        <v>0</v>
      </c>
      <c r="T241" s="16">
        <v>1</v>
      </c>
      <c r="U241" s="16">
        <v>0</v>
      </c>
      <c r="V241" s="16">
        <v>0</v>
      </c>
      <c r="W241" s="16">
        <v>0</v>
      </c>
      <c r="X241" s="16">
        <v>0</v>
      </c>
      <c r="Y241" s="16">
        <v>0</v>
      </c>
      <c r="Z241" s="16">
        <v>0</v>
      </c>
      <c r="AA241" s="16">
        <v>0</v>
      </c>
      <c r="AB241" s="16">
        <v>0</v>
      </c>
      <c r="AC241" s="16">
        <v>0</v>
      </c>
      <c r="AD241" s="16">
        <v>0</v>
      </c>
      <c r="AE241" s="16">
        <v>0</v>
      </c>
      <c r="AF241" s="16">
        <v>0</v>
      </c>
      <c r="AG241" s="16">
        <v>0</v>
      </c>
      <c r="AH241" s="16">
        <v>0</v>
      </c>
      <c r="AI241" s="16">
        <v>0</v>
      </c>
      <c r="AJ241" s="16">
        <v>0</v>
      </c>
      <c r="AK241" s="16">
        <v>0</v>
      </c>
      <c r="AL241" s="16">
        <v>0</v>
      </c>
      <c r="AM241" s="13">
        <f t="shared" si="46"/>
        <v>1</v>
      </c>
    </row>
    <row r="242" spans="1:39" ht="12.75" customHeight="1" x14ac:dyDescent="0.3">
      <c r="A242" s="15"/>
      <c r="B242" s="28"/>
      <c r="C242" s="29" t="s">
        <v>180</v>
      </c>
      <c r="D242" s="30"/>
      <c r="E242" s="16">
        <v>0</v>
      </c>
      <c r="F242" s="16">
        <v>1</v>
      </c>
      <c r="G242" s="16">
        <v>0</v>
      </c>
      <c r="H242" s="16">
        <v>0</v>
      </c>
      <c r="I242" s="16">
        <v>0</v>
      </c>
      <c r="J242" s="16">
        <v>0</v>
      </c>
      <c r="K242" s="16">
        <v>0</v>
      </c>
      <c r="L242" s="16">
        <v>0</v>
      </c>
      <c r="M242" s="16">
        <v>0</v>
      </c>
      <c r="N242" s="16">
        <v>0</v>
      </c>
      <c r="O242" s="16">
        <v>0</v>
      </c>
      <c r="P242" s="16">
        <v>0</v>
      </c>
      <c r="Q242" s="16">
        <v>1</v>
      </c>
      <c r="R242" s="16">
        <v>0</v>
      </c>
      <c r="S242" s="16">
        <v>1</v>
      </c>
      <c r="T242" s="16">
        <v>0</v>
      </c>
      <c r="U242" s="16">
        <v>0</v>
      </c>
      <c r="V242" s="16">
        <v>0</v>
      </c>
      <c r="W242" s="16">
        <v>2</v>
      </c>
      <c r="X242" s="16">
        <v>0</v>
      </c>
      <c r="Y242" s="16">
        <v>0</v>
      </c>
      <c r="Z242" s="16">
        <v>0</v>
      </c>
      <c r="AA242" s="16">
        <v>1</v>
      </c>
      <c r="AB242" s="16">
        <v>0</v>
      </c>
      <c r="AC242" s="16">
        <v>3</v>
      </c>
      <c r="AD242" s="16">
        <v>0</v>
      </c>
      <c r="AE242" s="16">
        <v>0</v>
      </c>
      <c r="AF242" s="16">
        <v>0</v>
      </c>
      <c r="AG242" s="16">
        <v>1</v>
      </c>
      <c r="AH242" s="16">
        <v>0</v>
      </c>
      <c r="AI242" s="16">
        <v>0</v>
      </c>
      <c r="AJ242" s="16">
        <v>1</v>
      </c>
      <c r="AK242" s="16">
        <v>1</v>
      </c>
      <c r="AL242" s="16">
        <v>3</v>
      </c>
      <c r="AM242" s="13">
        <f t="shared" si="46"/>
        <v>15</v>
      </c>
    </row>
    <row r="243" spans="1:39" ht="12.75" customHeight="1" x14ac:dyDescent="0.3">
      <c r="A243" s="15"/>
      <c r="B243" s="28"/>
      <c r="C243" s="29" t="s">
        <v>181</v>
      </c>
      <c r="D243" s="30"/>
      <c r="E243" s="16">
        <v>0</v>
      </c>
      <c r="F243" s="16">
        <v>0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0</v>
      </c>
      <c r="M243" s="16">
        <v>1</v>
      </c>
      <c r="N243" s="16">
        <v>0</v>
      </c>
      <c r="O243" s="16">
        <v>0</v>
      </c>
      <c r="P243" s="16">
        <v>0</v>
      </c>
      <c r="Q243" s="16">
        <v>0</v>
      </c>
      <c r="R243" s="16">
        <v>0</v>
      </c>
      <c r="S243" s="16">
        <v>0</v>
      </c>
      <c r="T243" s="16">
        <v>0</v>
      </c>
      <c r="U243" s="16">
        <v>0</v>
      </c>
      <c r="V243" s="16">
        <v>0</v>
      </c>
      <c r="W243" s="16">
        <v>0</v>
      </c>
      <c r="X243" s="16">
        <v>0</v>
      </c>
      <c r="Y243" s="16">
        <v>0</v>
      </c>
      <c r="Z243" s="16">
        <v>0</v>
      </c>
      <c r="AA243" s="16">
        <v>1</v>
      </c>
      <c r="AB243" s="16">
        <v>0</v>
      </c>
      <c r="AC243" s="16">
        <v>1</v>
      </c>
      <c r="AD243" s="16">
        <v>0</v>
      </c>
      <c r="AE243" s="16">
        <v>0</v>
      </c>
      <c r="AF243" s="16">
        <v>0</v>
      </c>
      <c r="AG243" s="16">
        <v>0</v>
      </c>
      <c r="AH243" s="16">
        <v>0</v>
      </c>
      <c r="AI243" s="16">
        <v>0</v>
      </c>
      <c r="AJ243" s="16">
        <v>0</v>
      </c>
      <c r="AK243" s="16">
        <v>0</v>
      </c>
      <c r="AL243" s="16">
        <v>2</v>
      </c>
      <c r="AM243" s="13">
        <f t="shared" si="46"/>
        <v>5</v>
      </c>
    </row>
    <row r="244" spans="1:39" ht="12.75" customHeight="1" x14ac:dyDescent="0.3">
      <c r="A244" s="15"/>
      <c r="B244" s="28"/>
      <c r="C244" s="29" t="s">
        <v>182</v>
      </c>
      <c r="D244" s="30"/>
      <c r="E244" s="16">
        <v>0</v>
      </c>
      <c r="F244" s="16">
        <v>0</v>
      </c>
      <c r="G244" s="16">
        <v>0</v>
      </c>
      <c r="H244" s="16">
        <v>0</v>
      </c>
      <c r="I244" s="16">
        <v>0</v>
      </c>
      <c r="J244" s="16">
        <v>0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>
        <v>0</v>
      </c>
      <c r="Q244" s="16">
        <v>0</v>
      </c>
      <c r="R244" s="16">
        <v>0</v>
      </c>
      <c r="S244" s="16">
        <v>0</v>
      </c>
      <c r="T244" s="16">
        <v>0</v>
      </c>
      <c r="U244" s="16">
        <v>0</v>
      </c>
      <c r="V244" s="16">
        <v>0</v>
      </c>
      <c r="W244" s="16">
        <v>0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  <c r="AC244" s="16">
        <v>0</v>
      </c>
      <c r="AD244" s="16">
        <v>0</v>
      </c>
      <c r="AE244" s="16">
        <v>0</v>
      </c>
      <c r="AF244" s="16">
        <v>0</v>
      </c>
      <c r="AG244" s="16">
        <v>0</v>
      </c>
      <c r="AH244" s="16">
        <v>0</v>
      </c>
      <c r="AI244" s="16">
        <v>0</v>
      </c>
      <c r="AJ244" s="16">
        <v>0</v>
      </c>
      <c r="AK244" s="16">
        <v>2</v>
      </c>
      <c r="AL244" s="16">
        <v>0</v>
      </c>
      <c r="AM244" s="13">
        <f t="shared" si="46"/>
        <v>2</v>
      </c>
    </row>
    <row r="245" spans="1:39" ht="12.75" customHeight="1" x14ac:dyDescent="0.3">
      <c r="A245" s="15"/>
      <c r="B245" s="28"/>
      <c r="C245" s="29" t="s">
        <v>183</v>
      </c>
      <c r="D245" s="30"/>
      <c r="E245" s="16">
        <v>0</v>
      </c>
      <c r="F245" s="16">
        <v>0</v>
      </c>
      <c r="G245" s="16">
        <v>0</v>
      </c>
      <c r="H245" s="16">
        <v>0</v>
      </c>
      <c r="I245" s="16">
        <v>0</v>
      </c>
      <c r="J245" s="16">
        <v>0</v>
      </c>
      <c r="K245" s="16">
        <v>0</v>
      </c>
      <c r="L245" s="16">
        <v>0</v>
      </c>
      <c r="M245" s="16">
        <v>0</v>
      </c>
      <c r="N245" s="16">
        <v>0</v>
      </c>
      <c r="O245" s="16">
        <v>0</v>
      </c>
      <c r="P245" s="16">
        <v>0</v>
      </c>
      <c r="Q245" s="16">
        <v>0</v>
      </c>
      <c r="R245" s="16">
        <v>0</v>
      </c>
      <c r="S245" s="16">
        <v>0</v>
      </c>
      <c r="T245" s="16">
        <v>0</v>
      </c>
      <c r="U245" s="16">
        <v>1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1</v>
      </c>
      <c r="AB245" s="16">
        <v>0</v>
      </c>
      <c r="AC245" s="16">
        <v>0</v>
      </c>
      <c r="AD245" s="16">
        <v>0</v>
      </c>
      <c r="AE245" s="16">
        <v>0</v>
      </c>
      <c r="AF245" s="16">
        <v>0</v>
      </c>
      <c r="AG245" s="16">
        <v>0</v>
      </c>
      <c r="AH245" s="16">
        <v>0</v>
      </c>
      <c r="AI245" s="16">
        <v>0</v>
      </c>
      <c r="AJ245" s="16">
        <v>0</v>
      </c>
      <c r="AK245" s="16">
        <v>0</v>
      </c>
      <c r="AL245" s="16">
        <v>0</v>
      </c>
      <c r="AM245" s="13">
        <f t="shared" si="46"/>
        <v>2</v>
      </c>
    </row>
    <row r="246" spans="1:39" ht="12.75" customHeight="1" x14ac:dyDescent="0.3">
      <c r="A246" s="15"/>
      <c r="B246" s="28"/>
      <c r="C246" s="29" t="s">
        <v>184</v>
      </c>
      <c r="D246" s="30"/>
      <c r="E246" s="16">
        <v>0</v>
      </c>
      <c r="F246" s="16">
        <v>0</v>
      </c>
      <c r="G246" s="16">
        <v>0</v>
      </c>
      <c r="H246" s="16">
        <v>0</v>
      </c>
      <c r="I246" s="16">
        <v>1</v>
      </c>
      <c r="J246" s="16">
        <v>0</v>
      </c>
      <c r="K246" s="16">
        <v>0</v>
      </c>
      <c r="L246" s="16">
        <v>0</v>
      </c>
      <c r="M246" s="16">
        <v>0</v>
      </c>
      <c r="N246" s="16">
        <v>0</v>
      </c>
      <c r="O246" s="16">
        <v>0</v>
      </c>
      <c r="P246" s="16">
        <v>0</v>
      </c>
      <c r="Q246" s="16">
        <v>0</v>
      </c>
      <c r="R246" s="16">
        <v>0</v>
      </c>
      <c r="S246" s="16">
        <v>0</v>
      </c>
      <c r="T246" s="16">
        <v>0</v>
      </c>
      <c r="U246" s="16">
        <v>0</v>
      </c>
      <c r="V246" s="16">
        <v>0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  <c r="AC246" s="16">
        <v>1</v>
      </c>
      <c r="AD246" s="16">
        <v>0</v>
      </c>
      <c r="AE246" s="16">
        <v>0</v>
      </c>
      <c r="AF246" s="16">
        <v>0</v>
      </c>
      <c r="AG246" s="16">
        <v>0</v>
      </c>
      <c r="AH246" s="16">
        <v>1</v>
      </c>
      <c r="AI246" s="16">
        <v>0</v>
      </c>
      <c r="AJ246" s="16">
        <v>0</v>
      </c>
      <c r="AK246" s="16">
        <v>0</v>
      </c>
      <c r="AL246" s="16">
        <v>0</v>
      </c>
      <c r="AM246" s="13">
        <f t="shared" si="46"/>
        <v>3</v>
      </c>
    </row>
    <row r="247" spans="1:39" ht="12.75" customHeight="1" x14ac:dyDescent="0.3">
      <c r="A247" s="16" t="s">
        <v>15</v>
      </c>
      <c r="B247" s="59" t="s">
        <v>49</v>
      </c>
      <c r="C247" s="60"/>
      <c r="D247" s="58"/>
      <c r="E247" s="13">
        <f t="shared" ref="E247:AM247" si="47">SUM(E237:E246)</f>
        <v>1</v>
      </c>
      <c r="F247" s="13">
        <f t="shared" si="47"/>
        <v>6</v>
      </c>
      <c r="G247" s="13">
        <f t="shared" si="47"/>
        <v>3</v>
      </c>
      <c r="H247" s="13">
        <f t="shared" si="47"/>
        <v>1</v>
      </c>
      <c r="I247" s="13">
        <f t="shared" si="47"/>
        <v>1</v>
      </c>
      <c r="J247" s="13">
        <f t="shared" si="47"/>
        <v>0</v>
      </c>
      <c r="K247" s="13">
        <f t="shared" si="47"/>
        <v>0</v>
      </c>
      <c r="L247" s="13">
        <f t="shared" si="47"/>
        <v>0</v>
      </c>
      <c r="M247" s="13">
        <f t="shared" si="47"/>
        <v>4</v>
      </c>
      <c r="N247" s="13">
        <f t="shared" si="47"/>
        <v>2</v>
      </c>
      <c r="O247" s="13">
        <f t="shared" si="47"/>
        <v>1</v>
      </c>
      <c r="P247" s="13">
        <f t="shared" si="47"/>
        <v>0</v>
      </c>
      <c r="Q247" s="13">
        <f t="shared" si="47"/>
        <v>2</v>
      </c>
      <c r="R247" s="13">
        <f t="shared" si="47"/>
        <v>1</v>
      </c>
      <c r="S247" s="13">
        <f t="shared" si="47"/>
        <v>3</v>
      </c>
      <c r="T247" s="13">
        <f t="shared" si="47"/>
        <v>2</v>
      </c>
      <c r="U247" s="13">
        <f t="shared" si="47"/>
        <v>3</v>
      </c>
      <c r="V247" s="13">
        <f t="shared" si="47"/>
        <v>1</v>
      </c>
      <c r="W247" s="13">
        <f t="shared" si="47"/>
        <v>4</v>
      </c>
      <c r="X247" s="13">
        <f t="shared" si="47"/>
        <v>6</v>
      </c>
      <c r="Y247" s="13">
        <f t="shared" si="47"/>
        <v>9</v>
      </c>
      <c r="Z247" s="13">
        <f t="shared" si="47"/>
        <v>3</v>
      </c>
      <c r="AA247" s="13">
        <f t="shared" si="47"/>
        <v>11</v>
      </c>
      <c r="AB247" s="13">
        <f t="shared" si="47"/>
        <v>5</v>
      </c>
      <c r="AC247" s="13">
        <f t="shared" si="47"/>
        <v>14</v>
      </c>
      <c r="AD247" s="13">
        <f t="shared" si="47"/>
        <v>2</v>
      </c>
      <c r="AE247" s="13">
        <f t="shared" si="47"/>
        <v>2</v>
      </c>
      <c r="AF247" s="13">
        <f t="shared" si="47"/>
        <v>1</v>
      </c>
      <c r="AG247" s="13">
        <f t="shared" si="47"/>
        <v>4</v>
      </c>
      <c r="AH247" s="13">
        <f t="shared" si="47"/>
        <v>5</v>
      </c>
      <c r="AI247" s="13">
        <f t="shared" si="47"/>
        <v>2</v>
      </c>
      <c r="AJ247" s="13">
        <f t="shared" si="47"/>
        <v>2</v>
      </c>
      <c r="AK247" s="13">
        <f t="shared" si="47"/>
        <v>9</v>
      </c>
      <c r="AL247" s="13">
        <f t="shared" si="47"/>
        <v>10</v>
      </c>
      <c r="AM247" s="13">
        <f t="shared" si="47"/>
        <v>120</v>
      </c>
    </row>
    <row r="248" spans="1:39" ht="12.75" customHeight="1" x14ac:dyDescent="0.3">
      <c r="A248" s="61"/>
      <c r="B248" s="60"/>
      <c r="C248" s="60"/>
      <c r="D248" s="60"/>
      <c r="E248" s="58"/>
    </row>
    <row r="249" spans="1:39" ht="12.75" customHeight="1" x14ac:dyDescent="0.3">
      <c r="A249" s="20" t="s">
        <v>37</v>
      </c>
      <c r="B249" s="27" t="s">
        <v>185</v>
      </c>
      <c r="C249" s="57" t="s">
        <v>186</v>
      </c>
      <c r="D249" s="58"/>
      <c r="E249" s="16">
        <v>1</v>
      </c>
      <c r="F249" s="16">
        <v>0</v>
      </c>
      <c r="G249" s="16">
        <v>1</v>
      </c>
      <c r="H249" s="16">
        <v>1</v>
      </c>
      <c r="I249" s="16">
        <v>1</v>
      </c>
      <c r="J249" s="16">
        <v>0</v>
      </c>
      <c r="K249" s="16">
        <v>1</v>
      </c>
      <c r="L249" s="16">
        <v>0</v>
      </c>
      <c r="M249" s="16">
        <v>2</v>
      </c>
      <c r="N249" s="16">
        <v>1</v>
      </c>
      <c r="O249" s="16">
        <v>0</v>
      </c>
      <c r="P249" s="16">
        <v>1</v>
      </c>
      <c r="Q249" s="16">
        <v>1</v>
      </c>
      <c r="R249" s="16">
        <v>2</v>
      </c>
      <c r="S249" s="16">
        <v>0</v>
      </c>
      <c r="T249" s="16">
        <v>0</v>
      </c>
      <c r="U249" s="16">
        <v>0</v>
      </c>
      <c r="V249" s="16">
        <v>2</v>
      </c>
      <c r="W249" s="16">
        <v>1</v>
      </c>
      <c r="X249" s="16">
        <v>0</v>
      </c>
      <c r="Y249" s="16">
        <v>1</v>
      </c>
      <c r="Z249" s="16">
        <v>1</v>
      </c>
      <c r="AA249" s="16">
        <v>0</v>
      </c>
      <c r="AB249" s="16">
        <v>0</v>
      </c>
      <c r="AC249" s="16">
        <v>0</v>
      </c>
      <c r="AD249" s="16">
        <v>0</v>
      </c>
      <c r="AE249" s="16">
        <v>0</v>
      </c>
      <c r="AF249" s="16">
        <v>1</v>
      </c>
      <c r="AG249" s="16">
        <v>0</v>
      </c>
      <c r="AH249" s="16">
        <v>2</v>
      </c>
      <c r="AI249" s="16">
        <v>0</v>
      </c>
      <c r="AJ249" s="16">
        <v>0</v>
      </c>
      <c r="AK249" s="16">
        <v>0</v>
      </c>
      <c r="AL249" s="16">
        <v>0</v>
      </c>
      <c r="AM249" s="13">
        <f t="shared" ref="AM249:AM258" si="48">SUM(E249:AL249)</f>
        <v>20</v>
      </c>
    </row>
    <row r="250" spans="1:39" ht="12.75" customHeight="1" x14ac:dyDescent="0.3">
      <c r="A250" s="20" t="s">
        <v>39</v>
      </c>
      <c r="B250" s="28"/>
      <c r="C250" s="29" t="s">
        <v>187</v>
      </c>
      <c r="D250" s="30"/>
      <c r="E250" s="16">
        <v>7</v>
      </c>
      <c r="F250" s="16">
        <v>3</v>
      </c>
      <c r="G250" s="16">
        <v>0</v>
      </c>
      <c r="H250" s="16">
        <v>0</v>
      </c>
      <c r="I250" s="16">
        <v>1</v>
      </c>
      <c r="J250" s="16">
        <v>0</v>
      </c>
      <c r="K250" s="16">
        <v>0</v>
      </c>
      <c r="L250" s="16">
        <v>1</v>
      </c>
      <c r="M250" s="16">
        <v>7</v>
      </c>
      <c r="N250" s="16">
        <v>0</v>
      </c>
      <c r="O250" s="16">
        <v>1</v>
      </c>
      <c r="P250" s="16">
        <v>3</v>
      </c>
      <c r="Q250" s="16">
        <v>0</v>
      </c>
      <c r="R250" s="16">
        <v>7</v>
      </c>
      <c r="S250" s="16">
        <v>0</v>
      </c>
      <c r="T250" s="16">
        <v>1</v>
      </c>
      <c r="U250" s="16">
        <v>1</v>
      </c>
      <c r="V250" s="16">
        <v>0</v>
      </c>
      <c r="W250" s="16">
        <v>1</v>
      </c>
      <c r="X250" s="16">
        <v>0</v>
      </c>
      <c r="Y250" s="16">
        <v>0</v>
      </c>
      <c r="Z250" s="16">
        <v>0</v>
      </c>
      <c r="AA250" s="16">
        <v>1</v>
      </c>
      <c r="AB250" s="16">
        <v>0</v>
      </c>
      <c r="AC250" s="16">
        <v>0</v>
      </c>
      <c r="AD250" s="16">
        <v>5</v>
      </c>
      <c r="AE250" s="16">
        <v>0</v>
      </c>
      <c r="AF250" s="16">
        <v>3</v>
      </c>
      <c r="AG250" s="16">
        <v>1</v>
      </c>
      <c r="AH250" s="16">
        <v>3</v>
      </c>
      <c r="AI250" s="16">
        <v>0</v>
      </c>
      <c r="AJ250" s="16">
        <v>0</v>
      </c>
      <c r="AK250" s="16">
        <v>1</v>
      </c>
      <c r="AL250" s="16">
        <v>0</v>
      </c>
      <c r="AM250" s="13">
        <f t="shared" si="48"/>
        <v>47</v>
      </c>
    </row>
    <row r="251" spans="1:39" ht="12.75" customHeight="1" x14ac:dyDescent="0.3">
      <c r="A251" s="15"/>
      <c r="B251" s="28"/>
      <c r="C251" s="29" t="s">
        <v>188</v>
      </c>
      <c r="D251" s="30"/>
      <c r="E251" s="16">
        <v>0</v>
      </c>
      <c r="F251" s="16">
        <v>0</v>
      </c>
      <c r="G251" s="16">
        <v>0</v>
      </c>
      <c r="H251" s="16">
        <v>0</v>
      </c>
      <c r="I251" s="16">
        <v>0</v>
      </c>
      <c r="J251" s="16">
        <v>0</v>
      </c>
      <c r="K251" s="16">
        <v>0</v>
      </c>
      <c r="L251" s="16">
        <v>0</v>
      </c>
      <c r="M251" s="16">
        <v>1</v>
      </c>
      <c r="N251" s="16">
        <v>0</v>
      </c>
      <c r="O251" s="16">
        <v>1</v>
      </c>
      <c r="P251" s="16">
        <v>0</v>
      </c>
      <c r="Q251" s="16">
        <v>0</v>
      </c>
      <c r="R251" s="16">
        <v>1</v>
      </c>
      <c r="S251" s="16">
        <v>0</v>
      </c>
      <c r="T251" s="16">
        <v>0</v>
      </c>
      <c r="U251" s="16">
        <v>0</v>
      </c>
      <c r="V251" s="16">
        <v>0</v>
      </c>
      <c r="W251" s="16">
        <v>0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  <c r="AC251" s="16">
        <v>0</v>
      </c>
      <c r="AD251" s="16">
        <v>1</v>
      </c>
      <c r="AE251" s="16">
        <v>0</v>
      </c>
      <c r="AF251" s="16">
        <v>1</v>
      </c>
      <c r="AG251" s="16">
        <v>2</v>
      </c>
      <c r="AH251" s="16">
        <v>0</v>
      </c>
      <c r="AI251" s="16">
        <v>0</v>
      </c>
      <c r="AJ251" s="16">
        <v>0</v>
      </c>
      <c r="AK251" s="16">
        <v>0</v>
      </c>
      <c r="AL251" s="16">
        <v>0</v>
      </c>
      <c r="AM251" s="13">
        <f t="shared" si="48"/>
        <v>7</v>
      </c>
    </row>
    <row r="252" spans="1:39" ht="12.75" customHeight="1" x14ac:dyDescent="0.3">
      <c r="A252" s="15"/>
      <c r="B252" s="28"/>
      <c r="C252" s="29" t="s">
        <v>189</v>
      </c>
      <c r="D252" s="30"/>
      <c r="E252" s="16">
        <v>0</v>
      </c>
      <c r="F252" s="16">
        <v>0</v>
      </c>
      <c r="G252" s="16">
        <v>0</v>
      </c>
      <c r="H252" s="16">
        <v>0</v>
      </c>
      <c r="I252" s="16">
        <v>0</v>
      </c>
      <c r="J252" s="16">
        <v>0</v>
      </c>
      <c r="K252" s="16">
        <v>0</v>
      </c>
      <c r="L252" s="16">
        <v>0</v>
      </c>
      <c r="M252" s="16">
        <v>1</v>
      </c>
      <c r="N252" s="16">
        <v>0</v>
      </c>
      <c r="O252" s="16">
        <v>1</v>
      </c>
      <c r="P252" s="16">
        <v>0</v>
      </c>
      <c r="Q252" s="16">
        <v>0</v>
      </c>
      <c r="R252" s="16">
        <v>0</v>
      </c>
      <c r="S252" s="16">
        <v>0</v>
      </c>
      <c r="T252" s="16">
        <v>0</v>
      </c>
      <c r="U252" s="16">
        <v>0</v>
      </c>
      <c r="V252" s="16">
        <v>1</v>
      </c>
      <c r="W252" s="16">
        <v>1</v>
      </c>
      <c r="X252" s="16">
        <v>0</v>
      </c>
      <c r="Y252" s="16">
        <v>0</v>
      </c>
      <c r="Z252" s="16">
        <v>0</v>
      </c>
      <c r="AA252" s="16">
        <v>0</v>
      </c>
      <c r="AB252" s="16">
        <v>0</v>
      </c>
      <c r="AC252" s="16">
        <v>0</v>
      </c>
      <c r="AD252" s="16">
        <v>0</v>
      </c>
      <c r="AE252" s="16">
        <v>0</v>
      </c>
      <c r="AF252" s="16">
        <v>1</v>
      </c>
      <c r="AG252" s="16">
        <v>0</v>
      </c>
      <c r="AH252" s="16">
        <v>0</v>
      </c>
      <c r="AI252" s="16">
        <v>0</v>
      </c>
      <c r="AJ252" s="16">
        <v>1</v>
      </c>
      <c r="AK252" s="16">
        <v>0</v>
      </c>
      <c r="AL252" s="16">
        <v>1</v>
      </c>
      <c r="AM252" s="13">
        <f t="shared" si="48"/>
        <v>7</v>
      </c>
    </row>
    <row r="253" spans="1:39" ht="12.75" customHeight="1" x14ac:dyDescent="0.3">
      <c r="A253" s="15"/>
      <c r="B253" s="36"/>
      <c r="C253" s="44"/>
      <c r="D253" s="38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3">
        <f t="shared" si="48"/>
        <v>0</v>
      </c>
    </row>
    <row r="254" spans="1:39" ht="12.75" customHeight="1" x14ac:dyDescent="0.3">
      <c r="A254" s="15"/>
      <c r="B254" s="36"/>
      <c r="C254" s="44"/>
      <c r="D254" s="38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3">
        <f t="shared" si="48"/>
        <v>0</v>
      </c>
    </row>
    <row r="255" spans="1:39" ht="12.75" customHeight="1" x14ac:dyDescent="0.3">
      <c r="A255" s="15"/>
      <c r="B255" s="36"/>
      <c r="C255" s="44"/>
      <c r="D255" s="38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3">
        <f t="shared" si="48"/>
        <v>0</v>
      </c>
    </row>
    <row r="256" spans="1:39" ht="12.75" customHeight="1" x14ac:dyDescent="0.3">
      <c r="A256" s="15"/>
      <c r="B256" s="36"/>
      <c r="C256" s="43"/>
      <c r="D256" s="38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3">
        <f t="shared" si="48"/>
        <v>0</v>
      </c>
    </row>
    <row r="257" spans="1:39" ht="12.75" customHeight="1" x14ac:dyDescent="0.3">
      <c r="A257" s="15"/>
      <c r="B257" s="36"/>
      <c r="C257" s="43"/>
      <c r="D257" s="38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3">
        <f t="shared" si="48"/>
        <v>0</v>
      </c>
    </row>
    <row r="258" spans="1:39" ht="12.75" customHeight="1" x14ac:dyDescent="0.3">
      <c r="A258" s="15"/>
      <c r="B258" s="36"/>
      <c r="C258" s="43"/>
      <c r="D258" s="38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3">
        <f t="shared" si="48"/>
        <v>0</v>
      </c>
    </row>
    <row r="259" spans="1:39" ht="12.75" customHeight="1" x14ac:dyDescent="0.3">
      <c r="A259" s="16" t="s">
        <v>15</v>
      </c>
      <c r="B259" s="59" t="s">
        <v>49</v>
      </c>
      <c r="C259" s="60"/>
      <c r="D259" s="58"/>
      <c r="E259" s="13">
        <f t="shared" ref="E259:AM259" si="49">SUM(E249:E258)</f>
        <v>8</v>
      </c>
      <c r="F259" s="13">
        <f t="shared" si="49"/>
        <v>3</v>
      </c>
      <c r="G259" s="13">
        <f t="shared" si="49"/>
        <v>1</v>
      </c>
      <c r="H259" s="13">
        <f t="shared" si="49"/>
        <v>1</v>
      </c>
      <c r="I259" s="13">
        <f t="shared" si="49"/>
        <v>2</v>
      </c>
      <c r="J259" s="13">
        <f t="shared" si="49"/>
        <v>0</v>
      </c>
      <c r="K259" s="13">
        <f t="shared" si="49"/>
        <v>1</v>
      </c>
      <c r="L259" s="13">
        <f t="shared" si="49"/>
        <v>1</v>
      </c>
      <c r="M259" s="13">
        <f t="shared" si="49"/>
        <v>11</v>
      </c>
      <c r="N259" s="13">
        <f t="shared" si="49"/>
        <v>1</v>
      </c>
      <c r="O259" s="13">
        <f t="shared" si="49"/>
        <v>3</v>
      </c>
      <c r="P259" s="13">
        <f t="shared" si="49"/>
        <v>4</v>
      </c>
      <c r="Q259" s="13">
        <f t="shared" si="49"/>
        <v>1</v>
      </c>
      <c r="R259" s="13">
        <f t="shared" si="49"/>
        <v>10</v>
      </c>
      <c r="S259" s="13">
        <f t="shared" si="49"/>
        <v>0</v>
      </c>
      <c r="T259" s="13">
        <f t="shared" si="49"/>
        <v>1</v>
      </c>
      <c r="U259" s="13">
        <f t="shared" si="49"/>
        <v>1</v>
      </c>
      <c r="V259" s="13">
        <f t="shared" si="49"/>
        <v>3</v>
      </c>
      <c r="W259" s="13">
        <f t="shared" si="49"/>
        <v>3</v>
      </c>
      <c r="X259" s="13">
        <f t="shared" si="49"/>
        <v>0</v>
      </c>
      <c r="Y259" s="13">
        <f t="shared" si="49"/>
        <v>1</v>
      </c>
      <c r="Z259" s="13">
        <f t="shared" si="49"/>
        <v>1</v>
      </c>
      <c r="AA259" s="13">
        <f t="shared" si="49"/>
        <v>1</v>
      </c>
      <c r="AB259" s="13">
        <f t="shared" si="49"/>
        <v>0</v>
      </c>
      <c r="AC259" s="13">
        <f t="shared" si="49"/>
        <v>0</v>
      </c>
      <c r="AD259" s="13">
        <f t="shared" si="49"/>
        <v>6</v>
      </c>
      <c r="AE259" s="13">
        <f t="shared" si="49"/>
        <v>0</v>
      </c>
      <c r="AF259" s="13">
        <f t="shared" si="49"/>
        <v>6</v>
      </c>
      <c r="AG259" s="13">
        <f t="shared" si="49"/>
        <v>3</v>
      </c>
      <c r="AH259" s="13">
        <f t="shared" si="49"/>
        <v>5</v>
      </c>
      <c r="AI259" s="13">
        <f t="shared" si="49"/>
        <v>0</v>
      </c>
      <c r="AJ259" s="13">
        <f t="shared" si="49"/>
        <v>1</v>
      </c>
      <c r="AK259" s="13">
        <f t="shared" si="49"/>
        <v>1</v>
      </c>
      <c r="AL259" s="13">
        <f t="shared" si="49"/>
        <v>1</v>
      </c>
      <c r="AM259" s="13">
        <f t="shared" si="49"/>
        <v>81</v>
      </c>
    </row>
    <row r="260" spans="1:39" ht="12.75" customHeight="1" x14ac:dyDescent="0.3"/>
    <row r="261" spans="1:39" ht="12.75" customHeight="1" x14ac:dyDescent="0.3">
      <c r="A261" s="26" t="s">
        <v>190</v>
      </c>
      <c r="B261" s="66" t="s">
        <v>191</v>
      </c>
      <c r="C261" s="60"/>
      <c r="D261" s="58"/>
      <c r="E261" s="13"/>
      <c r="F261" s="13"/>
      <c r="G261" s="13"/>
      <c r="H261" s="13"/>
      <c r="I261" s="13"/>
      <c r="J261" s="13"/>
      <c r="K261" s="13"/>
      <c r="L261" s="13"/>
      <c r="M261" s="13"/>
      <c r="N261" s="50"/>
      <c r="O261" s="50"/>
      <c r="P261" s="50"/>
      <c r="Q261" s="50"/>
      <c r="R261" s="50"/>
      <c r="S261" s="13"/>
      <c r="T261" s="13"/>
      <c r="U261" s="13"/>
      <c r="V261" s="13"/>
      <c r="W261" s="13"/>
      <c r="X261" s="13"/>
      <c r="Y261" s="13"/>
      <c r="Z261" s="13"/>
      <c r="AA261" s="50"/>
      <c r="AB261" s="50"/>
      <c r="AC261" s="50"/>
      <c r="AD261" s="50"/>
      <c r="AE261" s="50"/>
      <c r="AF261" s="13"/>
      <c r="AG261" s="50"/>
      <c r="AH261" s="50"/>
      <c r="AI261" s="50"/>
      <c r="AJ261" s="50"/>
      <c r="AK261" s="50"/>
      <c r="AL261" s="50"/>
      <c r="AM261" s="13"/>
    </row>
    <row r="262" spans="1:39" ht="12.75" customHeight="1" x14ac:dyDescent="0.3">
      <c r="A262" s="26"/>
      <c r="B262" s="45" t="s">
        <v>192</v>
      </c>
      <c r="C262" s="67" t="s">
        <v>193</v>
      </c>
      <c r="D262" s="58"/>
      <c r="E262" s="16">
        <f t="shared" ref="E262:AL262" si="50">E55+E67+E79+E91+E103+E115+E127+E139+E151+E163+E175+E187+E199+E211+E223+E235+E247+E259</f>
        <v>176</v>
      </c>
      <c r="F262" s="16">
        <f t="shared" si="50"/>
        <v>178</v>
      </c>
      <c r="G262" s="16">
        <f t="shared" si="50"/>
        <v>160</v>
      </c>
      <c r="H262" s="16">
        <f t="shared" si="50"/>
        <v>170</v>
      </c>
      <c r="I262" s="16">
        <f t="shared" si="50"/>
        <v>193</v>
      </c>
      <c r="J262" s="16">
        <f t="shared" si="50"/>
        <v>161</v>
      </c>
      <c r="K262" s="16">
        <f t="shared" si="50"/>
        <v>175</v>
      </c>
      <c r="L262" s="16">
        <f t="shared" si="50"/>
        <v>162</v>
      </c>
      <c r="M262" s="16">
        <f t="shared" si="50"/>
        <v>188</v>
      </c>
      <c r="N262" s="16">
        <f t="shared" si="50"/>
        <v>188</v>
      </c>
      <c r="O262" s="16">
        <f t="shared" si="50"/>
        <v>179</v>
      </c>
      <c r="P262" s="16">
        <f t="shared" si="50"/>
        <v>169</v>
      </c>
      <c r="Q262" s="16">
        <f t="shared" si="50"/>
        <v>180</v>
      </c>
      <c r="R262" s="16">
        <f t="shared" si="50"/>
        <v>176</v>
      </c>
      <c r="S262" s="16">
        <f t="shared" si="50"/>
        <v>180</v>
      </c>
      <c r="T262" s="16">
        <f t="shared" si="50"/>
        <v>184</v>
      </c>
      <c r="U262" s="16">
        <f t="shared" si="50"/>
        <v>175</v>
      </c>
      <c r="V262" s="16">
        <f t="shared" si="50"/>
        <v>154</v>
      </c>
      <c r="W262" s="16">
        <f t="shared" si="50"/>
        <v>161</v>
      </c>
      <c r="X262" s="16">
        <f t="shared" si="50"/>
        <v>177</v>
      </c>
      <c r="Y262" s="16">
        <f t="shared" si="50"/>
        <v>197</v>
      </c>
      <c r="Z262" s="16">
        <f t="shared" si="50"/>
        <v>96</v>
      </c>
      <c r="AA262" s="16">
        <f t="shared" si="50"/>
        <v>172</v>
      </c>
      <c r="AB262" s="16">
        <f t="shared" si="50"/>
        <v>186</v>
      </c>
      <c r="AC262" s="16">
        <f t="shared" si="50"/>
        <v>209</v>
      </c>
      <c r="AD262" s="16">
        <f t="shared" si="50"/>
        <v>188</v>
      </c>
      <c r="AE262" s="16">
        <f t="shared" si="50"/>
        <v>179</v>
      </c>
      <c r="AF262" s="16">
        <f t="shared" si="50"/>
        <v>202</v>
      </c>
      <c r="AG262" s="16">
        <f t="shared" si="50"/>
        <v>165</v>
      </c>
      <c r="AH262" s="16">
        <f t="shared" si="50"/>
        <v>161</v>
      </c>
      <c r="AI262" s="16">
        <f t="shared" si="50"/>
        <v>183</v>
      </c>
      <c r="AJ262" s="16">
        <f t="shared" si="50"/>
        <v>201</v>
      </c>
      <c r="AK262" s="16">
        <f t="shared" si="50"/>
        <v>193</v>
      </c>
      <c r="AL262" s="16">
        <f t="shared" si="50"/>
        <v>175</v>
      </c>
      <c r="AM262" s="13">
        <f t="shared" ref="AM262:AM264" si="51">SUM(E262:AL262)</f>
        <v>5993</v>
      </c>
    </row>
    <row r="263" spans="1:39" ht="12.75" customHeight="1" x14ac:dyDescent="0.3">
      <c r="A263" s="22"/>
      <c r="B263" s="45" t="s">
        <v>194</v>
      </c>
      <c r="C263" s="67" t="s">
        <v>195</v>
      </c>
      <c r="D263" s="58"/>
      <c r="E263" s="16">
        <v>19</v>
      </c>
      <c r="F263" s="16">
        <v>35</v>
      </c>
      <c r="G263" s="16">
        <v>18</v>
      </c>
      <c r="H263" s="16">
        <v>23</v>
      </c>
      <c r="I263" s="16">
        <v>26</v>
      </c>
      <c r="J263" s="16">
        <v>21</v>
      </c>
      <c r="K263" s="16">
        <v>29</v>
      </c>
      <c r="L263" s="16">
        <v>31</v>
      </c>
      <c r="M263" s="16">
        <v>21</v>
      </c>
      <c r="N263" s="16">
        <v>33</v>
      </c>
      <c r="O263" s="16">
        <v>19</v>
      </c>
      <c r="P263" s="16">
        <v>29</v>
      </c>
      <c r="Q263" s="16">
        <v>33</v>
      </c>
      <c r="R263" s="16">
        <v>24</v>
      </c>
      <c r="S263" s="16">
        <v>22</v>
      </c>
      <c r="T263" s="16">
        <v>33</v>
      </c>
      <c r="U263" s="16">
        <v>38</v>
      </c>
      <c r="V263" s="16">
        <v>46</v>
      </c>
      <c r="W263" s="16">
        <v>26</v>
      </c>
      <c r="X263" s="16">
        <v>31</v>
      </c>
      <c r="Y263" s="16">
        <v>25</v>
      </c>
      <c r="Z263" s="16">
        <v>18</v>
      </c>
      <c r="AA263" s="16">
        <v>43</v>
      </c>
      <c r="AB263" s="16">
        <v>19</v>
      </c>
      <c r="AC263" s="16">
        <v>22</v>
      </c>
      <c r="AD263" s="16">
        <v>31</v>
      </c>
      <c r="AE263" s="16">
        <v>37</v>
      </c>
      <c r="AF263" s="16">
        <v>38</v>
      </c>
      <c r="AG263" s="16">
        <v>20</v>
      </c>
      <c r="AH263" s="16">
        <v>21</v>
      </c>
      <c r="AI263" s="16">
        <v>14</v>
      </c>
      <c r="AJ263" s="16">
        <v>21</v>
      </c>
      <c r="AK263" s="16">
        <v>16</v>
      </c>
      <c r="AL263" s="16">
        <v>24</v>
      </c>
      <c r="AM263" s="13">
        <f t="shared" si="51"/>
        <v>906</v>
      </c>
    </row>
    <row r="264" spans="1:39" ht="12.75" customHeight="1" x14ac:dyDescent="0.3">
      <c r="A264" s="25"/>
      <c r="B264" s="45" t="s">
        <v>196</v>
      </c>
      <c r="C264" s="67" t="s">
        <v>197</v>
      </c>
      <c r="D264" s="58"/>
      <c r="E264" s="13">
        <f t="shared" ref="E264:AL264" si="52">SUM(E262:E263)</f>
        <v>195</v>
      </c>
      <c r="F264" s="13">
        <f t="shared" si="52"/>
        <v>213</v>
      </c>
      <c r="G264" s="13">
        <f t="shared" si="52"/>
        <v>178</v>
      </c>
      <c r="H264" s="13">
        <f t="shared" si="52"/>
        <v>193</v>
      </c>
      <c r="I264" s="13">
        <f t="shared" si="52"/>
        <v>219</v>
      </c>
      <c r="J264" s="13">
        <f t="shared" si="52"/>
        <v>182</v>
      </c>
      <c r="K264" s="13">
        <f t="shared" si="52"/>
        <v>204</v>
      </c>
      <c r="L264" s="13">
        <f t="shared" si="52"/>
        <v>193</v>
      </c>
      <c r="M264" s="13">
        <f t="shared" si="52"/>
        <v>209</v>
      </c>
      <c r="N264" s="13">
        <f t="shared" si="52"/>
        <v>221</v>
      </c>
      <c r="O264" s="13">
        <f t="shared" si="52"/>
        <v>198</v>
      </c>
      <c r="P264" s="13">
        <f t="shared" si="52"/>
        <v>198</v>
      </c>
      <c r="Q264" s="13">
        <f t="shared" si="52"/>
        <v>213</v>
      </c>
      <c r="R264" s="13">
        <f t="shared" si="52"/>
        <v>200</v>
      </c>
      <c r="S264" s="13">
        <f t="shared" si="52"/>
        <v>202</v>
      </c>
      <c r="T264" s="13">
        <f t="shared" si="52"/>
        <v>217</v>
      </c>
      <c r="U264" s="13">
        <f t="shared" si="52"/>
        <v>213</v>
      </c>
      <c r="V264" s="13">
        <f t="shared" si="52"/>
        <v>200</v>
      </c>
      <c r="W264" s="13">
        <f t="shared" si="52"/>
        <v>187</v>
      </c>
      <c r="X264" s="13">
        <f t="shared" si="52"/>
        <v>208</v>
      </c>
      <c r="Y264" s="13">
        <f t="shared" si="52"/>
        <v>222</v>
      </c>
      <c r="Z264" s="13">
        <f t="shared" si="52"/>
        <v>114</v>
      </c>
      <c r="AA264" s="13">
        <f t="shared" si="52"/>
        <v>215</v>
      </c>
      <c r="AB264" s="13">
        <f t="shared" si="52"/>
        <v>205</v>
      </c>
      <c r="AC264" s="13">
        <f t="shared" si="52"/>
        <v>231</v>
      </c>
      <c r="AD264" s="13">
        <f t="shared" si="52"/>
        <v>219</v>
      </c>
      <c r="AE264" s="13">
        <f t="shared" si="52"/>
        <v>216</v>
      </c>
      <c r="AF264" s="13">
        <f t="shared" si="52"/>
        <v>240</v>
      </c>
      <c r="AG264" s="13">
        <f t="shared" si="52"/>
        <v>185</v>
      </c>
      <c r="AH264" s="13">
        <f t="shared" si="52"/>
        <v>182</v>
      </c>
      <c r="AI264" s="13">
        <f t="shared" si="52"/>
        <v>197</v>
      </c>
      <c r="AJ264" s="13">
        <f t="shared" si="52"/>
        <v>222</v>
      </c>
      <c r="AK264" s="13">
        <f t="shared" si="52"/>
        <v>209</v>
      </c>
      <c r="AL264" s="13">
        <f t="shared" si="52"/>
        <v>199</v>
      </c>
      <c r="AM264" s="13">
        <f t="shared" si="51"/>
        <v>6899</v>
      </c>
    </row>
    <row r="265" spans="1:39" ht="12.75" customHeight="1" x14ac:dyDescent="0.3"/>
    <row r="266" spans="1:39" ht="12.75" customHeight="1" x14ac:dyDescent="0.3"/>
    <row r="267" spans="1:39" ht="12.75" customHeight="1" x14ac:dyDescent="0.3"/>
    <row r="268" spans="1:39" ht="12.75" customHeight="1" x14ac:dyDescent="0.3"/>
    <row r="269" spans="1:39" ht="12.75" customHeight="1" x14ac:dyDescent="0.3"/>
    <row r="270" spans="1:39" ht="12.75" customHeight="1" x14ac:dyDescent="0.3"/>
    <row r="271" spans="1:39" ht="12.75" customHeight="1" x14ac:dyDescent="0.3"/>
    <row r="272" spans="1:39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86">
    <mergeCell ref="C69:D69"/>
    <mergeCell ref="B79:D79"/>
    <mergeCell ref="B139:D139"/>
    <mergeCell ref="A140:E140"/>
    <mergeCell ref="C141:D141"/>
    <mergeCell ref="B55:D55"/>
    <mergeCell ref="A56:E56"/>
    <mergeCell ref="C57:D57"/>
    <mergeCell ref="B67:D67"/>
    <mergeCell ref="A68:E68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V42"/>
    <mergeCell ref="B43:D43"/>
    <mergeCell ref="B25:B27"/>
    <mergeCell ref="C25:C27"/>
    <mergeCell ref="B28:B30"/>
    <mergeCell ref="A37:D37"/>
    <mergeCell ref="E37:V37"/>
    <mergeCell ref="A17:D17"/>
    <mergeCell ref="B18:D18"/>
    <mergeCell ref="B19:B21"/>
    <mergeCell ref="C19:C21"/>
    <mergeCell ref="B22:B24"/>
    <mergeCell ref="C22:C24"/>
    <mergeCell ref="B12:D12"/>
    <mergeCell ref="E12:AL12"/>
    <mergeCell ref="AM12:AM13"/>
    <mergeCell ref="B13:D13"/>
    <mergeCell ref="B14:C16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A212:E212"/>
    <mergeCell ref="C213:D213"/>
    <mergeCell ref="B223:D223"/>
    <mergeCell ref="A224:E224"/>
    <mergeCell ref="C225:D225"/>
    <mergeCell ref="C189:D189"/>
    <mergeCell ref="B199:D199"/>
    <mergeCell ref="A200:E200"/>
    <mergeCell ref="C201:D201"/>
    <mergeCell ref="B211:D211"/>
    <mergeCell ref="B175:D175"/>
    <mergeCell ref="A176:E176"/>
    <mergeCell ref="C177:D177"/>
    <mergeCell ref="B187:D187"/>
    <mergeCell ref="A188:E188"/>
    <mergeCell ref="A152:E152"/>
    <mergeCell ref="C153:D153"/>
    <mergeCell ref="B163:D163"/>
    <mergeCell ref="A164:E164"/>
    <mergeCell ref="C165:D165"/>
    <mergeCell ref="C117:D117"/>
    <mergeCell ref="B127:D127"/>
    <mergeCell ref="A128:E128"/>
    <mergeCell ref="C129:D129"/>
    <mergeCell ref="B151:D151"/>
    <mergeCell ref="B103:D103"/>
    <mergeCell ref="A104:E104"/>
    <mergeCell ref="C105:D105"/>
    <mergeCell ref="B115:D115"/>
    <mergeCell ref="A116:E116"/>
    <mergeCell ref="A80:E80"/>
    <mergeCell ref="C81:D81"/>
    <mergeCell ref="B91:D91"/>
    <mergeCell ref="A92:E92"/>
    <mergeCell ref="C93:D93"/>
  </mergeCells>
  <conditionalFormatting sqref="E14:AL15">
    <cfRule type="containsBlanks" dxfId="27" priority="1">
      <formula>LEN(TRIM(E14))=0</formula>
    </cfRule>
  </conditionalFormatting>
  <conditionalFormatting sqref="E19:AL20">
    <cfRule type="containsBlanks" dxfId="26" priority="2">
      <formula>LEN(TRIM(E19))=0</formula>
    </cfRule>
  </conditionalFormatting>
  <conditionalFormatting sqref="E22:AL23 E25:AL26 E33:AL33 E35:AL35 E39:AL40">
    <cfRule type="containsBlanks" dxfId="25" priority="3">
      <formula>LEN(TRIM(E22))=0</formula>
    </cfRule>
  </conditionalFormatting>
  <conditionalFormatting sqref="E30:AL30">
    <cfRule type="expression" dxfId="24" priority="4">
      <formula>E30&lt;&gt;E47</formula>
    </cfRule>
    <cfRule type="expression" dxfId="23" priority="5">
      <formula>E30&lt;&gt;E34</formula>
    </cfRule>
  </conditionalFormatting>
  <conditionalFormatting sqref="E34:AL34">
    <cfRule type="expression" dxfId="22" priority="6">
      <formula>E30&lt;&gt;E34</formula>
    </cfRule>
    <cfRule type="expression" dxfId="21" priority="7">
      <formula>E30=E34</formula>
    </cfRule>
    <cfRule type="expression" dxfId="20" priority="8">
      <formula>E34&lt;&gt;E30</formula>
    </cfRule>
    <cfRule type="expression" dxfId="19" priority="9">
      <formula>E34&lt;&gt;E64</formula>
    </cfRule>
  </conditionalFormatting>
  <conditionalFormatting sqref="E45:AL54">
    <cfRule type="containsBlanks" dxfId="18" priority="10">
      <formula>LEN(TRIM(E45))=0</formula>
    </cfRule>
  </conditionalFormatting>
  <conditionalFormatting sqref="E57:AL66">
    <cfRule type="containsBlanks" dxfId="17" priority="11">
      <formula>LEN(TRIM(E57))=0</formula>
    </cfRule>
  </conditionalFormatting>
  <conditionalFormatting sqref="E69:AL78">
    <cfRule type="containsBlanks" dxfId="16" priority="12">
      <formula>LEN(TRIM(E69))=0</formula>
    </cfRule>
  </conditionalFormatting>
  <conditionalFormatting sqref="E81:AL90">
    <cfRule type="containsBlanks" dxfId="15" priority="13">
      <formula>LEN(TRIM(E81))=0</formula>
    </cfRule>
  </conditionalFormatting>
  <conditionalFormatting sqref="E93:AL102">
    <cfRule type="containsBlanks" dxfId="14" priority="14">
      <formula>LEN(TRIM(E93))=0</formula>
    </cfRule>
  </conditionalFormatting>
  <conditionalFormatting sqref="E105:AL114">
    <cfRule type="containsBlanks" dxfId="13" priority="15">
      <formula>LEN(TRIM(E105))=0</formula>
    </cfRule>
  </conditionalFormatting>
  <conditionalFormatting sqref="E117:AL126">
    <cfRule type="containsBlanks" dxfId="12" priority="16">
      <formula>LEN(TRIM(E117))=0</formula>
    </cfRule>
  </conditionalFormatting>
  <conditionalFormatting sqref="E129:AL138">
    <cfRule type="containsBlanks" dxfId="11" priority="17">
      <formula>LEN(TRIM(E129))=0</formula>
    </cfRule>
  </conditionalFormatting>
  <conditionalFormatting sqref="E141:AL150">
    <cfRule type="containsBlanks" dxfId="10" priority="18">
      <formula>LEN(TRIM(E141))=0</formula>
    </cfRule>
  </conditionalFormatting>
  <conditionalFormatting sqref="E153:AL162">
    <cfRule type="containsBlanks" dxfId="9" priority="19">
      <formula>LEN(TRIM(E153))=0</formula>
    </cfRule>
  </conditionalFormatting>
  <conditionalFormatting sqref="E165:AL174">
    <cfRule type="containsBlanks" dxfId="8" priority="20">
      <formula>LEN(TRIM(E165))=0</formula>
    </cfRule>
  </conditionalFormatting>
  <conditionalFormatting sqref="E177:AL186">
    <cfRule type="containsBlanks" dxfId="7" priority="21">
      <formula>LEN(TRIM(E177))=0</formula>
    </cfRule>
  </conditionalFormatting>
  <conditionalFormatting sqref="E189:AL198">
    <cfRule type="containsBlanks" dxfId="6" priority="22">
      <formula>LEN(TRIM(E189))=0</formula>
    </cfRule>
  </conditionalFormatting>
  <conditionalFormatting sqref="E201:AL210">
    <cfRule type="containsBlanks" dxfId="5" priority="23">
      <formula>LEN(TRIM(E201))=0</formula>
    </cfRule>
  </conditionalFormatting>
  <conditionalFormatting sqref="E213:AL222">
    <cfRule type="containsBlanks" dxfId="4" priority="24">
      <formula>LEN(TRIM(E213))=0</formula>
    </cfRule>
  </conditionalFormatting>
  <conditionalFormatting sqref="E225:AL234">
    <cfRule type="containsBlanks" dxfId="3" priority="25">
      <formula>LEN(TRIM(E225))=0</formula>
    </cfRule>
  </conditionalFormatting>
  <conditionalFormatting sqref="E237:AL246">
    <cfRule type="containsBlanks" dxfId="2" priority="26">
      <formula>LEN(TRIM(E237))=0</formula>
    </cfRule>
  </conditionalFormatting>
  <conditionalFormatting sqref="E249:AL258">
    <cfRule type="containsBlanks" dxfId="1" priority="27">
      <formula>LEN(TRIM(E249))=0</formula>
    </cfRule>
  </conditionalFormatting>
  <conditionalFormatting sqref="E262:AL263">
    <cfRule type="containsBlanks" dxfId="0" priority="28">
      <formula>LEN(TRIM(E262))=0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DPRD PROVINSI</vt:lpstr>
      <vt:lpstr>ALIYAN</vt:lpstr>
      <vt:lpstr>BUBUK</vt:lpstr>
      <vt:lpstr>GITIK</vt:lpstr>
      <vt:lpstr>GLADAG</vt:lpstr>
      <vt:lpstr>KARANGBENDO</vt:lpstr>
      <vt:lpstr>KEDALEMAN</vt:lpstr>
      <vt:lpstr>LEMAHBANGDEWO</vt:lpstr>
      <vt:lpstr>MANGIR</vt:lpstr>
      <vt:lpstr>PENGATIGAN</vt:lpstr>
      <vt:lpstr>ROGOJAMPI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TEKHUM KPU BWI</dc:creator>
  <cp:lastModifiedBy>Subbag Hukum SDM</cp:lastModifiedBy>
  <dcterms:created xsi:type="dcterms:W3CDTF">2026-01-14T02:26:01Z</dcterms:created>
  <dcterms:modified xsi:type="dcterms:W3CDTF">2026-02-09T06:49:14Z</dcterms:modified>
</cp:coreProperties>
</file>