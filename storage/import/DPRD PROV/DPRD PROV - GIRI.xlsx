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GIRI\"/>
    </mc:Choice>
  </mc:AlternateContent>
  <xr:revisionPtr revIDLastSave="0" documentId="13_ncr:1_{5725B42F-BD22-4E62-AB5B-C59A0168CB1B}" xr6:coauthVersionLast="47" xr6:coauthVersionMax="47" xr10:uidLastSave="{00000000-0000-0000-0000-000000000000}"/>
  <bookViews>
    <workbookView xWindow="30" yWindow="6015" windowWidth="21630" windowHeight="6578" tabRatio="810" activeTab="3" xr2:uid="{F263E089-6C93-4E6F-AA5B-BD89F8333161}"/>
  </bookViews>
  <sheets>
    <sheet name="DPRD PROVINSI" sheetId="1" r:id="rId1"/>
    <sheet name="BOYOLANGU" sheetId="9" r:id="rId2"/>
    <sheet name="GIRI" sheetId="10" r:id="rId3"/>
    <sheet name="GROGOL" sheetId="11" r:id="rId4"/>
    <sheet name="JAMBESARI" sheetId="15" r:id="rId5"/>
    <sheet name="MOJOPANGGUNG" sheetId="16" r:id="rId6"/>
    <sheet name="PENATABAN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2" i="15" l="1"/>
  <c r="M172" i="15"/>
  <c r="L172" i="15"/>
  <c r="K172" i="15"/>
  <c r="J172" i="15"/>
  <c r="I172" i="15"/>
  <c r="H172" i="15"/>
  <c r="G172" i="15"/>
  <c r="F172" i="15"/>
  <c r="E172" i="15"/>
  <c r="V218" i="10"/>
  <c r="U14" i="9"/>
  <c r="U15" i="9"/>
  <c r="V143" i="17"/>
  <c r="V142" i="17"/>
  <c r="V141" i="17"/>
  <c r="V140" i="17"/>
  <c r="V139" i="17"/>
  <c r="V138" i="17"/>
  <c r="V137" i="17"/>
  <c r="V136" i="17"/>
  <c r="V143" i="16"/>
  <c r="V142" i="16"/>
  <c r="V141" i="16"/>
  <c r="V140" i="16"/>
  <c r="V139" i="16"/>
  <c r="V138" i="16"/>
  <c r="V137" i="16"/>
  <c r="V136" i="16"/>
  <c r="O143" i="15"/>
  <c r="O142" i="15"/>
  <c r="O141" i="15"/>
  <c r="O140" i="15"/>
  <c r="O139" i="15"/>
  <c r="O138" i="15"/>
  <c r="O137" i="15"/>
  <c r="O136" i="15"/>
  <c r="V143" i="11"/>
  <c r="V142" i="11"/>
  <c r="V141" i="11"/>
  <c r="V140" i="11"/>
  <c r="V139" i="11"/>
  <c r="V138" i="11"/>
  <c r="V137" i="11"/>
  <c r="V136" i="11"/>
  <c r="V143" i="10"/>
  <c r="V142" i="10"/>
  <c r="V141" i="10"/>
  <c r="V140" i="10"/>
  <c r="V139" i="10"/>
  <c r="V138" i="10"/>
  <c r="V137" i="10"/>
  <c r="V136" i="10"/>
  <c r="U143" i="9"/>
  <c r="U142" i="9"/>
  <c r="U141" i="9"/>
  <c r="U140" i="9"/>
  <c r="U139" i="9"/>
  <c r="U138" i="9"/>
  <c r="U137" i="9"/>
  <c r="U136" i="9"/>
  <c r="E144" i="9"/>
  <c r="T134" i="9"/>
  <c r="U93" i="9"/>
  <c r="S215" i="17"/>
  <c r="S209" i="17"/>
  <c r="S197" i="17"/>
  <c r="S190" i="17"/>
  <c r="S184" i="17"/>
  <c r="S172" i="17"/>
  <c r="S160" i="17"/>
  <c r="S148" i="17"/>
  <c r="S144" i="17"/>
  <c r="S134" i="17"/>
  <c r="S128" i="17"/>
  <c r="S116" i="17"/>
  <c r="S108" i="17"/>
  <c r="S103" i="17"/>
  <c r="S91" i="17"/>
  <c r="S79" i="17"/>
  <c r="S67" i="17"/>
  <c r="S55" i="17"/>
  <c r="S41" i="17"/>
  <c r="S36" i="17"/>
  <c r="S29" i="17"/>
  <c r="S28" i="17"/>
  <c r="S30" i="17" s="1"/>
  <c r="S27" i="17"/>
  <c r="S24" i="17"/>
  <c r="S21" i="17"/>
  <c r="S16" i="17"/>
  <c r="Q215" i="16"/>
  <c r="P215" i="16"/>
  <c r="O215" i="16"/>
  <c r="Q209" i="16"/>
  <c r="P209" i="16"/>
  <c r="O209" i="16"/>
  <c r="Q197" i="16"/>
  <c r="P197" i="16"/>
  <c r="O197" i="16"/>
  <c r="Q190" i="16"/>
  <c r="P190" i="16"/>
  <c r="O190" i="16"/>
  <c r="Q184" i="16"/>
  <c r="P184" i="16"/>
  <c r="O184" i="16"/>
  <c r="Q172" i="16"/>
  <c r="P172" i="16"/>
  <c r="O172" i="16"/>
  <c r="Q160" i="16"/>
  <c r="P160" i="16"/>
  <c r="O160" i="16"/>
  <c r="Q148" i="16"/>
  <c r="P148" i="16"/>
  <c r="O148" i="16"/>
  <c r="Q144" i="16"/>
  <c r="P144" i="16"/>
  <c r="O144" i="16"/>
  <c r="Q134" i="16"/>
  <c r="P134" i="16"/>
  <c r="O134" i="16"/>
  <c r="Q128" i="16"/>
  <c r="P128" i="16"/>
  <c r="O128" i="16"/>
  <c r="Q116" i="16"/>
  <c r="P116" i="16"/>
  <c r="O116" i="16"/>
  <c r="Q108" i="16"/>
  <c r="P108" i="16"/>
  <c r="O108" i="16"/>
  <c r="Q103" i="16"/>
  <c r="P103" i="16"/>
  <c r="O103" i="16"/>
  <c r="Q91" i="16"/>
  <c r="P91" i="16"/>
  <c r="O91" i="16"/>
  <c r="Q79" i="16"/>
  <c r="P79" i="16"/>
  <c r="O79" i="16"/>
  <c r="Q67" i="16"/>
  <c r="P67" i="16"/>
  <c r="O67" i="16"/>
  <c r="Q55" i="16"/>
  <c r="P55" i="16"/>
  <c r="O55" i="16"/>
  <c r="Q41" i="16"/>
  <c r="P41" i="16"/>
  <c r="O41" i="16"/>
  <c r="Q36" i="16"/>
  <c r="P36" i="16"/>
  <c r="O36" i="16"/>
  <c r="Q29" i="16"/>
  <c r="P29" i="16"/>
  <c r="O29" i="16"/>
  <c r="Q28" i="16"/>
  <c r="P28" i="16"/>
  <c r="O28" i="16"/>
  <c r="Q27" i="16"/>
  <c r="P27" i="16"/>
  <c r="O27" i="16"/>
  <c r="Q24" i="16"/>
  <c r="P24" i="16"/>
  <c r="O24" i="16"/>
  <c r="Q21" i="16"/>
  <c r="P21" i="16"/>
  <c r="O21" i="16"/>
  <c r="Q16" i="16"/>
  <c r="P16" i="16"/>
  <c r="O16" i="16"/>
  <c r="L215" i="15"/>
  <c r="L209" i="15"/>
  <c r="L197" i="15"/>
  <c r="L190" i="15"/>
  <c r="L184" i="15"/>
  <c r="L160" i="15"/>
  <c r="L148" i="15"/>
  <c r="L144" i="15"/>
  <c r="L134" i="15"/>
  <c r="L128" i="15"/>
  <c r="L116" i="15"/>
  <c r="L108" i="15"/>
  <c r="L103" i="15"/>
  <c r="L91" i="15"/>
  <c r="L79" i="15"/>
  <c r="L67" i="15"/>
  <c r="L55" i="15"/>
  <c r="L41" i="15"/>
  <c r="L36" i="15"/>
  <c r="L29" i="15"/>
  <c r="L28" i="15"/>
  <c r="L27" i="15"/>
  <c r="L24" i="15"/>
  <c r="L21" i="15"/>
  <c r="L16" i="15"/>
  <c r="R215" i="11"/>
  <c r="Q215" i="11"/>
  <c r="R209" i="11"/>
  <c r="Q209" i="11"/>
  <c r="R197" i="11"/>
  <c r="Q197" i="11"/>
  <c r="R190" i="11"/>
  <c r="Q190" i="11"/>
  <c r="R184" i="11"/>
  <c r="Q184" i="11"/>
  <c r="R172" i="11"/>
  <c r="Q172" i="11"/>
  <c r="R160" i="11"/>
  <c r="Q160" i="11"/>
  <c r="R148" i="11"/>
  <c r="Q148" i="11"/>
  <c r="R144" i="11"/>
  <c r="Q144" i="11"/>
  <c r="R134" i="11"/>
  <c r="Q134" i="11"/>
  <c r="R128" i="11"/>
  <c r="Q128" i="11"/>
  <c r="R116" i="11"/>
  <c r="Q116" i="11"/>
  <c r="R108" i="11"/>
  <c r="Q108" i="11"/>
  <c r="R103" i="11"/>
  <c r="Q103" i="11"/>
  <c r="R91" i="11"/>
  <c r="Q91" i="11"/>
  <c r="R79" i="11"/>
  <c r="Q79" i="11"/>
  <c r="R67" i="11"/>
  <c r="Q67" i="11"/>
  <c r="R55" i="11"/>
  <c r="Q55" i="11"/>
  <c r="R41" i="11"/>
  <c r="Q41" i="11"/>
  <c r="R36" i="11"/>
  <c r="Q36" i="11"/>
  <c r="R29" i="11"/>
  <c r="Q29" i="11"/>
  <c r="R28" i="11"/>
  <c r="Q28" i="11"/>
  <c r="R27" i="11"/>
  <c r="Q27" i="11"/>
  <c r="R24" i="11"/>
  <c r="Q24" i="11"/>
  <c r="R21" i="11"/>
  <c r="Q21" i="11"/>
  <c r="R16" i="11"/>
  <c r="Q16" i="11"/>
  <c r="Q215" i="10"/>
  <c r="P215" i="10"/>
  <c r="O215" i="10"/>
  <c r="Q209" i="10"/>
  <c r="P209" i="10"/>
  <c r="O209" i="10"/>
  <c r="Q197" i="10"/>
  <c r="P197" i="10"/>
  <c r="O197" i="10"/>
  <c r="Q190" i="10"/>
  <c r="P190" i="10"/>
  <c r="O190" i="10"/>
  <c r="Q184" i="10"/>
  <c r="P184" i="10"/>
  <c r="O184" i="10"/>
  <c r="Q172" i="10"/>
  <c r="P172" i="10"/>
  <c r="O172" i="10"/>
  <c r="Q160" i="10"/>
  <c r="P160" i="10"/>
  <c r="O160" i="10"/>
  <c r="Q148" i="10"/>
  <c r="P148" i="10"/>
  <c r="O148" i="10"/>
  <c r="Q144" i="10"/>
  <c r="P144" i="10"/>
  <c r="O144" i="10"/>
  <c r="Q134" i="10"/>
  <c r="P134" i="10"/>
  <c r="O134" i="10"/>
  <c r="Q128" i="10"/>
  <c r="P128" i="10"/>
  <c r="O128" i="10"/>
  <c r="Q116" i="10"/>
  <c r="P116" i="10"/>
  <c r="O116" i="10"/>
  <c r="Q108" i="10"/>
  <c r="P108" i="10"/>
  <c r="O108" i="10"/>
  <c r="Q103" i="10"/>
  <c r="P103" i="10"/>
  <c r="O103" i="10"/>
  <c r="Q91" i="10"/>
  <c r="P91" i="10"/>
  <c r="O91" i="10"/>
  <c r="Q79" i="10"/>
  <c r="P79" i="10"/>
  <c r="O79" i="10"/>
  <c r="Q67" i="10"/>
  <c r="P67" i="10"/>
  <c r="O67" i="10"/>
  <c r="Q55" i="10"/>
  <c r="P55" i="10"/>
  <c r="O55" i="10"/>
  <c r="Q41" i="10"/>
  <c r="P41" i="10"/>
  <c r="O41" i="10"/>
  <c r="Q36" i="10"/>
  <c r="P36" i="10"/>
  <c r="Q29" i="10"/>
  <c r="P29" i="10"/>
  <c r="O29" i="10"/>
  <c r="Q28" i="10"/>
  <c r="P28" i="10"/>
  <c r="O28" i="10"/>
  <c r="Q27" i="10"/>
  <c r="P27" i="10"/>
  <c r="O27" i="10"/>
  <c r="Q24" i="10"/>
  <c r="P24" i="10"/>
  <c r="O24" i="10"/>
  <c r="Q21" i="10"/>
  <c r="P21" i="10"/>
  <c r="O21" i="10"/>
  <c r="Q16" i="10"/>
  <c r="P16" i="10"/>
  <c r="O16" i="10"/>
  <c r="T16" i="9"/>
  <c r="T21" i="9"/>
  <c r="T24" i="9"/>
  <c r="T27" i="9"/>
  <c r="T28" i="9"/>
  <c r="T29" i="9"/>
  <c r="T36" i="9"/>
  <c r="T41" i="9"/>
  <c r="T55" i="9"/>
  <c r="T67" i="9"/>
  <c r="T79" i="9"/>
  <c r="T91" i="9"/>
  <c r="T103" i="9"/>
  <c r="T108" i="9"/>
  <c r="T116" i="9"/>
  <c r="T128" i="9"/>
  <c r="T144" i="9"/>
  <c r="T148" i="9"/>
  <c r="T160" i="9"/>
  <c r="T172" i="9"/>
  <c r="T184" i="9"/>
  <c r="T190" i="9"/>
  <c r="T197" i="9"/>
  <c r="T209" i="9"/>
  <c r="T215" i="9"/>
  <c r="P215" i="17"/>
  <c r="O215" i="17"/>
  <c r="N215" i="17"/>
  <c r="P209" i="17"/>
  <c r="O209" i="17"/>
  <c r="N209" i="17"/>
  <c r="P197" i="17"/>
  <c r="O197" i="17"/>
  <c r="N197" i="17"/>
  <c r="P190" i="17"/>
  <c r="O190" i="17"/>
  <c r="N190" i="17"/>
  <c r="P184" i="17"/>
  <c r="O184" i="17"/>
  <c r="N184" i="17"/>
  <c r="P172" i="17"/>
  <c r="O172" i="17"/>
  <c r="N172" i="17"/>
  <c r="P160" i="17"/>
  <c r="O160" i="17"/>
  <c r="N160" i="17"/>
  <c r="P148" i="17"/>
  <c r="O148" i="17"/>
  <c r="N148" i="17"/>
  <c r="P144" i="17"/>
  <c r="O144" i="17"/>
  <c r="N144" i="17"/>
  <c r="P134" i="17"/>
  <c r="O134" i="17"/>
  <c r="N134" i="17"/>
  <c r="P128" i="17"/>
  <c r="O128" i="17"/>
  <c r="N128" i="17"/>
  <c r="P116" i="17"/>
  <c r="O116" i="17"/>
  <c r="N116" i="17"/>
  <c r="P108" i="17"/>
  <c r="O108" i="17"/>
  <c r="N108" i="17"/>
  <c r="P103" i="17"/>
  <c r="O103" i="17"/>
  <c r="N103" i="17"/>
  <c r="P91" i="17"/>
  <c r="O91" i="17"/>
  <c r="N91" i="17"/>
  <c r="P79" i="17"/>
  <c r="O79" i="17"/>
  <c r="N79" i="17"/>
  <c r="P67" i="17"/>
  <c r="O67" i="17"/>
  <c r="N67" i="17"/>
  <c r="P55" i="17"/>
  <c r="O55" i="17"/>
  <c r="N55" i="17"/>
  <c r="P41" i="17"/>
  <c r="O41" i="17"/>
  <c r="N41" i="17"/>
  <c r="P36" i="17"/>
  <c r="O36" i="17"/>
  <c r="N36" i="17"/>
  <c r="P29" i="17"/>
  <c r="O29" i="17"/>
  <c r="N29" i="17"/>
  <c r="P28" i="17"/>
  <c r="O28" i="17"/>
  <c r="N28" i="17"/>
  <c r="N30" i="17" s="1"/>
  <c r="P27" i="17"/>
  <c r="O27" i="17"/>
  <c r="N27" i="17"/>
  <c r="P24" i="17"/>
  <c r="O24" i="17"/>
  <c r="N24" i="17"/>
  <c r="P21" i="17"/>
  <c r="O21" i="17"/>
  <c r="N21" i="17"/>
  <c r="P16" i="17"/>
  <c r="O16" i="17"/>
  <c r="N16" i="17"/>
  <c r="O30" i="10" l="1"/>
  <c r="T30" i="9"/>
  <c r="L30" i="15"/>
  <c r="Q30" i="16"/>
  <c r="P30" i="10"/>
  <c r="O30" i="16"/>
  <c r="P30" i="16"/>
  <c r="Q30" i="11"/>
  <c r="S218" i="17"/>
  <c r="S220" i="17" s="1"/>
  <c r="E141" i="1"/>
  <c r="Q30" i="10"/>
  <c r="Q218" i="10"/>
  <c r="Q220" i="10" s="1"/>
  <c r="Q218" i="11"/>
  <c r="Q220" i="11" s="1"/>
  <c r="R218" i="11"/>
  <c r="R220" i="11" s="1"/>
  <c r="R30" i="11"/>
  <c r="E142" i="1"/>
  <c r="O218" i="10"/>
  <c r="O220" i="10" s="1"/>
  <c r="E143" i="1"/>
  <c r="P218" i="10"/>
  <c r="P220" i="10" s="1"/>
  <c r="O218" i="16"/>
  <c r="O220" i="16" s="1"/>
  <c r="P218" i="16"/>
  <c r="P220" i="16" s="1"/>
  <c r="L218" i="15"/>
  <c r="L220" i="15" s="1"/>
  <c r="Q218" i="16"/>
  <c r="Q220" i="16" s="1"/>
  <c r="E136" i="1"/>
  <c r="E137" i="1"/>
  <c r="E138" i="1"/>
  <c r="E139" i="1"/>
  <c r="O30" i="17"/>
  <c r="P30" i="17"/>
  <c r="N218" i="17"/>
  <c r="N220" i="17" s="1"/>
  <c r="O218" i="17"/>
  <c r="O220" i="17" s="1"/>
  <c r="P218" i="17"/>
  <c r="P220" i="17" s="1"/>
  <c r="T218" i="9"/>
  <c r="T220" i="9" s="1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U215" i="10"/>
  <c r="T215" i="10"/>
  <c r="S215" i="10"/>
  <c r="R215" i="10"/>
  <c r="N215" i="10"/>
  <c r="M215" i="10"/>
  <c r="L215" i="10"/>
  <c r="K215" i="10"/>
  <c r="J215" i="10"/>
  <c r="I215" i="10"/>
  <c r="H215" i="10"/>
  <c r="G215" i="10"/>
  <c r="F215" i="10"/>
  <c r="E215" i="10"/>
  <c r="U215" i="11"/>
  <c r="T215" i="11"/>
  <c r="S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N215" i="15"/>
  <c r="M215" i="15"/>
  <c r="K215" i="15"/>
  <c r="J215" i="15"/>
  <c r="I215" i="15"/>
  <c r="H215" i="15"/>
  <c r="G215" i="15"/>
  <c r="F215" i="15"/>
  <c r="E215" i="15"/>
  <c r="U215" i="16"/>
  <c r="T215" i="16"/>
  <c r="S215" i="16"/>
  <c r="R215" i="16"/>
  <c r="N215" i="16"/>
  <c r="M215" i="16"/>
  <c r="L215" i="16"/>
  <c r="K215" i="16"/>
  <c r="J215" i="16"/>
  <c r="I215" i="16"/>
  <c r="H215" i="16"/>
  <c r="G215" i="16"/>
  <c r="F215" i="16"/>
  <c r="E215" i="16"/>
  <c r="U215" i="17"/>
  <c r="T215" i="17"/>
  <c r="R215" i="17"/>
  <c r="Q215" i="17"/>
  <c r="M215" i="17"/>
  <c r="L215" i="17"/>
  <c r="K215" i="17"/>
  <c r="J215" i="17"/>
  <c r="I215" i="17"/>
  <c r="H215" i="17"/>
  <c r="G215" i="17"/>
  <c r="F215" i="17"/>
  <c r="E215" i="17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U209" i="10"/>
  <c r="T209" i="10"/>
  <c r="S209" i="10"/>
  <c r="R209" i="10"/>
  <c r="N209" i="10"/>
  <c r="M209" i="10"/>
  <c r="L209" i="10"/>
  <c r="K209" i="10"/>
  <c r="J209" i="10"/>
  <c r="I209" i="10"/>
  <c r="H209" i="10"/>
  <c r="G209" i="10"/>
  <c r="F209" i="10"/>
  <c r="E209" i="10"/>
  <c r="U209" i="11"/>
  <c r="T209" i="11"/>
  <c r="S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N209" i="15"/>
  <c r="M209" i="15"/>
  <c r="K209" i="15"/>
  <c r="J209" i="15"/>
  <c r="I209" i="15"/>
  <c r="H209" i="15"/>
  <c r="G209" i="15"/>
  <c r="F209" i="15"/>
  <c r="E209" i="15"/>
  <c r="U209" i="16"/>
  <c r="T209" i="16"/>
  <c r="S209" i="16"/>
  <c r="R209" i="16"/>
  <c r="N209" i="16"/>
  <c r="M209" i="16"/>
  <c r="L209" i="16"/>
  <c r="K209" i="16"/>
  <c r="J209" i="16"/>
  <c r="I209" i="16"/>
  <c r="H209" i="16"/>
  <c r="G209" i="16"/>
  <c r="F209" i="16"/>
  <c r="E209" i="16"/>
  <c r="U209" i="17"/>
  <c r="T209" i="17"/>
  <c r="R209" i="17"/>
  <c r="Q209" i="17"/>
  <c r="M209" i="17"/>
  <c r="L209" i="17"/>
  <c r="K209" i="17"/>
  <c r="J209" i="17"/>
  <c r="I209" i="17"/>
  <c r="H209" i="17"/>
  <c r="G209" i="17"/>
  <c r="F209" i="17"/>
  <c r="E209" i="17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U197" i="10"/>
  <c r="T197" i="10"/>
  <c r="S197" i="10"/>
  <c r="R197" i="10"/>
  <c r="N197" i="10"/>
  <c r="M197" i="10"/>
  <c r="L197" i="10"/>
  <c r="K197" i="10"/>
  <c r="J197" i="10"/>
  <c r="I197" i="10"/>
  <c r="H197" i="10"/>
  <c r="G197" i="10"/>
  <c r="F197" i="10"/>
  <c r="E197" i="10"/>
  <c r="U197" i="11"/>
  <c r="T197" i="11"/>
  <c r="S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N197" i="15"/>
  <c r="M197" i="15"/>
  <c r="K197" i="15"/>
  <c r="J197" i="15"/>
  <c r="I197" i="15"/>
  <c r="H197" i="15"/>
  <c r="G197" i="15"/>
  <c r="F197" i="15"/>
  <c r="E197" i="15"/>
  <c r="U197" i="16"/>
  <c r="T197" i="16"/>
  <c r="S197" i="16"/>
  <c r="R197" i="16"/>
  <c r="N197" i="16"/>
  <c r="M197" i="16"/>
  <c r="L197" i="16"/>
  <c r="K197" i="16"/>
  <c r="J197" i="16"/>
  <c r="I197" i="16"/>
  <c r="H197" i="16"/>
  <c r="G197" i="16"/>
  <c r="F197" i="16"/>
  <c r="E197" i="16"/>
  <c r="U197" i="17"/>
  <c r="T197" i="17"/>
  <c r="R197" i="17"/>
  <c r="Q197" i="17"/>
  <c r="M197" i="17"/>
  <c r="L197" i="17"/>
  <c r="K197" i="17"/>
  <c r="J197" i="17"/>
  <c r="I197" i="17"/>
  <c r="H197" i="17"/>
  <c r="G197" i="17"/>
  <c r="F197" i="17"/>
  <c r="E197" i="17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U190" i="10"/>
  <c r="T190" i="10"/>
  <c r="S190" i="10"/>
  <c r="R190" i="10"/>
  <c r="N190" i="10"/>
  <c r="M190" i="10"/>
  <c r="L190" i="10"/>
  <c r="K190" i="10"/>
  <c r="J190" i="10"/>
  <c r="I190" i="10"/>
  <c r="H190" i="10"/>
  <c r="G190" i="10"/>
  <c r="F190" i="10"/>
  <c r="E190" i="10"/>
  <c r="U190" i="11"/>
  <c r="T190" i="11"/>
  <c r="S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N190" i="15"/>
  <c r="M190" i="15"/>
  <c r="K190" i="15"/>
  <c r="J190" i="15"/>
  <c r="I190" i="15"/>
  <c r="H190" i="15"/>
  <c r="G190" i="15"/>
  <c r="F190" i="15"/>
  <c r="E190" i="15"/>
  <c r="U190" i="16"/>
  <c r="T190" i="16"/>
  <c r="S190" i="16"/>
  <c r="R190" i="16"/>
  <c r="N190" i="16"/>
  <c r="M190" i="16"/>
  <c r="L190" i="16"/>
  <c r="K190" i="16"/>
  <c r="J190" i="16"/>
  <c r="I190" i="16"/>
  <c r="H190" i="16"/>
  <c r="G190" i="16"/>
  <c r="F190" i="16"/>
  <c r="E190" i="16"/>
  <c r="U190" i="17"/>
  <c r="T190" i="17"/>
  <c r="R190" i="17"/>
  <c r="Q190" i="17"/>
  <c r="M190" i="17"/>
  <c r="L190" i="17"/>
  <c r="K190" i="17"/>
  <c r="J190" i="17"/>
  <c r="I190" i="17"/>
  <c r="H190" i="17"/>
  <c r="G190" i="17"/>
  <c r="F190" i="17"/>
  <c r="E190" i="17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U184" i="10"/>
  <c r="T184" i="10"/>
  <c r="S184" i="10"/>
  <c r="R184" i="10"/>
  <c r="N184" i="10"/>
  <c r="M184" i="10"/>
  <c r="L184" i="10"/>
  <c r="K184" i="10"/>
  <c r="J184" i="10"/>
  <c r="I184" i="10"/>
  <c r="H184" i="10"/>
  <c r="G184" i="10"/>
  <c r="F184" i="10"/>
  <c r="E184" i="10"/>
  <c r="U184" i="11"/>
  <c r="T184" i="11"/>
  <c r="S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N184" i="15"/>
  <c r="M184" i="15"/>
  <c r="K184" i="15"/>
  <c r="J184" i="15"/>
  <c r="I184" i="15"/>
  <c r="H184" i="15"/>
  <c r="G184" i="15"/>
  <c r="F184" i="15"/>
  <c r="E184" i="15"/>
  <c r="U184" i="16"/>
  <c r="T184" i="16"/>
  <c r="S184" i="16"/>
  <c r="R184" i="16"/>
  <c r="N184" i="16"/>
  <c r="M184" i="16"/>
  <c r="L184" i="16"/>
  <c r="K184" i="16"/>
  <c r="J184" i="16"/>
  <c r="I184" i="16"/>
  <c r="H184" i="16"/>
  <c r="G184" i="16"/>
  <c r="F184" i="16"/>
  <c r="E184" i="16"/>
  <c r="U184" i="17"/>
  <c r="T184" i="17"/>
  <c r="R184" i="17"/>
  <c r="Q184" i="17"/>
  <c r="M184" i="17"/>
  <c r="L184" i="17"/>
  <c r="K184" i="17"/>
  <c r="J184" i="17"/>
  <c r="I184" i="17"/>
  <c r="H184" i="17"/>
  <c r="G184" i="17"/>
  <c r="F184" i="17"/>
  <c r="E184" i="17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U172" i="10"/>
  <c r="T172" i="10"/>
  <c r="S172" i="10"/>
  <c r="R172" i="10"/>
  <c r="N172" i="10"/>
  <c r="M172" i="10"/>
  <c r="L172" i="10"/>
  <c r="K172" i="10"/>
  <c r="J172" i="10"/>
  <c r="I172" i="10"/>
  <c r="H172" i="10"/>
  <c r="G172" i="10"/>
  <c r="F172" i="10"/>
  <c r="E172" i="10"/>
  <c r="U172" i="11"/>
  <c r="T172" i="11"/>
  <c r="S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U172" i="16"/>
  <c r="T172" i="16"/>
  <c r="S172" i="16"/>
  <c r="R172" i="16"/>
  <c r="N172" i="16"/>
  <c r="M172" i="16"/>
  <c r="L172" i="16"/>
  <c r="K172" i="16"/>
  <c r="J172" i="16"/>
  <c r="I172" i="16"/>
  <c r="H172" i="16"/>
  <c r="G172" i="16"/>
  <c r="F172" i="16"/>
  <c r="E172" i="16"/>
  <c r="U172" i="17"/>
  <c r="T172" i="17"/>
  <c r="R172" i="17"/>
  <c r="Q172" i="17"/>
  <c r="M172" i="17"/>
  <c r="L172" i="17"/>
  <c r="K172" i="17"/>
  <c r="J172" i="17"/>
  <c r="I172" i="17"/>
  <c r="H172" i="17"/>
  <c r="G172" i="17"/>
  <c r="F172" i="17"/>
  <c r="E172" i="17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U160" i="10"/>
  <c r="T160" i="10"/>
  <c r="S160" i="10"/>
  <c r="R160" i="10"/>
  <c r="N160" i="10"/>
  <c r="M160" i="10"/>
  <c r="L160" i="10"/>
  <c r="K160" i="10"/>
  <c r="J160" i="10"/>
  <c r="I160" i="10"/>
  <c r="H160" i="10"/>
  <c r="G160" i="10"/>
  <c r="F160" i="10"/>
  <c r="E160" i="10"/>
  <c r="U160" i="11"/>
  <c r="T160" i="11"/>
  <c r="S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N160" i="15"/>
  <c r="M160" i="15"/>
  <c r="K160" i="15"/>
  <c r="J160" i="15"/>
  <c r="I160" i="15"/>
  <c r="H160" i="15"/>
  <c r="G160" i="15"/>
  <c r="F160" i="15"/>
  <c r="E160" i="15"/>
  <c r="U160" i="16"/>
  <c r="T160" i="16"/>
  <c r="S160" i="16"/>
  <c r="R160" i="16"/>
  <c r="N160" i="16"/>
  <c r="M160" i="16"/>
  <c r="L160" i="16"/>
  <c r="K160" i="16"/>
  <c r="J160" i="16"/>
  <c r="I160" i="16"/>
  <c r="H160" i="16"/>
  <c r="G160" i="16"/>
  <c r="F160" i="16"/>
  <c r="E160" i="16"/>
  <c r="U160" i="17"/>
  <c r="T160" i="17"/>
  <c r="R160" i="17"/>
  <c r="Q160" i="17"/>
  <c r="M160" i="17"/>
  <c r="L160" i="17"/>
  <c r="K160" i="17"/>
  <c r="J160" i="17"/>
  <c r="I160" i="17"/>
  <c r="H160" i="17"/>
  <c r="G160" i="17"/>
  <c r="F160" i="17"/>
  <c r="E160" i="17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U148" i="10"/>
  <c r="T148" i="10"/>
  <c r="S148" i="10"/>
  <c r="R148" i="10"/>
  <c r="N148" i="10"/>
  <c r="M148" i="10"/>
  <c r="L148" i="10"/>
  <c r="K148" i="10"/>
  <c r="J148" i="10"/>
  <c r="I148" i="10"/>
  <c r="H148" i="10"/>
  <c r="G148" i="10"/>
  <c r="F148" i="10"/>
  <c r="E148" i="10"/>
  <c r="U148" i="11"/>
  <c r="T148" i="11"/>
  <c r="S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N148" i="15"/>
  <c r="M148" i="15"/>
  <c r="K148" i="15"/>
  <c r="J148" i="15"/>
  <c r="I148" i="15"/>
  <c r="H148" i="15"/>
  <c r="G148" i="15"/>
  <c r="F148" i="15"/>
  <c r="E148" i="15"/>
  <c r="U148" i="16"/>
  <c r="T148" i="16"/>
  <c r="S148" i="16"/>
  <c r="R148" i="16"/>
  <c r="N148" i="16"/>
  <c r="M148" i="16"/>
  <c r="L148" i="16"/>
  <c r="K148" i="16"/>
  <c r="J148" i="16"/>
  <c r="I148" i="16"/>
  <c r="H148" i="16"/>
  <c r="G148" i="16"/>
  <c r="F148" i="16"/>
  <c r="E148" i="16"/>
  <c r="U148" i="17"/>
  <c r="T148" i="17"/>
  <c r="R148" i="17"/>
  <c r="Q148" i="17"/>
  <c r="M148" i="17"/>
  <c r="L148" i="17"/>
  <c r="K148" i="17"/>
  <c r="J148" i="17"/>
  <c r="I148" i="17"/>
  <c r="H148" i="17"/>
  <c r="G148" i="17"/>
  <c r="F148" i="17"/>
  <c r="E148" i="17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U144" i="10"/>
  <c r="T144" i="10"/>
  <c r="S144" i="10"/>
  <c r="R144" i="10"/>
  <c r="N144" i="10"/>
  <c r="M144" i="10"/>
  <c r="L144" i="10"/>
  <c r="K144" i="10"/>
  <c r="J144" i="10"/>
  <c r="I144" i="10"/>
  <c r="H144" i="10"/>
  <c r="G144" i="10"/>
  <c r="F144" i="10"/>
  <c r="E144" i="10"/>
  <c r="U144" i="11"/>
  <c r="T144" i="11"/>
  <c r="S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N144" i="15"/>
  <c r="M144" i="15"/>
  <c r="K144" i="15"/>
  <c r="J144" i="15"/>
  <c r="I144" i="15"/>
  <c r="H144" i="15"/>
  <c r="G144" i="15"/>
  <c r="F144" i="15"/>
  <c r="E144" i="15"/>
  <c r="U144" i="16"/>
  <c r="T144" i="16"/>
  <c r="S144" i="16"/>
  <c r="R144" i="16"/>
  <c r="N144" i="16"/>
  <c r="M144" i="16"/>
  <c r="L144" i="16"/>
  <c r="K144" i="16"/>
  <c r="J144" i="16"/>
  <c r="I144" i="16"/>
  <c r="H144" i="16"/>
  <c r="G144" i="16"/>
  <c r="F144" i="16"/>
  <c r="E144" i="16"/>
  <c r="U144" i="17"/>
  <c r="T144" i="17"/>
  <c r="R144" i="17"/>
  <c r="Q144" i="17"/>
  <c r="M144" i="17"/>
  <c r="L144" i="17"/>
  <c r="K144" i="17"/>
  <c r="J144" i="17"/>
  <c r="I144" i="17"/>
  <c r="H144" i="17"/>
  <c r="G144" i="17"/>
  <c r="F144" i="17"/>
  <c r="E144" i="17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U134" i="10"/>
  <c r="T134" i="10"/>
  <c r="S134" i="10"/>
  <c r="R134" i="10"/>
  <c r="N134" i="10"/>
  <c r="M134" i="10"/>
  <c r="L134" i="10"/>
  <c r="K134" i="10"/>
  <c r="J134" i="10"/>
  <c r="I134" i="10"/>
  <c r="H134" i="10"/>
  <c r="G134" i="10"/>
  <c r="F134" i="10"/>
  <c r="E134" i="10"/>
  <c r="U134" i="11"/>
  <c r="T134" i="11"/>
  <c r="S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N134" i="15"/>
  <c r="M134" i="15"/>
  <c r="K134" i="15"/>
  <c r="J134" i="15"/>
  <c r="I134" i="15"/>
  <c r="H134" i="15"/>
  <c r="G134" i="15"/>
  <c r="F134" i="15"/>
  <c r="E134" i="15"/>
  <c r="U134" i="16"/>
  <c r="T134" i="16"/>
  <c r="S134" i="16"/>
  <c r="R134" i="16"/>
  <c r="N134" i="16"/>
  <c r="M134" i="16"/>
  <c r="L134" i="16"/>
  <c r="K134" i="16"/>
  <c r="J134" i="16"/>
  <c r="I134" i="16"/>
  <c r="H134" i="16"/>
  <c r="G134" i="16"/>
  <c r="F134" i="16"/>
  <c r="E134" i="16"/>
  <c r="U134" i="17"/>
  <c r="T134" i="17"/>
  <c r="R134" i="17"/>
  <c r="Q134" i="17"/>
  <c r="M134" i="17"/>
  <c r="L134" i="17"/>
  <c r="K134" i="17"/>
  <c r="J134" i="17"/>
  <c r="I134" i="17"/>
  <c r="H134" i="17"/>
  <c r="G134" i="17"/>
  <c r="F134" i="17"/>
  <c r="E134" i="17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U128" i="10"/>
  <c r="T128" i="10"/>
  <c r="S128" i="10"/>
  <c r="R128" i="10"/>
  <c r="N128" i="10"/>
  <c r="M128" i="10"/>
  <c r="L128" i="10"/>
  <c r="K128" i="10"/>
  <c r="J128" i="10"/>
  <c r="I128" i="10"/>
  <c r="H128" i="10"/>
  <c r="G128" i="10"/>
  <c r="F128" i="10"/>
  <c r="E128" i="10"/>
  <c r="U128" i="11"/>
  <c r="T128" i="11"/>
  <c r="S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N128" i="15"/>
  <c r="M128" i="15"/>
  <c r="K128" i="15"/>
  <c r="J128" i="15"/>
  <c r="I128" i="15"/>
  <c r="H128" i="15"/>
  <c r="G128" i="15"/>
  <c r="F128" i="15"/>
  <c r="E128" i="15"/>
  <c r="U128" i="16"/>
  <c r="T128" i="16"/>
  <c r="S128" i="16"/>
  <c r="R128" i="16"/>
  <c r="N128" i="16"/>
  <c r="M128" i="16"/>
  <c r="L128" i="16"/>
  <c r="K128" i="16"/>
  <c r="J128" i="16"/>
  <c r="I128" i="16"/>
  <c r="H128" i="16"/>
  <c r="G128" i="16"/>
  <c r="F128" i="16"/>
  <c r="E128" i="16"/>
  <c r="U128" i="17"/>
  <c r="T128" i="17"/>
  <c r="R128" i="17"/>
  <c r="Q128" i="17"/>
  <c r="M128" i="17"/>
  <c r="L128" i="17"/>
  <c r="K128" i="17"/>
  <c r="J128" i="17"/>
  <c r="I128" i="17"/>
  <c r="H128" i="17"/>
  <c r="G128" i="17"/>
  <c r="F128" i="17"/>
  <c r="E128" i="17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U116" i="10"/>
  <c r="T116" i="10"/>
  <c r="S116" i="10"/>
  <c r="R116" i="10"/>
  <c r="N116" i="10"/>
  <c r="M116" i="10"/>
  <c r="L116" i="10"/>
  <c r="K116" i="10"/>
  <c r="J116" i="10"/>
  <c r="I116" i="10"/>
  <c r="H116" i="10"/>
  <c r="G116" i="10"/>
  <c r="F116" i="10"/>
  <c r="E116" i="10"/>
  <c r="U116" i="11"/>
  <c r="T116" i="11"/>
  <c r="S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N116" i="15"/>
  <c r="M116" i="15"/>
  <c r="K116" i="15"/>
  <c r="J116" i="15"/>
  <c r="I116" i="15"/>
  <c r="H116" i="15"/>
  <c r="G116" i="15"/>
  <c r="F116" i="15"/>
  <c r="E116" i="15"/>
  <c r="U116" i="16"/>
  <c r="T116" i="16"/>
  <c r="S116" i="16"/>
  <c r="R116" i="16"/>
  <c r="N116" i="16"/>
  <c r="M116" i="16"/>
  <c r="L116" i="16"/>
  <c r="K116" i="16"/>
  <c r="J116" i="16"/>
  <c r="I116" i="16"/>
  <c r="H116" i="16"/>
  <c r="G116" i="16"/>
  <c r="F116" i="16"/>
  <c r="E116" i="16"/>
  <c r="U116" i="17"/>
  <c r="T116" i="17"/>
  <c r="R116" i="17"/>
  <c r="Q116" i="17"/>
  <c r="M116" i="17"/>
  <c r="L116" i="17"/>
  <c r="K116" i="17"/>
  <c r="J116" i="17"/>
  <c r="I116" i="17"/>
  <c r="H116" i="17"/>
  <c r="G116" i="17"/>
  <c r="F116" i="17"/>
  <c r="E116" i="17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U108" i="10"/>
  <c r="T108" i="10"/>
  <c r="S108" i="10"/>
  <c r="R108" i="10"/>
  <c r="N108" i="10"/>
  <c r="M108" i="10"/>
  <c r="L108" i="10"/>
  <c r="K108" i="10"/>
  <c r="J108" i="10"/>
  <c r="I108" i="10"/>
  <c r="H108" i="10"/>
  <c r="G108" i="10"/>
  <c r="F108" i="10"/>
  <c r="E108" i="10"/>
  <c r="U108" i="11"/>
  <c r="T108" i="11"/>
  <c r="S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N108" i="15"/>
  <c r="M108" i="15"/>
  <c r="K108" i="15"/>
  <c r="J108" i="15"/>
  <c r="I108" i="15"/>
  <c r="H108" i="15"/>
  <c r="G108" i="15"/>
  <c r="F108" i="15"/>
  <c r="E108" i="15"/>
  <c r="U108" i="16"/>
  <c r="T108" i="16"/>
  <c r="S108" i="16"/>
  <c r="R108" i="16"/>
  <c r="N108" i="16"/>
  <c r="M108" i="16"/>
  <c r="L108" i="16"/>
  <c r="K108" i="16"/>
  <c r="J108" i="16"/>
  <c r="I108" i="16"/>
  <c r="H108" i="16"/>
  <c r="G108" i="16"/>
  <c r="F108" i="16"/>
  <c r="E108" i="16"/>
  <c r="U108" i="17"/>
  <c r="T108" i="17"/>
  <c r="R108" i="17"/>
  <c r="Q108" i="17"/>
  <c r="M108" i="17"/>
  <c r="L108" i="17"/>
  <c r="K108" i="17"/>
  <c r="J108" i="17"/>
  <c r="I108" i="17"/>
  <c r="H108" i="17"/>
  <c r="G108" i="17"/>
  <c r="F108" i="17"/>
  <c r="E108" i="17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U103" i="10"/>
  <c r="T103" i="10"/>
  <c r="S103" i="10"/>
  <c r="R103" i="10"/>
  <c r="N103" i="10"/>
  <c r="M103" i="10"/>
  <c r="L103" i="10"/>
  <c r="K103" i="10"/>
  <c r="J103" i="10"/>
  <c r="I103" i="10"/>
  <c r="H103" i="10"/>
  <c r="G103" i="10"/>
  <c r="F103" i="10"/>
  <c r="E103" i="10"/>
  <c r="U103" i="11"/>
  <c r="T103" i="11"/>
  <c r="S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N103" i="15"/>
  <c r="M103" i="15"/>
  <c r="K103" i="15"/>
  <c r="J103" i="15"/>
  <c r="I103" i="15"/>
  <c r="H103" i="15"/>
  <c r="G103" i="15"/>
  <c r="F103" i="15"/>
  <c r="E103" i="15"/>
  <c r="U103" i="16"/>
  <c r="T103" i="16"/>
  <c r="S103" i="16"/>
  <c r="R103" i="16"/>
  <c r="N103" i="16"/>
  <c r="M103" i="16"/>
  <c r="L103" i="16"/>
  <c r="K103" i="16"/>
  <c r="J103" i="16"/>
  <c r="I103" i="16"/>
  <c r="H103" i="16"/>
  <c r="G103" i="16"/>
  <c r="F103" i="16"/>
  <c r="E103" i="16"/>
  <c r="U103" i="17"/>
  <c r="T103" i="17"/>
  <c r="R103" i="17"/>
  <c r="Q103" i="17"/>
  <c r="M103" i="17"/>
  <c r="L103" i="17"/>
  <c r="K103" i="17"/>
  <c r="J103" i="17"/>
  <c r="I103" i="17"/>
  <c r="H103" i="17"/>
  <c r="G103" i="17"/>
  <c r="F103" i="17"/>
  <c r="E103" i="17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U91" i="10"/>
  <c r="T91" i="10"/>
  <c r="S91" i="10"/>
  <c r="R91" i="10"/>
  <c r="N91" i="10"/>
  <c r="M91" i="10"/>
  <c r="L91" i="10"/>
  <c r="K91" i="10"/>
  <c r="J91" i="10"/>
  <c r="I91" i="10"/>
  <c r="H91" i="10"/>
  <c r="G91" i="10"/>
  <c r="F91" i="10"/>
  <c r="E91" i="10"/>
  <c r="U91" i="11"/>
  <c r="T91" i="11"/>
  <c r="S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N91" i="15"/>
  <c r="M91" i="15"/>
  <c r="K91" i="15"/>
  <c r="J91" i="15"/>
  <c r="I91" i="15"/>
  <c r="H91" i="15"/>
  <c r="G91" i="15"/>
  <c r="F91" i="15"/>
  <c r="E91" i="15"/>
  <c r="U91" i="16"/>
  <c r="T91" i="16"/>
  <c r="S91" i="16"/>
  <c r="R91" i="16"/>
  <c r="N91" i="16"/>
  <c r="M91" i="16"/>
  <c r="L91" i="16"/>
  <c r="K91" i="16"/>
  <c r="J91" i="16"/>
  <c r="I91" i="16"/>
  <c r="H91" i="16"/>
  <c r="G91" i="16"/>
  <c r="F91" i="16"/>
  <c r="E91" i="16"/>
  <c r="U91" i="17"/>
  <c r="T91" i="17"/>
  <c r="R91" i="17"/>
  <c r="Q91" i="17"/>
  <c r="M91" i="17"/>
  <c r="L91" i="17"/>
  <c r="K91" i="17"/>
  <c r="J91" i="17"/>
  <c r="I91" i="17"/>
  <c r="H91" i="17"/>
  <c r="G91" i="17"/>
  <c r="F91" i="17"/>
  <c r="E91" i="17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U79" i="10"/>
  <c r="T79" i="10"/>
  <c r="S79" i="10"/>
  <c r="R79" i="10"/>
  <c r="N79" i="10"/>
  <c r="M79" i="10"/>
  <c r="L79" i="10"/>
  <c r="K79" i="10"/>
  <c r="J79" i="10"/>
  <c r="I79" i="10"/>
  <c r="H79" i="10"/>
  <c r="G79" i="10"/>
  <c r="F79" i="10"/>
  <c r="E79" i="10"/>
  <c r="U79" i="11"/>
  <c r="T79" i="11"/>
  <c r="S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N79" i="15"/>
  <c r="M79" i="15"/>
  <c r="K79" i="15"/>
  <c r="J79" i="15"/>
  <c r="I79" i="15"/>
  <c r="H79" i="15"/>
  <c r="G79" i="15"/>
  <c r="F79" i="15"/>
  <c r="E79" i="15"/>
  <c r="U79" i="16"/>
  <c r="T79" i="16"/>
  <c r="S79" i="16"/>
  <c r="R79" i="16"/>
  <c r="N79" i="16"/>
  <c r="M79" i="16"/>
  <c r="L79" i="16"/>
  <c r="K79" i="16"/>
  <c r="J79" i="16"/>
  <c r="I79" i="16"/>
  <c r="H79" i="16"/>
  <c r="G79" i="16"/>
  <c r="F79" i="16"/>
  <c r="E79" i="16"/>
  <c r="U79" i="17"/>
  <c r="T79" i="17"/>
  <c r="R79" i="17"/>
  <c r="Q79" i="17"/>
  <c r="M79" i="17"/>
  <c r="L79" i="17"/>
  <c r="K79" i="17"/>
  <c r="J79" i="17"/>
  <c r="I79" i="17"/>
  <c r="H79" i="17"/>
  <c r="G79" i="17"/>
  <c r="F79" i="17"/>
  <c r="E79" i="17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U67" i="10"/>
  <c r="T67" i="10"/>
  <c r="S67" i="10"/>
  <c r="R67" i="10"/>
  <c r="N67" i="10"/>
  <c r="M67" i="10"/>
  <c r="L67" i="10"/>
  <c r="K67" i="10"/>
  <c r="J67" i="10"/>
  <c r="I67" i="10"/>
  <c r="H67" i="10"/>
  <c r="G67" i="10"/>
  <c r="F67" i="10"/>
  <c r="E67" i="10"/>
  <c r="U67" i="11"/>
  <c r="T67" i="11"/>
  <c r="S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N67" i="15"/>
  <c r="M67" i="15"/>
  <c r="K67" i="15"/>
  <c r="J67" i="15"/>
  <c r="I67" i="15"/>
  <c r="H67" i="15"/>
  <c r="G67" i="15"/>
  <c r="F67" i="15"/>
  <c r="E67" i="15"/>
  <c r="U67" i="16"/>
  <c r="T67" i="16"/>
  <c r="S67" i="16"/>
  <c r="R67" i="16"/>
  <c r="N67" i="16"/>
  <c r="M67" i="16"/>
  <c r="L67" i="16"/>
  <c r="K67" i="16"/>
  <c r="J67" i="16"/>
  <c r="I67" i="16"/>
  <c r="H67" i="16"/>
  <c r="G67" i="16"/>
  <c r="F67" i="16"/>
  <c r="E67" i="16"/>
  <c r="U67" i="17"/>
  <c r="T67" i="17"/>
  <c r="R67" i="17"/>
  <c r="Q67" i="17"/>
  <c r="M67" i="17"/>
  <c r="L67" i="17"/>
  <c r="K67" i="17"/>
  <c r="J67" i="17"/>
  <c r="I67" i="17"/>
  <c r="H67" i="17"/>
  <c r="G67" i="17"/>
  <c r="F67" i="17"/>
  <c r="E67" i="17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U55" i="10"/>
  <c r="T55" i="10"/>
  <c r="S55" i="10"/>
  <c r="R55" i="10"/>
  <c r="N55" i="10"/>
  <c r="M55" i="10"/>
  <c r="L55" i="10"/>
  <c r="K55" i="10"/>
  <c r="J55" i="10"/>
  <c r="I55" i="10"/>
  <c r="H55" i="10"/>
  <c r="G55" i="10"/>
  <c r="F55" i="10"/>
  <c r="U55" i="11"/>
  <c r="T55" i="11"/>
  <c r="S55" i="11"/>
  <c r="P55" i="11"/>
  <c r="O55" i="11"/>
  <c r="N55" i="11"/>
  <c r="M55" i="11"/>
  <c r="L55" i="11"/>
  <c r="K55" i="11"/>
  <c r="J55" i="11"/>
  <c r="I55" i="11"/>
  <c r="H55" i="11"/>
  <c r="G55" i="11"/>
  <c r="F55" i="11"/>
  <c r="N55" i="15"/>
  <c r="M55" i="15"/>
  <c r="K55" i="15"/>
  <c r="J55" i="15"/>
  <c r="I55" i="15"/>
  <c r="H55" i="15"/>
  <c r="G55" i="15"/>
  <c r="F55" i="15"/>
  <c r="U55" i="16"/>
  <c r="T55" i="16"/>
  <c r="S55" i="16"/>
  <c r="R55" i="16"/>
  <c r="N55" i="16"/>
  <c r="M55" i="16"/>
  <c r="L55" i="16"/>
  <c r="K55" i="16"/>
  <c r="J55" i="16"/>
  <c r="I55" i="16"/>
  <c r="H55" i="16"/>
  <c r="G55" i="16"/>
  <c r="F55" i="16"/>
  <c r="U55" i="17"/>
  <c r="T55" i="17"/>
  <c r="R55" i="17"/>
  <c r="Q55" i="17"/>
  <c r="M55" i="17"/>
  <c r="L55" i="17"/>
  <c r="K55" i="17"/>
  <c r="J55" i="17"/>
  <c r="I55" i="17"/>
  <c r="H55" i="17"/>
  <c r="G55" i="17"/>
  <c r="F55" i="17"/>
  <c r="E55" i="9"/>
  <c r="E55" i="10"/>
  <c r="E55" i="11"/>
  <c r="E55" i="15"/>
  <c r="E55" i="16"/>
  <c r="E55" i="17"/>
  <c r="V214" i="17" l="1"/>
  <c r="V196" i="17"/>
  <c r="V189" i="17"/>
  <c r="V133" i="17"/>
  <c r="V115" i="17"/>
  <c r="V107" i="17"/>
  <c r="V213" i="16"/>
  <c r="V214" i="16"/>
  <c r="V196" i="16"/>
  <c r="V189" i="16"/>
  <c r="V133" i="16"/>
  <c r="V114" i="16"/>
  <c r="V115" i="16"/>
  <c r="V107" i="16"/>
  <c r="O214" i="15"/>
  <c r="O196" i="15"/>
  <c r="O189" i="15"/>
  <c r="O133" i="15"/>
  <c r="V214" i="11"/>
  <c r="V196" i="10"/>
  <c r="R218" i="16" l="1"/>
  <c r="R220" i="16" s="1"/>
  <c r="N218" i="16"/>
  <c r="N220" i="16" s="1"/>
  <c r="T218" i="16"/>
  <c r="T220" i="16" s="1"/>
  <c r="S218" i="16"/>
  <c r="S220" i="16" s="1"/>
  <c r="M218" i="16"/>
  <c r="M220" i="16" s="1"/>
  <c r="L218" i="16"/>
  <c r="L220" i="16" s="1"/>
  <c r="T41" i="16"/>
  <c r="S41" i="16"/>
  <c r="R41" i="16"/>
  <c r="N41" i="16"/>
  <c r="M41" i="16"/>
  <c r="L41" i="16"/>
  <c r="T36" i="16"/>
  <c r="S36" i="16"/>
  <c r="R36" i="16"/>
  <c r="N36" i="16"/>
  <c r="M36" i="16"/>
  <c r="L36" i="16"/>
  <c r="T29" i="16"/>
  <c r="S29" i="16"/>
  <c r="R29" i="16"/>
  <c r="N29" i="16"/>
  <c r="M29" i="16"/>
  <c r="L29" i="16"/>
  <c r="T28" i="16"/>
  <c r="S28" i="16"/>
  <c r="R28" i="16"/>
  <c r="N28" i="16"/>
  <c r="M28" i="16"/>
  <c r="L28" i="16"/>
  <c r="L30" i="16" s="1"/>
  <c r="T27" i="16"/>
  <c r="S27" i="16"/>
  <c r="R27" i="16"/>
  <c r="N27" i="16"/>
  <c r="M27" i="16"/>
  <c r="L27" i="16"/>
  <c r="T24" i="16"/>
  <c r="S24" i="16"/>
  <c r="R24" i="16"/>
  <c r="N24" i="16"/>
  <c r="M24" i="16"/>
  <c r="L24" i="16"/>
  <c r="T21" i="16"/>
  <c r="S21" i="16"/>
  <c r="R21" i="16"/>
  <c r="N21" i="16"/>
  <c r="M21" i="16"/>
  <c r="L21" i="16"/>
  <c r="T16" i="16"/>
  <c r="S16" i="16"/>
  <c r="R16" i="16"/>
  <c r="N16" i="16"/>
  <c r="M16" i="16"/>
  <c r="L16" i="16"/>
  <c r="T218" i="10"/>
  <c r="T220" i="10" s="1"/>
  <c r="S218" i="10"/>
  <c r="S220" i="10" s="1"/>
  <c r="T41" i="10"/>
  <c r="S41" i="10"/>
  <c r="T36" i="10"/>
  <c r="S36" i="10"/>
  <c r="T29" i="10"/>
  <c r="S29" i="10"/>
  <c r="T28" i="10"/>
  <c r="S28" i="10"/>
  <c r="T27" i="10"/>
  <c r="S27" i="10"/>
  <c r="T24" i="10"/>
  <c r="S24" i="10"/>
  <c r="T21" i="10"/>
  <c r="S21" i="10"/>
  <c r="T16" i="10"/>
  <c r="S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218" i="9"/>
  <c r="P220" i="9" s="1"/>
  <c r="S41" i="9"/>
  <c r="R41" i="9"/>
  <c r="Q41" i="9"/>
  <c r="P41" i="9"/>
  <c r="S36" i="9"/>
  <c r="R36" i="9"/>
  <c r="Q36" i="9"/>
  <c r="P36" i="9"/>
  <c r="S29" i="9"/>
  <c r="R29" i="9"/>
  <c r="Q29" i="9"/>
  <c r="P29" i="9"/>
  <c r="S28" i="9"/>
  <c r="R28" i="9"/>
  <c r="Q28" i="9"/>
  <c r="P28" i="9"/>
  <c r="S27" i="9"/>
  <c r="R27" i="9"/>
  <c r="Q27" i="9"/>
  <c r="P27" i="9"/>
  <c r="S24" i="9"/>
  <c r="R24" i="9"/>
  <c r="Q24" i="9"/>
  <c r="P24" i="9"/>
  <c r="S21" i="9"/>
  <c r="R21" i="9"/>
  <c r="Q21" i="9"/>
  <c r="P21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M30" i="16" l="1"/>
  <c r="F30" i="10"/>
  <c r="G30" i="10"/>
  <c r="K30" i="9"/>
  <c r="L30" i="9"/>
  <c r="R30" i="16"/>
  <c r="N30" i="16"/>
  <c r="S30" i="16"/>
  <c r="T30" i="16"/>
  <c r="I30" i="10"/>
  <c r="H30" i="10"/>
  <c r="J30" i="10"/>
  <c r="K30" i="10"/>
  <c r="M30" i="9"/>
  <c r="N30" i="9"/>
  <c r="S30" i="10"/>
  <c r="T30" i="10"/>
  <c r="F218" i="10"/>
  <c r="F220" i="10" s="1"/>
  <c r="G218" i="10"/>
  <c r="G220" i="10" s="1"/>
  <c r="I218" i="10"/>
  <c r="I220" i="10" s="1"/>
  <c r="J218" i="10"/>
  <c r="J220" i="10" s="1"/>
  <c r="H218" i="10"/>
  <c r="H220" i="10" s="1"/>
  <c r="K218" i="10"/>
  <c r="K220" i="10" s="1"/>
  <c r="P30" i="9"/>
  <c r="R30" i="9"/>
  <c r="S30" i="9"/>
  <c r="G30" i="9"/>
  <c r="I30" i="9"/>
  <c r="R218" i="9"/>
  <c r="R220" i="9" s="1"/>
  <c r="Q30" i="9"/>
  <c r="F30" i="9"/>
  <c r="H30" i="9"/>
  <c r="S218" i="9"/>
  <c r="S220" i="9" s="1"/>
  <c r="Q218" i="9"/>
  <c r="Q220" i="9" s="1"/>
  <c r="F218" i="9"/>
  <c r="F220" i="9" s="1"/>
  <c r="G218" i="9"/>
  <c r="G220" i="9" s="1"/>
  <c r="H218" i="9"/>
  <c r="H220" i="9" s="1"/>
  <c r="J218" i="9"/>
  <c r="J220" i="9" s="1"/>
  <c r="J30" i="9"/>
  <c r="K218" i="9"/>
  <c r="K220" i="9" s="1"/>
  <c r="L218" i="9"/>
  <c r="L220" i="9" s="1"/>
  <c r="N218" i="9"/>
  <c r="N220" i="9" s="1"/>
  <c r="M218" i="9"/>
  <c r="M220" i="9" s="1"/>
  <c r="I218" i="9"/>
  <c r="I220" i="9" s="1"/>
  <c r="U41" i="11"/>
  <c r="T41" i="11"/>
  <c r="S41" i="11"/>
  <c r="P41" i="11"/>
  <c r="U36" i="11"/>
  <c r="T36" i="11"/>
  <c r="S36" i="11"/>
  <c r="P36" i="11"/>
  <c r="U29" i="11"/>
  <c r="T29" i="11"/>
  <c r="S29" i="11"/>
  <c r="P29" i="11"/>
  <c r="U28" i="11"/>
  <c r="T28" i="11"/>
  <c r="S28" i="11"/>
  <c r="P28" i="11"/>
  <c r="U27" i="11"/>
  <c r="T27" i="11"/>
  <c r="S27" i="11"/>
  <c r="P27" i="11"/>
  <c r="U24" i="11"/>
  <c r="T24" i="11"/>
  <c r="S24" i="11"/>
  <c r="P24" i="11"/>
  <c r="U21" i="11"/>
  <c r="T21" i="11"/>
  <c r="S21" i="11"/>
  <c r="P21" i="11"/>
  <c r="U16" i="11"/>
  <c r="T16" i="11"/>
  <c r="S16" i="11"/>
  <c r="P16" i="11"/>
  <c r="V219" i="17"/>
  <c r="V213" i="17"/>
  <c r="V212" i="17"/>
  <c r="V211" i="17"/>
  <c r="V208" i="17"/>
  <c r="V207" i="17"/>
  <c r="V206" i="17"/>
  <c r="V205" i="17"/>
  <c r="V204" i="17"/>
  <c r="V203" i="17"/>
  <c r="V202" i="17"/>
  <c r="V201" i="17"/>
  <c r="V200" i="17"/>
  <c r="V199" i="17"/>
  <c r="V195" i="17"/>
  <c r="V194" i="17"/>
  <c r="V193" i="17"/>
  <c r="V192" i="17"/>
  <c r="V188" i="17"/>
  <c r="V187" i="17"/>
  <c r="V186" i="17"/>
  <c r="V190" i="17" s="1"/>
  <c r="V183" i="17"/>
  <c r="V182" i="17"/>
  <c r="V181" i="17"/>
  <c r="V180" i="17"/>
  <c r="V179" i="17"/>
  <c r="V178" i="17"/>
  <c r="V177" i="17"/>
  <c r="V176" i="17"/>
  <c r="V175" i="17"/>
  <c r="V174" i="17"/>
  <c r="V171" i="17"/>
  <c r="V170" i="17"/>
  <c r="V169" i="17"/>
  <c r="V168" i="17"/>
  <c r="V167" i="17"/>
  <c r="V166" i="17"/>
  <c r="V165" i="17"/>
  <c r="V164" i="17"/>
  <c r="V163" i="17"/>
  <c r="V162" i="17"/>
  <c r="V159" i="17"/>
  <c r="V158" i="17"/>
  <c r="V157" i="17"/>
  <c r="V156" i="17"/>
  <c r="V155" i="17"/>
  <c r="V154" i="17"/>
  <c r="V153" i="17"/>
  <c r="V152" i="17"/>
  <c r="V151" i="17"/>
  <c r="V150" i="17"/>
  <c r="V147" i="17"/>
  <c r="V146" i="17"/>
  <c r="V148" i="17" s="1"/>
  <c r="V132" i="17"/>
  <c r="V131" i="17"/>
  <c r="V130" i="17"/>
  <c r="V127" i="17"/>
  <c r="V126" i="17"/>
  <c r="V125" i="17"/>
  <c r="V124" i="17"/>
  <c r="V123" i="17"/>
  <c r="V122" i="17"/>
  <c r="V121" i="17"/>
  <c r="V120" i="17"/>
  <c r="V119" i="17"/>
  <c r="V118" i="17"/>
  <c r="V114" i="17"/>
  <c r="V113" i="17"/>
  <c r="V112" i="17"/>
  <c r="V111" i="17"/>
  <c r="V110" i="17"/>
  <c r="V106" i="17"/>
  <c r="V105" i="17"/>
  <c r="V102" i="17"/>
  <c r="V101" i="17"/>
  <c r="V100" i="17"/>
  <c r="V99" i="17"/>
  <c r="V98" i="17"/>
  <c r="V97" i="17"/>
  <c r="V96" i="17"/>
  <c r="V95" i="17"/>
  <c r="V94" i="17"/>
  <c r="V93" i="17"/>
  <c r="V90" i="17"/>
  <c r="V89" i="17"/>
  <c r="V88" i="17"/>
  <c r="V87" i="17"/>
  <c r="V86" i="17"/>
  <c r="V85" i="17"/>
  <c r="V84" i="17"/>
  <c r="V83" i="17"/>
  <c r="V82" i="17"/>
  <c r="V81" i="17"/>
  <c r="V78" i="17"/>
  <c r="V77" i="17"/>
  <c r="V76" i="17"/>
  <c r="V75" i="17"/>
  <c r="V74" i="17"/>
  <c r="V73" i="17"/>
  <c r="V72" i="17"/>
  <c r="V71" i="17"/>
  <c r="V70" i="17"/>
  <c r="V69" i="17"/>
  <c r="V66" i="17"/>
  <c r="V65" i="17"/>
  <c r="V64" i="17"/>
  <c r="V63" i="17"/>
  <c r="V62" i="17"/>
  <c r="V61" i="17"/>
  <c r="V60" i="17"/>
  <c r="V59" i="17"/>
  <c r="V58" i="17"/>
  <c r="V57" i="17"/>
  <c r="V54" i="17"/>
  <c r="V53" i="17"/>
  <c r="V52" i="17"/>
  <c r="V51" i="17"/>
  <c r="V50" i="17"/>
  <c r="V49" i="17"/>
  <c r="V48" i="17"/>
  <c r="V47" i="17"/>
  <c r="V46" i="17"/>
  <c r="V45" i="17"/>
  <c r="U41" i="17"/>
  <c r="T41" i="17"/>
  <c r="R41" i="17"/>
  <c r="Q41" i="17"/>
  <c r="M41" i="17"/>
  <c r="L41" i="17"/>
  <c r="K41" i="17"/>
  <c r="J41" i="17"/>
  <c r="I41" i="17"/>
  <c r="H41" i="17"/>
  <c r="G41" i="17"/>
  <c r="F41" i="17"/>
  <c r="E41" i="17"/>
  <c r="V40" i="17"/>
  <c r="V39" i="17"/>
  <c r="U36" i="17"/>
  <c r="T36" i="17"/>
  <c r="R36" i="17"/>
  <c r="Q36" i="17"/>
  <c r="M36" i="17"/>
  <c r="L36" i="17"/>
  <c r="K36" i="17"/>
  <c r="J36" i="17"/>
  <c r="I36" i="17"/>
  <c r="H36" i="17"/>
  <c r="G36" i="17"/>
  <c r="F36" i="17"/>
  <c r="E36" i="17"/>
  <c r="V35" i="17"/>
  <c r="V34" i="17"/>
  <c r="V33" i="17"/>
  <c r="U29" i="17"/>
  <c r="T29" i="17"/>
  <c r="R29" i="17"/>
  <c r="Q29" i="17"/>
  <c r="M29" i="17"/>
  <c r="L29" i="17"/>
  <c r="K29" i="17"/>
  <c r="J29" i="17"/>
  <c r="I29" i="17"/>
  <c r="H29" i="17"/>
  <c r="G29" i="17"/>
  <c r="F29" i="17"/>
  <c r="E29" i="17"/>
  <c r="U28" i="17"/>
  <c r="T28" i="17"/>
  <c r="R28" i="17"/>
  <c r="Q28" i="17"/>
  <c r="M28" i="17"/>
  <c r="L28" i="17"/>
  <c r="K28" i="17"/>
  <c r="J28" i="17"/>
  <c r="I28" i="17"/>
  <c r="H28" i="17"/>
  <c r="G28" i="17"/>
  <c r="F28" i="17"/>
  <c r="E28" i="17"/>
  <c r="U27" i="17"/>
  <c r="T27" i="17"/>
  <c r="R27" i="17"/>
  <c r="Q27" i="17"/>
  <c r="M27" i="17"/>
  <c r="L27" i="17"/>
  <c r="K27" i="17"/>
  <c r="J27" i="17"/>
  <c r="I27" i="17"/>
  <c r="H27" i="17"/>
  <c r="G27" i="17"/>
  <c r="F27" i="17"/>
  <c r="E27" i="17"/>
  <c r="V26" i="17"/>
  <c r="V25" i="17"/>
  <c r="U24" i="17"/>
  <c r="T24" i="17"/>
  <c r="R24" i="17"/>
  <c r="Q24" i="17"/>
  <c r="M24" i="17"/>
  <c r="L24" i="17"/>
  <c r="K24" i="17"/>
  <c r="J24" i="17"/>
  <c r="I24" i="17"/>
  <c r="H24" i="17"/>
  <c r="G24" i="17"/>
  <c r="F24" i="17"/>
  <c r="E24" i="17"/>
  <c r="V23" i="17"/>
  <c r="V22" i="17"/>
  <c r="U21" i="17"/>
  <c r="T21" i="17"/>
  <c r="R21" i="17"/>
  <c r="Q21" i="17"/>
  <c r="M21" i="17"/>
  <c r="L21" i="17"/>
  <c r="K21" i="17"/>
  <c r="J21" i="17"/>
  <c r="I21" i="17"/>
  <c r="H21" i="17"/>
  <c r="G21" i="17"/>
  <c r="F21" i="17"/>
  <c r="E21" i="17"/>
  <c r="V20" i="17"/>
  <c r="V19" i="17"/>
  <c r="U16" i="17"/>
  <c r="T16" i="17"/>
  <c r="R16" i="17"/>
  <c r="Q16" i="17"/>
  <c r="M16" i="17"/>
  <c r="L16" i="17"/>
  <c r="K16" i="17"/>
  <c r="J16" i="17"/>
  <c r="I16" i="17"/>
  <c r="H16" i="17"/>
  <c r="G16" i="17"/>
  <c r="F16" i="17"/>
  <c r="E16" i="17"/>
  <c r="V15" i="17"/>
  <c r="V14" i="17"/>
  <c r="V219" i="16"/>
  <c r="V212" i="16"/>
  <c r="V211" i="16"/>
  <c r="V208" i="16"/>
  <c r="V207" i="16"/>
  <c r="V206" i="16"/>
  <c r="V205" i="16"/>
  <c r="V204" i="16"/>
  <c r="V203" i="16"/>
  <c r="V202" i="16"/>
  <c r="V201" i="16"/>
  <c r="V200" i="16"/>
  <c r="V199" i="16"/>
  <c r="V195" i="16"/>
  <c r="V194" i="16"/>
  <c r="V193" i="16"/>
  <c r="V192" i="16"/>
  <c r="V188" i="16"/>
  <c r="V187" i="16"/>
  <c r="V186" i="16"/>
  <c r="V183" i="16"/>
  <c r="V182" i="16"/>
  <c r="V181" i="16"/>
  <c r="V180" i="16"/>
  <c r="V179" i="16"/>
  <c r="V178" i="16"/>
  <c r="V177" i="16"/>
  <c r="V176" i="16"/>
  <c r="V175" i="16"/>
  <c r="V174" i="16"/>
  <c r="V171" i="16"/>
  <c r="V170" i="16"/>
  <c r="V169" i="16"/>
  <c r="V168" i="16"/>
  <c r="V167" i="16"/>
  <c r="V166" i="16"/>
  <c r="V165" i="16"/>
  <c r="V164" i="16"/>
  <c r="V163" i="16"/>
  <c r="V162" i="16"/>
  <c r="V159" i="16"/>
  <c r="V158" i="16"/>
  <c r="V157" i="16"/>
  <c r="V156" i="16"/>
  <c r="V155" i="16"/>
  <c r="V154" i="16"/>
  <c r="V153" i="16"/>
  <c r="V152" i="16"/>
  <c r="V151" i="16"/>
  <c r="V150" i="16"/>
  <c r="V147" i="16"/>
  <c r="V146" i="16"/>
  <c r="V148" i="16" s="1"/>
  <c r="V132" i="16"/>
  <c r="V131" i="16"/>
  <c r="V130" i="16"/>
  <c r="V127" i="16"/>
  <c r="V126" i="16"/>
  <c r="V125" i="16"/>
  <c r="V124" i="16"/>
  <c r="V123" i="16"/>
  <c r="V122" i="16"/>
  <c r="V121" i="16"/>
  <c r="V120" i="16"/>
  <c r="V119" i="16"/>
  <c r="V118" i="16"/>
  <c r="V113" i="16"/>
  <c r="V112" i="16"/>
  <c r="V111" i="16"/>
  <c r="V110" i="16"/>
  <c r="V106" i="16"/>
  <c r="V105" i="16"/>
  <c r="V102" i="16"/>
  <c r="V101" i="16"/>
  <c r="V100" i="16"/>
  <c r="V99" i="16"/>
  <c r="V98" i="16"/>
  <c r="V97" i="16"/>
  <c r="V96" i="16"/>
  <c r="V95" i="16"/>
  <c r="V94" i="16"/>
  <c r="V93" i="16"/>
  <c r="V90" i="16"/>
  <c r="V89" i="16"/>
  <c r="V88" i="16"/>
  <c r="V87" i="16"/>
  <c r="V86" i="16"/>
  <c r="V85" i="16"/>
  <c r="V84" i="16"/>
  <c r="V83" i="16"/>
  <c r="V82" i="16"/>
  <c r="V81" i="16"/>
  <c r="V78" i="16"/>
  <c r="V77" i="16"/>
  <c r="V76" i="16"/>
  <c r="V75" i="16"/>
  <c r="V74" i="16"/>
  <c r="V73" i="16"/>
  <c r="V72" i="16"/>
  <c r="V71" i="16"/>
  <c r="V70" i="16"/>
  <c r="V69" i="16"/>
  <c r="V66" i="16"/>
  <c r="V65" i="16"/>
  <c r="V64" i="16"/>
  <c r="V63" i="16"/>
  <c r="V62" i="16"/>
  <c r="V61" i="16"/>
  <c r="V60" i="16"/>
  <c r="V59" i="16"/>
  <c r="V58" i="16"/>
  <c r="V57" i="16"/>
  <c r="V54" i="16"/>
  <c r="V53" i="16"/>
  <c r="V52" i="16"/>
  <c r="V51" i="16"/>
  <c r="V50" i="16"/>
  <c r="V49" i="16"/>
  <c r="V48" i="16"/>
  <c r="V47" i="16"/>
  <c r="V46" i="16"/>
  <c r="V45" i="16"/>
  <c r="U41" i="16"/>
  <c r="K41" i="16"/>
  <c r="J41" i="16"/>
  <c r="I41" i="16"/>
  <c r="H41" i="16"/>
  <c r="G41" i="16"/>
  <c r="F41" i="16"/>
  <c r="E41" i="16"/>
  <c r="V40" i="16"/>
  <c r="V39" i="16"/>
  <c r="U36" i="16"/>
  <c r="K36" i="16"/>
  <c r="J36" i="16"/>
  <c r="I36" i="16"/>
  <c r="H36" i="16"/>
  <c r="G36" i="16"/>
  <c r="F36" i="16"/>
  <c r="E36" i="16"/>
  <c r="V35" i="16"/>
  <c r="V34" i="16"/>
  <c r="V33" i="16"/>
  <c r="U29" i="16"/>
  <c r="K29" i="16"/>
  <c r="J29" i="16"/>
  <c r="I29" i="16"/>
  <c r="H29" i="16"/>
  <c r="G29" i="16"/>
  <c r="F29" i="16"/>
  <c r="E29" i="16"/>
  <c r="U28" i="16"/>
  <c r="K28" i="16"/>
  <c r="J28" i="16"/>
  <c r="I28" i="16"/>
  <c r="H28" i="16"/>
  <c r="G28" i="16"/>
  <c r="F28" i="16"/>
  <c r="E28" i="16"/>
  <c r="U27" i="16"/>
  <c r="K27" i="16"/>
  <c r="J27" i="16"/>
  <c r="I27" i="16"/>
  <c r="H27" i="16"/>
  <c r="G27" i="16"/>
  <c r="F27" i="16"/>
  <c r="E27" i="16"/>
  <c r="V26" i="16"/>
  <c r="V25" i="16"/>
  <c r="U24" i="16"/>
  <c r="K24" i="16"/>
  <c r="J24" i="16"/>
  <c r="I24" i="16"/>
  <c r="H24" i="16"/>
  <c r="G24" i="16"/>
  <c r="F24" i="16"/>
  <c r="E24" i="16"/>
  <c r="V23" i="16"/>
  <c r="V22" i="16"/>
  <c r="U21" i="16"/>
  <c r="K21" i="16"/>
  <c r="J21" i="16"/>
  <c r="I21" i="16"/>
  <c r="H21" i="16"/>
  <c r="G21" i="16"/>
  <c r="F21" i="16"/>
  <c r="E21" i="16"/>
  <c r="V20" i="16"/>
  <c r="V19" i="16"/>
  <c r="U16" i="16"/>
  <c r="K16" i="16"/>
  <c r="J16" i="16"/>
  <c r="I16" i="16"/>
  <c r="H16" i="16"/>
  <c r="G16" i="16"/>
  <c r="F16" i="16"/>
  <c r="E16" i="16"/>
  <c r="V15" i="16"/>
  <c r="V14" i="16"/>
  <c r="O219" i="15"/>
  <c r="O213" i="15"/>
  <c r="O212" i="15"/>
  <c r="O211" i="15"/>
  <c r="O208" i="15"/>
  <c r="O207" i="15"/>
  <c r="O206" i="15"/>
  <c r="O205" i="15"/>
  <c r="O204" i="15"/>
  <c r="O203" i="15"/>
  <c r="O202" i="15"/>
  <c r="O201" i="15"/>
  <c r="O200" i="15"/>
  <c r="O199" i="15"/>
  <c r="O195" i="15"/>
  <c r="O194" i="15"/>
  <c r="O193" i="15"/>
  <c r="O192" i="15"/>
  <c r="O188" i="15"/>
  <c r="O187" i="15"/>
  <c r="O186" i="15"/>
  <c r="O183" i="15"/>
  <c r="O182" i="15"/>
  <c r="O181" i="15"/>
  <c r="O180" i="15"/>
  <c r="O179" i="15"/>
  <c r="O178" i="15"/>
  <c r="O177" i="15"/>
  <c r="O176" i="15"/>
  <c r="O175" i="15"/>
  <c r="O174" i="15"/>
  <c r="O171" i="15"/>
  <c r="O170" i="15"/>
  <c r="O169" i="15"/>
  <c r="O168" i="15"/>
  <c r="O167" i="15"/>
  <c r="O166" i="15"/>
  <c r="O165" i="15"/>
  <c r="O164" i="15"/>
  <c r="O163" i="15"/>
  <c r="O162" i="15"/>
  <c r="O159" i="15"/>
  <c r="O158" i="15"/>
  <c r="O157" i="15"/>
  <c r="O156" i="15"/>
  <c r="O155" i="15"/>
  <c r="O154" i="15"/>
  <c r="O153" i="15"/>
  <c r="O152" i="15"/>
  <c r="O151" i="15"/>
  <c r="O150" i="15"/>
  <c r="O147" i="15"/>
  <c r="O146" i="15"/>
  <c r="O148" i="15" s="1"/>
  <c r="O132" i="15"/>
  <c r="O131" i="15"/>
  <c r="O130" i="15"/>
  <c r="O134" i="15" s="1"/>
  <c r="O127" i="15"/>
  <c r="O126" i="15"/>
  <c r="O125" i="15"/>
  <c r="O124" i="15"/>
  <c r="O123" i="15"/>
  <c r="O122" i="15"/>
  <c r="O121" i="15"/>
  <c r="O120" i="15"/>
  <c r="O119" i="15"/>
  <c r="O118" i="15"/>
  <c r="O115" i="15"/>
  <c r="O114" i="15"/>
  <c r="O113" i="15"/>
  <c r="O112" i="15"/>
  <c r="O111" i="15"/>
  <c r="O110" i="15"/>
  <c r="O107" i="15"/>
  <c r="O106" i="15"/>
  <c r="O105" i="15"/>
  <c r="O102" i="15"/>
  <c r="O101" i="15"/>
  <c r="O100" i="15"/>
  <c r="O99" i="15"/>
  <c r="O98" i="15"/>
  <c r="O97" i="15"/>
  <c r="O96" i="15"/>
  <c r="O95" i="15"/>
  <c r="O94" i="15"/>
  <c r="O93" i="15"/>
  <c r="O90" i="15"/>
  <c r="O89" i="15"/>
  <c r="O88" i="15"/>
  <c r="O87" i="15"/>
  <c r="O86" i="15"/>
  <c r="O85" i="15"/>
  <c r="O84" i="15"/>
  <c r="O83" i="15"/>
  <c r="O82" i="15"/>
  <c r="O81" i="15"/>
  <c r="O78" i="15"/>
  <c r="O77" i="15"/>
  <c r="O76" i="15"/>
  <c r="O75" i="15"/>
  <c r="O74" i="15"/>
  <c r="O73" i="15"/>
  <c r="O72" i="15"/>
  <c r="O71" i="15"/>
  <c r="O70" i="15"/>
  <c r="O69" i="15"/>
  <c r="O66" i="15"/>
  <c r="O65" i="15"/>
  <c r="O64" i="15"/>
  <c r="O63" i="15"/>
  <c r="O62" i="15"/>
  <c r="O61" i="15"/>
  <c r="O60" i="15"/>
  <c r="O59" i="15"/>
  <c r="O58" i="15"/>
  <c r="O57" i="15"/>
  <c r="O54" i="15"/>
  <c r="O53" i="15"/>
  <c r="O52" i="15"/>
  <c r="O51" i="15"/>
  <c r="O50" i="15"/>
  <c r="O49" i="15"/>
  <c r="O48" i="15"/>
  <c r="O47" i="15"/>
  <c r="O46" i="15"/>
  <c r="O45" i="15"/>
  <c r="N41" i="15"/>
  <c r="M41" i="15"/>
  <c r="K41" i="15"/>
  <c r="J41" i="15"/>
  <c r="I41" i="15"/>
  <c r="H41" i="15"/>
  <c r="G41" i="15"/>
  <c r="F41" i="15"/>
  <c r="E41" i="15"/>
  <c r="O40" i="15"/>
  <c r="O39" i="15"/>
  <c r="N36" i="15"/>
  <c r="M36" i="15"/>
  <c r="K36" i="15"/>
  <c r="J36" i="15"/>
  <c r="I36" i="15"/>
  <c r="H36" i="15"/>
  <c r="G36" i="15"/>
  <c r="F36" i="15"/>
  <c r="E36" i="15"/>
  <c r="O35" i="15"/>
  <c r="O34" i="15"/>
  <c r="O33" i="15"/>
  <c r="N29" i="15"/>
  <c r="M29" i="15"/>
  <c r="K29" i="15"/>
  <c r="J29" i="15"/>
  <c r="I29" i="15"/>
  <c r="H29" i="15"/>
  <c r="G29" i="15"/>
  <c r="F29" i="15"/>
  <c r="E29" i="15"/>
  <c r="N28" i="15"/>
  <c r="M28" i="15"/>
  <c r="K28" i="15"/>
  <c r="J28" i="15"/>
  <c r="I28" i="15"/>
  <c r="H28" i="15"/>
  <c r="G28" i="15"/>
  <c r="F28" i="15"/>
  <c r="E28" i="15"/>
  <c r="N27" i="15"/>
  <c r="M27" i="15"/>
  <c r="K27" i="15"/>
  <c r="J27" i="15"/>
  <c r="I27" i="15"/>
  <c r="H27" i="15"/>
  <c r="G27" i="15"/>
  <c r="F27" i="15"/>
  <c r="E27" i="15"/>
  <c r="O26" i="15"/>
  <c r="O25" i="15"/>
  <c r="N24" i="15"/>
  <c r="M24" i="15"/>
  <c r="K24" i="15"/>
  <c r="J24" i="15"/>
  <c r="I24" i="15"/>
  <c r="H24" i="15"/>
  <c r="G24" i="15"/>
  <c r="F24" i="15"/>
  <c r="E24" i="15"/>
  <c r="O23" i="15"/>
  <c r="O22" i="15"/>
  <c r="N21" i="15"/>
  <c r="M21" i="15"/>
  <c r="K21" i="15"/>
  <c r="J21" i="15"/>
  <c r="I21" i="15"/>
  <c r="H21" i="15"/>
  <c r="G21" i="15"/>
  <c r="F21" i="15"/>
  <c r="E21" i="15"/>
  <c r="O20" i="15"/>
  <c r="O19" i="15"/>
  <c r="N16" i="15"/>
  <c r="M16" i="15"/>
  <c r="K16" i="15"/>
  <c r="J16" i="15"/>
  <c r="I16" i="15"/>
  <c r="H16" i="15"/>
  <c r="G16" i="15"/>
  <c r="F16" i="15"/>
  <c r="E16" i="15"/>
  <c r="O15" i="15"/>
  <c r="O14" i="15"/>
  <c r="V207" i="11"/>
  <c r="V208" i="11"/>
  <c r="V181" i="11"/>
  <c r="V182" i="11"/>
  <c r="V183" i="11"/>
  <c r="V169" i="11"/>
  <c r="V170" i="11"/>
  <c r="V171" i="11"/>
  <c r="V158" i="11"/>
  <c r="V159" i="11"/>
  <c r="V126" i="11"/>
  <c r="V127" i="11"/>
  <c r="V114" i="11"/>
  <c r="V115" i="11"/>
  <c r="V101" i="11"/>
  <c r="V102" i="11"/>
  <c r="V89" i="11"/>
  <c r="V90" i="11"/>
  <c r="V77" i="11"/>
  <c r="V78" i="11"/>
  <c r="V64" i="11"/>
  <c r="V65" i="11"/>
  <c r="V66" i="11"/>
  <c r="V53" i="11"/>
  <c r="V54" i="11"/>
  <c r="V207" i="10"/>
  <c r="V208" i="10"/>
  <c r="V183" i="10"/>
  <c r="V182" i="10"/>
  <c r="V170" i="10"/>
  <c r="V171" i="10"/>
  <c r="V159" i="10"/>
  <c r="V158" i="10"/>
  <c r="V127" i="10"/>
  <c r="V126" i="10"/>
  <c r="V114" i="10"/>
  <c r="V115" i="10"/>
  <c r="V102" i="10"/>
  <c r="V101" i="10"/>
  <c r="V90" i="10"/>
  <c r="V89" i="10"/>
  <c r="V78" i="10"/>
  <c r="V77" i="10"/>
  <c r="V66" i="10"/>
  <c r="V65" i="10"/>
  <c r="V54" i="10"/>
  <c r="V53" i="10"/>
  <c r="U207" i="9"/>
  <c r="U208" i="9"/>
  <c r="U182" i="9"/>
  <c r="U183" i="9"/>
  <c r="U170" i="9"/>
  <c r="U171" i="9"/>
  <c r="U158" i="9"/>
  <c r="U159" i="9"/>
  <c r="E159" i="1" s="1"/>
  <c r="U126" i="9"/>
  <c r="U127" i="9"/>
  <c r="U114" i="9"/>
  <c r="U115" i="9"/>
  <c r="U102" i="9"/>
  <c r="U90" i="9"/>
  <c r="U101" i="9"/>
  <c r="U89" i="9"/>
  <c r="U77" i="9"/>
  <c r="U78" i="9"/>
  <c r="U65" i="9"/>
  <c r="U66" i="9"/>
  <c r="U53" i="9"/>
  <c r="U54" i="9"/>
  <c r="E78" i="1" l="1"/>
  <c r="V108" i="17"/>
  <c r="V134" i="17"/>
  <c r="V190" i="16"/>
  <c r="E54" i="1"/>
  <c r="O160" i="15"/>
  <c r="E115" i="1"/>
  <c r="O67" i="15"/>
  <c r="O184" i="15"/>
  <c r="O215" i="15"/>
  <c r="V116" i="16"/>
  <c r="E207" i="1"/>
  <c r="E53" i="1"/>
  <c r="E208" i="1"/>
  <c r="E114" i="1"/>
  <c r="E66" i="1"/>
  <c r="E77" i="1"/>
  <c r="E89" i="1"/>
  <c r="E101" i="1"/>
  <c r="E90" i="1"/>
  <c r="E126" i="1"/>
  <c r="E65" i="1"/>
  <c r="E102" i="1"/>
  <c r="E127" i="1"/>
  <c r="E158" i="1"/>
  <c r="O128" i="15"/>
  <c r="E171" i="1"/>
  <c r="E170" i="1"/>
  <c r="E183" i="1"/>
  <c r="E182" i="1"/>
  <c r="L30" i="17"/>
  <c r="M30" i="17"/>
  <c r="R30" i="17"/>
  <c r="T30" i="17"/>
  <c r="U30" i="17"/>
  <c r="V172" i="17"/>
  <c r="V55" i="17"/>
  <c r="V197" i="17"/>
  <c r="G30" i="16"/>
  <c r="H30" i="16"/>
  <c r="V103" i="16"/>
  <c r="I30" i="16"/>
  <c r="J30" i="16"/>
  <c r="O79" i="15"/>
  <c r="T30" i="11"/>
  <c r="V103" i="17"/>
  <c r="V79" i="17"/>
  <c r="V128" i="17"/>
  <c r="V215" i="17"/>
  <c r="V172" i="16"/>
  <c r="V79" i="16"/>
  <c r="V134" i="16"/>
  <c r="V197" i="16"/>
  <c r="V108" i="16"/>
  <c r="E30" i="16"/>
  <c r="O103" i="15"/>
  <c r="O190" i="15"/>
  <c r="O197" i="15"/>
  <c r="O91" i="15"/>
  <c r="O116" i="15"/>
  <c r="O55" i="15"/>
  <c r="O172" i="15"/>
  <c r="O108" i="15"/>
  <c r="O209" i="15"/>
  <c r="V55" i="16"/>
  <c r="V209" i="16"/>
  <c r="V91" i="16"/>
  <c r="V184" i="16"/>
  <c r="V67" i="16"/>
  <c r="V160" i="16"/>
  <c r="V128" i="16"/>
  <c r="V215" i="16"/>
  <c r="V91" i="17"/>
  <c r="V116" i="17"/>
  <c r="I30" i="17"/>
  <c r="V209" i="17"/>
  <c r="V184" i="17"/>
  <c r="V67" i="17"/>
  <c r="V160" i="17"/>
  <c r="H218" i="17"/>
  <c r="H220" i="17" s="1"/>
  <c r="F30" i="17"/>
  <c r="G30" i="17"/>
  <c r="V24" i="16"/>
  <c r="F30" i="16"/>
  <c r="G30" i="15"/>
  <c r="H30" i="15"/>
  <c r="K30" i="15"/>
  <c r="I30" i="15"/>
  <c r="J30" i="15"/>
  <c r="P218" i="11"/>
  <c r="P220" i="11" s="1"/>
  <c r="S218" i="11"/>
  <c r="S220" i="11" s="1"/>
  <c r="T218" i="11"/>
  <c r="T220" i="11" s="1"/>
  <c r="U218" i="11"/>
  <c r="U220" i="11" s="1"/>
  <c r="U30" i="11"/>
  <c r="P30" i="11"/>
  <c r="S30" i="11"/>
  <c r="V41" i="16"/>
  <c r="V144" i="16"/>
  <c r="V21" i="16"/>
  <c r="V28" i="16"/>
  <c r="V16" i="16"/>
  <c r="U30" i="16"/>
  <c r="V36" i="16"/>
  <c r="J218" i="16"/>
  <c r="J220" i="16" s="1"/>
  <c r="E218" i="16"/>
  <c r="E220" i="16" s="1"/>
  <c r="V27" i="16"/>
  <c r="U218" i="16"/>
  <c r="U220" i="16" s="1"/>
  <c r="I218" i="16"/>
  <c r="I220" i="16" s="1"/>
  <c r="G218" i="16"/>
  <c r="G220" i="16" s="1"/>
  <c r="K30" i="16"/>
  <c r="K218" i="16"/>
  <c r="K220" i="16" s="1"/>
  <c r="F218" i="16"/>
  <c r="F220" i="16" s="1"/>
  <c r="H218" i="16"/>
  <c r="H220" i="16" s="1"/>
  <c r="F30" i="15"/>
  <c r="E30" i="15"/>
  <c r="V24" i="17"/>
  <c r="I218" i="17"/>
  <c r="I220" i="17" s="1"/>
  <c r="E218" i="17"/>
  <c r="E220" i="17" s="1"/>
  <c r="H30" i="17"/>
  <c r="F218" i="17"/>
  <c r="F220" i="17" s="1"/>
  <c r="V28" i="17"/>
  <c r="V144" i="17"/>
  <c r="V27" i="17"/>
  <c r="E30" i="17"/>
  <c r="K30" i="17"/>
  <c r="J30" i="17"/>
  <c r="J218" i="17"/>
  <c r="J220" i="17" s="1"/>
  <c r="Q30" i="17"/>
  <c r="K218" i="17"/>
  <c r="K220" i="17" s="1"/>
  <c r="L218" i="17"/>
  <c r="L220" i="17" s="1"/>
  <c r="V36" i="17"/>
  <c r="M218" i="17"/>
  <c r="M220" i="17" s="1"/>
  <c r="Q218" i="17"/>
  <c r="Q220" i="17" s="1"/>
  <c r="R218" i="17"/>
  <c r="R220" i="17" s="1"/>
  <c r="V41" i="17"/>
  <c r="T218" i="17"/>
  <c r="T220" i="17" s="1"/>
  <c r="V21" i="17"/>
  <c r="U218" i="17"/>
  <c r="U220" i="17" s="1"/>
  <c r="V16" i="17"/>
  <c r="G218" i="17"/>
  <c r="G220" i="17" s="1"/>
  <c r="V29" i="17"/>
  <c r="V29" i="16"/>
  <c r="F218" i="15"/>
  <c r="F220" i="15" s="1"/>
  <c r="G218" i="15"/>
  <c r="G220" i="15" s="1"/>
  <c r="M30" i="15"/>
  <c r="H218" i="15"/>
  <c r="H220" i="15" s="1"/>
  <c r="I218" i="15"/>
  <c r="I220" i="15" s="1"/>
  <c r="O36" i="15"/>
  <c r="O144" i="15"/>
  <c r="M218" i="15"/>
  <c r="M220" i="15" s="1"/>
  <c r="K218" i="15"/>
  <c r="K220" i="15" s="1"/>
  <c r="N30" i="15"/>
  <c r="O21" i="15"/>
  <c r="N218" i="15"/>
  <c r="N220" i="15" s="1"/>
  <c r="O41" i="15"/>
  <c r="O24" i="15"/>
  <c r="O29" i="15"/>
  <c r="J218" i="15"/>
  <c r="J220" i="15" s="1"/>
  <c r="O16" i="15"/>
  <c r="O27" i="15"/>
  <c r="E218" i="15"/>
  <c r="O28" i="15"/>
  <c r="V30" i="17" l="1"/>
  <c r="V220" i="17"/>
  <c r="V30" i="16"/>
  <c r="V220" i="16"/>
  <c r="O30" i="15"/>
  <c r="V218" i="16"/>
  <c r="V218" i="17"/>
  <c r="O218" i="15"/>
  <c r="E220" i="15"/>
  <c r="O220" i="15" s="1"/>
  <c r="V219" i="11" l="1"/>
  <c r="V213" i="11"/>
  <c r="V212" i="11"/>
  <c r="V211" i="11"/>
  <c r="V215" i="11" s="1"/>
  <c r="V206" i="11"/>
  <c r="V205" i="11"/>
  <c r="V204" i="11"/>
  <c r="V203" i="11"/>
  <c r="V202" i="11"/>
  <c r="V201" i="11"/>
  <c r="V200" i="11"/>
  <c r="V199" i="11"/>
  <c r="V196" i="11"/>
  <c r="V195" i="11"/>
  <c r="V194" i="11"/>
  <c r="V193" i="11"/>
  <c r="V192" i="11"/>
  <c r="V189" i="11"/>
  <c r="V188" i="11"/>
  <c r="V187" i="11"/>
  <c r="V186" i="11"/>
  <c r="V180" i="11"/>
  <c r="V179" i="11"/>
  <c r="V178" i="11"/>
  <c r="V177" i="11"/>
  <c r="V176" i="11"/>
  <c r="V175" i="11"/>
  <c r="V174" i="11"/>
  <c r="V168" i="11"/>
  <c r="V167" i="11"/>
  <c r="V166" i="11"/>
  <c r="V165" i="11"/>
  <c r="V164" i="11"/>
  <c r="V163" i="11"/>
  <c r="V162" i="11"/>
  <c r="V157" i="11"/>
  <c r="V156" i="11"/>
  <c r="V155" i="11"/>
  <c r="V154" i="11"/>
  <c r="V153" i="11"/>
  <c r="V152" i="11"/>
  <c r="V151" i="11"/>
  <c r="V150" i="11"/>
  <c r="V147" i="11"/>
  <c r="V146" i="11"/>
  <c r="V133" i="11"/>
  <c r="V132" i="11"/>
  <c r="V131" i="11"/>
  <c r="V130" i="11"/>
  <c r="V125" i="11"/>
  <c r="V124" i="11"/>
  <c r="V123" i="11"/>
  <c r="V122" i="11"/>
  <c r="V121" i="11"/>
  <c r="V120" i="11"/>
  <c r="V119" i="11"/>
  <c r="V118" i="11"/>
  <c r="V113" i="11"/>
  <c r="V112" i="11"/>
  <c r="V111" i="11"/>
  <c r="V110" i="11"/>
  <c r="V107" i="11"/>
  <c r="V106" i="11"/>
  <c r="V105" i="11"/>
  <c r="V100" i="11"/>
  <c r="V99" i="11"/>
  <c r="V98" i="11"/>
  <c r="V97" i="11"/>
  <c r="V96" i="11"/>
  <c r="V95" i="11"/>
  <c r="V94" i="11"/>
  <c r="V93" i="11"/>
  <c r="V88" i="11"/>
  <c r="V87" i="11"/>
  <c r="V86" i="11"/>
  <c r="V85" i="11"/>
  <c r="V84" i="11"/>
  <c r="V83" i="11"/>
  <c r="V82" i="11"/>
  <c r="V81" i="11"/>
  <c r="V76" i="11"/>
  <c r="V75" i="11"/>
  <c r="V74" i="11"/>
  <c r="V73" i="11"/>
  <c r="V72" i="11"/>
  <c r="V71" i="11"/>
  <c r="V70" i="11"/>
  <c r="V69" i="11"/>
  <c r="V63" i="11"/>
  <c r="V62" i="11"/>
  <c r="V61" i="11"/>
  <c r="V60" i="11"/>
  <c r="V59" i="11"/>
  <c r="V58" i="11"/>
  <c r="V57" i="11"/>
  <c r="V52" i="11"/>
  <c r="V51" i="11"/>
  <c r="V50" i="11"/>
  <c r="V49" i="11"/>
  <c r="V48" i="11"/>
  <c r="V47" i="11"/>
  <c r="V46" i="11"/>
  <c r="V45" i="11"/>
  <c r="O41" i="11"/>
  <c r="N41" i="11"/>
  <c r="M41" i="11"/>
  <c r="L41" i="11"/>
  <c r="K41" i="11"/>
  <c r="J41" i="11"/>
  <c r="I41" i="11"/>
  <c r="H41" i="11"/>
  <c r="G41" i="11"/>
  <c r="F41" i="11"/>
  <c r="E41" i="11"/>
  <c r="V40" i="11"/>
  <c r="V39" i="11"/>
  <c r="O36" i="11"/>
  <c r="N36" i="11"/>
  <c r="M36" i="11"/>
  <c r="V36" i="11" s="1"/>
  <c r="L36" i="11"/>
  <c r="K36" i="11"/>
  <c r="J36" i="11"/>
  <c r="I36" i="11"/>
  <c r="H36" i="11"/>
  <c r="G36" i="11"/>
  <c r="F36" i="11"/>
  <c r="E36" i="11"/>
  <c r="V35" i="11"/>
  <c r="V34" i="11"/>
  <c r="V33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I28" i="1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V26" i="11"/>
  <c r="V25" i="11"/>
  <c r="O24" i="11"/>
  <c r="N24" i="11"/>
  <c r="M24" i="11"/>
  <c r="L24" i="11"/>
  <c r="K24" i="11"/>
  <c r="J24" i="11"/>
  <c r="I24" i="11"/>
  <c r="H24" i="11"/>
  <c r="G24" i="11"/>
  <c r="F24" i="11"/>
  <c r="E24" i="11"/>
  <c r="V23" i="11"/>
  <c r="V22" i="11"/>
  <c r="O21" i="11"/>
  <c r="N21" i="11"/>
  <c r="M21" i="11"/>
  <c r="L21" i="11"/>
  <c r="K21" i="11"/>
  <c r="J21" i="11"/>
  <c r="I21" i="11"/>
  <c r="H21" i="11"/>
  <c r="G21" i="11"/>
  <c r="F21" i="11"/>
  <c r="E21" i="11"/>
  <c r="V20" i="11"/>
  <c r="V19" i="11"/>
  <c r="O16" i="11"/>
  <c r="N16" i="11"/>
  <c r="M16" i="11"/>
  <c r="L16" i="11"/>
  <c r="K16" i="11"/>
  <c r="J16" i="11"/>
  <c r="I16" i="11"/>
  <c r="H16" i="11"/>
  <c r="G16" i="11"/>
  <c r="F16" i="11"/>
  <c r="E16" i="11"/>
  <c r="V15" i="11"/>
  <c r="V14" i="11"/>
  <c r="V219" i="10"/>
  <c r="V214" i="10"/>
  <c r="V213" i="10"/>
  <c r="V212" i="10"/>
  <c r="V211" i="10"/>
  <c r="V206" i="10"/>
  <c r="V205" i="10"/>
  <c r="V204" i="10"/>
  <c r="V203" i="10"/>
  <c r="V202" i="10"/>
  <c r="V201" i="10"/>
  <c r="V200" i="10"/>
  <c r="V199" i="10"/>
  <c r="V195" i="10"/>
  <c r="V194" i="10"/>
  <c r="V193" i="10"/>
  <c r="V192" i="10"/>
  <c r="V189" i="10"/>
  <c r="V188" i="10"/>
  <c r="V187" i="10"/>
  <c r="V186" i="10"/>
  <c r="V181" i="10"/>
  <c r="V180" i="10"/>
  <c r="V179" i="10"/>
  <c r="V178" i="10"/>
  <c r="V177" i="10"/>
  <c r="V176" i="10"/>
  <c r="V175" i="10"/>
  <c r="V174" i="10"/>
  <c r="V169" i="10"/>
  <c r="V168" i="10"/>
  <c r="V167" i="10"/>
  <c r="V166" i="10"/>
  <c r="V165" i="10"/>
  <c r="V164" i="10"/>
  <c r="V163" i="10"/>
  <c r="V162" i="10"/>
  <c r="V157" i="10"/>
  <c r="V156" i="10"/>
  <c r="V155" i="10"/>
  <c r="V154" i="10"/>
  <c r="V153" i="10"/>
  <c r="V152" i="10"/>
  <c r="V151" i="10"/>
  <c r="V150" i="10"/>
  <c r="V147" i="10"/>
  <c r="V146" i="10"/>
  <c r="V133" i="10"/>
  <c r="V132" i="10"/>
  <c r="V131" i="10"/>
  <c r="V130" i="10"/>
  <c r="V125" i="10"/>
  <c r="V124" i="10"/>
  <c r="V123" i="10"/>
  <c r="V122" i="10"/>
  <c r="V121" i="10"/>
  <c r="V120" i="10"/>
  <c r="V119" i="10"/>
  <c r="V118" i="10"/>
  <c r="V113" i="10"/>
  <c r="V112" i="10"/>
  <c r="V111" i="10"/>
  <c r="V110" i="10"/>
  <c r="V107" i="10"/>
  <c r="V106" i="10"/>
  <c r="V105" i="10"/>
  <c r="V100" i="10"/>
  <c r="V99" i="10"/>
  <c r="V98" i="10"/>
  <c r="V97" i="10"/>
  <c r="V96" i="10"/>
  <c r="V95" i="10"/>
  <c r="V94" i="10"/>
  <c r="V93" i="10"/>
  <c r="V88" i="10"/>
  <c r="V87" i="10"/>
  <c r="V86" i="10"/>
  <c r="V85" i="10"/>
  <c r="V84" i="10"/>
  <c r="V83" i="10"/>
  <c r="V82" i="10"/>
  <c r="V81" i="10"/>
  <c r="V76" i="10"/>
  <c r="V75" i="10"/>
  <c r="V74" i="10"/>
  <c r="V73" i="10"/>
  <c r="V72" i="10"/>
  <c r="V71" i="10"/>
  <c r="V70" i="10"/>
  <c r="V69" i="10"/>
  <c r="V64" i="10"/>
  <c r="V63" i="10"/>
  <c r="V62" i="10"/>
  <c r="V61" i="10"/>
  <c r="V60" i="10"/>
  <c r="V59" i="10"/>
  <c r="V58" i="10"/>
  <c r="V57" i="10"/>
  <c r="V52" i="10"/>
  <c r="V51" i="10"/>
  <c r="V50" i="10"/>
  <c r="V49" i="10"/>
  <c r="V48" i="10"/>
  <c r="V47" i="10"/>
  <c r="V46" i="10"/>
  <c r="V45" i="10"/>
  <c r="U41" i="10"/>
  <c r="R41" i="10"/>
  <c r="N41" i="10"/>
  <c r="M41" i="10"/>
  <c r="L41" i="10"/>
  <c r="E41" i="10"/>
  <c r="V40" i="10"/>
  <c r="V39" i="10"/>
  <c r="U36" i="10"/>
  <c r="R36" i="10"/>
  <c r="N36" i="10"/>
  <c r="M36" i="10"/>
  <c r="L36" i="10"/>
  <c r="E36" i="10"/>
  <c r="V35" i="10"/>
  <c r="V34" i="10"/>
  <c r="V33" i="10"/>
  <c r="U29" i="10"/>
  <c r="R29" i="10"/>
  <c r="N29" i="10"/>
  <c r="M29" i="10"/>
  <c r="L29" i="10"/>
  <c r="E29" i="10"/>
  <c r="U28" i="10"/>
  <c r="R28" i="10"/>
  <c r="N28" i="10"/>
  <c r="M28" i="10"/>
  <c r="L28" i="10"/>
  <c r="E28" i="10"/>
  <c r="U27" i="10"/>
  <c r="R27" i="10"/>
  <c r="N27" i="10"/>
  <c r="M27" i="10"/>
  <c r="L27" i="10"/>
  <c r="E27" i="10"/>
  <c r="V26" i="10"/>
  <c r="V25" i="10"/>
  <c r="U24" i="10"/>
  <c r="R24" i="10"/>
  <c r="N24" i="10"/>
  <c r="M24" i="10"/>
  <c r="L24" i="10"/>
  <c r="E24" i="10"/>
  <c r="V23" i="10"/>
  <c r="V22" i="10"/>
  <c r="U21" i="10"/>
  <c r="R21" i="10"/>
  <c r="N21" i="10"/>
  <c r="M21" i="10"/>
  <c r="L21" i="10"/>
  <c r="E21" i="10"/>
  <c r="V20" i="10"/>
  <c r="V19" i="10"/>
  <c r="U16" i="10"/>
  <c r="R16" i="10"/>
  <c r="N16" i="10"/>
  <c r="M16" i="10"/>
  <c r="L16" i="10"/>
  <c r="E16" i="10"/>
  <c r="V15" i="10"/>
  <c r="E15" i="1" s="1"/>
  <c r="V14" i="10"/>
  <c r="E14" i="1" s="1"/>
  <c r="U219" i="9"/>
  <c r="U214" i="9"/>
  <c r="E214" i="1" s="1"/>
  <c r="U213" i="9"/>
  <c r="E213" i="1" s="1"/>
  <c r="U212" i="9"/>
  <c r="U211" i="9"/>
  <c r="U206" i="9"/>
  <c r="U205" i="9"/>
  <c r="U204" i="9"/>
  <c r="U203" i="9"/>
  <c r="U202" i="9"/>
  <c r="U201" i="9"/>
  <c r="U200" i="9"/>
  <c r="U199" i="9"/>
  <c r="U196" i="9"/>
  <c r="U195" i="9"/>
  <c r="U194" i="9"/>
  <c r="U193" i="9"/>
  <c r="U192" i="9"/>
  <c r="U189" i="9"/>
  <c r="U188" i="9"/>
  <c r="U187" i="9"/>
  <c r="U186" i="9"/>
  <c r="U181" i="9"/>
  <c r="E181" i="1" s="1"/>
  <c r="U180" i="9"/>
  <c r="U179" i="9"/>
  <c r="E179" i="1" s="1"/>
  <c r="U178" i="9"/>
  <c r="U177" i="9"/>
  <c r="U176" i="9"/>
  <c r="U175" i="9"/>
  <c r="U174" i="9"/>
  <c r="U169" i="9"/>
  <c r="U168" i="9"/>
  <c r="U167" i="9"/>
  <c r="U166" i="9"/>
  <c r="U165" i="9"/>
  <c r="U164" i="9"/>
  <c r="U163" i="9"/>
  <c r="U162" i="9"/>
  <c r="U157" i="9"/>
  <c r="U156" i="9"/>
  <c r="U155" i="9"/>
  <c r="U154" i="9"/>
  <c r="U153" i="9"/>
  <c r="U152" i="9"/>
  <c r="U151" i="9"/>
  <c r="E151" i="1" s="1"/>
  <c r="U150" i="9"/>
  <c r="E150" i="1" s="1"/>
  <c r="U147" i="9"/>
  <c r="E147" i="1" s="1"/>
  <c r="U146" i="9"/>
  <c r="U133" i="9"/>
  <c r="U132" i="9"/>
  <c r="U131" i="9"/>
  <c r="U130" i="9"/>
  <c r="U125" i="9"/>
  <c r="U124" i="9"/>
  <c r="U123" i="9"/>
  <c r="U122" i="9"/>
  <c r="U121" i="9"/>
  <c r="U120" i="9"/>
  <c r="U119" i="9"/>
  <c r="U118" i="9"/>
  <c r="U113" i="9"/>
  <c r="U112" i="9"/>
  <c r="U111" i="9"/>
  <c r="U110" i="9"/>
  <c r="U107" i="9"/>
  <c r="U106" i="9"/>
  <c r="U105" i="9"/>
  <c r="E105" i="1" s="1"/>
  <c r="U100" i="9"/>
  <c r="U99" i="9"/>
  <c r="E99" i="1" s="1"/>
  <c r="U98" i="9"/>
  <c r="U97" i="9"/>
  <c r="U96" i="9"/>
  <c r="U95" i="9"/>
  <c r="U94" i="9"/>
  <c r="U88" i="9"/>
  <c r="U87" i="9"/>
  <c r="U86" i="9"/>
  <c r="U85" i="9"/>
  <c r="U84" i="9"/>
  <c r="U83" i="9"/>
  <c r="U82" i="9"/>
  <c r="U81" i="9"/>
  <c r="U76" i="9"/>
  <c r="U75" i="9"/>
  <c r="U74" i="9"/>
  <c r="U73" i="9"/>
  <c r="U72" i="9"/>
  <c r="U71" i="9"/>
  <c r="U70" i="9"/>
  <c r="U69" i="9"/>
  <c r="U64" i="9"/>
  <c r="E64" i="1" s="1"/>
  <c r="U63" i="9"/>
  <c r="U62" i="9"/>
  <c r="U61" i="9"/>
  <c r="U60" i="9"/>
  <c r="U59" i="9"/>
  <c r="U58" i="9"/>
  <c r="U57" i="9"/>
  <c r="U52" i="9"/>
  <c r="U51" i="9"/>
  <c r="U50" i="9"/>
  <c r="U49" i="9"/>
  <c r="U48" i="9"/>
  <c r="U47" i="9"/>
  <c r="U46" i="9"/>
  <c r="U45" i="9"/>
  <c r="O41" i="9"/>
  <c r="E41" i="9"/>
  <c r="U40" i="9"/>
  <c r="U39" i="9"/>
  <c r="O36" i="9"/>
  <c r="E36" i="9"/>
  <c r="U35" i="9"/>
  <c r="E35" i="1" s="1"/>
  <c r="U34" i="9"/>
  <c r="U33" i="9"/>
  <c r="O29" i="9"/>
  <c r="E29" i="9"/>
  <c r="O28" i="9"/>
  <c r="E28" i="9"/>
  <c r="E30" i="9" s="1"/>
  <c r="O27" i="9"/>
  <c r="E27" i="9"/>
  <c r="U26" i="9"/>
  <c r="U25" i="9"/>
  <c r="O24" i="9"/>
  <c r="E24" i="9"/>
  <c r="U23" i="9"/>
  <c r="U22" i="9"/>
  <c r="O21" i="9"/>
  <c r="E21" i="9"/>
  <c r="U20" i="9"/>
  <c r="U19" i="9"/>
  <c r="O16" i="9"/>
  <c r="E16" i="9"/>
  <c r="E219" i="1" l="1"/>
  <c r="V197" i="11"/>
  <c r="E19" i="1"/>
  <c r="V134" i="11"/>
  <c r="E39" i="1"/>
  <c r="E106" i="1"/>
  <c r="E152" i="1"/>
  <c r="E40" i="1"/>
  <c r="E107" i="1"/>
  <c r="E108" i="1" s="1"/>
  <c r="E153" i="1"/>
  <c r="E20" i="1"/>
  <c r="E110" i="1"/>
  <c r="E154" i="1"/>
  <c r="E111" i="1"/>
  <c r="E155" i="1"/>
  <c r="I30" i="11"/>
  <c r="E45" i="1"/>
  <c r="E112" i="1"/>
  <c r="E156" i="1"/>
  <c r="J30" i="11"/>
  <c r="V55" i="11"/>
  <c r="E22" i="1"/>
  <c r="E46" i="1"/>
  <c r="E93" i="1"/>
  <c r="E23" i="1"/>
  <c r="V128" i="11"/>
  <c r="E180" i="1"/>
  <c r="E69" i="1"/>
  <c r="E100" i="1"/>
  <c r="E70" i="1"/>
  <c r="E71" i="1"/>
  <c r="E186" i="1"/>
  <c r="E72" i="1"/>
  <c r="E187" i="1"/>
  <c r="E73" i="1"/>
  <c r="E188" i="1"/>
  <c r="E74" i="1"/>
  <c r="E189" i="1"/>
  <c r="E75" i="1"/>
  <c r="E192" i="1"/>
  <c r="E76" i="1"/>
  <c r="E113" i="1"/>
  <c r="E157" i="1"/>
  <c r="E193" i="1"/>
  <c r="E47" i="1"/>
  <c r="E81" i="1"/>
  <c r="E118" i="1"/>
  <c r="E162" i="1"/>
  <c r="E194" i="1"/>
  <c r="E48" i="1"/>
  <c r="E82" i="1"/>
  <c r="E119" i="1"/>
  <c r="E163" i="1"/>
  <c r="E195" i="1"/>
  <c r="E49" i="1"/>
  <c r="E83" i="1"/>
  <c r="E120" i="1"/>
  <c r="E164" i="1"/>
  <c r="E196" i="1"/>
  <c r="E25" i="1"/>
  <c r="E50" i="1"/>
  <c r="E84" i="1"/>
  <c r="E121" i="1"/>
  <c r="E165" i="1"/>
  <c r="E199" i="1"/>
  <c r="E26" i="1"/>
  <c r="E51" i="1"/>
  <c r="E85" i="1"/>
  <c r="E122" i="1"/>
  <c r="E166" i="1"/>
  <c r="E200" i="1"/>
  <c r="E52" i="1"/>
  <c r="E86" i="1"/>
  <c r="E123" i="1"/>
  <c r="E167" i="1"/>
  <c r="E201" i="1"/>
  <c r="E57" i="1"/>
  <c r="E87" i="1"/>
  <c r="E124" i="1"/>
  <c r="E168" i="1"/>
  <c r="E202" i="1"/>
  <c r="E58" i="1"/>
  <c r="E88" i="1"/>
  <c r="E125" i="1"/>
  <c r="E169" i="1"/>
  <c r="E203" i="1"/>
  <c r="V103" i="11"/>
  <c r="E59" i="1"/>
  <c r="E94" i="1"/>
  <c r="E130" i="1"/>
  <c r="U134" i="9"/>
  <c r="E174" i="1"/>
  <c r="E204" i="1"/>
  <c r="E60" i="1"/>
  <c r="E95" i="1"/>
  <c r="E131" i="1"/>
  <c r="E175" i="1"/>
  <c r="E205" i="1"/>
  <c r="U30" i="10"/>
  <c r="E61" i="1"/>
  <c r="E96" i="1"/>
  <c r="E132" i="1"/>
  <c r="E176" i="1"/>
  <c r="E206" i="1"/>
  <c r="E33" i="1"/>
  <c r="E62" i="1"/>
  <c r="E97" i="1"/>
  <c r="E133" i="1"/>
  <c r="E177" i="1"/>
  <c r="E211" i="1"/>
  <c r="E34" i="1"/>
  <c r="E63" i="1"/>
  <c r="E98" i="1"/>
  <c r="E146" i="1"/>
  <c r="E148" i="1" s="1"/>
  <c r="E178" i="1"/>
  <c r="E212" i="1"/>
  <c r="V116" i="11"/>
  <c r="V160" i="11"/>
  <c r="V190" i="11"/>
  <c r="V91" i="11"/>
  <c r="V67" i="11"/>
  <c r="V172" i="10"/>
  <c r="V67" i="10"/>
  <c r="V209" i="10"/>
  <c r="V103" i="10"/>
  <c r="V134" i="10"/>
  <c r="V215" i="10"/>
  <c r="V108" i="10"/>
  <c r="V148" i="10"/>
  <c r="V116" i="10"/>
  <c r="U116" i="9"/>
  <c r="U215" i="9"/>
  <c r="U67" i="9"/>
  <c r="U172" i="9"/>
  <c r="U103" i="9"/>
  <c r="U148" i="9"/>
  <c r="U190" i="9"/>
  <c r="U209" i="9"/>
  <c r="U108" i="9"/>
  <c r="U160" i="9"/>
  <c r="U55" i="9"/>
  <c r="U91" i="9"/>
  <c r="U128" i="9"/>
  <c r="U197" i="9"/>
  <c r="U184" i="9"/>
  <c r="U79" i="9"/>
  <c r="V184" i="10"/>
  <c r="V79" i="10"/>
  <c r="V190" i="10"/>
  <c r="V55" i="10"/>
  <c r="V128" i="10"/>
  <c r="V160" i="10"/>
  <c r="V91" i="10"/>
  <c r="V197" i="10"/>
  <c r="V172" i="11"/>
  <c r="V209" i="11"/>
  <c r="V79" i="11"/>
  <c r="V108" i="11"/>
  <c r="V184" i="11"/>
  <c r="E30" i="11"/>
  <c r="V148" i="11"/>
  <c r="M30" i="11"/>
  <c r="O30" i="11"/>
  <c r="O30" i="9"/>
  <c r="I218" i="11"/>
  <c r="I220" i="11" s="1"/>
  <c r="G30" i="11"/>
  <c r="H30" i="11"/>
  <c r="F30" i="11"/>
  <c r="E30" i="10"/>
  <c r="L30" i="10"/>
  <c r="R30" i="10"/>
  <c r="L218" i="10"/>
  <c r="L220" i="10" s="1"/>
  <c r="O218" i="9"/>
  <c r="O220" i="9" s="1"/>
  <c r="U21" i="9"/>
  <c r="H218" i="11"/>
  <c r="H220" i="11" s="1"/>
  <c r="V21" i="11"/>
  <c r="K218" i="11"/>
  <c r="K220" i="11" s="1"/>
  <c r="V24" i="11"/>
  <c r="V28" i="11"/>
  <c r="L218" i="11"/>
  <c r="L220" i="11" s="1"/>
  <c r="O218" i="11"/>
  <c r="O220" i="11" s="1"/>
  <c r="E218" i="11"/>
  <c r="E220" i="11" s="1"/>
  <c r="V16" i="11"/>
  <c r="V29" i="11"/>
  <c r="L30" i="11"/>
  <c r="N30" i="11"/>
  <c r="V41" i="11"/>
  <c r="V27" i="11"/>
  <c r="N218" i="11"/>
  <c r="N220" i="11" s="1"/>
  <c r="M218" i="11"/>
  <c r="M220" i="11" s="1"/>
  <c r="G218" i="11"/>
  <c r="G220" i="11" s="1"/>
  <c r="V144" i="11"/>
  <c r="K30" i="11"/>
  <c r="J218" i="11"/>
  <c r="J220" i="11" s="1"/>
  <c r="F218" i="11"/>
  <c r="F220" i="11" s="1"/>
  <c r="R218" i="10"/>
  <c r="R220" i="10" s="1"/>
  <c r="N218" i="10"/>
  <c r="N220" i="10" s="1"/>
  <c r="V28" i="10"/>
  <c r="M218" i="10"/>
  <c r="M220" i="10" s="1"/>
  <c r="V27" i="10"/>
  <c r="V29" i="10"/>
  <c r="U218" i="10"/>
  <c r="U220" i="10" s="1"/>
  <c r="V144" i="10"/>
  <c r="V36" i="10"/>
  <c r="V16" i="10"/>
  <c r="M30" i="10"/>
  <c r="V21" i="10"/>
  <c r="V24" i="10"/>
  <c r="V41" i="10"/>
  <c r="N30" i="10"/>
  <c r="E218" i="10"/>
  <c r="U36" i="9"/>
  <c r="U29" i="9"/>
  <c r="U24" i="9"/>
  <c r="U41" i="9"/>
  <c r="U27" i="9"/>
  <c r="U16" i="9"/>
  <c r="E140" i="1"/>
  <c r="E218" i="9"/>
  <c r="U28" i="9"/>
  <c r="E184" i="1" l="1"/>
  <c r="E128" i="1"/>
  <c r="E79" i="1"/>
  <c r="E116" i="1"/>
  <c r="E91" i="1"/>
  <c r="E67" i="1"/>
  <c r="E160" i="1"/>
  <c r="E55" i="1"/>
  <c r="E172" i="1"/>
  <c r="E190" i="1"/>
  <c r="E197" i="1"/>
  <c r="E215" i="1"/>
  <c r="E134" i="1"/>
  <c r="E209" i="1"/>
  <c r="E103" i="1"/>
  <c r="E144" i="1"/>
  <c r="U144" i="9"/>
  <c r="U30" i="9"/>
  <c r="V30" i="11"/>
  <c r="V218" i="11"/>
  <c r="V220" i="11"/>
  <c r="V30" i="10"/>
  <c r="E220" i="10"/>
  <c r="V220" i="10" s="1"/>
  <c r="U218" i="9"/>
  <c r="E220" i="9"/>
  <c r="U220" i="9" s="1"/>
  <c r="E218" i="1" l="1"/>
  <c r="E220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<sst xmlns="http://schemas.openxmlformats.org/spreadsheetml/2006/main" count="2108" uniqueCount="225">
  <si>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</si>
  <si>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</si>
  <si>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</si>
  <si>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</si>
  <si>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</si>
  <si>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</si>
  <si>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</si>
  <si>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</si>
  <si>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</si>
  <si>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</si>
  <si>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</si>
  <si>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</si>
  <si>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</si>
  <si>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</si>
  <si>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</si>
  <si>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</si>
  <si>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</si>
  <si>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</si>
  <si>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</si>
  <si>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</si>
  <si>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</si>
  <si>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</si>
  <si>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</si>
  <si>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</si>
  <si>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</si>
  <si>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</si>
  <si>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</si>
  <si>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</si>
  <si>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</si>
  <si>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</si>
  <si>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</si>
  <si>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</si>
  <si>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</si>
  <si>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</si>
  <si>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</si>
  <si>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</si>
  <si>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</si>
  <si>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</si>
  <si>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</si>
  <si>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</si>
  <si>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</si>
  <si>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</si>
  <si>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</si>
  <si>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</si>
  <si>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</si>
  <si>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</si>
  <si>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</si>
  <si>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</si>
  <si>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</si>
  <si>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</si>
  <si>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</si>
  <si>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</si>
  <si>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</si>
  <si>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</si>
  <si>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</si>
  <si>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</si>
  <si>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</si>
  <si>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</si>
  <si>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</si>
  <si>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</si>
  <si>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</si>
  <si>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</si>
  <si>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</si>
  <si>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</si>
  <si>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</si>
  <si>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</si>
  <si>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</si>
  <si>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</si>
  <si>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</si>
  <si>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</si>
  <si>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</si>
  <si>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</si>
  <si>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</si>
  <si>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</si>
  <si>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</si>
  <si>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</si>
  <si>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</si>
  <si>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</si>
  <si>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</si>
  <si>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</si>
  <si>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</si>
  <si>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</si>
  <si>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</si>
  <si>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</si>
  <si>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</si>
  <si>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</si>
  <si>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</si>
  <si>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</si>
  <si>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</si>
  <si>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</si>
  <si>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</si>
  <si>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</si>
  <si>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</si>
  <si>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</si>
  <si>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</si>
  <si>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</si>
  <si>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</si>
  <si>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BOYOLANGU</t>
  </si>
  <si>
    <t>GIRI</t>
  </si>
  <si>
    <t>GROGOL</t>
  </si>
  <si>
    <t>JAMBESARI</t>
  </si>
  <si>
    <t>MOJOPANGGUNG</t>
  </si>
  <si>
    <t>PENATABAN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</si>
  <si>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</si>
  <si>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</si>
  <si>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</si>
  <si>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</si>
  <si>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</si>
  <si>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</si>
  <si>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</si>
  <si>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</si>
  <si>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</si>
  <si>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</si>
  <si>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</si>
  <si>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</si>
  <si>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</si>
  <si>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</si>
  <si>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</si>
  <si>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</si>
  <si>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</si>
  <si>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</si>
  <si>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</si>
  <si>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</si>
  <si>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</si>
  <si>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</si>
  <si>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</si>
  <si>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</si>
  <si>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</si>
  <si>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</si>
  <si>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</si>
  <si>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</si>
  <si>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</si>
  <si>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</si>
  <si>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</si>
  <si>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</si>
  <si>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</si>
  <si>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</si>
  <si>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</si>
  <si>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</si>
  <si>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</si>
  <si>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</si>
  <si>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</si>
  <si>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</si>
  <si>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</si>
  <si>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</si>
  <si>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</si>
  <si>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</si>
  <si>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</si>
  <si>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</si>
  <si>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</si>
  <si>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</si>
  <si>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</si>
  <si>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</si>
  <si>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</si>
  <si>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</si>
  <si>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</si>
  <si>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</si>
  <si>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</si>
  <si>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</si>
  <si>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</si>
  <si>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</si>
  <si>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</si>
  <si>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</si>
  <si>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</si>
  <si>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</si>
  <si>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</si>
  <si>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</si>
  <si>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</si>
  <si>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</si>
  <si>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</si>
  <si>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</si>
  <si>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</si>
  <si>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</si>
  <si>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</si>
  <si>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</si>
  <si>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</si>
  <si>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</si>
  <si>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</si>
  <si>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</si>
  <si>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</si>
  <si>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</si>
  <si>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</si>
  <si>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</si>
  <si>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</si>
  <si>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</si>
  <si>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</si>
  <si>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</si>
  <si>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</si>
  <si>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</si>
  <si>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</si>
  <si>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</si>
  <si>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</si>
  <si>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</si>
  <si>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</si>
  <si>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</si>
  <si>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</si>
  <si>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</si>
  <si>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</si>
  <si>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</si>
  <si>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</si>
  <si>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</si>
  <si>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</si>
  <si>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</si>
  <si>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</si>
  <si>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</si>
  <si>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</si>
  <si>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</si>
  <si>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</si>
  <si>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</si>
  <si>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</si>
  <si>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</si>
  <si>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</si>
  <si>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</si>
  <si>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</si>
  <si>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</si>
  <si>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</si>
  <si>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</si>
  <si>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</si>
  <si>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</si>
  <si>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</si>
  <si>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</si>
  <si>
    <t>TPS 901</t>
  </si>
  <si>
    <t>TPS 902</t>
  </si>
  <si>
    <t>TPS 903</t>
  </si>
  <si>
    <t>TPS 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</si>
</sst>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3" fillId="0" borderId="14" xfId="0" applyFont="1" applyBorder="1"/>
    <xf numFmtId="0" fontId="5" fillId="0" borderId="3" xfId="0" applyFont="1" applyBorder="1"/>
    <xf numFmtId="0" fontId="3" fillId="0" borderId="12" xfId="0" applyFont="1" applyBorder="1"/>
    <xf numFmtId="0" fontId="0" fillId="0" borderId="0" xfId="0"/>
    <xf numFmtId="0" fontId="3" fillId="0" borderId="10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11" xfId="0" applyFont="1" applyBorder="1"/>
    <xf numFmtId="0" fontId="1" fillId="0" borderId="8" xfId="0" applyFont="1" applyBorder="1" applyAlignment="1">
      <alignment horizontal="center" vertical="center" wrapText="1"/>
    </xf>
    <xf numFmtId="0" fontId="5" fillId="0" borderId="4" xfId="0" applyFont="1" applyBorder="1"/>
  </cellXfs>
  <cellStyles count="1">
    <cellStyle name="Normal" xfId="0" builtinId="0"/>
  </cellStyles>
  <dxfs count="17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205" zoomScaleNormal="100" workbookViewId="0">
      <selection activeCell="A215" sqref="A215:XFD220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91</v>
      </c>
      <c r="D8" s="43" t="s">
        <v>98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92</v>
      </c>
      <c r="D9" s="43" t="s">
        <v>93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94</v>
      </c>
      <c r="D10" s="43" t="s">
        <v>95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60" t="s">
        <v>1</v>
      </c>
      <c r="C12" s="68"/>
      <c r="D12" s="51"/>
      <c r="E12" s="91" t="s">
        <v>90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7" t="s">
        <v>3</v>
      </c>
      <c r="C13" s="68"/>
      <c r="D13" s="51"/>
      <c r="E13" s="90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88" t="s">
        <v>21</v>
      </c>
      <c r="C14" s="64"/>
      <c r="D14" s="6" t="s">
        <v>22</v>
      </c>
      <c r="E14" s="9">
        <f>BOYOLANGU!U14+GIRI!V14+GROGOL!V14+JAMBESARI!O14+MOJOPANGGUNG!V14+PENATABAN!V14</f>
        <v>12715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89"/>
      <c r="C15" s="76"/>
      <c r="D15" s="6" t="s">
        <v>23</v>
      </c>
      <c r="E15" s="9">
        <f>BOYOLANGU!U15+GIRI!V15+GROGOL!V15+JAMBESARI!O15+MOJOPANGGUNG!V15+PENATABAN!V15</f>
        <v>12285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90"/>
      <c r="C16" s="74"/>
      <c r="D16" s="5" t="s">
        <v>24</v>
      </c>
      <c r="E16" s="25">
        <f t="shared" ref="E16" si="0">SUM(E14:E15)</f>
        <v>25000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55"/>
      <c r="B17" s="68"/>
      <c r="C17" s="68"/>
      <c r="D17" s="51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25</v>
      </c>
      <c r="B18" s="77" t="s">
        <v>26</v>
      </c>
      <c r="C18" s="68"/>
      <c r="D18" s="51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78" t="s">
        <v>27</v>
      </c>
      <c r="C19" s="79" t="s">
        <v>28</v>
      </c>
      <c r="D19" s="6" t="s">
        <v>22</v>
      </c>
      <c r="E19" s="9">
        <f>BOYOLANGU!U19+GIRI!V19+GROGOL!V19+JAMBESARI!O19+MOJOPANGGUNG!V19+PENATABAN!V19</f>
        <v>9670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76"/>
      <c r="C20" s="80"/>
      <c r="D20" s="6" t="s">
        <v>23</v>
      </c>
      <c r="E20" s="9">
        <f>BOYOLANGU!U20+GIRI!V20+GROGOL!V20+JAMBESARI!O20+MOJOPANGGUNG!V20+PENATABAN!V20</f>
        <v>10223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74"/>
      <c r="C21" s="81"/>
      <c r="D21" s="5" t="s">
        <v>24</v>
      </c>
      <c r="E21" s="25">
        <f t="shared" ref="E21" si="1">SUM(E19:E20)</f>
        <v>19893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78" t="s">
        <v>29</v>
      </c>
      <c r="C22" s="79" t="s">
        <v>30</v>
      </c>
      <c r="D22" s="6" t="s">
        <v>22</v>
      </c>
      <c r="E22" s="9">
        <f>BOYOLANGU!U22+GIRI!V22+GROGOL!V22+JAMBESARI!O22+MOJOPANGGUNG!V22+PENATABAN!V22</f>
        <v>324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76"/>
      <c r="C23" s="80"/>
      <c r="D23" s="6" t="s">
        <v>23</v>
      </c>
      <c r="E23" s="9">
        <f>BOYOLANGU!U23+GIRI!V23+GROGOL!V23+JAMBESARI!O23+MOJOPANGGUNG!V23+PENATABAN!V23</f>
        <v>32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74"/>
      <c r="C24" s="81"/>
      <c r="D24" s="5" t="s">
        <v>24</v>
      </c>
      <c r="E24" s="25">
        <f t="shared" ref="E24" si="2">SUM(E22:E23)</f>
        <v>356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78" t="s">
        <v>31</v>
      </c>
      <c r="C25" s="79" t="s">
        <v>32</v>
      </c>
      <c r="D25" s="6" t="s">
        <v>22</v>
      </c>
      <c r="E25" s="9">
        <f>BOYOLANGU!U25+GIRI!V25+GROGOL!V25+JAMBESARI!O25+MOJOPANGGUNG!V25+PENATABAN!V25</f>
        <v>52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76"/>
      <c r="C26" s="80"/>
      <c r="D26" s="6" t="s">
        <v>23</v>
      </c>
      <c r="E26" s="9">
        <f>BOYOLANGU!U26+GIRI!V26+GROGOL!V26+JAMBESARI!O26+MOJOPANGGUNG!V26+PENATABAN!V26</f>
        <v>95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74"/>
      <c r="C27" s="81"/>
      <c r="D27" s="5" t="s">
        <v>24</v>
      </c>
      <c r="E27" s="25">
        <f t="shared" ref="E27" si="3">SUM(E25:E26)</f>
        <v>147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82" t="s">
        <v>33</v>
      </c>
      <c r="C28" s="83" t="s">
        <v>34</v>
      </c>
      <c r="D28" s="5" t="s">
        <v>22</v>
      </c>
      <c r="E28" s="25">
        <f t="shared" ref="E28:E29" si="4">E19+E22+E25</f>
        <v>10046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76"/>
      <c r="C29" s="80"/>
      <c r="D29" s="5" t="s">
        <v>23</v>
      </c>
      <c r="E29" s="25">
        <f t="shared" si="4"/>
        <v>10350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74"/>
      <c r="C30" s="81"/>
      <c r="D30" s="5" t="s">
        <v>24</v>
      </c>
      <c r="E30" s="25">
        <f t="shared" ref="E30" si="5">SUM(E28:E29)</f>
        <v>20396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55"/>
      <c r="B31" s="68"/>
      <c r="C31" s="68"/>
      <c r="D31" s="51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35</v>
      </c>
      <c r="B32" s="60" t="s">
        <v>36</v>
      </c>
      <c r="C32" s="68"/>
      <c r="D32" s="51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7" t="s">
        <v>37</v>
      </c>
      <c r="C33" s="68"/>
      <c r="D33" s="51"/>
      <c r="E33" s="9">
        <f>BOYOLANGU!U33+GIRI!V33+GROGOL!V33+JAMBESARI!O33+MOJOPANGGUNG!V33+PENATABAN!V33</f>
        <v>25519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7" t="s">
        <v>38</v>
      </c>
      <c r="C34" s="68"/>
      <c r="D34" s="51"/>
      <c r="E34" s="9">
        <f>BOYOLANGU!U34+GIRI!V34+GROGOL!V34+JAMBESARI!O34+MOJOPANGGUNG!V34+PENATABAN!V34</f>
        <v>20396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7" t="s">
        <v>39</v>
      </c>
      <c r="C35" s="68"/>
      <c r="D35" s="51"/>
      <c r="E35" s="9">
        <f>BOYOLANGU!U35+GIRI!V35+GROGOL!V35+JAMBESARI!O35+MOJOPANGGUNG!V35+PENATABAN!V35</f>
        <v>43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7" t="s">
        <v>40</v>
      </c>
      <c r="C36" s="68"/>
      <c r="D36" s="51"/>
      <c r="E36" s="25">
        <f t="shared" ref="E36" si="6">E33-(E34+E35)</f>
        <v>5080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55"/>
      <c r="B37" s="68"/>
      <c r="C37" s="68"/>
      <c r="D37" s="68"/>
      <c r="E37" s="68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41</v>
      </c>
      <c r="B38" s="60" t="s">
        <v>42</v>
      </c>
      <c r="C38" s="68"/>
      <c r="D38" s="51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71" t="s">
        <v>43</v>
      </c>
      <c r="C39" s="64"/>
      <c r="D39" s="6" t="s">
        <v>22</v>
      </c>
      <c r="E39" s="9">
        <f>BOYOLANGU!U39+GIRI!V39+GROGOL!V39+JAMBESARI!O39+MOJOPANGGUNG!V39+PENATABAN!V39</f>
        <v>28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75"/>
      <c r="C40" s="76"/>
      <c r="D40" s="6" t="s">
        <v>23</v>
      </c>
      <c r="E40" s="9">
        <f>BOYOLANGU!U40+GIRI!V40+GROGOL!V40+JAMBESARI!O40+MOJOPANGGUNG!V40+PENATABAN!V40</f>
        <v>20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70"/>
      <c r="C41" s="74"/>
      <c r="D41" s="5" t="s">
        <v>24</v>
      </c>
      <c r="E41" s="25">
        <f t="shared" ref="E41" si="7">SUM(E39:E40)</f>
        <v>48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69"/>
      <c r="B42" s="70"/>
      <c r="C42" s="70"/>
      <c r="D42" s="74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44</v>
      </c>
      <c r="B43" s="60" t="s">
        <v>45</v>
      </c>
      <c r="C43" s="68"/>
      <c r="D43" s="51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71" t="s">
        <v>46</v>
      </c>
      <c r="B44" s="72"/>
      <c r="C44" s="72"/>
      <c r="D44" s="64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47</v>
      </c>
      <c r="B45" s="17" t="s">
        <v>27</v>
      </c>
      <c r="C45" s="50" t="s">
        <v>48</v>
      </c>
      <c r="D45" s="51"/>
      <c r="E45" s="9">
        <f>BOYOLANGU!U45+GIRI!V45+GROGOL!V45+JAMBESARI!O45+MOJOPANGGUNG!V45+PENATABAN!V45</f>
        <v>1094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49</v>
      </c>
      <c r="B46" s="46"/>
      <c r="C46" s="24" t="s">
        <v>103</v>
      </c>
      <c r="D46" s="45"/>
      <c r="E46" s="9">
        <f>BOYOLANGU!U46+GIRI!V46+GROGOL!V46+JAMBESARI!O46+MOJOPANGGUNG!V46+PENATABAN!V46</f>
        <v>3015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46"/>
      <c r="C47" s="24" t="s">
        <v>104</v>
      </c>
      <c r="D47" s="45"/>
      <c r="E47" s="9">
        <f>BOYOLANGU!U47+GIRI!V47+GROGOL!V47+JAMBESARI!O47+MOJOPANGGUNG!V47+PENATABAN!V47</f>
        <v>148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46"/>
      <c r="C48" s="24" t="s">
        <v>105</v>
      </c>
      <c r="D48" s="45"/>
      <c r="E48" s="9">
        <f>BOYOLANGU!U48+GIRI!V48+GROGOL!V48+JAMBESARI!O48+MOJOPANGGUNG!V48+PENATABAN!V48</f>
        <v>54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46"/>
      <c r="C49" s="24" t="s">
        <v>106</v>
      </c>
      <c r="D49" s="45"/>
      <c r="E49" s="9">
        <f>BOYOLANGU!U49+GIRI!V49+GROGOL!V49+JAMBESARI!O49+MOJOPANGGUNG!V49+PENATABAN!V49</f>
        <v>62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46"/>
      <c r="C50" s="24" t="s">
        <v>107</v>
      </c>
      <c r="D50" s="45"/>
      <c r="E50" s="9">
        <f>BOYOLANGU!U50+GIRI!V50+GROGOL!V50+JAMBESARI!O50+MOJOPANGGUNG!V50+PENATABAN!V50</f>
        <v>47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46"/>
      <c r="C51" s="24" t="s">
        <v>108</v>
      </c>
      <c r="D51" s="45"/>
      <c r="E51" s="9">
        <f>BOYOLANGU!U51+GIRI!V51+GROGOL!V51+JAMBESARI!O51+MOJOPANGGUNG!V51+PENATABAN!V51</f>
        <v>40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46"/>
      <c r="C52" s="24" t="s">
        <v>109</v>
      </c>
      <c r="D52" s="45"/>
      <c r="E52" s="9">
        <f>BOYOLANGU!U52+GIRI!V52+GROGOL!V52+JAMBESARI!O52+MOJOPANGGUNG!V52+PENATABAN!V52</f>
        <v>31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46"/>
      <c r="C53" s="24" t="s">
        <v>110</v>
      </c>
      <c r="D53" s="47"/>
      <c r="E53" s="9">
        <f>BOYOLANGU!U53+GIRI!V53+GROGOL!V53+JAMBESARI!O53+MOJOPANGGUNG!V53+PENATABAN!V53</f>
        <v>8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46"/>
      <c r="C54" s="24" t="s">
        <v>111</v>
      </c>
      <c r="D54" s="45"/>
      <c r="E54" s="9">
        <f>BOYOLANGU!U54+GIRI!V54+GROGOL!V54+JAMBESARI!O54+MOJOPANGGUNG!V54+PENATABAN!V54</f>
        <v>23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25</v>
      </c>
      <c r="B55" s="52" t="s">
        <v>50</v>
      </c>
      <c r="C55" s="68"/>
      <c r="D55" s="51"/>
      <c r="E55" s="5">
        <f>SUM(E45:E54)</f>
        <v>4522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69"/>
      <c r="B56" s="70"/>
      <c r="C56" s="70"/>
      <c r="D56" s="70"/>
      <c r="E56" s="70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47</v>
      </c>
      <c r="B57" s="17" t="s">
        <v>29</v>
      </c>
      <c r="C57" s="50" t="s">
        <v>51</v>
      </c>
      <c r="D57" s="51"/>
      <c r="E57" s="9">
        <f>BOYOLANGU!U57+GIRI!V57+GROGOL!V57+JAMBESARI!O57+MOJOPANGGUNG!V57+PENATABAN!V57</f>
        <v>1094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49</v>
      </c>
      <c r="B58" s="46"/>
      <c r="C58" s="24" t="s">
        <v>112</v>
      </c>
      <c r="D58" s="45"/>
      <c r="E58" s="9">
        <f>BOYOLANGU!U58+GIRI!V58+GROGOL!V58+JAMBESARI!O58+MOJOPANGGUNG!V58+PENATABAN!V58</f>
        <v>474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46"/>
      <c r="C59" s="24" t="s">
        <v>113</v>
      </c>
      <c r="D59" s="45"/>
      <c r="E59" s="9">
        <f>BOYOLANGU!U59+GIRI!V59+GROGOL!V59+JAMBESARI!O59+MOJOPANGGUNG!V59+PENATABAN!V59</f>
        <v>813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46"/>
      <c r="C60" s="24" t="s">
        <v>114</v>
      </c>
      <c r="D60" s="45"/>
      <c r="E60" s="9">
        <f>BOYOLANGU!U60+GIRI!V60+GROGOL!V60+JAMBESARI!O60+MOJOPANGGUNG!V60+PENATABAN!V60</f>
        <v>191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46"/>
      <c r="C61" s="24" t="s">
        <v>115</v>
      </c>
      <c r="D61" s="45"/>
      <c r="E61" s="9">
        <f>BOYOLANGU!U61+GIRI!V61+GROGOL!V61+JAMBESARI!O61+MOJOPANGGUNG!V61+PENATABAN!V61</f>
        <v>369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46"/>
      <c r="C62" s="24" t="s">
        <v>116</v>
      </c>
      <c r="D62" s="45"/>
      <c r="E62" s="9">
        <f>BOYOLANGU!U62+GIRI!V62+GROGOL!V62+JAMBESARI!O62+MOJOPANGGUNG!V62+PENATABAN!V62</f>
        <v>82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46"/>
      <c r="C63" s="24" t="s">
        <v>117</v>
      </c>
      <c r="D63" s="45"/>
      <c r="E63" s="9">
        <f>BOYOLANGU!U63+GIRI!V63+GROGOL!V63+JAMBESARI!O63+MOJOPANGGUNG!V63+PENATABAN!V63</f>
        <v>41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46"/>
      <c r="C64" s="24" t="s">
        <v>118</v>
      </c>
      <c r="D64" s="45"/>
      <c r="E64" s="9">
        <f>BOYOLANGU!U64+GIRI!V64+GROGOL!V64+JAMBESARI!O64+MOJOPANGGUNG!V64+PENATABAN!V64</f>
        <v>17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46"/>
      <c r="C65" s="24" t="s">
        <v>119</v>
      </c>
      <c r="D65" s="45"/>
      <c r="E65" s="9">
        <f>BOYOLANGU!U65+GIRI!V65+GROGOL!V65+JAMBESARI!O65+MOJOPANGGUNG!V65+PENATABAN!V65</f>
        <v>20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6"/>
      <c r="C66" s="24" t="s">
        <v>120</v>
      </c>
      <c r="D66" s="45"/>
      <c r="E66" s="9">
        <f>BOYOLANGU!U66+GIRI!V66+GROGOL!V66+JAMBESARI!O66+MOJOPANGGUNG!V66+PENATABAN!V66</f>
        <v>42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25</v>
      </c>
      <c r="B67" s="52" t="s">
        <v>50</v>
      </c>
      <c r="C67" s="68"/>
      <c r="D67" s="51"/>
      <c r="E67" s="5">
        <f>SUM(E57:E66)</f>
        <v>3143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69"/>
      <c r="B68" s="70"/>
      <c r="C68" s="70"/>
      <c r="D68" s="70"/>
      <c r="E68" s="70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47</v>
      </c>
      <c r="B69" s="17" t="s">
        <v>31</v>
      </c>
      <c r="C69" s="50" t="s">
        <v>52</v>
      </c>
      <c r="D69" s="51"/>
      <c r="E69" s="9">
        <f>BOYOLANGU!U69+GIRI!V69+GROGOL!V69+JAMBESARI!O69+MOJOPANGGUNG!V69+PENATABAN!V69</f>
        <v>944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49</v>
      </c>
      <c r="B70" s="46"/>
      <c r="C70" s="24" t="s">
        <v>121</v>
      </c>
      <c r="D70" s="45"/>
      <c r="E70" s="9">
        <f>BOYOLANGU!U70+GIRI!V70+GROGOL!V70+JAMBESARI!O70+MOJOPANGGUNG!V70+PENATABAN!V70</f>
        <v>357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46"/>
      <c r="C71" s="24" t="s">
        <v>122</v>
      </c>
      <c r="D71" s="45"/>
      <c r="E71" s="9">
        <f>BOYOLANGU!U71+GIRI!V71+GROGOL!V71+JAMBESARI!O71+MOJOPANGGUNG!V71+PENATABAN!V71</f>
        <v>1347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46"/>
      <c r="C72" s="24" t="s">
        <v>123</v>
      </c>
      <c r="D72" s="45"/>
      <c r="E72" s="9">
        <f>BOYOLANGU!U72+GIRI!V72+GROGOL!V72+JAMBESARI!O72+MOJOPANGGUNG!V72+PENATABAN!V72</f>
        <v>245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46"/>
      <c r="C73" s="24" t="s">
        <v>124</v>
      </c>
      <c r="D73" s="45"/>
      <c r="E73" s="9">
        <f>BOYOLANGU!U73+GIRI!V73+GROGOL!V73+JAMBESARI!O73+MOJOPANGGUNG!V73+PENATABAN!V73</f>
        <v>487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46"/>
      <c r="C74" s="24" t="s">
        <v>125</v>
      </c>
      <c r="D74" s="45"/>
      <c r="E74" s="9">
        <f>BOYOLANGU!U74+GIRI!V74+GROGOL!V74+JAMBESARI!O74+MOJOPANGGUNG!V74+PENATABAN!V74</f>
        <v>152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46"/>
      <c r="C75" s="24" t="s">
        <v>126</v>
      </c>
      <c r="D75" s="45"/>
      <c r="E75" s="9">
        <f>BOYOLANGU!U75+GIRI!V75+GROGOL!V75+JAMBESARI!O75+MOJOPANGGUNG!V75+PENATABAN!V75</f>
        <v>63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6"/>
      <c r="C76" s="24" t="s">
        <v>127</v>
      </c>
      <c r="D76" s="45"/>
      <c r="E76" s="9">
        <f>BOYOLANGU!U76+GIRI!V76+GROGOL!V76+JAMBESARI!O76+MOJOPANGGUNG!V76+PENATABAN!V76</f>
        <v>39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6"/>
      <c r="C77" s="24" t="s">
        <v>128</v>
      </c>
      <c r="D77" s="45"/>
      <c r="E77" s="9">
        <f>BOYOLANGU!U77+GIRI!V77+GROGOL!V77+JAMBESARI!O77+MOJOPANGGUNG!V77+PENATABAN!V77</f>
        <v>25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6"/>
      <c r="C78" s="24" t="s">
        <v>129</v>
      </c>
      <c r="D78" s="45"/>
      <c r="E78" s="9">
        <f>BOYOLANGU!U78+GIRI!V78+GROGOL!V78+JAMBESARI!O78+MOJOPANGGUNG!V78+PENATABAN!V78</f>
        <v>44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25</v>
      </c>
      <c r="B79" s="52" t="s">
        <v>50</v>
      </c>
      <c r="C79" s="68"/>
      <c r="D79" s="51"/>
      <c r="E79" s="5">
        <f>SUM(E69:E78)</f>
        <v>3703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69"/>
      <c r="B80" s="70"/>
      <c r="C80" s="70"/>
      <c r="D80" s="70"/>
      <c r="E80" s="70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47</v>
      </c>
      <c r="B81" s="17" t="s">
        <v>33</v>
      </c>
      <c r="C81" s="50" t="s">
        <v>53</v>
      </c>
      <c r="D81" s="51"/>
      <c r="E81" s="9">
        <f>BOYOLANGU!U81+GIRI!V81+GROGOL!V81+JAMBESARI!O81+MOJOPANGGUNG!V81+PENATABAN!V81</f>
        <v>512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49</v>
      </c>
      <c r="B82" s="46"/>
      <c r="C82" s="24" t="s">
        <v>130</v>
      </c>
      <c r="D82" s="45"/>
      <c r="E82" s="9">
        <f>BOYOLANGU!U82+GIRI!V82+GROGOL!V82+JAMBESARI!O82+MOJOPANGGUNG!V82+PENATABAN!V82</f>
        <v>638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46"/>
      <c r="C83" s="24" t="s">
        <v>131</v>
      </c>
      <c r="D83" s="45"/>
      <c r="E83" s="9">
        <f>BOYOLANGU!U83+GIRI!V83+GROGOL!V83+JAMBESARI!O83+MOJOPANGGUNG!V83+PENATABAN!V83</f>
        <v>219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46"/>
      <c r="C84" s="24" t="s">
        <v>132</v>
      </c>
      <c r="D84" s="45"/>
      <c r="E84" s="9">
        <f>BOYOLANGU!U84+GIRI!V84+GROGOL!V84+JAMBESARI!O84+MOJOPANGGUNG!V84+PENATABAN!V84</f>
        <v>69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46"/>
      <c r="C85" s="24" t="s">
        <v>133</v>
      </c>
      <c r="D85" s="45"/>
      <c r="E85" s="9">
        <f>BOYOLANGU!U85+GIRI!V85+GROGOL!V85+JAMBESARI!O85+MOJOPANGGUNG!V85+PENATABAN!V85</f>
        <v>134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46"/>
      <c r="C86" s="24" t="s">
        <v>134</v>
      </c>
      <c r="D86" s="45"/>
      <c r="E86" s="9">
        <f>BOYOLANGU!U86+GIRI!V86+GROGOL!V86+JAMBESARI!O86+MOJOPANGGUNG!V86+PENATABAN!V86</f>
        <v>56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46"/>
      <c r="C87" s="24" t="s">
        <v>135</v>
      </c>
      <c r="D87" s="45"/>
      <c r="E87" s="9">
        <f>BOYOLANGU!U87+GIRI!V87+GROGOL!V87+JAMBESARI!O87+MOJOPANGGUNG!V87+PENATABAN!V87</f>
        <v>17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46"/>
      <c r="C88" s="24" t="s">
        <v>136</v>
      </c>
      <c r="D88" s="45"/>
      <c r="E88" s="9">
        <f>BOYOLANGU!U88+GIRI!V88+GROGOL!V88+JAMBESARI!O88+MOJOPANGGUNG!V88+PENATABAN!V88</f>
        <v>14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46"/>
      <c r="C89" s="24" t="s">
        <v>137</v>
      </c>
      <c r="D89" s="45"/>
      <c r="E89" s="9">
        <f>BOYOLANGU!U89+GIRI!V89+GROGOL!V89+JAMBESARI!O89+MOJOPANGGUNG!V89+PENATABAN!V89</f>
        <v>11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46"/>
      <c r="C90" s="24" t="s">
        <v>138</v>
      </c>
      <c r="D90" s="45"/>
      <c r="E90" s="9">
        <f>BOYOLANGU!U90+GIRI!V90+GROGOL!V90+JAMBESARI!O90+MOJOPANGGUNG!V90+PENATABAN!V90</f>
        <v>24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25</v>
      </c>
      <c r="B91" s="52" t="s">
        <v>50</v>
      </c>
      <c r="C91" s="68"/>
      <c r="D91" s="51"/>
      <c r="E91" s="5">
        <f>SUM(E81:E90)</f>
        <v>1694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69"/>
      <c r="B92" s="70"/>
      <c r="C92" s="70"/>
      <c r="D92" s="70"/>
      <c r="E92" s="70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47</v>
      </c>
      <c r="B93" s="17" t="s">
        <v>54</v>
      </c>
      <c r="C93" s="50" t="s">
        <v>55</v>
      </c>
      <c r="D93" s="51"/>
      <c r="E93" s="9">
        <f>BOYOLANGU!U93+GIRI!V93+GROGOL!V93+JAMBESARI!O93+MOJOPANGGUNG!V93+PENATABAN!V93</f>
        <v>163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49</v>
      </c>
      <c r="B94" s="46"/>
      <c r="C94" s="24" t="s">
        <v>139</v>
      </c>
      <c r="D94" s="47"/>
      <c r="E94" s="9">
        <f>BOYOLANGU!U94+GIRI!V94+GROGOL!V94+JAMBESARI!O94+MOJOPANGGUNG!V94+PENATABAN!V94</f>
        <v>188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46"/>
      <c r="C95" s="24" t="s">
        <v>140</v>
      </c>
      <c r="D95" s="47"/>
      <c r="E95" s="9">
        <f>BOYOLANGU!U95+GIRI!V95+GROGOL!V95+JAMBESARI!O95+MOJOPANGGUNG!V95+PENATABAN!V95</f>
        <v>33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46"/>
      <c r="C96" s="24" t="s">
        <v>141</v>
      </c>
      <c r="D96" s="47"/>
      <c r="E96" s="9">
        <f>BOYOLANGU!U96+GIRI!V96+GROGOL!V96+JAMBESARI!O96+MOJOPANGGUNG!V96+PENATABAN!V96</f>
        <v>19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46"/>
      <c r="C97" s="24" t="s">
        <v>142</v>
      </c>
      <c r="D97" s="47"/>
      <c r="E97" s="9">
        <f>BOYOLANGU!U97+GIRI!V97+GROGOL!V97+JAMBESARI!O97+MOJOPANGGUNG!V97+PENATABAN!V97</f>
        <v>20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46"/>
      <c r="C98" s="24" t="s">
        <v>143</v>
      </c>
      <c r="D98" s="45"/>
      <c r="E98" s="9">
        <f>BOYOLANGU!U98+GIRI!V98+GROGOL!V98+JAMBESARI!O98+MOJOPANGGUNG!V98+PENATABAN!V98</f>
        <v>26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46"/>
      <c r="C99" s="24" t="s">
        <v>144</v>
      </c>
      <c r="D99" s="45"/>
      <c r="E99" s="9">
        <f>BOYOLANGU!U99+GIRI!V99+GROGOL!V99+JAMBESARI!O99+MOJOPANGGUNG!V99+PENATABAN!V99</f>
        <v>15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46"/>
      <c r="C100" s="24" t="s">
        <v>145</v>
      </c>
      <c r="D100" s="47"/>
      <c r="E100" s="9">
        <f>BOYOLANGU!U100+GIRI!V100+GROGOL!V100+JAMBESARI!O100+MOJOPANGGUNG!V100+PENATABAN!V100</f>
        <v>4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46"/>
      <c r="C101" s="24" t="s">
        <v>146</v>
      </c>
      <c r="D101" s="47"/>
      <c r="E101" s="9">
        <f>BOYOLANGU!U101+GIRI!V101+GROGOL!V101+JAMBESARI!O101+MOJOPANGGUNG!V101+PENATABAN!V101</f>
        <v>12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46"/>
      <c r="C102" s="24" t="s">
        <v>147</v>
      </c>
      <c r="D102" s="47"/>
      <c r="E102" s="9">
        <f>BOYOLANGU!U102+GIRI!V102+GROGOL!V102+JAMBESARI!O102+MOJOPANGGUNG!V102+PENATABAN!V102</f>
        <v>5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25</v>
      </c>
      <c r="B103" s="52" t="s">
        <v>50</v>
      </c>
      <c r="C103" s="68"/>
      <c r="D103" s="51"/>
      <c r="E103" s="5">
        <f>SUM(E93:E102)</f>
        <v>485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69"/>
      <c r="B104" s="70"/>
      <c r="C104" s="70"/>
      <c r="D104" s="70"/>
      <c r="E104" s="70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47</v>
      </c>
      <c r="B105" s="17" t="s">
        <v>56</v>
      </c>
      <c r="C105" s="50" t="s">
        <v>57</v>
      </c>
      <c r="D105" s="51"/>
      <c r="E105" s="9">
        <f>BOYOLANGU!U105+GIRI!V105+GROGOL!V105+JAMBESARI!O105+MOJOPANGGUNG!V105+PENATABAN!V105</f>
        <v>47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49</v>
      </c>
      <c r="B106" s="46"/>
      <c r="C106" s="24" t="s">
        <v>148</v>
      </c>
      <c r="D106" s="45"/>
      <c r="E106" s="9">
        <f>BOYOLANGU!U106+GIRI!V106+GROGOL!V106+JAMBESARI!O106+MOJOPANGGUNG!V106+PENATABAN!V106</f>
        <v>17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46"/>
      <c r="C107" s="24" t="s">
        <v>149</v>
      </c>
      <c r="D107" s="45"/>
      <c r="E107" s="9">
        <f>BOYOLANGU!U107+GIRI!V107+GROGOL!V107+JAMBESARI!O107+MOJOPANGGUNG!V107+PENATABAN!V107</f>
        <v>9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6" t="s">
        <v>25</v>
      </c>
      <c r="B108" s="52" t="s">
        <v>50</v>
      </c>
      <c r="C108" s="53"/>
      <c r="D108" s="54"/>
      <c r="E108" s="5">
        <f>SUM(E105:E107)</f>
        <v>73</v>
      </c>
      <c r="F108" s="42"/>
      <c r="G108" s="27"/>
      <c r="H108" s="27"/>
      <c r="I108" s="27"/>
      <c r="J108" s="27"/>
      <c r="K108" s="27"/>
      <c r="L108" s="27"/>
      <c r="M108" s="27"/>
      <c r="N108" s="27"/>
      <c r="O108" s="27"/>
      <c r="P108" s="37"/>
      <c r="Q108" s="30"/>
      <c r="R108" s="30"/>
      <c r="S108" s="30"/>
      <c r="T108" s="30"/>
      <c r="U108" s="30"/>
      <c r="V108" s="30"/>
      <c r="W108" s="38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0"/>
      <c r="BM108" s="30"/>
      <c r="BN108" s="30"/>
      <c r="BO108" s="30"/>
      <c r="BP108" s="30"/>
      <c r="BQ108" s="30"/>
      <c r="BR108" s="38"/>
      <c r="BS108" s="30"/>
      <c r="BT108" s="30"/>
      <c r="BU108" s="30"/>
      <c r="BV108" s="30"/>
      <c r="BW108" s="30"/>
      <c r="BX108" s="30"/>
      <c r="BY108" s="30"/>
      <c r="BZ108" s="30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8"/>
      <c r="EZ108" s="38"/>
      <c r="FA108" s="38"/>
      <c r="FB108" s="38"/>
      <c r="FC108" s="38"/>
      <c r="FD108" s="38"/>
      <c r="FE108" s="38"/>
      <c r="FF108" s="30"/>
      <c r="FG108" s="30"/>
      <c r="FH108" s="30"/>
      <c r="FI108" s="30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</row>
    <row r="109" spans="1:216" ht="15.75" customHeight="1" x14ac:dyDescent="0.4">
      <c r="A109" s="55"/>
      <c r="B109" s="56"/>
      <c r="C109" s="56"/>
      <c r="D109" s="56"/>
      <c r="E109" s="57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11" t="s">
        <v>47</v>
      </c>
      <c r="B110" s="17" t="s">
        <v>58</v>
      </c>
      <c r="C110" s="50" t="s">
        <v>59</v>
      </c>
      <c r="D110" s="51"/>
      <c r="E110" s="9">
        <f>BOYOLANGU!U110+GIRI!V110+GROGOL!V110+JAMBESARI!O110+MOJOPANGGUNG!V110+PENATABAN!V110</f>
        <v>43</v>
      </c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11" t="s">
        <v>49</v>
      </c>
      <c r="B111" s="46"/>
      <c r="C111" s="24" t="s">
        <v>150</v>
      </c>
      <c r="D111" s="45"/>
      <c r="E111" s="9">
        <f>BOYOLANGU!U111+GIRI!V111+GROGOL!V111+JAMBESARI!O111+MOJOPANGGUNG!V111+PENATABAN!V111</f>
        <v>17</v>
      </c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6"/>
      <c r="C112" s="24" t="s">
        <v>151</v>
      </c>
      <c r="D112" s="45"/>
      <c r="E112" s="9">
        <f>BOYOLANGU!U112+GIRI!V112+GROGOL!V112+JAMBESARI!O112+MOJOPANGGUNG!V112+PENATABAN!V112</f>
        <v>14</v>
      </c>
      <c r="F112" s="39"/>
      <c r="G112" s="20"/>
      <c r="H112" s="20"/>
      <c r="I112" s="20"/>
      <c r="J112" s="20"/>
      <c r="K112" s="20"/>
      <c r="L112" s="20"/>
      <c r="M112" s="20"/>
      <c r="N112" s="20"/>
      <c r="O112" s="20"/>
      <c r="P112" s="32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</row>
    <row r="113" spans="1:216" ht="15.75" customHeight="1" x14ac:dyDescent="0.4">
      <c r="A113" s="7"/>
      <c r="B113" s="46"/>
      <c r="C113" s="24" t="s">
        <v>152</v>
      </c>
      <c r="D113" s="45"/>
      <c r="E113" s="9">
        <f>BOYOLANGU!U113+GIRI!V113+GROGOL!V113+JAMBESARI!O113+MOJOPANGGUNG!V113+PENATABAN!V113</f>
        <v>7</v>
      </c>
      <c r="F113" s="39"/>
      <c r="G113" s="20"/>
      <c r="H113" s="20"/>
      <c r="I113" s="20"/>
      <c r="J113" s="20"/>
      <c r="K113" s="20"/>
      <c r="L113" s="20"/>
      <c r="M113" s="20"/>
      <c r="N113" s="20"/>
      <c r="O113" s="20"/>
      <c r="P113" s="32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</row>
    <row r="114" spans="1:216" ht="15.75" customHeight="1" x14ac:dyDescent="0.4">
      <c r="A114" s="7"/>
      <c r="B114" s="46"/>
      <c r="C114" s="24" t="s">
        <v>153</v>
      </c>
      <c r="D114" s="45"/>
      <c r="E114" s="9">
        <f>BOYOLANGU!U114+GIRI!V114+GROGOL!V114+JAMBESARI!O114+MOJOPANGGUNG!V114+PENATABAN!V114</f>
        <v>5</v>
      </c>
      <c r="F114" s="39"/>
      <c r="G114" s="20"/>
      <c r="H114" s="20"/>
      <c r="I114" s="20"/>
      <c r="J114" s="20"/>
      <c r="K114" s="20"/>
      <c r="L114" s="20"/>
      <c r="M114" s="20"/>
      <c r="N114" s="20"/>
      <c r="O114" s="20"/>
      <c r="P114" s="32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</row>
    <row r="115" spans="1:216" ht="15.75" customHeight="1" x14ac:dyDescent="0.4">
      <c r="A115" s="7"/>
      <c r="B115" s="46"/>
      <c r="C115" s="24" t="s">
        <v>154</v>
      </c>
      <c r="D115" s="45"/>
      <c r="E115" s="9">
        <f>BOYOLANGU!U115+GIRI!V115+GROGOL!V115+JAMBESARI!O115+MOJOPANGGUNG!V115+PENATABAN!V115</f>
        <v>6</v>
      </c>
      <c r="F115" s="39"/>
      <c r="G115" s="20"/>
      <c r="H115" s="20"/>
      <c r="I115" s="20"/>
      <c r="J115" s="20"/>
      <c r="K115" s="20"/>
      <c r="L115" s="20"/>
      <c r="M115" s="20"/>
      <c r="N115" s="20"/>
      <c r="O115" s="20"/>
      <c r="P115" s="32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</row>
    <row r="116" spans="1:216" ht="15.75" customHeight="1" x14ac:dyDescent="0.4">
      <c r="A116" s="6" t="s">
        <v>25</v>
      </c>
      <c r="B116" s="52" t="s">
        <v>50</v>
      </c>
      <c r="C116" s="53"/>
      <c r="D116" s="54"/>
      <c r="E116" s="5">
        <f>SUM(E110:E115)</f>
        <v>92</v>
      </c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55"/>
      <c r="B117" s="56"/>
      <c r="C117" s="56"/>
      <c r="D117" s="56"/>
      <c r="E117" s="57"/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47</v>
      </c>
      <c r="B118" s="17" t="s">
        <v>60</v>
      </c>
      <c r="C118" s="50" t="s">
        <v>61</v>
      </c>
      <c r="D118" s="51"/>
      <c r="E118" s="9">
        <f>BOYOLANGU!U118+GIRI!V118+GROGOL!V118+JAMBESARI!O118+MOJOPANGGUNG!V118+PENATABAN!V118</f>
        <v>194</v>
      </c>
      <c r="F118" s="40"/>
      <c r="G118" s="1"/>
      <c r="H118" s="1"/>
      <c r="I118" s="1"/>
      <c r="J118" s="1"/>
      <c r="K118" s="1"/>
      <c r="L118" s="1"/>
      <c r="M118" s="1"/>
      <c r="N118" s="1"/>
      <c r="O118" s="1"/>
      <c r="P118" s="34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</row>
    <row r="119" spans="1:216" ht="15.75" customHeight="1" x14ac:dyDescent="0.4">
      <c r="A119" s="11" t="s">
        <v>49</v>
      </c>
      <c r="B119" s="46"/>
      <c r="C119" s="24" t="s">
        <v>155</v>
      </c>
      <c r="D119" s="45"/>
      <c r="E119" s="9">
        <f>BOYOLANGU!U119+GIRI!V119+GROGOL!V119+JAMBESARI!O119+MOJOPANGGUNG!V119+PENATABAN!V119</f>
        <v>241</v>
      </c>
      <c r="F119" s="42"/>
      <c r="G119" s="27"/>
      <c r="H119" s="27"/>
      <c r="I119" s="27"/>
      <c r="J119" s="27"/>
      <c r="K119" s="27"/>
      <c r="L119" s="27"/>
      <c r="M119" s="27"/>
      <c r="N119" s="27"/>
      <c r="O119" s="27"/>
      <c r="P119" s="37"/>
      <c r="Q119" s="30"/>
      <c r="R119" s="30"/>
      <c r="S119" s="30"/>
      <c r="T119" s="30"/>
      <c r="U119" s="30"/>
      <c r="V119" s="30"/>
      <c r="W119" s="38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0"/>
      <c r="BM119" s="30"/>
      <c r="BN119" s="30"/>
      <c r="BO119" s="30"/>
      <c r="BP119" s="30"/>
      <c r="BQ119" s="30"/>
      <c r="BR119" s="38"/>
      <c r="BS119" s="30"/>
      <c r="BT119" s="30"/>
      <c r="BU119" s="30"/>
      <c r="BV119" s="30"/>
      <c r="BW119" s="30"/>
      <c r="BX119" s="30"/>
      <c r="BY119" s="30"/>
      <c r="BZ119" s="30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8"/>
      <c r="EZ119" s="38"/>
      <c r="FA119" s="38"/>
      <c r="FB119" s="38"/>
      <c r="FC119" s="38"/>
      <c r="FD119" s="38"/>
      <c r="FE119" s="38"/>
      <c r="FF119" s="30"/>
      <c r="FG119" s="30"/>
      <c r="FH119" s="30"/>
      <c r="FI119" s="30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</row>
    <row r="120" spans="1:216" ht="15.75" customHeight="1" x14ac:dyDescent="0.4">
      <c r="A120" s="7"/>
      <c r="B120" s="46"/>
      <c r="C120" s="24" t="s">
        <v>156</v>
      </c>
      <c r="D120" s="45"/>
      <c r="E120" s="9">
        <f>BOYOLANGU!U120+GIRI!V120+GROGOL!V120+JAMBESARI!O120+MOJOPANGGUNG!V120+PENATABAN!V120</f>
        <v>41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46"/>
      <c r="C121" s="24" t="s">
        <v>157</v>
      </c>
      <c r="D121" s="45"/>
      <c r="E121" s="9">
        <f>BOYOLANGU!U121+GIRI!V121+GROGOL!V121+JAMBESARI!O121+MOJOPANGGUNG!V121+PENATABAN!V121</f>
        <v>43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46"/>
      <c r="C122" s="24" t="s">
        <v>158</v>
      </c>
      <c r="D122" s="45"/>
      <c r="E122" s="9">
        <f>BOYOLANGU!U122+GIRI!V122+GROGOL!V122+JAMBESARI!O122+MOJOPANGGUNG!V122+PENATABAN!V122</f>
        <v>17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6"/>
      <c r="C123" s="24" t="s">
        <v>159</v>
      </c>
      <c r="D123" s="45"/>
      <c r="E123" s="9">
        <f>BOYOLANGU!U123+GIRI!V123+GROGOL!V123+JAMBESARI!O123+MOJOPANGGUNG!V123+PENATABAN!V123</f>
        <v>88</v>
      </c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6"/>
      <c r="C124" s="24" t="s">
        <v>160</v>
      </c>
      <c r="D124" s="45"/>
      <c r="E124" s="9">
        <f>BOYOLANGU!U124+GIRI!V124+GROGOL!V124+JAMBESARI!O124+MOJOPANGGUNG!V124+PENATABAN!V124</f>
        <v>35</v>
      </c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6"/>
      <c r="C125" s="24" t="s">
        <v>161</v>
      </c>
      <c r="D125" s="45"/>
      <c r="E125" s="9">
        <f>BOYOLANGU!U125+GIRI!V125+GROGOL!V125+JAMBESARI!O125+MOJOPANGGUNG!V125+PENATABAN!V125</f>
        <v>25</v>
      </c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6"/>
      <c r="C126" s="24" t="s">
        <v>162</v>
      </c>
      <c r="D126" s="45"/>
      <c r="E126" s="9">
        <f>BOYOLANGU!U126+GIRI!V126+GROGOL!V126+JAMBESARI!O126+MOJOPANGGUNG!V126+PENATABAN!V126</f>
        <v>5</v>
      </c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7"/>
      <c r="B127" s="46"/>
      <c r="C127" s="24" t="s">
        <v>163</v>
      </c>
      <c r="D127" s="45"/>
      <c r="E127" s="9">
        <f>BOYOLANGU!U127+GIRI!V127+GROGOL!V127+JAMBESARI!O127+MOJOPANGGUNG!V127+PENATABAN!V127</f>
        <v>10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6" t="s">
        <v>25</v>
      </c>
      <c r="B128" s="52" t="s">
        <v>50</v>
      </c>
      <c r="C128" s="53"/>
      <c r="D128" s="54"/>
      <c r="E128" s="5">
        <f>SUM(E118:E127)</f>
        <v>699</v>
      </c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55"/>
      <c r="B129" s="56"/>
      <c r="C129" s="56"/>
      <c r="D129" s="56"/>
      <c r="E129" s="57"/>
      <c r="F129" s="39"/>
      <c r="G129" s="20"/>
      <c r="H129" s="20"/>
      <c r="I129" s="20"/>
      <c r="J129" s="20"/>
      <c r="K129" s="20"/>
      <c r="L129" s="20"/>
      <c r="M129" s="20"/>
      <c r="N129" s="20"/>
      <c r="O129" s="20"/>
      <c r="P129" s="32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</row>
    <row r="130" spans="1:216" ht="15.75" customHeight="1" x14ac:dyDescent="0.4">
      <c r="A130" s="11" t="s">
        <v>47</v>
      </c>
      <c r="B130" s="17" t="s">
        <v>62</v>
      </c>
      <c r="C130" s="50" t="s">
        <v>63</v>
      </c>
      <c r="D130" s="51"/>
      <c r="E130" s="9">
        <f>BOYOLANGU!U130+GIRI!V130+GROGOL!V130+JAMBESARI!O130+MOJOPANGGUNG!V130+PENATABAN!V130</f>
        <v>5</v>
      </c>
      <c r="F130" s="40"/>
      <c r="G130" s="1"/>
      <c r="H130" s="1"/>
      <c r="I130" s="1"/>
      <c r="J130" s="1"/>
      <c r="K130" s="1"/>
      <c r="L130" s="1"/>
      <c r="M130" s="1"/>
      <c r="N130" s="1"/>
      <c r="O130" s="1"/>
      <c r="P130" s="34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</row>
    <row r="131" spans="1:216" ht="15.75" customHeight="1" x14ac:dyDescent="0.4">
      <c r="A131" s="11" t="s">
        <v>49</v>
      </c>
      <c r="B131" s="46"/>
      <c r="C131" s="24" t="s">
        <v>164</v>
      </c>
      <c r="D131" s="45"/>
      <c r="E131" s="9">
        <f>BOYOLANGU!U131+GIRI!V131+GROGOL!V131+JAMBESARI!O131+MOJOPANGGUNG!V131+PENATABAN!V131</f>
        <v>4</v>
      </c>
      <c r="F131" s="42"/>
      <c r="G131" s="27"/>
      <c r="H131" s="27"/>
      <c r="I131" s="27"/>
      <c r="J131" s="27"/>
      <c r="K131" s="27"/>
      <c r="L131" s="27"/>
      <c r="M131" s="27"/>
      <c r="N131" s="27"/>
      <c r="O131" s="27"/>
      <c r="P131" s="37"/>
      <c r="Q131" s="30"/>
      <c r="R131" s="30"/>
      <c r="S131" s="30"/>
      <c r="T131" s="30"/>
      <c r="U131" s="30"/>
      <c r="V131" s="30"/>
      <c r="W131" s="38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0"/>
      <c r="BM131" s="30"/>
      <c r="BN131" s="30"/>
      <c r="BO131" s="30"/>
      <c r="BP131" s="30"/>
      <c r="BQ131" s="30"/>
      <c r="BR131" s="38"/>
      <c r="BS131" s="30"/>
      <c r="BT131" s="30"/>
      <c r="BU131" s="30"/>
      <c r="BV131" s="30"/>
      <c r="BW131" s="30"/>
      <c r="BX131" s="30"/>
      <c r="BY131" s="30"/>
      <c r="BZ131" s="30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8"/>
      <c r="EZ131" s="38"/>
      <c r="FA131" s="38"/>
      <c r="FB131" s="38"/>
      <c r="FC131" s="38"/>
      <c r="FD131" s="38"/>
      <c r="FE131" s="38"/>
      <c r="FF131" s="30"/>
      <c r="FG131" s="30"/>
      <c r="FH131" s="30"/>
      <c r="FI131" s="30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</row>
    <row r="132" spans="1:216" ht="15.75" customHeight="1" x14ac:dyDescent="0.4">
      <c r="A132" s="7"/>
      <c r="B132" s="46"/>
      <c r="C132" s="24" t="s">
        <v>165</v>
      </c>
      <c r="D132" s="45"/>
      <c r="E132" s="9">
        <f>BOYOLANGU!U132+GIRI!V132+GROGOL!V132+JAMBESARI!O132+MOJOPANGGUNG!V132+PENATABAN!V132</f>
        <v>2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46"/>
      <c r="C133" s="24" t="s">
        <v>166</v>
      </c>
      <c r="D133" s="45"/>
      <c r="E133" s="9">
        <f>BOYOLANGU!U133+GIRI!V133+GROGOL!V133+JAMBESARI!O133+MOJOPANGGUNG!V133+PENATABAN!V133</f>
        <v>3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6" t="s">
        <v>25</v>
      </c>
      <c r="B134" s="52" t="s">
        <v>50</v>
      </c>
      <c r="C134" s="53"/>
      <c r="D134" s="54"/>
      <c r="E134" s="5">
        <f>SUM(E130:E133)</f>
        <v>14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55"/>
      <c r="B135" s="56"/>
      <c r="C135" s="56"/>
      <c r="D135" s="56"/>
      <c r="E135" s="57"/>
      <c r="F135" s="40"/>
      <c r="G135" s="1"/>
      <c r="H135" s="1"/>
      <c r="I135" s="1"/>
      <c r="J135" s="1"/>
      <c r="K135" s="1"/>
      <c r="L135" s="1"/>
      <c r="M135" s="1"/>
      <c r="N135" s="1"/>
      <c r="O135" s="1"/>
      <c r="P135" s="34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</row>
    <row r="136" spans="1:216" ht="15.75" customHeight="1" x14ac:dyDescent="0.4">
      <c r="A136" s="11" t="s">
        <v>47</v>
      </c>
      <c r="B136" s="44" t="s">
        <v>64</v>
      </c>
      <c r="C136" s="63" t="s">
        <v>65</v>
      </c>
      <c r="D136" s="64"/>
      <c r="E136" s="9">
        <f>BOYOLANGU!U136+GIRI!V136+GROGOL!V136+JAMBESARI!O136+MOJOPANGGUNG!V136+PENATABAN!V136</f>
        <v>18</v>
      </c>
      <c r="F136" s="42"/>
      <c r="G136" s="27"/>
      <c r="H136" s="27"/>
      <c r="I136" s="27"/>
      <c r="J136" s="27"/>
      <c r="K136" s="27"/>
      <c r="L136" s="27"/>
      <c r="M136" s="27"/>
      <c r="N136" s="27"/>
      <c r="O136" s="27"/>
      <c r="P136" s="37"/>
      <c r="Q136" s="30"/>
      <c r="R136" s="30"/>
      <c r="S136" s="30"/>
      <c r="T136" s="30"/>
      <c r="U136" s="30"/>
      <c r="V136" s="30"/>
      <c r="W136" s="38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0"/>
      <c r="BM136" s="30"/>
      <c r="BN136" s="30"/>
      <c r="BO136" s="30"/>
      <c r="BP136" s="30"/>
      <c r="BQ136" s="30"/>
      <c r="BR136" s="38"/>
      <c r="BS136" s="30"/>
      <c r="BT136" s="30"/>
      <c r="BU136" s="30"/>
      <c r="BV136" s="30"/>
      <c r="BW136" s="30"/>
      <c r="BX136" s="30"/>
      <c r="BY136" s="30"/>
      <c r="BZ136" s="30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8"/>
      <c r="EZ136" s="38"/>
      <c r="FA136" s="38"/>
      <c r="FB136" s="38"/>
      <c r="FC136" s="38"/>
      <c r="FD136" s="38"/>
      <c r="FE136" s="38"/>
      <c r="FF136" s="30"/>
      <c r="FG136" s="30"/>
      <c r="FH136" s="30"/>
      <c r="FI136" s="30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</row>
    <row r="137" spans="1:216" ht="15.75" customHeight="1" x14ac:dyDescent="0.4">
      <c r="A137" s="48" t="s">
        <v>49</v>
      </c>
      <c r="B137" s="46"/>
      <c r="C137" s="24" t="s">
        <v>167</v>
      </c>
      <c r="D137" s="45"/>
      <c r="E137" s="9">
        <f>BOYOLANGU!U137+GIRI!V137+GROGOL!V137+JAMBESARI!O137+MOJOPANGGUNG!V137+PENATABAN!V137</f>
        <v>25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46"/>
      <c r="C138" s="24" t="s">
        <v>168</v>
      </c>
      <c r="D138" s="45"/>
      <c r="E138" s="9">
        <f>BOYOLANGU!U138+GIRI!V138+GROGOL!V138+JAMBESARI!O138+MOJOPANGGUNG!V138+PENATABAN!V138</f>
        <v>8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7"/>
      <c r="B139" s="46"/>
      <c r="C139" s="24" t="s">
        <v>169</v>
      </c>
      <c r="D139" s="45"/>
      <c r="E139" s="9">
        <f>BOYOLANGU!U139+GIRI!V139+GROGOL!V139+JAMBESARI!O139+MOJOPANGGUNG!V139+PENATABAN!V139</f>
        <v>6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"/>
      <c r="B140" s="46"/>
      <c r="C140" s="24" t="s">
        <v>170</v>
      </c>
      <c r="D140" s="45"/>
      <c r="E140" s="9">
        <f>BOYOLANGU!U140+GIRI!V140+GROGOL!V140+JAMBESARI!O140+MOJOPANGGUNG!V140+PENATABAN!V140</f>
        <v>5</v>
      </c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7"/>
      <c r="B141" s="46"/>
      <c r="C141" s="24" t="s">
        <v>171</v>
      </c>
      <c r="D141" s="45"/>
      <c r="E141" s="9">
        <f>BOYOLANGU!U141+GIRI!V141+GROGOL!V141+JAMBESARI!O141+MOJOPANGGUNG!V141+PENATABAN!V141</f>
        <v>2</v>
      </c>
      <c r="F141" s="39"/>
      <c r="G141" s="20"/>
      <c r="H141" s="20"/>
      <c r="I141" s="20"/>
      <c r="J141" s="20"/>
      <c r="K141" s="20"/>
      <c r="L141" s="20"/>
      <c r="M141" s="20"/>
      <c r="N141" s="20"/>
      <c r="O141" s="20"/>
      <c r="P141" s="32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</row>
    <row r="142" spans="1:216" ht="15.75" customHeight="1" x14ac:dyDescent="0.4">
      <c r="A142" s="7"/>
      <c r="B142" s="46"/>
      <c r="C142" s="24" t="s">
        <v>172</v>
      </c>
      <c r="D142" s="45"/>
      <c r="E142" s="9">
        <f>BOYOLANGU!U142+GIRI!V142+GROGOL!V142+JAMBESARI!O142+MOJOPANGGUNG!V142+PENATABAN!V142</f>
        <v>6</v>
      </c>
      <c r="F142" s="39"/>
      <c r="G142" s="20"/>
      <c r="H142" s="20"/>
      <c r="I142" s="20"/>
      <c r="J142" s="20"/>
      <c r="K142" s="20"/>
      <c r="L142" s="20"/>
      <c r="M142" s="20"/>
      <c r="N142" s="20"/>
      <c r="O142" s="20"/>
      <c r="P142" s="32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</row>
    <row r="143" spans="1:216" ht="15.75" customHeight="1" x14ac:dyDescent="0.4">
      <c r="A143" s="7"/>
      <c r="B143" s="46"/>
      <c r="C143" s="24" t="s">
        <v>173</v>
      </c>
      <c r="D143" s="45"/>
      <c r="E143" s="9">
        <f>BOYOLANGU!U143+GIRI!V143+GROGOL!V143+JAMBESARI!O143+MOJOPANGGUNG!V143+PENATABAN!V143</f>
        <v>1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6" t="s">
        <v>25</v>
      </c>
      <c r="B144" s="65" t="s">
        <v>50</v>
      </c>
      <c r="C144" s="66"/>
      <c r="D144" s="67"/>
      <c r="E144" s="5">
        <f>SUM(E136:E143)</f>
        <v>71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55"/>
      <c r="B145" s="56"/>
      <c r="C145" s="56"/>
      <c r="D145" s="56"/>
      <c r="E145" s="57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11" t="s">
        <v>47</v>
      </c>
      <c r="B146" s="17" t="s">
        <v>66</v>
      </c>
      <c r="C146" s="50" t="s">
        <v>67</v>
      </c>
      <c r="D146" s="51"/>
      <c r="E146" s="9">
        <f>BOYOLANGU!U146+GIRI!V146+GROGOL!V146+JAMBESARI!O146+MOJOPANGGUNG!V146+PENATABAN!V146</f>
        <v>31</v>
      </c>
      <c r="F146" s="40"/>
      <c r="G146" s="1"/>
      <c r="H146" s="1"/>
      <c r="I146" s="1"/>
      <c r="J146" s="1"/>
      <c r="K146" s="1"/>
      <c r="L146" s="1"/>
      <c r="M146" s="1"/>
      <c r="N146" s="1"/>
      <c r="O146" s="1"/>
      <c r="P146" s="34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</row>
    <row r="147" spans="1:216" ht="15.75" customHeight="1" x14ac:dyDescent="0.4">
      <c r="A147" s="11" t="s">
        <v>49</v>
      </c>
      <c r="B147" s="46"/>
      <c r="C147" s="24" t="s">
        <v>174</v>
      </c>
      <c r="D147" s="45"/>
      <c r="E147" s="9">
        <f>BOYOLANGU!U147+GIRI!V147+GROGOL!V147+JAMBESARI!O147+MOJOPANGGUNG!V147+PENATABAN!V147</f>
        <v>19</v>
      </c>
      <c r="F147" s="42"/>
      <c r="G147" s="27"/>
      <c r="H147" s="27"/>
      <c r="I147" s="27"/>
      <c r="J147" s="27"/>
      <c r="K147" s="27"/>
      <c r="L147" s="27"/>
      <c r="M147" s="27"/>
      <c r="N147" s="27"/>
      <c r="O147" s="27"/>
      <c r="P147" s="37"/>
      <c r="Q147" s="30"/>
      <c r="R147" s="30"/>
      <c r="S147" s="30"/>
      <c r="T147" s="30"/>
      <c r="U147" s="30"/>
      <c r="V147" s="30"/>
      <c r="W147" s="38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0"/>
      <c r="BM147" s="30"/>
      <c r="BN147" s="30"/>
      <c r="BO147" s="30"/>
      <c r="BP147" s="30"/>
      <c r="BQ147" s="30"/>
      <c r="BR147" s="38"/>
      <c r="BS147" s="30"/>
      <c r="BT147" s="30"/>
      <c r="BU147" s="30"/>
      <c r="BV147" s="30"/>
      <c r="BW147" s="30"/>
      <c r="BX147" s="30"/>
      <c r="BY147" s="30"/>
      <c r="BZ147" s="30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8"/>
      <c r="EZ147" s="38"/>
      <c r="FA147" s="38"/>
      <c r="FB147" s="38"/>
      <c r="FC147" s="38"/>
      <c r="FD147" s="38"/>
      <c r="FE147" s="38"/>
      <c r="FF147" s="30"/>
      <c r="FG147" s="30"/>
      <c r="FH147" s="30"/>
      <c r="FI147" s="30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</row>
    <row r="148" spans="1:216" ht="15.75" customHeight="1" x14ac:dyDescent="0.4">
      <c r="A148" s="6" t="s">
        <v>25</v>
      </c>
      <c r="B148" s="52" t="s">
        <v>50</v>
      </c>
      <c r="C148" s="53"/>
      <c r="D148" s="54"/>
      <c r="E148" s="5">
        <f>SUM(E146:E147)</f>
        <v>50</v>
      </c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55"/>
      <c r="B149" s="56"/>
      <c r="C149" s="56"/>
      <c r="D149" s="56"/>
      <c r="E149" s="57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11" t="s">
        <v>47</v>
      </c>
      <c r="B150" s="17" t="s">
        <v>68</v>
      </c>
      <c r="C150" s="50" t="s">
        <v>69</v>
      </c>
      <c r="D150" s="51"/>
      <c r="E150" s="9">
        <f>BOYOLANGU!U150+GIRI!V150+GROGOL!V150+JAMBESARI!O150+MOJOPANGGUNG!V150+PENATABAN!V150</f>
        <v>114</v>
      </c>
      <c r="F150" s="40"/>
      <c r="G150" s="1"/>
      <c r="H150" s="1"/>
      <c r="I150" s="1"/>
      <c r="J150" s="1"/>
      <c r="K150" s="1"/>
      <c r="L150" s="1"/>
      <c r="M150" s="1"/>
      <c r="N150" s="1"/>
      <c r="O150" s="1"/>
      <c r="P150" s="34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</row>
    <row r="151" spans="1:216" ht="15.75" customHeight="1" x14ac:dyDescent="0.4">
      <c r="A151" s="11" t="s">
        <v>49</v>
      </c>
      <c r="B151" s="46"/>
      <c r="C151" s="24" t="s">
        <v>175</v>
      </c>
      <c r="D151" s="45"/>
      <c r="E151" s="9">
        <f>BOYOLANGU!U151+GIRI!V151+GROGOL!V151+JAMBESARI!O151+MOJOPANGGUNG!V151+PENATABAN!V151</f>
        <v>361</v>
      </c>
      <c r="F151" s="42"/>
      <c r="G151" s="27"/>
      <c r="H151" s="27"/>
      <c r="I151" s="27"/>
      <c r="J151" s="27"/>
      <c r="K151" s="27"/>
      <c r="L151" s="27"/>
      <c r="M151" s="27"/>
      <c r="N151" s="27"/>
      <c r="O151" s="27"/>
      <c r="P151" s="37"/>
      <c r="Q151" s="30"/>
      <c r="R151" s="30"/>
      <c r="S151" s="30"/>
      <c r="T151" s="30"/>
      <c r="U151" s="30"/>
      <c r="V151" s="30"/>
      <c r="W151" s="38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0"/>
      <c r="BM151" s="30"/>
      <c r="BN151" s="30"/>
      <c r="BO151" s="30"/>
      <c r="BP151" s="30"/>
      <c r="BQ151" s="30"/>
      <c r="BR151" s="38"/>
      <c r="BS151" s="30"/>
      <c r="BT151" s="30"/>
      <c r="BU151" s="30"/>
      <c r="BV151" s="30"/>
      <c r="BW151" s="30"/>
      <c r="BX151" s="30"/>
      <c r="BY151" s="30"/>
      <c r="BZ151" s="30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8"/>
      <c r="EZ151" s="38"/>
      <c r="FA151" s="38"/>
      <c r="FB151" s="38"/>
      <c r="FC151" s="38"/>
      <c r="FD151" s="38"/>
      <c r="FE151" s="38"/>
      <c r="FF151" s="30"/>
      <c r="FG151" s="30"/>
      <c r="FH151" s="30"/>
      <c r="FI151" s="30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</row>
    <row r="152" spans="1:216" ht="15.75" customHeight="1" x14ac:dyDescent="0.4">
      <c r="A152" s="7"/>
      <c r="B152" s="46"/>
      <c r="C152" s="24" t="s">
        <v>176</v>
      </c>
      <c r="D152" s="45"/>
      <c r="E152" s="9">
        <f>BOYOLANGU!U152+GIRI!V152+GROGOL!V152+JAMBESARI!O152+MOJOPANGGUNG!V152+PENATABAN!V152</f>
        <v>23</v>
      </c>
      <c r="F152" s="39"/>
      <c r="G152" s="20"/>
      <c r="H152" s="20"/>
      <c r="I152" s="20"/>
      <c r="J152" s="20"/>
      <c r="K152" s="20"/>
      <c r="L152" s="20"/>
      <c r="M152" s="20"/>
      <c r="N152" s="20"/>
      <c r="O152" s="20"/>
      <c r="P152" s="32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</row>
    <row r="153" spans="1:216" ht="15.75" customHeight="1" x14ac:dyDescent="0.4">
      <c r="A153" s="7"/>
      <c r="B153" s="46"/>
      <c r="C153" s="24" t="s">
        <v>177</v>
      </c>
      <c r="D153" s="45"/>
      <c r="E153" s="9">
        <f>BOYOLANGU!U153+GIRI!V153+GROGOL!V153+JAMBESARI!O153+MOJOPANGGUNG!V153+PENATABAN!V153</f>
        <v>45</v>
      </c>
      <c r="F153" s="39"/>
      <c r="G153" s="20"/>
      <c r="H153" s="20"/>
      <c r="I153" s="20"/>
      <c r="J153" s="20"/>
      <c r="K153" s="20"/>
      <c r="L153" s="20"/>
      <c r="M153" s="20"/>
      <c r="N153" s="20"/>
      <c r="O153" s="20"/>
      <c r="P153" s="32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</row>
    <row r="154" spans="1:216" ht="15.75" customHeight="1" x14ac:dyDescent="0.4">
      <c r="A154" s="7"/>
      <c r="B154" s="46"/>
      <c r="C154" s="24" t="s">
        <v>178</v>
      </c>
      <c r="D154" s="45"/>
      <c r="E154" s="9">
        <f>BOYOLANGU!U154+GIRI!V154+GROGOL!V154+JAMBESARI!O154+MOJOPANGGUNG!V154+PENATABAN!V154</f>
        <v>80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46"/>
      <c r="C155" s="24" t="s">
        <v>179</v>
      </c>
      <c r="D155" s="45"/>
      <c r="E155" s="9">
        <f>BOYOLANGU!U155+GIRI!V155+GROGOL!V155+JAMBESARI!O155+MOJOPANGGUNG!V155+PENATABAN!V155</f>
        <v>17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46"/>
      <c r="C156" s="24" t="s">
        <v>180</v>
      </c>
      <c r="D156" s="45"/>
      <c r="E156" s="9">
        <f>BOYOLANGU!U156+GIRI!V156+GROGOL!V156+JAMBESARI!O156+MOJOPANGGUNG!V156+PENATABAN!V156</f>
        <v>10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46"/>
      <c r="C157" s="24" t="s">
        <v>181</v>
      </c>
      <c r="D157" s="45"/>
      <c r="E157" s="9">
        <f>BOYOLANGU!U157+GIRI!V157+GROGOL!V157+JAMBESARI!O157+MOJOPANGGUNG!V157+PENATABAN!V157</f>
        <v>6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46"/>
      <c r="C158" s="24" t="s">
        <v>182</v>
      </c>
      <c r="D158" s="45"/>
      <c r="E158" s="9">
        <f>BOYOLANGU!U158+GIRI!V158+GROGOL!V158+JAMBESARI!O158+MOJOPANGGUNG!V158+PENATABAN!V158</f>
        <v>7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46"/>
      <c r="C159" s="24" t="s">
        <v>183</v>
      </c>
      <c r="D159" s="45"/>
      <c r="E159" s="9">
        <f>BOYOLANGU!U159+GIRI!V159+GROGOL!V159+JAMBESARI!O159+MOJOPANGGUNG!V159+PENATABAN!V159</f>
        <v>10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6" t="s">
        <v>25</v>
      </c>
      <c r="B160" s="52" t="s">
        <v>50</v>
      </c>
      <c r="C160" s="53"/>
      <c r="D160" s="54"/>
      <c r="E160" s="5">
        <f>SUM(E150:E159)</f>
        <v>673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55"/>
      <c r="B161" s="56"/>
      <c r="C161" s="56"/>
      <c r="D161" s="56"/>
      <c r="E161" s="57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11" t="s">
        <v>47</v>
      </c>
      <c r="B162" s="17" t="s">
        <v>70</v>
      </c>
      <c r="C162" s="50" t="s">
        <v>71</v>
      </c>
      <c r="D162" s="51"/>
      <c r="E162" s="9">
        <f>BOYOLANGU!U162+GIRI!V162+GROGOL!V162+JAMBESARI!O162+MOJOPANGGUNG!V162+PENATABAN!V162</f>
        <v>15</v>
      </c>
      <c r="F162" s="40"/>
      <c r="G162" s="1"/>
      <c r="H162" s="1"/>
      <c r="I162" s="1"/>
      <c r="J162" s="1"/>
      <c r="K162" s="1"/>
      <c r="L162" s="1"/>
      <c r="M162" s="1"/>
      <c r="N162" s="1"/>
      <c r="O162" s="1"/>
      <c r="P162" s="34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</row>
    <row r="163" spans="1:216" ht="15.75" customHeight="1" x14ac:dyDescent="0.4">
      <c r="A163" s="11" t="s">
        <v>49</v>
      </c>
      <c r="B163" s="46"/>
      <c r="C163" s="24" t="s">
        <v>184</v>
      </c>
      <c r="D163" s="45"/>
      <c r="E163" s="9">
        <f>BOYOLANGU!U163+GIRI!V163+GROGOL!V163+JAMBESARI!O163+MOJOPANGGUNG!V163+PENATABAN!V163</f>
        <v>6</v>
      </c>
      <c r="F163" s="42"/>
      <c r="G163" s="27"/>
      <c r="H163" s="27"/>
      <c r="I163" s="27"/>
      <c r="J163" s="27"/>
      <c r="K163" s="27"/>
      <c r="L163" s="27"/>
      <c r="M163" s="27"/>
      <c r="N163" s="27"/>
      <c r="O163" s="27"/>
      <c r="P163" s="37"/>
      <c r="Q163" s="30"/>
      <c r="R163" s="30"/>
      <c r="S163" s="30"/>
      <c r="T163" s="30"/>
      <c r="U163" s="30"/>
      <c r="V163" s="30"/>
      <c r="W163" s="38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0"/>
      <c r="BM163" s="30"/>
      <c r="BN163" s="30"/>
      <c r="BO163" s="30"/>
      <c r="BP163" s="30"/>
      <c r="BQ163" s="30"/>
      <c r="BR163" s="38"/>
      <c r="BS163" s="30"/>
      <c r="BT163" s="30"/>
      <c r="BU163" s="30"/>
      <c r="BV163" s="30"/>
      <c r="BW163" s="30"/>
      <c r="BX163" s="30"/>
      <c r="BY163" s="30"/>
      <c r="BZ163" s="30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8"/>
      <c r="EZ163" s="38"/>
      <c r="FA163" s="38"/>
      <c r="FB163" s="38"/>
      <c r="FC163" s="38"/>
      <c r="FD163" s="38"/>
      <c r="FE163" s="38"/>
      <c r="FF163" s="30"/>
      <c r="FG163" s="30"/>
      <c r="FH163" s="30"/>
      <c r="FI163" s="30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</row>
    <row r="164" spans="1:216" ht="15.75" customHeight="1" x14ac:dyDescent="0.4">
      <c r="A164" s="7"/>
      <c r="B164" s="46"/>
      <c r="C164" s="24" t="s">
        <v>185</v>
      </c>
      <c r="D164" s="45"/>
      <c r="E164" s="9">
        <f>BOYOLANGU!U164+GIRI!V164+GROGOL!V164+JAMBESARI!O164+MOJOPANGGUNG!V164+PENATABAN!V164</f>
        <v>9</v>
      </c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7"/>
      <c r="B165" s="46"/>
      <c r="C165" s="24" t="s">
        <v>186</v>
      </c>
      <c r="D165" s="45"/>
      <c r="E165" s="9">
        <f>BOYOLANGU!U165+GIRI!V165+GROGOL!V165+JAMBESARI!O165+MOJOPANGGUNG!V165+PENATABAN!V165</f>
        <v>2</v>
      </c>
      <c r="F165" s="39"/>
      <c r="G165" s="20"/>
      <c r="H165" s="20"/>
      <c r="I165" s="20"/>
      <c r="J165" s="20"/>
      <c r="K165" s="20"/>
      <c r="L165" s="20"/>
      <c r="M165" s="20"/>
      <c r="N165" s="20"/>
      <c r="O165" s="20"/>
      <c r="P165" s="32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</row>
    <row r="166" spans="1:216" ht="15.75" customHeight="1" x14ac:dyDescent="0.4">
      <c r="A166" s="7"/>
      <c r="B166" s="46"/>
      <c r="C166" s="24" t="s">
        <v>187</v>
      </c>
      <c r="D166" s="45"/>
      <c r="E166" s="9">
        <f>BOYOLANGU!U166+GIRI!V166+GROGOL!V166+JAMBESARI!O166+MOJOPANGGUNG!V166+PENATABAN!V166</f>
        <v>5</v>
      </c>
      <c r="F166" s="39"/>
      <c r="G166" s="20"/>
      <c r="H166" s="20"/>
      <c r="I166" s="20"/>
      <c r="J166" s="20"/>
      <c r="K166" s="20"/>
      <c r="L166" s="20"/>
      <c r="M166" s="20"/>
      <c r="N166" s="20"/>
      <c r="O166" s="20"/>
      <c r="P166" s="32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</row>
    <row r="167" spans="1:216" ht="15.75" customHeight="1" x14ac:dyDescent="0.4">
      <c r="A167" s="7"/>
      <c r="B167" s="46"/>
      <c r="C167" s="24" t="s">
        <v>188</v>
      </c>
      <c r="D167" s="45"/>
      <c r="E167" s="9">
        <f>BOYOLANGU!U167+GIRI!V167+GROGOL!V167+JAMBESARI!O167+MOJOPANGGUNG!V167+PENATABAN!V167</f>
        <v>1</v>
      </c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6"/>
      <c r="C168" s="24" t="s">
        <v>189</v>
      </c>
      <c r="D168" s="45"/>
      <c r="E168" s="9">
        <f>BOYOLANGU!U168+GIRI!V168+GROGOL!V168+JAMBESARI!O168+MOJOPANGGUNG!V168+PENATABAN!V168</f>
        <v>1</v>
      </c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6"/>
      <c r="C169" s="24" t="s">
        <v>190</v>
      </c>
      <c r="D169" s="45"/>
      <c r="E169" s="9">
        <f>BOYOLANGU!U169+GIRI!V169+GROGOL!V169+JAMBESARI!O169+MOJOPANGGUNG!V169+PENATABAN!V169</f>
        <v>0</v>
      </c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6"/>
      <c r="C170" s="24" t="s">
        <v>191</v>
      </c>
      <c r="D170" s="45"/>
      <c r="E170" s="9">
        <f>BOYOLANGU!U170+GIRI!V170+GROGOL!V170+JAMBESARI!O170+MOJOPANGGUNG!V170+PENATABAN!V170</f>
        <v>1</v>
      </c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6"/>
      <c r="C171" s="24" t="s">
        <v>192</v>
      </c>
      <c r="D171" s="45"/>
      <c r="E171" s="9">
        <f>BOYOLANGU!U171+GIRI!V171+GROGOL!V171+JAMBESARI!O171+MOJOPANGGUNG!V171+PENATABAN!V171</f>
        <v>2</v>
      </c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6" t="s">
        <v>25</v>
      </c>
      <c r="B172" s="52" t="s">
        <v>50</v>
      </c>
      <c r="C172" s="53"/>
      <c r="D172" s="54"/>
      <c r="E172" s="5">
        <f>SUM(E162:E171)</f>
        <v>42</v>
      </c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55"/>
      <c r="B173" s="56"/>
      <c r="C173" s="56"/>
      <c r="D173" s="56"/>
      <c r="E173" s="57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11" t="s">
        <v>47</v>
      </c>
      <c r="B174" s="17" t="s">
        <v>72</v>
      </c>
      <c r="C174" s="50" t="s">
        <v>73</v>
      </c>
      <c r="D174" s="51"/>
      <c r="E174" s="9">
        <f>BOYOLANGU!U174+GIRI!V174+GROGOL!V174+JAMBESARI!O174+MOJOPANGGUNG!V174+PENATABAN!V174</f>
        <v>371</v>
      </c>
      <c r="F174" s="40"/>
      <c r="G174" s="1"/>
      <c r="H174" s="1"/>
      <c r="I174" s="1"/>
      <c r="J174" s="1"/>
      <c r="K174" s="1"/>
      <c r="L174" s="1"/>
      <c r="M174" s="1"/>
      <c r="N174" s="1"/>
      <c r="O174" s="1"/>
      <c r="P174" s="34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</row>
    <row r="175" spans="1:216" ht="15.75" customHeight="1" x14ac:dyDescent="0.4">
      <c r="A175" s="11" t="s">
        <v>49</v>
      </c>
      <c r="B175" s="46"/>
      <c r="C175" s="24" t="s">
        <v>193</v>
      </c>
      <c r="D175" s="45"/>
      <c r="E175" s="9">
        <f>BOYOLANGU!U175+GIRI!V175+GROGOL!V175+JAMBESARI!O175+MOJOPANGGUNG!V175+PENATABAN!V175</f>
        <v>246</v>
      </c>
      <c r="F175" s="42"/>
      <c r="G175" s="27"/>
      <c r="H175" s="27"/>
      <c r="I175" s="27"/>
      <c r="J175" s="27"/>
      <c r="K175" s="27"/>
      <c r="L175" s="27"/>
      <c r="M175" s="27"/>
      <c r="N175" s="27"/>
      <c r="O175" s="27"/>
      <c r="P175" s="37"/>
      <c r="Q175" s="30"/>
      <c r="R175" s="30"/>
      <c r="S175" s="30"/>
      <c r="T175" s="30"/>
      <c r="U175" s="30"/>
      <c r="V175" s="30"/>
      <c r="W175" s="38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0"/>
      <c r="BM175" s="30"/>
      <c r="BN175" s="30"/>
      <c r="BO175" s="30"/>
      <c r="BP175" s="30"/>
      <c r="BQ175" s="30"/>
      <c r="BR175" s="38"/>
      <c r="BS175" s="30"/>
      <c r="BT175" s="30"/>
      <c r="BU175" s="30"/>
      <c r="BV175" s="30"/>
      <c r="BW175" s="30"/>
      <c r="BX175" s="30"/>
      <c r="BY175" s="30"/>
      <c r="BZ175" s="30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8"/>
      <c r="EZ175" s="38"/>
      <c r="FA175" s="38"/>
      <c r="FB175" s="38"/>
      <c r="FC175" s="38"/>
      <c r="FD175" s="38"/>
      <c r="FE175" s="38"/>
      <c r="FF175" s="30"/>
      <c r="FG175" s="30"/>
      <c r="FH175" s="30"/>
      <c r="FI175" s="30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</row>
    <row r="176" spans="1:216" ht="15.75" customHeight="1" x14ac:dyDescent="0.4">
      <c r="A176" s="7"/>
      <c r="B176" s="46"/>
      <c r="C176" s="24" t="s">
        <v>194</v>
      </c>
      <c r="D176" s="45"/>
      <c r="E176" s="9">
        <f>BOYOLANGU!U176+GIRI!V176+GROGOL!V176+JAMBESARI!O176+MOJOPANGGUNG!V176+PENATABAN!V176</f>
        <v>425</v>
      </c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7"/>
      <c r="B177" s="46"/>
      <c r="C177" s="24" t="s">
        <v>195</v>
      </c>
      <c r="D177" s="45"/>
      <c r="E177" s="9">
        <f>BOYOLANGU!U177+GIRI!V177+GROGOL!V177+JAMBESARI!O177+MOJOPANGGUNG!V177+PENATABAN!V177</f>
        <v>43</v>
      </c>
      <c r="F177" s="39"/>
      <c r="G177" s="20"/>
      <c r="H177" s="20"/>
      <c r="I177" s="20"/>
      <c r="J177" s="20"/>
      <c r="K177" s="20"/>
      <c r="L177" s="20"/>
      <c r="M177" s="20"/>
      <c r="N177" s="20"/>
      <c r="O177" s="20"/>
      <c r="P177" s="32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</row>
    <row r="178" spans="1:216" ht="15.75" customHeight="1" x14ac:dyDescent="0.4">
      <c r="A178" s="7"/>
      <c r="B178" s="46"/>
      <c r="C178" s="24" t="s">
        <v>196</v>
      </c>
      <c r="D178" s="45"/>
      <c r="E178" s="9">
        <f>BOYOLANGU!U178+GIRI!V178+GROGOL!V178+JAMBESARI!O178+MOJOPANGGUNG!V178+PENATABAN!V178</f>
        <v>16</v>
      </c>
      <c r="F178" s="39"/>
      <c r="G178" s="20"/>
      <c r="H178" s="20"/>
      <c r="I178" s="20"/>
      <c r="J178" s="20"/>
      <c r="K178" s="20"/>
      <c r="L178" s="20"/>
      <c r="M178" s="20"/>
      <c r="N178" s="20"/>
      <c r="O178" s="20"/>
      <c r="P178" s="32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</row>
    <row r="179" spans="1:216" ht="15.75" customHeight="1" x14ac:dyDescent="0.4">
      <c r="A179" s="7"/>
      <c r="B179" s="46"/>
      <c r="C179" s="24" t="s">
        <v>197</v>
      </c>
      <c r="D179" s="45"/>
      <c r="E179" s="9">
        <f>BOYOLANGU!U179+GIRI!V179+GROGOL!V179+JAMBESARI!O179+MOJOPANGGUNG!V179+PENATABAN!V179</f>
        <v>11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46"/>
      <c r="C180" s="24" t="s">
        <v>198</v>
      </c>
      <c r="D180" s="45"/>
      <c r="E180" s="9">
        <f>BOYOLANGU!U180+GIRI!V180+GROGOL!V180+JAMBESARI!O180+MOJOPANGGUNG!V180+PENATABAN!V180</f>
        <v>25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46"/>
      <c r="C181" s="24" t="s">
        <v>199</v>
      </c>
      <c r="D181" s="45"/>
      <c r="E181" s="9">
        <f>BOYOLANGU!U181+GIRI!V181+GROGOL!V181+JAMBESARI!O181+MOJOPANGGUNG!V181+PENATABAN!V181</f>
        <v>32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46"/>
      <c r="C182" s="24" t="s">
        <v>200</v>
      </c>
      <c r="D182" s="45"/>
      <c r="E182" s="9">
        <f>BOYOLANGU!U182+GIRI!V182+GROGOL!V182+JAMBESARI!O182+MOJOPANGGUNG!V182+PENATABAN!V182</f>
        <v>1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46"/>
      <c r="C183" s="24" t="s">
        <v>201</v>
      </c>
      <c r="D183" s="45"/>
      <c r="E183" s="9">
        <f>BOYOLANGU!U183+GIRI!V183+GROGOL!V183+JAMBESARI!O183+MOJOPANGGUNG!V183+PENATABAN!V183</f>
        <v>20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6" t="s">
        <v>25</v>
      </c>
      <c r="B184" s="52" t="s">
        <v>50</v>
      </c>
      <c r="C184" s="53"/>
      <c r="D184" s="54"/>
      <c r="E184" s="5">
        <f>SUM(E174:E183)</f>
        <v>1190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55"/>
      <c r="B185" s="56"/>
      <c r="C185" s="56"/>
      <c r="D185" s="56"/>
      <c r="E185" s="57"/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11" t="s">
        <v>47</v>
      </c>
      <c r="B186" s="17" t="s">
        <v>74</v>
      </c>
      <c r="C186" s="50" t="s">
        <v>75</v>
      </c>
      <c r="D186" s="51"/>
      <c r="E186" s="9">
        <f>BOYOLANGU!U186+GIRI!V186+GROGOL!V186+JAMBESARI!O186+MOJOPANGGUNG!V186+PENATABAN!V186</f>
        <v>161</v>
      </c>
      <c r="F186" s="40"/>
      <c r="G186" s="1"/>
      <c r="H186" s="1"/>
      <c r="I186" s="1"/>
      <c r="J186" s="1"/>
      <c r="K186" s="1"/>
      <c r="L186" s="1"/>
      <c r="M186" s="1"/>
      <c r="N186" s="1"/>
      <c r="O186" s="1"/>
      <c r="P186" s="34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</row>
    <row r="187" spans="1:216" ht="15.75" customHeight="1" x14ac:dyDescent="0.4">
      <c r="A187" s="11" t="s">
        <v>49</v>
      </c>
      <c r="B187" s="46"/>
      <c r="C187" s="24" t="s">
        <v>202</v>
      </c>
      <c r="D187" s="45"/>
      <c r="E187" s="9">
        <f>BOYOLANGU!U187+GIRI!V187+GROGOL!V187+JAMBESARI!O187+MOJOPANGGUNG!V187+PENATABAN!V187</f>
        <v>81</v>
      </c>
      <c r="F187" s="42"/>
      <c r="G187" s="27"/>
      <c r="H187" s="27"/>
      <c r="I187" s="27"/>
      <c r="J187" s="27"/>
      <c r="K187" s="27"/>
      <c r="L187" s="27"/>
      <c r="M187" s="27"/>
      <c r="N187" s="27"/>
      <c r="O187" s="27"/>
      <c r="P187" s="37"/>
      <c r="Q187" s="30"/>
      <c r="R187" s="30"/>
      <c r="S187" s="30"/>
      <c r="T187" s="30"/>
      <c r="U187" s="30"/>
      <c r="V187" s="30"/>
      <c r="W187" s="38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0"/>
      <c r="BM187" s="30"/>
      <c r="BN187" s="30"/>
      <c r="BO187" s="30"/>
      <c r="BP187" s="30"/>
      <c r="BQ187" s="30"/>
      <c r="BR187" s="38"/>
      <c r="BS187" s="30"/>
      <c r="BT187" s="30"/>
      <c r="BU187" s="30"/>
      <c r="BV187" s="30"/>
      <c r="BW187" s="30"/>
      <c r="BX187" s="30"/>
      <c r="BY187" s="30"/>
      <c r="BZ187" s="30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38"/>
      <c r="CQ187" s="38"/>
      <c r="CR187" s="38"/>
      <c r="CS187" s="38"/>
      <c r="CT187" s="38"/>
      <c r="CU187" s="38"/>
      <c r="CV187" s="38"/>
      <c r="CW187" s="38"/>
      <c r="CX187" s="38"/>
      <c r="CY187" s="38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8"/>
      <c r="EZ187" s="38"/>
      <c r="FA187" s="38"/>
      <c r="FB187" s="38"/>
      <c r="FC187" s="38"/>
      <c r="FD187" s="38"/>
      <c r="FE187" s="38"/>
      <c r="FF187" s="30"/>
      <c r="FG187" s="30"/>
      <c r="FH187" s="30"/>
      <c r="FI187" s="30"/>
      <c r="FJ187" s="38"/>
      <c r="FK187" s="38"/>
      <c r="FL187" s="38"/>
      <c r="FM187" s="38"/>
      <c r="FN187" s="38"/>
      <c r="FO187" s="38"/>
      <c r="FP187" s="38"/>
      <c r="FQ187" s="38"/>
      <c r="FR187" s="38"/>
      <c r="FS187" s="38"/>
      <c r="FT187" s="38"/>
      <c r="FU187" s="38"/>
      <c r="FV187" s="38"/>
      <c r="FW187" s="38"/>
      <c r="FX187" s="38"/>
      <c r="FY187" s="38"/>
      <c r="FZ187" s="38"/>
      <c r="GA187" s="38"/>
      <c r="GB187" s="38"/>
      <c r="GC187" s="38"/>
      <c r="GD187" s="38"/>
      <c r="GE187" s="38"/>
      <c r="GF187" s="38"/>
      <c r="GG187" s="38"/>
      <c r="GH187" s="38"/>
      <c r="GI187" s="38"/>
      <c r="GJ187" s="38"/>
      <c r="GK187" s="38"/>
      <c r="GL187" s="38"/>
      <c r="GM187" s="38"/>
      <c r="GN187" s="38"/>
      <c r="GO187" s="38"/>
      <c r="GP187" s="38"/>
      <c r="GQ187" s="38"/>
      <c r="GR187" s="38"/>
      <c r="GS187" s="38"/>
      <c r="GT187" s="38"/>
      <c r="GU187" s="38"/>
      <c r="GV187" s="38"/>
      <c r="GW187" s="38"/>
      <c r="GX187" s="38"/>
      <c r="GY187" s="38"/>
      <c r="GZ187" s="38"/>
      <c r="HA187" s="38"/>
      <c r="HB187" s="38"/>
      <c r="HC187" s="38"/>
      <c r="HD187" s="38"/>
      <c r="HE187" s="38"/>
      <c r="HF187" s="38"/>
      <c r="HG187" s="38"/>
      <c r="HH187" s="38"/>
    </row>
    <row r="188" spans="1:216" ht="15.75" customHeight="1" x14ac:dyDescent="0.4">
      <c r="A188" s="7"/>
      <c r="B188" s="46"/>
      <c r="C188" s="24" t="s">
        <v>203</v>
      </c>
      <c r="D188" s="45"/>
      <c r="E188" s="9">
        <f>BOYOLANGU!U188+GIRI!V188+GROGOL!V188+JAMBESARI!O188+MOJOPANGGUNG!V188+PENATABAN!V188</f>
        <v>99</v>
      </c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7"/>
      <c r="B189" s="46"/>
      <c r="C189" s="24" t="s">
        <v>204</v>
      </c>
      <c r="D189" s="45"/>
      <c r="E189" s="9">
        <f>BOYOLANGU!U189+GIRI!V189+GROGOL!V189+JAMBESARI!O189+MOJOPANGGUNG!V189+PENATABAN!V189</f>
        <v>29</v>
      </c>
      <c r="F189" s="39"/>
      <c r="G189" s="20"/>
      <c r="H189" s="20"/>
      <c r="I189" s="20"/>
      <c r="J189" s="20"/>
      <c r="K189" s="20"/>
      <c r="L189" s="20"/>
      <c r="M189" s="20"/>
      <c r="N189" s="20"/>
      <c r="O189" s="20"/>
      <c r="P189" s="32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</row>
    <row r="190" spans="1:216" ht="15.75" customHeight="1" x14ac:dyDescent="0.4">
      <c r="A190" s="6" t="s">
        <v>25</v>
      </c>
      <c r="B190" s="52" t="s">
        <v>50</v>
      </c>
      <c r="C190" s="53"/>
      <c r="D190" s="54"/>
      <c r="E190" s="5">
        <f>SUM(E186:E189)</f>
        <v>370</v>
      </c>
      <c r="F190" s="39"/>
      <c r="G190" s="20"/>
      <c r="H190" s="20"/>
      <c r="I190" s="20"/>
      <c r="J190" s="20"/>
      <c r="K190" s="20"/>
      <c r="L190" s="20"/>
      <c r="M190" s="20"/>
      <c r="N190" s="20"/>
      <c r="O190" s="20"/>
      <c r="P190" s="32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</row>
    <row r="191" spans="1:216" ht="15.75" customHeight="1" x14ac:dyDescent="0.4">
      <c r="A191" s="55"/>
      <c r="B191" s="56"/>
      <c r="C191" s="56"/>
      <c r="D191" s="56"/>
      <c r="E191" s="57"/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11" t="s">
        <v>47</v>
      </c>
      <c r="B192" s="17" t="s">
        <v>76</v>
      </c>
      <c r="C192" s="50" t="s">
        <v>77</v>
      </c>
      <c r="D192" s="51"/>
      <c r="E192" s="9">
        <f>BOYOLANGU!U192+GIRI!V192+GROGOL!V192+JAMBESARI!O192+MOJOPANGGUNG!V192+PENATABAN!V192</f>
        <v>31</v>
      </c>
      <c r="F192" s="40"/>
      <c r="G192" s="1"/>
      <c r="H192" s="1"/>
      <c r="I192" s="1"/>
      <c r="J192" s="1"/>
      <c r="K192" s="1"/>
      <c r="L192" s="1"/>
      <c r="M192" s="1"/>
      <c r="N192" s="1"/>
      <c r="O192" s="1"/>
      <c r="P192" s="34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</row>
    <row r="193" spans="1:216" ht="15.75" customHeight="1" x14ac:dyDescent="0.4">
      <c r="A193" s="11" t="s">
        <v>49</v>
      </c>
      <c r="B193" s="46"/>
      <c r="C193" s="24" t="s">
        <v>205</v>
      </c>
      <c r="D193" s="45"/>
      <c r="E193" s="9">
        <f>BOYOLANGU!U193+GIRI!V193+GROGOL!V193+JAMBESARI!O193+MOJOPANGGUNG!V193+PENATABAN!V193</f>
        <v>19</v>
      </c>
      <c r="F193" s="42"/>
      <c r="G193" s="27"/>
      <c r="H193" s="27"/>
      <c r="I193" s="27"/>
      <c r="J193" s="27"/>
      <c r="K193" s="27"/>
      <c r="L193" s="27"/>
      <c r="M193" s="27"/>
      <c r="N193" s="27"/>
      <c r="O193" s="27"/>
      <c r="P193" s="37"/>
      <c r="Q193" s="30"/>
      <c r="R193" s="30"/>
      <c r="S193" s="30"/>
      <c r="T193" s="30"/>
      <c r="U193" s="30"/>
      <c r="V193" s="30"/>
      <c r="W193" s="38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0"/>
      <c r="BM193" s="30"/>
      <c r="BN193" s="30"/>
      <c r="BO193" s="30"/>
      <c r="BP193" s="30"/>
      <c r="BQ193" s="30"/>
      <c r="BR193" s="38"/>
      <c r="BS193" s="30"/>
      <c r="BT193" s="30"/>
      <c r="BU193" s="30"/>
      <c r="BV193" s="30"/>
      <c r="BW193" s="30"/>
      <c r="BX193" s="30"/>
      <c r="BY193" s="30"/>
      <c r="BZ193" s="30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8"/>
      <c r="EZ193" s="38"/>
      <c r="FA193" s="38"/>
      <c r="FB193" s="38"/>
      <c r="FC193" s="38"/>
      <c r="FD193" s="38"/>
      <c r="FE193" s="38"/>
      <c r="FF193" s="30"/>
      <c r="FG193" s="30"/>
      <c r="FH193" s="30"/>
      <c r="FI193" s="30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</row>
    <row r="194" spans="1:216" ht="15.75" customHeight="1" x14ac:dyDescent="0.4">
      <c r="A194" s="7"/>
      <c r="B194" s="46"/>
      <c r="C194" s="24" t="s">
        <v>206</v>
      </c>
      <c r="D194" s="45"/>
      <c r="E194" s="9">
        <f>BOYOLANGU!U194+GIRI!V194+GROGOL!V194+JAMBESARI!O194+MOJOPANGGUNG!V194+PENATABAN!V194</f>
        <v>16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46"/>
      <c r="C195" s="24" t="s">
        <v>207</v>
      </c>
      <c r="D195" s="45"/>
      <c r="E195" s="9">
        <f>BOYOLANGU!U195+GIRI!V195+GROGOL!V195+JAMBESARI!O195+MOJOPANGGUNG!V195+PENATABAN!V195</f>
        <v>4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46"/>
      <c r="C196" s="24" t="s">
        <v>208</v>
      </c>
      <c r="D196" s="45"/>
      <c r="E196" s="9">
        <f>BOYOLANGU!U196+GIRI!V196+GROGOL!V196+JAMBESARI!O196+MOJOPANGGUNG!V196+PENATABAN!V196</f>
        <v>11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6" t="s">
        <v>25</v>
      </c>
      <c r="B197" s="52" t="s">
        <v>50</v>
      </c>
      <c r="C197" s="53"/>
      <c r="D197" s="54"/>
      <c r="E197" s="5">
        <f>SUM(E192:E196)</f>
        <v>81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55"/>
      <c r="B198" s="56"/>
      <c r="C198" s="56"/>
      <c r="D198" s="56"/>
      <c r="E198" s="57"/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11" t="s">
        <v>47</v>
      </c>
      <c r="B199" s="17" t="s">
        <v>78</v>
      </c>
      <c r="C199" s="50" t="s">
        <v>79</v>
      </c>
      <c r="D199" s="51"/>
      <c r="E199" s="9">
        <f>BOYOLANGU!U199+GIRI!V199+GROGOL!V199+JAMBESARI!O199+MOJOPANGGUNG!V199+PENATABAN!V199</f>
        <v>100</v>
      </c>
      <c r="F199" s="40"/>
      <c r="G199" s="1"/>
      <c r="H199" s="1"/>
      <c r="I199" s="1"/>
      <c r="J199" s="1"/>
      <c r="K199" s="1"/>
      <c r="L199" s="1"/>
      <c r="M199" s="1"/>
      <c r="N199" s="1"/>
      <c r="O199" s="1"/>
      <c r="P199" s="34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</row>
    <row r="200" spans="1:216" ht="15.75" customHeight="1" x14ac:dyDescent="0.4">
      <c r="A200" s="11" t="s">
        <v>49</v>
      </c>
      <c r="B200" s="46"/>
      <c r="C200" s="24" t="s">
        <v>209</v>
      </c>
      <c r="D200" s="45"/>
      <c r="E200" s="9">
        <f>BOYOLANGU!U200+GIRI!V200+GROGOL!V200+JAMBESARI!O200+MOJOPANGGUNG!V200+PENATABAN!V200</f>
        <v>148</v>
      </c>
      <c r="F200" s="42"/>
      <c r="G200" s="27"/>
      <c r="H200" s="27"/>
      <c r="I200" s="27"/>
      <c r="J200" s="27"/>
      <c r="K200" s="27"/>
      <c r="L200" s="27"/>
      <c r="M200" s="27"/>
      <c r="N200" s="27"/>
      <c r="O200" s="27"/>
      <c r="P200" s="37"/>
      <c r="Q200" s="30"/>
      <c r="R200" s="30"/>
      <c r="S200" s="30"/>
      <c r="T200" s="30"/>
      <c r="U200" s="30"/>
      <c r="V200" s="30"/>
      <c r="W200" s="38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0"/>
      <c r="BM200" s="30"/>
      <c r="BN200" s="30"/>
      <c r="BO200" s="30"/>
      <c r="BP200" s="30"/>
      <c r="BQ200" s="30"/>
      <c r="BR200" s="38"/>
      <c r="BS200" s="30"/>
      <c r="BT200" s="30"/>
      <c r="BU200" s="30"/>
      <c r="BV200" s="30"/>
      <c r="BW200" s="30"/>
      <c r="BX200" s="30"/>
      <c r="BY200" s="30"/>
      <c r="BZ200" s="30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8"/>
      <c r="EZ200" s="38"/>
      <c r="FA200" s="38"/>
      <c r="FB200" s="38"/>
      <c r="FC200" s="38"/>
      <c r="FD200" s="38"/>
      <c r="FE200" s="38"/>
      <c r="FF200" s="30"/>
      <c r="FG200" s="30"/>
      <c r="FH200" s="30"/>
      <c r="FI200" s="30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</row>
    <row r="201" spans="1:216" ht="15.75" customHeight="1" x14ac:dyDescent="0.4">
      <c r="A201" s="7"/>
      <c r="B201" s="46"/>
      <c r="C201" s="24" t="s">
        <v>210</v>
      </c>
      <c r="D201" s="45"/>
      <c r="E201" s="9">
        <f>BOYOLANGU!U201+GIRI!V201+GROGOL!V201+JAMBESARI!O201+MOJOPANGGUNG!V201+PENATABAN!V201</f>
        <v>219</v>
      </c>
      <c r="F201" s="39"/>
      <c r="G201" s="20"/>
      <c r="H201" s="20"/>
      <c r="I201" s="20"/>
      <c r="J201" s="20"/>
      <c r="K201" s="20"/>
      <c r="L201" s="20"/>
      <c r="M201" s="20"/>
      <c r="N201" s="20"/>
      <c r="O201" s="20"/>
      <c r="P201" s="32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</row>
    <row r="202" spans="1:216" ht="15.75" customHeight="1" x14ac:dyDescent="0.4">
      <c r="A202" s="7"/>
      <c r="B202" s="46"/>
      <c r="C202" s="24" t="s">
        <v>211</v>
      </c>
      <c r="D202" s="45"/>
      <c r="E202" s="9">
        <f>BOYOLANGU!U202+GIRI!V202+GROGOL!V202+JAMBESARI!O202+MOJOPANGGUNG!V202+PENATABAN!V202</f>
        <v>7</v>
      </c>
      <c r="F202" s="39"/>
      <c r="G202" s="20"/>
      <c r="H202" s="20"/>
      <c r="I202" s="20"/>
      <c r="J202" s="20"/>
      <c r="K202" s="20"/>
      <c r="L202" s="20"/>
      <c r="M202" s="20"/>
      <c r="N202" s="20"/>
      <c r="O202" s="20"/>
      <c r="P202" s="32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</row>
    <row r="203" spans="1:216" ht="15.75" customHeight="1" x14ac:dyDescent="0.4">
      <c r="A203" s="7"/>
      <c r="B203" s="46"/>
      <c r="C203" s="24" t="s">
        <v>212</v>
      </c>
      <c r="D203" s="45"/>
      <c r="E203" s="9">
        <f>BOYOLANGU!U203+GIRI!V203+GROGOL!V203+JAMBESARI!O203+MOJOPANGGUNG!V203+PENATABAN!V203</f>
        <v>15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46"/>
      <c r="C204" s="24" t="s">
        <v>213</v>
      </c>
      <c r="D204" s="45"/>
      <c r="E204" s="9">
        <f>BOYOLANGU!U204+GIRI!V204+GROGOL!V204+JAMBESARI!O204+MOJOPANGGUNG!V204+PENATABAN!V204</f>
        <v>24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46"/>
      <c r="C205" s="24" t="s">
        <v>214</v>
      </c>
      <c r="D205" s="45"/>
      <c r="E205" s="9">
        <f>BOYOLANGU!U205+GIRI!V205+GROGOL!V205+JAMBESARI!O205+MOJOPANGGUNG!V205+PENATABAN!V205</f>
        <v>13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46"/>
      <c r="C206" s="24" t="s">
        <v>215</v>
      </c>
      <c r="D206" s="45"/>
      <c r="E206" s="9">
        <f>BOYOLANGU!U206+GIRI!V206+GROGOL!V206+JAMBESARI!O206+MOJOPANGGUNG!V206+PENATABAN!V206</f>
        <v>9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46"/>
      <c r="C207" s="24" t="s">
        <v>216</v>
      </c>
      <c r="D207" s="45"/>
      <c r="E207" s="9">
        <f>BOYOLANGU!U207+GIRI!V207+GROGOL!V207+JAMBESARI!O207+MOJOPANGGUNG!V207+PENATABAN!V207</f>
        <v>5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46"/>
      <c r="C208" s="24" t="s">
        <v>217</v>
      </c>
      <c r="D208" s="45"/>
      <c r="E208" s="9">
        <f>BOYOLANGU!U208+GIRI!V208+GROGOL!V208+JAMBESARI!O208+MOJOPANGGUNG!V208+PENATABAN!V208</f>
        <v>11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6" t="s">
        <v>25</v>
      </c>
      <c r="B209" s="52" t="s">
        <v>50</v>
      </c>
      <c r="C209" s="53"/>
      <c r="D209" s="54"/>
      <c r="E209" s="5">
        <f>SUM(E199:E208)</f>
        <v>551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55"/>
      <c r="B210" s="56"/>
      <c r="C210" s="56"/>
      <c r="D210" s="56"/>
      <c r="E210" s="57"/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11" t="s">
        <v>47</v>
      </c>
      <c r="B211" s="17" t="s">
        <v>80</v>
      </c>
      <c r="C211" s="50" t="s">
        <v>81</v>
      </c>
      <c r="D211" s="51"/>
      <c r="E211" s="9">
        <f>BOYOLANGU!U211+GIRI!V211+GROGOL!V211+JAMBESARI!O211+MOJOPANGGUNG!V211+PENATABAN!V211</f>
        <v>44</v>
      </c>
      <c r="F211" s="40"/>
      <c r="G211" s="1"/>
      <c r="H211" s="1"/>
      <c r="I211" s="1"/>
      <c r="J211" s="1"/>
      <c r="K211" s="1"/>
      <c r="L211" s="1"/>
      <c r="M211" s="1"/>
      <c r="N211" s="1"/>
      <c r="O211" s="1"/>
      <c r="P211" s="34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</row>
    <row r="212" spans="1:216" ht="15.75" customHeight="1" x14ac:dyDescent="0.4">
      <c r="A212" s="11" t="s">
        <v>49</v>
      </c>
      <c r="B212" s="46"/>
      <c r="C212" s="24" t="s">
        <v>218</v>
      </c>
      <c r="D212" s="45"/>
      <c r="E212" s="9">
        <f>BOYOLANGU!U212+GIRI!V212+GROGOL!V212+JAMBESARI!O212+MOJOPANGGUNG!V212+PENATABAN!V212</f>
        <v>39</v>
      </c>
      <c r="F212" s="39"/>
      <c r="G212" s="20"/>
      <c r="H212" s="20"/>
      <c r="I212" s="20"/>
      <c r="J212" s="20"/>
      <c r="K212" s="20"/>
      <c r="L212" s="20"/>
      <c r="M212" s="20"/>
      <c r="N212" s="20"/>
      <c r="O212" s="23"/>
      <c r="P212" s="35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</row>
    <row r="213" spans="1:216" ht="15.75" customHeight="1" x14ac:dyDescent="0.4">
      <c r="A213" s="7"/>
      <c r="B213" s="46"/>
      <c r="C213" s="24" t="s">
        <v>219</v>
      </c>
      <c r="D213" s="45"/>
      <c r="E213" s="9">
        <f>BOYOLANGU!U213+GIRI!V213+GROGOL!V213+JAMBESARI!O213+MOJOPANGGUNG!V213+PENATABAN!V213</f>
        <v>5</v>
      </c>
      <c r="F213" s="40"/>
      <c r="G213" s="1"/>
      <c r="H213" s="1"/>
      <c r="I213" s="1"/>
      <c r="J213" s="1"/>
      <c r="K213" s="1"/>
      <c r="L213" s="1"/>
      <c r="M213" s="1"/>
      <c r="N213" s="1"/>
      <c r="O213" s="3"/>
      <c r="P213" s="35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</row>
    <row r="214" spans="1:216" ht="15.75" customHeight="1" x14ac:dyDescent="0.4">
      <c r="A214" s="7"/>
      <c r="B214" s="46"/>
      <c r="C214" s="24" t="s">
        <v>220</v>
      </c>
      <c r="D214" s="45"/>
      <c r="E214" s="9">
        <f>BOYOLANGU!U214+GIRI!V214+GROGOL!V214+JAMBESARI!O214+MOJOPANGGUNG!V214+PENATABAN!V214</f>
        <v>6</v>
      </c>
      <c r="F214" s="40"/>
      <c r="G214" s="1"/>
      <c r="H214" s="1"/>
      <c r="I214" s="1"/>
      <c r="J214" s="1"/>
      <c r="K214" s="1"/>
      <c r="L214" s="1"/>
      <c r="M214" s="1"/>
      <c r="N214" s="1"/>
      <c r="O214" s="1"/>
      <c r="P214" s="34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</row>
    <row r="215" spans="1:216" ht="15.75" customHeight="1" x14ac:dyDescent="0.4">
      <c r="A215" s="6" t="s">
        <v>25</v>
      </c>
      <c r="B215" s="52" t="s">
        <v>50</v>
      </c>
      <c r="C215" s="53"/>
      <c r="D215" s="54"/>
      <c r="E215" s="5">
        <f>SUM(E211:E214)</f>
        <v>94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</row>
    <row r="216" spans="1:216" ht="15.75" customHeight="1" x14ac:dyDescent="0.4"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</row>
    <row r="217" spans="1:216" ht="15.75" customHeight="1" x14ac:dyDescent="0.4">
      <c r="A217" s="16" t="s">
        <v>82</v>
      </c>
      <c r="B217" s="60" t="s">
        <v>83</v>
      </c>
      <c r="C217" s="61"/>
      <c r="D217" s="62"/>
      <c r="E217" s="5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</row>
    <row r="218" spans="1:216" ht="15.75" customHeight="1" x14ac:dyDescent="0.4">
      <c r="A218" s="16"/>
      <c r="B218" s="19" t="s">
        <v>84</v>
      </c>
      <c r="C218" s="58" t="s">
        <v>85</v>
      </c>
      <c r="D218" s="59"/>
      <c r="E218" s="9">
        <f>BOYOLANGU!U218+GIRI!V218+GROGOL!V218+JAMBESARI!O218+MOJOPANGGUNG!V218+PENATABAN!V218</f>
        <v>17547</v>
      </c>
      <c r="F218" s="39"/>
      <c r="G218" s="20"/>
      <c r="H218" s="20"/>
      <c r="I218" s="20"/>
      <c r="J218" s="20"/>
      <c r="K218" s="20"/>
      <c r="L218" s="20"/>
      <c r="M218" s="20"/>
      <c r="N218" s="20"/>
      <c r="O218" s="2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</row>
    <row r="219" spans="1:216" ht="15.75" customHeight="1" x14ac:dyDescent="0.4">
      <c r="A219" s="13"/>
      <c r="B219" s="19" t="s">
        <v>86</v>
      </c>
      <c r="C219" s="58" t="s">
        <v>87</v>
      </c>
      <c r="D219" s="59"/>
      <c r="E219" s="9">
        <f>BOYOLANGU!U219+GIRI!V219+GROGOL!V219+JAMBESARI!O219+MOJOPANGGUNG!V219+PENATABAN!V219</f>
        <v>2849</v>
      </c>
      <c r="F219" s="39"/>
      <c r="G219" s="20"/>
      <c r="H219" s="20"/>
      <c r="I219" s="20"/>
      <c r="J219" s="20"/>
      <c r="K219" s="20"/>
      <c r="L219" s="20"/>
      <c r="M219" s="20"/>
      <c r="N219" s="20"/>
      <c r="O219" s="2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</row>
    <row r="220" spans="1:216" ht="15.75" customHeight="1" x14ac:dyDescent="0.4">
      <c r="A220" s="14"/>
      <c r="B220" s="19" t="s">
        <v>88</v>
      </c>
      <c r="C220" s="58" t="s">
        <v>89</v>
      </c>
      <c r="D220" s="59"/>
      <c r="E220" s="5">
        <f t="shared" ref="E220" si="8">SUM(E218:E219)</f>
        <v>20396</v>
      </c>
      <c r="F220" s="39"/>
      <c r="G220" s="20"/>
      <c r="H220" s="20"/>
      <c r="I220" s="20"/>
      <c r="J220" s="20"/>
      <c r="K220" s="20"/>
      <c r="L220" s="20"/>
      <c r="M220" s="20"/>
      <c r="N220" s="20"/>
      <c r="O220" s="2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</row>
    <row r="221" spans="1:216" ht="15.75" customHeight="1" x14ac:dyDescent="0.4">
      <c r="A221" s="20"/>
      <c r="B221" s="21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</row>
    <row r="222" spans="1:216" ht="15.75" customHeight="1" x14ac:dyDescent="0.4">
      <c r="A222" s="20"/>
      <c r="B222" s="21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</row>
    <row r="223" spans="1:216" ht="15.75" customHeight="1" x14ac:dyDescent="0.4">
      <c r="A223" s="20"/>
      <c r="B223" s="21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</row>
    <row r="224" spans="1:216" ht="15.75" hidden="1" customHeight="1" x14ac:dyDescent="0.4">
      <c r="A224" s="20"/>
      <c r="B224" s="21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</row>
    <row r="225" spans="1:216" ht="15.75" hidden="1" customHeight="1" x14ac:dyDescent="0.4">
      <c r="A225" s="20"/>
      <c r="B225" s="21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</row>
    <row r="226" spans="1:216" ht="15.75" hidden="1" customHeight="1" x14ac:dyDescent="0.4">
      <c r="A226" s="20"/>
      <c r="B226" s="21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</row>
    <row r="227" spans="1:216" ht="15.75" hidden="1" customHeight="1" x14ac:dyDescent="0.4">
      <c r="A227" s="20"/>
      <c r="B227" s="21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</row>
    <row r="228" spans="1:216" ht="15.75" hidden="1" customHeight="1" x14ac:dyDescent="0.4">
      <c r="A228" s="20"/>
      <c r="B228" s="21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</row>
    <row r="229" spans="1:216" ht="15.75" hidden="1" customHeight="1" x14ac:dyDescent="0.4">
      <c r="A229" s="20"/>
      <c r="B229" s="21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</row>
    <row r="230" spans="1:216" ht="15.75" hidden="1" customHeight="1" x14ac:dyDescent="0.4">
      <c r="A230" s="20"/>
      <c r="B230" s="21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</row>
    <row r="231" spans="1:216" ht="15.75" hidden="1" customHeight="1" x14ac:dyDescent="0.4">
      <c r="A231" s="20"/>
      <c r="B231" s="21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</row>
    <row r="232" spans="1:216" ht="15.75" hidden="1" customHeight="1" x14ac:dyDescent="0.4">
      <c r="A232" s="20"/>
      <c r="B232" s="21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</row>
    <row r="233" spans="1:216" ht="15.75" hidden="1" customHeight="1" x14ac:dyDescent="0.4">
      <c r="A233" s="20"/>
      <c r="B233" s="21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</row>
    <row r="234" spans="1:216" ht="15.75" hidden="1" customHeight="1" x14ac:dyDescent="0.4">
      <c r="A234" s="20"/>
      <c r="B234" s="21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</row>
    <row r="235" spans="1:216" ht="15.75" hidden="1" customHeight="1" x14ac:dyDescent="0.4">
      <c r="A235" s="20"/>
      <c r="B235" s="21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</row>
    <row r="236" spans="1:216" ht="15.75" hidden="1" customHeight="1" x14ac:dyDescent="0.4">
      <c r="A236" s="20"/>
      <c r="B236" s="21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</row>
    <row r="237" spans="1:216" ht="15.75" hidden="1" customHeight="1" x14ac:dyDescent="0.4">
      <c r="A237" s="20"/>
      <c r="B237" s="21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</row>
    <row r="238" spans="1:216" ht="15.75" hidden="1" customHeight="1" x14ac:dyDescent="0.4">
      <c r="A238" s="20"/>
      <c r="B238" s="21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</row>
    <row r="239" spans="1:216" ht="15.75" hidden="1" customHeight="1" x14ac:dyDescent="0.4">
      <c r="A239" s="20"/>
      <c r="B239" s="21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</row>
    <row r="240" spans="1:216" ht="15.75" hidden="1" customHeight="1" x14ac:dyDescent="0.4">
      <c r="A240" s="20"/>
      <c r="B240" s="21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</row>
    <row r="241" spans="1:216" ht="15.75" hidden="1" customHeight="1" x14ac:dyDescent="0.4">
      <c r="A241" s="20"/>
      <c r="B241" s="21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</row>
    <row r="242" spans="1:216" ht="15.75" hidden="1" customHeight="1" x14ac:dyDescent="0.4">
      <c r="A242" s="20"/>
      <c r="B242" s="21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</row>
    <row r="243" spans="1:216" ht="15.75" hidden="1" customHeight="1" x14ac:dyDescent="0.4">
      <c r="A243" s="20"/>
      <c r="B243" s="21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</row>
    <row r="244" spans="1:216" ht="15.75" hidden="1" customHeight="1" x14ac:dyDescent="0.4">
      <c r="A244" s="20"/>
      <c r="B244" s="21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</row>
    <row r="245" spans="1:216" ht="15.75" hidden="1" customHeight="1" x14ac:dyDescent="0.4">
      <c r="A245" s="20"/>
      <c r="B245" s="21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</row>
    <row r="246" spans="1:216" ht="15.75" hidden="1" customHeight="1" x14ac:dyDescent="0.4">
      <c r="A246" s="20"/>
      <c r="B246" s="21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</row>
    <row r="247" spans="1:216" ht="15.75" hidden="1" customHeight="1" x14ac:dyDescent="0.4">
      <c r="A247" s="20"/>
      <c r="B247" s="21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</row>
    <row r="248" spans="1:216" ht="15.75" hidden="1" customHeight="1" x14ac:dyDescent="0.4">
      <c r="A248" s="20"/>
      <c r="B248" s="21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</row>
    <row r="249" spans="1:216" ht="15.75" hidden="1" customHeight="1" x14ac:dyDescent="0.4">
      <c r="A249" s="20"/>
      <c r="B249" s="21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</row>
    <row r="250" spans="1:216" ht="15.75" hidden="1" customHeight="1" x14ac:dyDescent="0.4">
      <c r="A250" s="20"/>
      <c r="B250" s="21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hidden="1" customHeight="1" x14ac:dyDescent="0.4">
      <c r="A251" s="20"/>
      <c r="B251" s="21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hidden="1" customHeight="1" x14ac:dyDescent="0.4">
      <c r="A252" s="20"/>
      <c r="B252" s="21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</row>
    <row r="253" spans="1:216" ht="15.75" hidden="1" customHeight="1" x14ac:dyDescent="0.4">
      <c r="A253" s="20"/>
      <c r="B253" s="21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</row>
    <row r="254" spans="1:216" ht="15.75" hidden="1" customHeight="1" x14ac:dyDescent="0.4">
      <c r="A254" s="20"/>
      <c r="B254" s="21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</row>
    <row r="255" spans="1:216" ht="15.75" hidden="1" customHeight="1" x14ac:dyDescent="0.4">
      <c r="A255" s="20"/>
      <c r="B255" s="21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hidden="1" customHeight="1" x14ac:dyDescent="0.4">
      <c r="A256" s="20"/>
      <c r="B256" s="21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hidden="1" customHeight="1" x14ac:dyDescent="0.4">
      <c r="A257" s="20"/>
      <c r="B257" s="21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hidden="1" customHeight="1" x14ac:dyDescent="0.4">
      <c r="A258" s="20"/>
      <c r="B258" s="21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hidden="1" customHeight="1" x14ac:dyDescent="0.4">
      <c r="A259" s="20"/>
      <c r="B259" s="21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hidden="1" customHeight="1" x14ac:dyDescent="0.4">
      <c r="A260" s="20"/>
      <c r="B260" s="21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hidden="1" customHeight="1" x14ac:dyDescent="0.4">
      <c r="A261" s="20"/>
      <c r="B261" s="21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hidden="1" customHeight="1" x14ac:dyDescent="0.4">
      <c r="A262" s="20"/>
      <c r="B262" s="21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hidden="1" customHeight="1" x14ac:dyDescent="0.4">
      <c r="A263" s="20"/>
      <c r="B263" s="21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hidden="1" customHeight="1" x14ac:dyDescent="0.4">
      <c r="A264" s="20"/>
      <c r="B264" s="21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hidden="1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hidden="1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hidden="1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6:216" ht="15.75" hidden="1" customHeight="1" x14ac:dyDescent="0.4"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6:216" ht="15.75" hidden="1" customHeight="1" x14ac:dyDescent="0.4"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6:216" ht="15.75" hidden="1" customHeight="1" x14ac:dyDescent="0.4"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6:216" ht="15.75" hidden="1" customHeight="1" x14ac:dyDescent="0.4"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6:216" ht="15.75" hidden="1" customHeight="1" x14ac:dyDescent="0.4"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6:216" ht="15.75" hidden="1" customHeight="1" x14ac:dyDescent="0.4"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6:216" ht="15.75" hidden="1" customHeight="1" x14ac:dyDescent="0.4"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6:216" ht="15.75" hidden="1" customHeight="1" x14ac:dyDescent="0.4"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6:216" ht="15.75" hidden="1" customHeight="1" x14ac:dyDescent="0.4"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6:216" ht="15.75" hidden="1" customHeight="1" x14ac:dyDescent="0.4"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6:216" ht="15.75" hidden="1" customHeight="1" x14ac:dyDescent="0.4"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6:216" ht="15.75" hidden="1" customHeight="1" x14ac:dyDescent="0.4"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6:216" ht="15.75" hidden="1" customHeight="1" x14ac:dyDescent="0.4"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6:216" ht="15.75" hidden="1" customHeight="1" x14ac:dyDescent="0.4"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6:216" ht="15.75" hidden="1" customHeight="1" x14ac:dyDescent="0.4"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6:216" ht="15.75" hidden="1" customHeight="1" x14ac:dyDescent="0.4"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6:216" ht="15.75" hidden="1" customHeight="1" x14ac:dyDescent="0.4"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6:216" ht="15.75" hidden="1" customHeight="1" x14ac:dyDescent="0.4"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6:216" ht="15.75" hidden="1" customHeight="1" x14ac:dyDescent="0.4"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6:216" ht="15.75" hidden="1" customHeight="1" x14ac:dyDescent="0.4"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6:216" ht="15.75" hidden="1" customHeight="1" x14ac:dyDescent="0.4"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6:216" ht="15.75" hidden="1" customHeight="1" x14ac:dyDescent="0.4"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6:216" ht="15.75" hidden="1" customHeight="1" x14ac:dyDescent="0.4"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6:216" ht="15.75" hidden="1" customHeight="1" x14ac:dyDescent="0.4"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6:216" ht="15.75" hidden="1" customHeight="1" x14ac:dyDescent="0.4"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6:216" ht="15.75" hidden="1" customHeight="1" x14ac:dyDescent="0.4"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6:216" ht="15.75" hidden="1" customHeight="1" x14ac:dyDescent="0.4"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6:216" ht="15.75" hidden="1" customHeight="1" x14ac:dyDescent="0.4"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6:216" ht="15.75" hidden="1" customHeight="1" x14ac:dyDescent="0.4"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6:216" ht="15.75" hidden="1" customHeight="1" x14ac:dyDescent="0.4"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6:216" ht="15.75" hidden="1" customHeight="1" x14ac:dyDescent="0.4"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6:216" ht="15.75" hidden="1" customHeight="1" x14ac:dyDescent="0.4"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6:216" ht="15.75" hidden="1" customHeight="1" x14ac:dyDescent="0.4"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6:216" ht="15.75" hidden="1" customHeight="1" x14ac:dyDescent="0.4"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6:216" ht="15.75" hidden="1" customHeight="1" x14ac:dyDescent="0.4"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6:216" ht="15.75" hidden="1" customHeight="1" x14ac:dyDescent="0.4"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6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6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6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6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6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6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6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6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6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6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6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6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" customHeight="1" x14ac:dyDescent="0.4"/>
    <row r="1173" spans="16:216" ht="15" customHeight="1" x14ac:dyDescent="0.4"/>
    <row r="1174" spans="16:216" ht="15" customHeight="1" x14ac:dyDescent="0.4"/>
    <row r="1175" spans="16:216" ht="15" customHeight="1" x14ac:dyDescent="0.4"/>
    <row r="1176" spans="16:216" ht="15" customHeight="1" x14ac:dyDescent="0.4"/>
    <row r="1177" spans="16:216" ht="15" customHeight="1" x14ac:dyDescent="0.4"/>
    <row r="1178" spans="16:216" ht="15" customHeight="1" x14ac:dyDescent="0.4"/>
    <row r="1179" spans="16:216" ht="15" customHeight="1" x14ac:dyDescent="0.4"/>
    <row r="1180" spans="16:216" ht="15" customHeight="1" x14ac:dyDescent="0.4"/>
    <row r="1181" spans="16:216" ht="15" customHeight="1" x14ac:dyDescent="0.4"/>
    <row r="1182" spans="16:216" ht="15" customHeight="1" x14ac:dyDescent="0.4"/>
    <row r="1183" spans="16:216" ht="15" customHeight="1" x14ac:dyDescent="0.4"/>
    <row r="1184" spans="16:216" ht="15" customHeight="1" x14ac:dyDescent="0.4"/>
    <row r="1185" ht="15" customHeight="1" x14ac:dyDescent="0.4"/>
    <row r="1186" ht="15" customHeight="1" x14ac:dyDescent="0.4"/>
    <row r="1187" ht="15" customHeight="1" x14ac:dyDescent="0.4"/>
    <row r="1188" ht="15" customHeight="1" x14ac:dyDescent="0.4"/>
    <row r="1189" ht="15" customHeight="1" x14ac:dyDescent="0.4"/>
    <row r="1190" ht="15" customHeight="1" x14ac:dyDescent="0.4"/>
    <row r="1191" ht="15" customHeight="1" x14ac:dyDescent="0.4"/>
    <row r="1192" ht="15" customHeight="1" x14ac:dyDescent="0.4"/>
    <row r="1193" ht="15" customHeight="1" x14ac:dyDescent="0.4"/>
    <row r="1194" ht="15" customHeight="1" x14ac:dyDescent="0.4"/>
    <row r="1195" ht="15" customHeight="1" x14ac:dyDescent="0.4"/>
    <row r="1196" ht="15" customHeight="1" x14ac:dyDescent="0.4"/>
    <row r="1197" ht="15" customHeight="1" x14ac:dyDescent="0.4"/>
    <row r="1198" ht="15" customHeight="1" x14ac:dyDescent="0.4"/>
    <row r="1199" ht="15" customHeight="1" x14ac:dyDescent="0.4"/>
    <row r="1200" ht="15" customHeight="1" x14ac:dyDescent="0.4"/>
    <row r="1201" ht="15" customHeight="1" x14ac:dyDescent="0.4"/>
    <row r="1202" ht="15" customHeight="1" x14ac:dyDescent="0.4"/>
    <row r="1203" ht="15" customHeight="1" x14ac:dyDescent="0.4"/>
    <row r="1204" ht="15" customHeight="1" x14ac:dyDescent="0.4"/>
    <row r="1205" ht="15" customHeight="1" x14ac:dyDescent="0.4"/>
    <row r="1206" ht="15" customHeight="1" x14ac:dyDescent="0.4"/>
    <row r="1207" ht="15" customHeight="1" x14ac:dyDescent="0.4"/>
    <row r="1208" ht="15" customHeight="1" x14ac:dyDescent="0.4"/>
    <row r="1209" ht="15" customHeight="1" x14ac:dyDescent="0.4"/>
    <row r="1210" ht="15" customHeight="1" x14ac:dyDescent="0.4"/>
    <row r="1211" ht="15" customHeight="1" x14ac:dyDescent="0.4"/>
    <row r="1212" ht="15" customHeight="1" x14ac:dyDescent="0.4"/>
    <row r="1213" ht="15" customHeight="1" x14ac:dyDescent="0.4"/>
    <row r="1214" ht="15" customHeight="1" x14ac:dyDescent="0.4"/>
    <row r="1215" ht="15" customHeight="1" x14ac:dyDescent="0.4"/>
    <row r="1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08:D108"/>
    <mergeCell ref="A109:E109"/>
    <mergeCell ref="C110:D110"/>
    <mergeCell ref="B103:D103"/>
    <mergeCell ref="C105:D105"/>
    <mergeCell ref="A104:E104"/>
    <mergeCell ref="C136:D136"/>
    <mergeCell ref="B134:D134"/>
    <mergeCell ref="A135:E135"/>
    <mergeCell ref="B116:D116"/>
    <mergeCell ref="A117:E117"/>
    <mergeCell ref="C118:D118"/>
    <mergeCell ref="C130:D130"/>
    <mergeCell ref="B128:D128"/>
    <mergeCell ref="A129:E129"/>
    <mergeCell ref="C150:D150"/>
    <mergeCell ref="B148:D148"/>
    <mergeCell ref="A149:E149"/>
    <mergeCell ref="B144:D144"/>
    <mergeCell ref="A145:E145"/>
    <mergeCell ref="C146:D146"/>
    <mergeCell ref="B172:D172"/>
    <mergeCell ref="A173:E173"/>
    <mergeCell ref="C174:D174"/>
    <mergeCell ref="B160:D160"/>
    <mergeCell ref="C162:D162"/>
    <mergeCell ref="A161:E161"/>
    <mergeCell ref="B190:D190"/>
    <mergeCell ref="C192:D192"/>
    <mergeCell ref="A191:E191"/>
    <mergeCell ref="C186:D186"/>
    <mergeCell ref="B184:D184"/>
    <mergeCell ref="A185:E185"/>
    <mergeCell ref="C211:D211"/>
    <mergeCell ref="B209:D209"/>
    <mergeCell ref="A210:E210"/>
    <mergeCell ref="B197:D197"/>
    <mergeCell ref="A198:E198"/>
    <mergeCell ref="C199:D199"/>
    <mergeCell ref="C218:D218"/>
    <mergeCell ref="C219:D219"/>
    <mergeCell ref="C220:D220"/>
    <mergeCell ref="B215:D215"/>
    <mergeCell ref="B217:D217"/>
  </mergeCells>
  <conditionalFormatting sqref="E30">
    <cfRule type="expression" dxfId="172" priority="83">
      <formula>E30&lt;&gt;E220</formula>
    </cfRule>
    <cfRule type="expression" dxfId="171" priority="84">
      <formula>E30&lt;&gt;E34</formula>
    </cfRule>
  </conditionalFormatting>
  <conditionalFormatting sqref="E55">
    <cfRule type="containsBlanks" dxfId="170" priority="1">
      <formula>LEN(TRIM(E55))=0</formula>
    </cfRule>
  </conditionalFormatting>
  <conditionalFormatting sqref="E67">
    <cfRule type="containsBlanks" dxfId="169" priority="2">
      <formula>LEN(TRIM(E67))=0</formula>
    </cfRule>
  </conditionalFormatting>
  <conditionalFormatting sqref="E79">
    <cfRule type="containsBlanks" dxfId="168" priority="3">
      <formula>LEN(TRIM(E79))=0</formula>
    </cfRule>
  </conditionalFormatting>
  <conditionalFormatting sqref="E91">
    <cfRule type="containsBlanks" dxfId="167" priority="4">
      <formula>LEN(TRIM(E91))=0</formula>
    </cfRule>
  </conditionalFormatting>
  <conditionalFormatting sqref="E103">
    <cfRule type="containsBlanks" dxfId="166" priority="5">
      <formula>LEN(TRIM(E103))=0</formula>
    </cfRule>
  </conditionalFormatting>
  <conditionalFormatting sqref="E108">
    <cfRule type="containsBlanks" dxfId="165" priority="6">
      <formula>LEN(TRIM(E108))=0</formula>
    </cfRule>
  </conditionalFormatting>
  <conditionalFormatting sqref="E116">
    <cfRule type="containsBlanks" dxfId="164" priority="7">
      <formula>LEN(TRIM(E116))=0</formula>
    </cfRule>
  </conditionalFormatting>
  <conditionalFormatting sqref="E128">
    <cfRule type="containsBlanks" dxfId="163" priority="8">
      <formula>LEN(TRIM(E128))=0</formula>
    </cfRule>
  </conditionalFormatting>
  <conditionalFormatting sqref="E134">
    <cfRule type="containsBlanks" dxfId="162" priority="9">
      <formula>LEN(TRIM(E134))=0</formula>
    </cfRule>
  </conditionalFormatting>
  <conditionalFormatting sqref="E144">
    <cfRule type="containsBlanks" dxfId="161" priority="10">
      <formula>LEN(TRIM(E144))=0</formula>
    </cfRule>
  </conditionalFormatting>
  <conditionalFormatting sqref="E148">
    <cfRule type="containsBlanks" dxfId="160" priority="11">
      <formula>LEN(TRIM(E148))=0</formula>
    </cfRule>
  </conditionalFormatting>
  <conditionalFormatting sqref="E160">
    <cfRule type="containsBlanks" dxfId="159" priority="12">
      <formula>LEN(TRIM(E160))=0</formula>
    </cfRule>
  </conditionalFormatting>
  <conditionalFormatting sqref="E172">
    <cfRule type="containsBlanks" dxfId="158" priority="13">
      <formula>LEN(TRIM(E172))=0</formula>
    </cfRule>
  </conditionalFormatting>
  <conditionalFormatting sqref="E184">
    <cfRule type="containsBlanks" dxfId="157" priority="14">
      <formula>LEN(TRIM(E184))=0</formula>
    </cfRule>
  </conditionalFormatting>
  <conditionalFormatting sqref="E190">
    <cfRule type="containsBlanks" dxfId="156" priority="15">
      <formula>LEN(TRIM(E190))=0</formula>
    </cfRule>
  </conditionalFormatting>
  <conditionalFormatting sqref="E197">
    <cfRule type="containsBlanks" dxfId="155" priority="16">
      <formula>LEN(TRIM(E197))=0</formula>
    </cfRule>
  </conditionalFormatting>
  <conditionalFormatting sqref="E209">
    <cfRule type="containsBlanks" dxfId="154" priority="17">
      <formula>LEN(TRIM(E209))=0</formula>
    </cfRule>
  </conditionalFormatting>
  <conditionalFormatting sqref="E215">
    <cfRule type="containsBlanks" dxfId="153" priority="25">
      <formula>LEN(TRIM(E215))=0</formula>
    </cfRule>
  </conditionalFormatting>
  <conditionalFormatting sqref="F215:O217">
    <cfRule type="cellIs" dxfId="152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U220"/>
  <sheetViews>
    <sheetView topLeftCell="D13" zoomScaleNormal="100" workbookViewId="0">
      <pane ySplit="1" topLeftCell="A212" activePane="bottomLeft" state="frozen"/>
      <selection activeCell="A13" sqref="A13"/>
      <selection pane="bottomLeft" activeCell="N222" sqref="N222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91</v>
      </c>
      <c r="D2" s="43" t="s">
        <v>98</v>
      </c>
    </row>
    <row r="3" spans="1:21" x14ac:dyDescent="0.4">
      <c r="C3" s="43" t="s">
        <v>92</v>
      </c>
      <c r="D3" s="43" t="s">
        <v>93</v>
      </c>
    </row>
    <row r="4" spans="1:21" x14ac:dyDescent="0.4">
      <c r="C4" s="43" t="s">
        <v>94</v>
      </c>
      <c r="D4" s="43" t="s">
        <v>95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96</v>
      </c>
      <c r="D9" s="43" t="s">
        <v>97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</row>
    <row r="12" spans="1:21" x14ac:dyDescent="0.4">
      <c r="A12" s="5" t="s">
        <v>0</v>
      </c>
      <c r="B12" s="60" t="s">
        <v>1</v>
      </c>
      <c r="C12" s="68"/>
      <c r="D12" s="51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6" t="s">
        <v>90</v>
      </c>
    </row>
    <row r="13" spans="1:21" x14ac:dyDescent="0.4">
      <c r="A13" s="6" t="s">
        <v>2</v>
      </c>
      <c r="B13" s="77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87"/>
    </row>
    <row r="14" spans="1:21" x14ac:dyDescent="0.4">
      <c r="A14" s="7"/>
      <c r="B14" s="88" t="s">
        <v>21</v>
      </c>
      <c r="C14" s="64"/>
      <c r="D14" s="6" t="s">
        <v>22</v>
      </c>
      <c r="E14" s="6">
        <v>137</v>
      </c>
      <c r="F14" s="6">
        <v>142</v>
      </c>
      <c r="G14" s="6">
        <v>142</v>
      </c>
      <c r="H14" s="6">
        <v>141</v>
      </c>
      <c r="I14" s="6">
        <v>150</v>
      </c>
      <c r="J14" s="6">
        <v>155</v>
      </c>
      <c r="K14" s="6">
        <v>146</v>
      </c>
      <c r="L14" s="6">
        <v>155</v>
      </c>
      <c r="M14" s="6">
        <v>152</v>
      </c>
      <c r="N14" s="6">
        <v>139</v>
      </c>
      <c r="O14" s="6">
        <v>110</v>
      </c>
      <c r="P14" s="6">
        <v>125</v>
      </c>
      <c r="Q14" s="6">
        <v>110</v>
      </c>
      <c r="R14" s="6">
        <v>108</v>
      </c>
      <c r="S14" s="6">
        <v>70</v>
      </c>
      <c r="T14" s="6">
        <v>139</v>
      </c>
      <c r="U14" s="5">
        <f>SUM(E14:T14)</f>
        <v>2121</v>
      </c>
    </row>
    <row r="15" spans="1:21" x14ac:dyDescent="0.4">
      <c r="A15" s="7"/>
      <c r="B15" s="89"/>
      <c r="C15" s="76"/>
      <c r="D15" s="6" t="s">
        <v>23</v>
      </c>
      <c r="E15" s="6">
        <v>158</v>
      </c>
      <c r="F15" s="6">
        <v>154</v>
      </c>
      <c r="G15" s="6">
        <v>155</v>
      </c>
      <c r="H15" s="6">
        <v>156</v>
      </c>
      <c r="I15" s="6">
        <v>146</v>
      </c>
      <c r="J15" s="6">
        <v>142</v>
      </c>
      <c r="K15" s="6">
        <v>152</v>
      </c>
      <c r="L15" s="6">
        <v>143</v>
      </c>
      <c r="M15" s="6">
        <v>145</v>
      </c>
      <c r="N15" s="6">
        <v>159</v>
      </c>
      <c r="O15" s="6">
        <v>111</v>
      </c>
      <c r="P15" s="6">
        <v>133</v>
      </c>
      <c r="Q15" s="6">
        <v>117</v>
      </c>
      <c r="R15" s="6">
        <v>117</v>
      </c>
      <c r="S15" s="6">
        <v>78</v>
      </c>
      <c r="T15" s="6">
        <v>128</v>
      </c>
      <c r="U15" s="5">
        <f>SUM(E15:T15)</f>
        <v>2194</v>
      </c>
    </row>
    <row r="16" spans="1:21" x14ac:dyDescent="0.4">
      <c r="A16" s="8"/>
      <c r="B16" s="90"/>
      <c r="C16" s="74"/>
      <c r="D16" s="5" t="s">
        <v>24</v>
      </c>
      <c r="E16" s="5">
        <f t="shared" ref="E16:T16" si="0">SUM(E14:E15)</f>
        <v>295</v>
      </c>
      <c r="F16" s="5">
        <f t="shared" ref="F16:N16" si="1">SUM(F14:F15)</f>
        <v>296</v>
      </c>
      <c r="G16" s="5">
        <f t="shared" si="1"/>
        <v>297</v>
      </c>
      <c r="H16" s="5">
        <f t="shared" si="1"/>
        <v>297</v>
      </c>
      <c r="I16" s="5">
        <f t="shared" si="1"/>
        <v>296</v>
      </c>
      <c r="J16" s="5">
        <f t="shared" si="1"/>
        <v>297</v>
      </c>
      <c r="K16" s="5">
        <f t="shared" si="1"/>
        <v>298</v>
      </c>
      <c r="L16" s="5">
        <f t="shared" si="1"/>
        <v>298</v>
      </c>
      <c r="M16" s="5">
        <f t="shared" si="1"/>
        <v>297</v>
      </c>
      <c r="N16" s="5">
        <f t="shared" si="1"/>
        <v>298</v>
      </c>
      <c r="O16" s="5">
        <f t="shared" si="0"/>
        <v>221</v>
      </c>
      <c r="P16" s="5">
        <f t="shared" si="0"/>
        <v>258</v>
      </c>
      <c r="Q16" s="5">
        <f t="shared" si="0"/>
        <v>227</v>
      </c>
      <c r="R16" s="5">
        <f t="shared" si="0"/>
        <v>225</v>
      </c>
      <c r="S16" s="5">
        <f t="shared" si="0"/>
        <v>148</v>
      </c>
      <c r="T16" s="5">
        <f t="shared" si="0"/>
        <v>267</v>
      </c>
      <c r="U16" s="5">
        <f>SUM(E16:T16)</f>
        <v>4315</v>
      </c>
    </row>
    <row r="17" spans="1:21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28"/>
    </row>
    <row r="18" spans="1:21" x14ac:dyDescent="0.4">
      <c r="A18" s="11" t="s">
        <v>25</v>
      </c>
      <c r="B18" s="77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28"/>
    </row>
    <row r="19" spans="1:21" x14ac:dyDescent="0.4">
      <c r="A19" s="11"/>
      <c r="B19" s="78" t="s">
        <v>27</v>
      </c>
      <c r="C19" s="79" t="s">
        <v>28</v>
      </c>
      <c r="D19" s="6" t="s">
        <v>22</v>
      </c>
      <c r="E19" s="6">
        <v>89</v>
      </c>
      <c r="F19" s="6">
        <v>113</v>
      </c>
      <c r="G19" s="6">
        <v>117</v>
      </c>
      <c r="H19" s="6">
        <v>118</v>
      </c>
      <c r="I19" s="6">
        <v>115</v>
      </c>
      <c r="J19" s="6">
        <v>121</v>
      </c>
      <c r="K19" s="6">
        <v>107</v>
      </c>
      <c r="L19" s="6">
        <v>115</v>
      </c>
      <c r="M19" s="6">
        <v>129</v>
      </c>
      <c r="N19" s="6">
        <v>105</v>
      </c>
      <c r="O19" s="6">
        <v>88</v>
      </c>
      <c r="P19" s="6">
        <v>101</v>
      </c>
      <c r="Q19" s="6">
        <v>99</v>
      </c>
      <c r="R19" s="6">
        <v>90</v>
      </c>
      <c r="S19" s="6">
        <v>51</v>
      </c>
      <c r="T19" s="6">
        <v>106</v>
      </c>
      <c r="U19" s="5">
        <f t="shared" ref="U19:U30" si="2">SUM(E19:T19)</f>
        <v>1664</v>
      </c>
    </row>
    <row r="20" spans="1:21" x14ac:dyDescent="0.4">
      <c r="A20" s="12"/>
      <c r="B20" s="76"/>
      <c r="C20" s="80"/>
      <c r="D20" s="6" t="s">
        <v>23</v>
      </c>
      <c r="E20" s="6">
        <v>117</v>
      </c>
      <c r="F20" s="6">
        <v>120</v>
      </c>
      <c r="G20" s="6">
        <v>134</v>
      </c>
      <c r="H20" s="6">
        <v>136</v>
      </c>
      <c r="I20" s="6">
        <v>114</v>
      </c>
      <c r="J20" s="6">
        <v>123</v>
      </c>
      <c r="K20" s="6">
        <v>135</v>
      </c>
      <c r="L20" s="6">
        <v>121</v>
      </c>
      <c r="M20" s="6">
        <v>131</v>
      </c>
      <c r="N20" s="6">
        <v>128</v>
      </c>
      <c r="O20" s="6">
        <v>103</v>
      </c>
      <c r="P20" s="6">
        <v>112</v>
      </c>
      <c r="Q20" s="6">
        <v>110</v>
      </c>
      <c r="R20" s="6">
        <v>100</v>
      </c>
      <c r="S20" s="6">
        <v>68</v>
      </c>
      <c r="T20" s="6">
        <v>109</v>
      </c>
      <c r="U20" s="5">
        <f t="shared" si="2"/>
        <v>1861</v>
      </c>
    </row>
    <row r="21" spans="1:21" x14ac:dyDescent="0.4">
      <c r="A21" s="13"/>
      <c r="B21" s="74"/>
      <c r="C21" s="81"/>
      <c r="D21" s="5" t="s">
        <v>24</v>
      </c>
      <c r="E21" s="5">
        <f t="shared" ref="E21:T21" si="3">SUM(E19:E20)</f>
        <v>206</v>
      </c>
      <c r="F21" s="5">
        <f t="shared" ref="F21:N21" si="4">SUM(F19:F20)</f>
        <v>233</v>
      </c>
      <c r="G21" s="5">
        <f t="shared" si="4"/>
        <v>251</v>
      </c>
      <c r="H21" s="5">
        <f t="shared" si="4"/>
        <v>254</v>
      </c>
      <c r="I21" s="5">
        <f t="shared" si="4"/>
        <v>229</v>
      </c>
      <c r="J21" s="5">
        <f t="shared" si="4"/>
        <v>244</v>
      </c>
      <c r="K21" s="5">
        <f t="shared" si="4"/>
        <v>242</v>
      </c>
      <c r="L21" s="5">
        <f t="shared" si="4"/>
        <v>236</v>
      </c>
      <c r="M21" s="5">
        <f t="shared" si="4"/>
        <v>260</v>
      </c>
      <c r="N21" s="5">
        <f t="shared" si="4"/>
        <v>233</v>
      </c>
      <c r="O21" s="5">
        <f t="shared" si="3"/>
        <v>191</v>
      </c>
      <c r="P21" s="5">
        <f t="shared" si="3"/>
        <v>213</v>
      </c>
      <c r="Q21" s="5">
        <f t="shared" si="3"/>
        <v>209</v>
      </c>
      <c r="R21" s="5">
        <f t="shared" si="3"/>
        <v>190</v>
      </c>
      <c r="S21" s="5">
        <f t="shared" si="3"/>
        <v>119</v>
      </c>
      <c r="T21" s="5">
        <f t="shared" si="3"/>
        <v>215</v>
      </c>
      <c r="U21" s="5">
        <f t="shared" si="2"/>
        <v>3525</v>
      </c>
    </row>
    <row r="22" spans="1:21" x14ac:dyDescent="0.4">
      <c r="A22" s="12"/>
      <c r="B22" s="78" t="s">
        <v>29</v>
      </c>
      <c r="C22" s="79" t="s">
        <v>30</v>
      </c>
      <c r="D22" s="6" t="s">
        <v>22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5">
        <f t="shared" si="2"/>
        <v>0</v>
      </c>
    </row>
    <row r="23" spans="1:21" x14ac:dyDescent="0.4">
      <c r="A23" s="12"/>
      <c r="B23" s="76"/>
      <c r="C23" s="80"/>
      <c r="D23" s="6" t="s">
        <v>23</v>
      </c>
      <c r="E23" s="6">
        <v>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5">
        <f t="shared" si="2"/>
        <v>1</v>
      </c>
    </row>
    <row r="24" spans="1:21" x14ac:dyDescent="0.4">
      <c r="A24" s="13"/>
      <c r="B24" s="74"/>
      <c r="C24" s="81"/>
      <c r="D24" s="5" t="s">
        <v>24</v>
      </c>
      <c r="E24" s="5">
        <f t="shared" ref="E24:T24" si="5">SUM(E22:E23)</f>
        <v>1</v>
      </c>
      <c r="F24" s="5">
        <f t="shared" ref="F24:N24" si="6">SUM(F22:F23)</f>
        <v>0</v>
      </c>
      <c r="G24" s="5">
        <f t="shared" si="6"/>
        <v>0</v>
      </c>
      <c r="H24" s="5">
        <f t="shared" si="6"/>
        <v>0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2"/>
        <v>1</v>
      </c>
    </row>
    <row r="25" spans="1:21" x14ac:dyDescent="0.4">
      <c r="A25" s="12"/>
      <c r="B25" s="78" t="s">
        <v>31</v>
      </c>
      <c r="C25" s="79" t="s">
        <v>32</v>
      </c>
      <c r="D25" s="6" t="s">
        <v>22</v>
      </c>
      <c r="E25" s="6">
        <v>3</v>
      </c>
      <c r="F25" s="6">
        <v>2</v>
      </c>
      <c r="G25" s="6"/>
      <c r="H25" s="6">
        <v>2</v>
      </c>
      <c r="I25" s="6"/>
      <c r="J25" s="6"/>
      <c r="K25" s="6"/>
      <c r="L25" s="6"/>
      <c r="M25" s="6"/>
      <c r="N25" s="6">
        <v>1</v>
      </c>
      <c r="O25" s="6"/>
      <c r="P25" s="6"/>
      <c r="Q25" s="6"/>
      <c r="R25" s="6"/>
      <c r="S25" s="6">
        <v>1</v>
      </c>
      <c r="T25" s="6"/>
      <c r="U25" s="5">
        <f t="shared" si="2"/>
        <v>9</v>
      </c>
    </row>
    <row r="26" spans="1:21" x14ac:dyDescent="0.4">
      <c r="A26" s="12"/>
      <c r="B26" s="76"/>
      <c r="C26" s="80"/>
      <c r="D26" s="6" t="s">
        <v>23</v>
      </c>
      <c r="E26" s="6">
        <v>5</v>
      </c>
      <c r="F26" s="6"/>
      <c r="G26" s="6"/>
      <c r="H26" s="6">
        <v>1</v>
      </c>
      <c r="I26" s="6">
        <v>1</v>
      </c>
      <c r="J26" s="6"/>
      <c r="K26" s="6"/>
      <c r="L26" s="6">
        <v>1</v>
      </c>
      <c r="M26" s="6"/>
      <c r="N26" s="6">
        <v>1</v>
      </c>
      <c r="O26" s="6"/>
      <c r="P26" s="6"/>
      <c r="Q26" s="6"/>
      <c r="R26" s="6">
        <v>1</v>
      </c>
      <c r="S26" s="6"/>
      <c r="T26" s="6"/>
      <c r="U26" s="5">
        <f t="shared" si="2"/>
        <v>10</v>
      </c>
    </row>
    <row r="27" spans="1:21" x14ac:dyDescent="0.4">
      <c r="A27" s="13"/>
      <c r="B27" s="74"/>
      <c r="C27" s="81"/>
      <c r="D27" s="5" t="s">
        <v>24</v>
      </c>
      <c r="E27" s="5">
        <f t="shared" ref="E27:T27" si="7">SUM(E25:E26)</f>
        <v>8</v>
      </c>
      <c r="F27" s="5">
        <f t="shared" ref="F27:N27" si="8">SUM(F25:F26)</f>
        <v>2</v>
      </c>
      <c r="G27" s="5">
        <f t="shared" si="8"/>
        <v>0</v>
      </c>
      <c r="H27" s="5">
        <f t="shared" si="8"/>
        <v>3</v>
      </c>
      <c r="I27" s="5">
        <f t="shared" si="8"/>
        <v>1</v>
      </c>
      <c r="J27" s="5">
        <f t="shared" si="8"/>
        <v>0</v>
      </c>
      <c r="K27" s="5">
        <f t="shared" si="8"/>
        <v>0</v>
      </c>
      <c r="L27" s="5">
        <f t="shared" si="8"/>
        <v>1</v>
      </c>
      <c r="M27" s="5">
        <f t="shared" si="8"/>
        <v>0</v>
      </c>
      <c r="N27" s="5">
        <f t="shared" si="8"/>
        <v>2</v>
      </c>
      <c r="O27" s="5">
        <f t="shared" si="7"/>
        <v>0</v>
      </c>
      <c r="P27" s="5">
        <f t="shared" si="7"/>
        <v>0</v>
      </c>
      <c r="Q27" s="5">
        <f t="shared" si="7"/>
        <v>0</v>
      </c>
      <c r="R27" s="5">
        <f t="shared" si="7"/>
        <v>1</v>
      </c>
      <c r="S27" s="5">
        <f t="shared" si="7"/>
        <v>1</v>
      </c>
      <c r="T27" s="5">
        <f t="shared" si="7"/>
        <v>0</v>
      </c>
      <c r="U27" s="5">
        <f t="shared" si="2"/>
        <v>19</v>
      </c>
    </row>
    <row r="28" spans="1:21" x14ac:dyDescent="0.4">
      <c r="A28" s="13"/>
      <c r="B28" s="82" t="s">
        <v>33</v>
      </c>
      <c r="C28" s="83" t="s">
        <v>34</v>
      </c>
      <c r="D28" s="5" t="s">
        <v>22</v>
      </c>
      <c r="E28" s="5">
        <f>SUM(E19,E22,E25)</f>
        <v>92</v>
      </c>
      <c r="F28" s="5">
        <f t="shared" ref="F28:N28" si="9">SUM(F19,F22,F25)</f>
        <v>115</v>
      </c>
      <c r="G28" s="5">
        <f t="shared" si="9"/>
        <v>117</v>
      </c>
      <c r="H28" s="5">
        <f t="shared" si="9"/>
        <v>120</v>
      </c>
      <c r="I28" s="5">
        <f t="shared" si="9"/>
        <v>115</v>
      </c>
      <c r="J28" s="5">
        <f t="shared" si="9"/>
        <v>121</v>
      </c>
      <c r="K28" s="5">
        <f t="shared" si="9"/>
        <v>107</v>
      </c>
      <c r="L28" s="5">
        <f t="shared" si="9"/>
        <v>115</v>
      </c>
      <c r="M28" s="5">
        <f t="shared" si="9"/>
        <v>129</v>
      </c>
      <c r="N28" s="5">
        <f t="shared" si="9"/>
        <v>106</v>
      </c>
      <c r="O28" s="5">
        <f t="shared" ref="O28:T29" si="10">SUM(O19,O22,O25)</f>
        <v>88</v>
      </c>
      <c r="P28" s="5">
        <f t="shared" si="10"/>
        <v>101</v>
      </c>
      <c r="Q28" s="5">
        <f t="shared" si="10"/>
        <v>99</v>
      </c>
      <c r="R28" s="5">
        <f t="shared" si="10"/>
        <v>90</v>
      </c>
      <c r="S28" s="5">
        <f t="shared" si="10"/>
        <v>52</v>
      </c>
      <c r="T28" s="5">
        <f t="shared" si="10"/>
        <v>106</v>
      </c>
      <c r="U28" s="5">
        <f t="shared" si="2"/>
        <v>1673</v>
      </c>
    </row>
    <row r="29" spans="1:21" x14ac:dyDescent="0.4">
      <c r="A29" s="13"/>
      <c r="B29" s="76"/>
      <c r="C29" s="80"/>
      <c r="D29" s="5" t="s">
        <v>23</v>
      </c>
      <c r="E29" s="5">
        <f>SUM(E20,E23,E26)</f>
        <v>123</v>
      </c>
      <c r="F29" s="5">
        <f t="shared" ref="F29:N29" si="11">SUM(F20,F23,F26)</f>
        <v>120</v>
      </c>
      <c r="G29" s="5">
        <f t="shared" si="11"/>
        <v>134</v>
      </c>
      <c r="H29" s="5">
        <f t="shared" si="11"/>
        <v>137</v>
      </c>
      <c r="I29" s="5">
        <f t="shared" si="11"/>
        <v>115</v>
      </c>
      <c r="J29" s="5">
        <f t="shared" si="11"/>
        <v>123</v>
      </c>
      <c r="K29" s="5">
        <f t="shared" si="11"/>
        <v>135</v>
      </c>
      <c r="L29" s="5">
        <f t="shared" si="11"/>
        <v>122</v>
      </c>
      <c r="M29" s="5">
        <f t="shared" si="11"/>
        <v>131</v>
      </c>
      <c r="N29" s="5">
        <f t="shared" si="11"/>
        <v>129</v>
      </c>
      <c r="O29" s="5">
        <f t="shared" si="10"/>
        <v>103</v>
      </c>
      <c r="P29" s="5">
        <f t="shared" si="10"/>
        <v>112</v>
      </c>
      <c r="Q29" s="5">
        <f t="shared" si="10"/>
        <v>110</v>
      </c>
      <c r="R29" s="5">
        <f t="shared" si="10"/>
        <v>101</v>
      </c>
      <c r="S29" s="5">
        <f t="shared" si="10"/>
        <v>68</v>
      </c>
      <c r="T29" s="5">
        <f t="shared" si="10"/>
        <v>109</v>
      </c>
      <c r="U29" s="5">
        <f t="shared" si="2"/>
        <v>1872</v>
      </c>
    </row>
    <row r="30" spans="1:21" x14ac:dyDescent="0.4">
      <c r="A30" s="13"/>
      <c r="B30" s="74"/>
      <c r="C30" s="81"/>
      <c r="D30" s="5" t="s">
        <v>24</v>
      </c>
      <c r="E30" s="5">
        <f t="shared" ref="E30:T30" si="12">SUM(E28:E29)</f>
        <v>215</v>
      </c>
      <c r="F30" s="5">
        <f t="shared" ref="F30:N30" si="13">SUM(F28:F29)</f>
        <v>235</v>
      </c>
      <c r="G30" s="5">
        <f t="shared" si="13"/>
        <v>251</v>
      </c>
      <c r="H30" s="5">
        <f t="shared" si="13"/>
        <v>257</v>
      </c>
      <c r="I30" s="5">
        <f t="shared" si="13"/>
        <v>230</v>
      </c>
      <c r="J30" s="5">
        <f t="shared" si="13"/>
        <v>244</v>
      </c>
      <c r="K30" s="5">
        <f t="shared" si="13"/>
        <v>242</v>
      </c>
      <c r="L30" s="5">
        <f t="shared" si="13"/>
        <v>237</v>
      </c>
      <c r="M30" s="5">
        <f t="shared" si="13"/>
        <v>260</v>
      </c>
      <c r="N30" s="5">
        <f t="shared" si="13"/>
        <v>235</v>
      </c>
      <c r="O30" s="5">
        <f t="shared" si="12"/>
        <v>191</v>
      </c>
      <c r="P30" s="5">
        <f t="shared" si="12"/>
        <v>213</v>
      </c>
      <c r="Q30" s="5">
        <f t="shared" si="12"/>
        <v>209</v>
      </c>
      <c r="R30" s="5">
        <f t="shared" si="12"/>
        <v>191</v>
      </c>
      <c r="S30" s="5">
        <f t="shared" si="12"/>
        <v>120</v>
      </c>
      <c r="T30" s="5">
        <f t="shared" si="12"/>
        <v>215</v>
      </c>
      <c r="U30" s="5">
        <f t="shared" si="2"/>
        <v>3545</v>
      </c>
    </row>
    <row r="31" spans="1:21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28"/>
    </row>
    <row r="32" spans="1:21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28"/>
    </row>
    <row r="33" spans="1:21" x14ac:dyDescent="0.4">
      <c r="A33" s="6">
        <v>1</v>
      </c>
      <c r="B33" s="77" t="s">
        <v>37</v>
      </c>
      <c r="C33" s="68"/>
      <c r="D33" s="51"/>
      <c r="E33" s="6">
        <v>301</v>
      </c>
      <c r="F33" s="6">
        <v>302</v>
      </c>
      <c r="G33" s="6">
        <v>303</v>
      </c>
      <c r="H33" s="6">
        <v>303</v>
      </c>
      <c r="I33" s="6">
        <v>302</v>
      </c>
      <c r="J33" s="6">
        <v>303</v>
      </c>
      <c r="K33" s="6">
        <v>303</v>
      </c>
      <c r="L33" s="6">
        <v>304</v>
      </c>
      <c r="M33" s="6">
        <v>303</v>
      </c>
      <c r="N33" s="6">
        <v>304</v>
      </c>
      <c r="O33" s="6">
        <v>226</v>
      </c>
      <c r="P33" s="6">
        <v>264</v>
      </c>
      <c r="Q33" s="6">
        <v>322</v>
      </c>
      <c r="R33" s="6">
        <v>230</v>
      </c>
      <c r="S33" s="6">
        <v>141</v>
      </c>
      <c r="T33" s="6">
        <v>273</v>
      </c>
      <c r="U33" s="5">
        <f>SUM(E33:T33)</f>
        <v>4484</v>
      </c>
    </row>
    <row r="34" spans="1:21" x14ac:dyDescent="0.4">
      <c r="A34" s="6">
        <v>2</v>
      </c>
      <c r="B34" s="77" t="s">
        <v>38</v>
      </c>
      <c r="C34" s="68"/>
      <c r="D34" s="51"/>
      <c r="E34" s="5">
        <v>215</v>
      </c>
      <c r="F34" s="5">
        <v>235</v>
      </c>
      <c r="G34" s="5">
        <v>251</v>
      </c>
      <c r="H34" s="5">
        <v>257</v>
      </c>
      <c r="I34" s="5">
        <v>230</v>
      </c>
      <c r="J34" s="5">
        <v>244</v>
      </c>
      <c r="K34" s="5">
        <v>242</v>
      </c>
      <c r="L34" s="5">
        <v>237</v>
      </c>
      <c r="M34" s="5">
        <v>260</v>
      </c>
      <c r="N34" s="5">
        <v>235</v>
      </c>
      <c r="O34" s="5">
        <v>191</v>
      </c>
      <c r="P34" s="5">
        <v>213</v>
      </c>
      <c r="Q34" s="5">
        <v>209</v>
      </c>
      <c r="R34" s="5">
        <v>191</v>
      </c>
      <c r="S34" s="5">
        <v>120</v>
      </c>
      <c r="T34" s="5">
        <v>215</v>
      </c>
      <c r="U34" s="5">
        <f>SUM(E34:T34)</f>
        <v>3545</v>
      </c>
    </row>
    <row r="35" spans="1:21" x14ac:dyDescent="0.4">
      <c r="A35" s="6">
        <v>3</v>
      </c>
      <c r="B35" s="77" t="s">
        <v>39</v>
      </c>
      <c r="C35" s="68"/>
      <c r="D35" s="51"/>
      <c r="E35" s="6"/>
      <c r="F35" s="6"/>
      <c r="G35" s="6"/>
      <c r="H35" s="6"/>
      <c r="I35" s="6"/>
      <c r="J35" s="6">
        <v>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5">
        <f>SUM(E35:T35)</f>
        <v>2</v>
      </c>
    </row>
    <row r="36" spans="1:21" x14ac:dyDescent="0.4">
      <c r="A36" s="6">
        <v>4</v>
      </c>
      <c r="B36" s="77" t="s">
        <v>40</v>
      </c>
      <c r="C36" s="68"/>
      <c r="D36" s="51"/>
      <c r="E36" s="5">
        <f t="shared" ref="E36:T36" si="14">E33-(E34+E35)</f>
        <v>86</v>
      </c>
      <c r="F36" s="5">
        <f t="shared" ref="F36:N36" si="15">F33-(F34+F35)</f>
        <v>67</v>
      </c>
      <c r="G36" s="5">
        <f t="shared" si="15"/>
        <v>52</v>
      </c>
      <c r="H36" s="5">
        <f t="shared" si="15"/>
        <v>46</v>
      </c>
      <c r="I36" s="5">
        <f t="shared" si="15"/>
        <v>72</v>
      </c>
      <c r="J36" s="5">
        <f t="shared" si="15"/>
        <v>57</v>
      </c>
      <c r="K36" s="5">
        <f t="shared" si="15"/>
        <v>61</v>
      </c>
      <c r="L36" s="5">
        <f t="shared" si="15"/>
        <v>67</v>
      </c>
      <c r="M36" s="5">
        <f t="shared" si="15"/>
        <v>43</v>
      </c>
      <c r="N36" s="5">
        <f t="shared" si="15"/>
        <v>69</v>
      </c>
      <c r="O36" s="5">
        <f t="shared" si="14"/>
        <v>35</v>
      </c>
      <c r="P36" s="5">
        <f t="shared" si="14"/>
        <v>51</v>
      </c>
      <c r="Q36" s="5">
        <f t="shared" si="14"/>
        <v>113</v>
      </c>
      <c r="R36" s="5">
        <f t="shared" si="14"/>
        <v>39</v>
      </c>
      <c r="S36" s="5">
        <f t="shared" si="14"/>
        <v>21</v>
      </c>
      <c r="T36" s="5">
        <f t="shared" si="14"/>
        <v>58</v>
      </c>
      <c r="U36" s="5">
        <f>SUM(E36:T36)</f>
        <v>937</v>
      </c>
    </row>
    <row r="37" spans="1:21" x14ac:dyDescent="0.4">
      <c r="A37" s="55"/>
      <c r="B37" s="68"/>
      <c r="C37" s="68"/>
      <c r="D37" s="68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73"/>
      <c r="P37" s="73"/>
      <c r="Q37" s="73"/>
      <c r="R37" s="73"/>
      <c r="S37" s="73"/>
      <c r="T37" s="73"/>
      <c r="U37" s="28"/>
    </row>
    <row r="38" spans="1:21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28"/>
    </row>
    <row r="39" spans="1:21" x14ac:dyDescent="0.4">
      <c r="A39" s="11"/>
      <c r="B39" s="71" t="s">
        <v>43</v>
      </c>
      <c r="C39" s="64"/>
      <c r="D39" s="6" t="s">
        <v>22</v>
      </c>
      <c r="E39" s="6"/>
      <c r="F39" s="6">
        <v>1</v>
      </c>
      <c r="G39" s="6"/>
      <c r="H39" s="6"/>
      <c r="I39" s="6">
        <v>1</v>
      </c>
      <c r="J39" s="6"/>
      <c r="K39" s="6"/>
      <c r="L39" s="6"/>
      <c r="M39" s="6"/>
      <c r="N39" s="6"/>
      <c r="O39" s="6"/>
      <c r="P39" s="6"/>
      <c r="Q39" s="6">
        <v>2</v>
      </c>
      <c r="R39" s="6"/>
      <c r="S39" s="6"/>
      <c r="T39" s="6"/>
      <c r="U39" s="5">
        <f>SUM(E39:T39)</f>
        <v>4</v>
      </c>
    </row>
    <row r="40" spans="1:21" x14ac:dyDescent="0.4">
      <c r="A40" s="12"/>
      <c r="B40" s="75"/>
      <c r="C40" s="76"/>
      <c r="D40" s="6" t="s">
        <v>23</v>
      </c>
      <c r="E40" s="6"/>
      <c r="F40" s="6"/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/>
      <c r="S40" s="6"/>
      <c r="T40" s="6"/>
      <c r="U40" s="5">
        <f>SUM(E40:T40)</f>
        <v>1</v>
      </c>
    </row>
    <row r="41" spans="1:21" x14ac:dyDescent="0.4">
      <c r="A41" s="14"/>
      <c r="B41" s="70"/>
      <c r="C41" s="74"/>
      <c r="D41" s="5" t="s">
        <v>24</v>
      </c>
      <c r="E41" s="5">
        <f t="shared" ref="E41:T41" si="16">SUM(E39:E40)</f>
        <v>0</v>
      </c>
      <c r="F41" s="5">
        <f t="shared" ref="F41:N41" si="17">SUM(F39:F40)</f>
        <v>1</v>
      </c>
      <c r="G41" s="5">
        <f t="shared" si="17"/>
        <v>0</v>
      </c>
      <c r="H41" s="5">
        <f t="shared" si="17"/>
        <v>0</v>
      </c>
      <c r="I41" s="5">
        <f t="shared" si="17"/>
        <v>1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1</v>
      </c>
      <c r="N41" s="5">
        <f t="shared" si="17"/>
        <v>0</v>
      </c>
      <c r="O41" s="5">
        <f t="shared" si="16"/>
        <v>0</v>
      </c>
      <c r="P41" s="5">
        <f t="shared" si="16"/>
        <v>0</v>
      </c>
      <c r="Q41" s="5">
        <f t="shared" si="16"/>
        <v>2</v>
      </c>
      <c r="R41" s="5">
        <f t="shared" si="16"/>
        <v>0</v>
      </c>
      <c r="S41" s="5">
        <f t="shared" si="16"/>
        <v>0</v>
      </c>
      <c r="T41" s="5">
        <f t="shared" si="16"/>
        <v>0</v>
      </c>
      <c r="U41" s="5">
        <f>SUM(E41:T41)</f>
        <v>5</v>
      </c>
    </row>
    <row r="42" spans="1:21" x14ac:dyDescent="0.4">
      <c r="A42" s="69"/>
      <c r="B42" s="70"/>
      <c r="C42" s="70"/>
      <c r="D42" s="74"/>
      <c r="E42" s="55"/>
      <c r="F42" s="56"/>
      <c r="G42" s="56"/>
      <c r="H42" s="56"/>
      <c r="I42" s="56"/>
      <c r="J42" s="56"/>
      <c r="K42" s="56"/>
      <c r="L42" s="56"/>
      <c r="M42" s="56"/>
      <c r="N42" s="56"/>
      <c r="O42" s="68"/>
      <c r="P42" s="68"/>
      <c r="Q42" s="68"/>
      <c r="R42" s="68"/>
      <c r="S42" s="68"/>
      <c r="T42" s="68"/>
      <c r="U42" s="5"/>
    </row>
    <row r="43" spans="1:21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</row>
    <row r="44" spans="1:21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5"/>
    </row>
    <row r="45" spans="1:21" x14ac:dyDescent="0.4">
      <c r="A45" s="11" t="s">
        <v>47</v>
      </c>
      <c r="B45" s="17" t="s">
        <v>27</v>
      </c>
      <c r="C45" s="50" t="s">
        <v>48</v>
      </c>
      <c r="D45" s="51"/>
      <c r="E45" s="6">
        <v>7</v>
      </c>
      <c r="F45" s="6">
        <v>8</v>
      </c>
      <c r="G45" s="6">
        <v>12</v>
      </c>
      <c r="H45" s="6">
        <v>17</v>
      </c>
      <c r="I45" s="6">
        <v>7</v>
      </c>
      <c r="J45" s="6">
        <v>8</v>
      </c>
      <c r="K45" s="6">
        <v>17</v>
      </c>
      <c r="L45" s="6">
        <v>6</v>
      </c>
      <c r="M45" s="6">
        <v>10</v>
      </c>
      <c r="N45" s="6">
        <v>10</v>
      </c>
      <c r="O45" s="6">
        <v>16</v>
      </c>
      <c r="P45" s="6">
        <v>11</v>
      </c>
      <c r="Q45" s="6">
        <v>8</v>
      </c>
      <c r="R45" s="6">
        <v>5</v>
      </c>
      <c r="S45" s="6">
        <v>6</v>
      </c>
      <c r="T45" s="6">
        <v>4</v>
      </c>
      <c r="U45" s="5">
        <f t="shared" ref="U45:U54" si="18">SUM(E45:T45)</f>
        <v>152</v>
      </c>
    </row>
    <row r="46" spans="1:21" x14ac:dyDescent="0.4">
      <c r="A46" s="11" t="s">
        <v>49</v>
      </c>
      <c r="B46" s="46"/>
      <c r="C46" s="24" t="s">
        <v>103</v>
      </c>
      <c r="D46" s="45"/>
      <c r="E46" s="6">
        <v>6</v>
      </c>
      <c r="F46" s="6">
        <v>6</v>
      </c>
      <c r="G46" s="6">
        <v>33</v>
      </c>
      <c r="H46" s="6">
        <v>63</v>
      </c>
      <c r="I46" s="6">
        <v>24</v>
      </c>
      <c r="J46" s="6">
        <v>24</v>
      </c>
      <c r="K46" s="6">
        <v>17</v>
      </c>
      <c r="L46" s="6">
        <v>17</v>
      </c>
      <c r="M46" s="6">
        <v>46</v>
      </c>
      <c r="N46" s="6">
        <v>9</v>
      </c>
      <c r="O46" s="6">
        <v>27</v>
      </c>
      <c r="P46" s="6">
        <v>37</v>
      </c>
      <c r="Q46" s="6">
        <v>30</v>
      </c>
      <c r="R46" s="6">
        <v>7</v>
      </c>
      <c r="S46" s="6">
        <v>9</v>
      </c>
      <c r="T46" s="6">
        <v>28</v>
      </c>
      <c r="U46" s="5">
        <f t="shared" si="18"/>
        <v>383</v>
      </c>
    </row>
    <row r="47" spans="1:21" x14ac:dyDescent="0.4">
      <c r="A47" s="7"/>
      <c r="B47" s="46"/>
      <c r="C47" s="24" t="s">
        <v>104</v>
      </c>
      <c r="D47" s="45"/>
      <c r="E47" s="6">
        <v>1</v>
      </c>
      <c r="F47" s="6">
        <v>1</v>
      </c>
      <c r="G47" s="6">
        <v>2</v>
      </c>
      <c r="H47" s="6">
        <v>2</v>
      </c>
      <c r="I47" s="6">
        <v>0</v>
      </c>
      <c r="J47" s="6">
        <v>1</v>
      </c>
      <c r="K47" s="6">
        <v>1</v>
      </c>
      <c r="L47" s="6">
        <v>2</v>
      </c>
      <c r="M47" s="6">
        <v>1</v>
      </c>
      <c r="N47" s="6">
        <v>2</v>
      </c>
      <c r="O47" s="6">
        <v>2</v>
      </c>
      <c r="P47" s="6">
        <v>3</v>
      </c>
      <c r="Q47" s="6">
        <v>3</v>
      </c>
      <c r="R47" s="6">
        <v>2</v>
      </c>
      <c r="S47" s="6">
        <v>0</v>
      </c>
      <c r="T47" s="6"/>
      <c r="U47" s="5">
        <f t="shared" si="18"/>
        <v>23</v>
      </c>
    </row>
    <row r="48" spans="1:21" x14ac:dyDescent="0.4">
      <c r="A48" s="7"/>
      <c r="B48" s="46"/>
      <c r="C48" s="24" t="s">
        <v>105</v>
      </c>
      <c r="D48" s="45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1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2</v>
      </c>
      <c r="T48" s="6"/>
      <c r="U48" s="5">
        <f t="shared" si="18"/>
        <v>6</v>
      </c>
    </row>
    <row r="49" spans="1:21" x14ac:dyDescent="0.4">
      <c r="A49" s="7"/>
      <c r="B49" s="46"/>
      <c r="C49" s="24" t="s">
        <v>106</v>
      </c>
      <c r="D49" s="45"/>
      <c r="E49" s="6">
        <v>0</v>
      </c>
      <c r="F49" s="6">
        <v>1</v>
      </c>
      <c r="G49" s="6">
        <v>2</v>
      </c>
      <c r="H49" s="6">
        <v>2</v>
      </c>
      <c r="I49" s="6">
        <v>1</v>
      </c>
      <c r="J49" s="6">
        <v>0</v>
      </c>
      <c r="K49" s="6">
        <v>0</v>
      </c>
      <c r="L49" s="6">
        <v>3</v>
      </c>
      <c r="M49" s="6">
        <v>0</v>
      </c>
      <c r="N49" s="6">
        <v>0</v>
      </c>
      <c r="O49" s="6">
        <v>2</v>
      </c>
      <c r="P49" s="6">
        <v>0</v>
      </c>
      <c r="Q49" s="6">
        <v>1</v>
      </c>
      <c r="R49" s="6">
        <v>2</v>
      </c>
      <c r="S49" s="6">
        <v>1</v>
      </c>
      <c r="T49" s="6">
        <v>2</v>
      </c>
      <c r="U49" s="5">
        <f t="shared" si="18"/>
        <v>17</v>
      </c>
    </row>
    <row r="50" spans="1:21" x14ac:dyDescent="0.4">
      <c r="A50" s="7"/>
      <c r="B50" s="46"/>
      <c r="C50" s="24" t="s">
        <v>107</v>
      </c>
      <c r="D50" s="45"/>
      <c r="E50" s="6">
        <v>0</v>
      </c>
      <c r="F50" s="6">
        <v>0</v>
      </c>
      <c r="G50" s="6">
        <v>1</v>
      </c>
      <c r="H50" s="6">
        <v>0</v>
      </c>
      <c r="I50" s="6">
        <v>1</v>
      </c>
      <c r="J50" s="6">
        <v>1</v>
      </c>
      <c r="K50" s="6">
        <v>0</v>
      </c>
      <c r="L50" s="6">
        <v>12</v>
      </c>
      <c r="M50" s="6">
        <v>1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0</v>
      </c>
      <c r="T50" s="6"/>
      <c r="U50" s="5">
        <f t="shared" si="18"/>
        <v>17</v>
      </c>
    </row>
    <row r="51" spans="1:21" x14ac:dyDescent="0.4">
      <c r="A51" s="7"/>
      <c r="B51" s="46"/>
      <c r="C51" s="24" t="s">
        <v>108</v>
      </c>
      <c r="D51" s="45"/>
      <c r="E51" s="6">
        <v>1</v>
      </c>
      <c r="F51" s="6">
        <v>0</v>
      </c>
      <c r="G51" s="6">
        <v>1</v>
      </c>
      <c r="H51" s="6">
        <v>3</v>
      </c>
      <c r="I51" s="6">
        <v>0</v>
      </c>
      <c r="J51" s="6">
        <v>1</v>
      </c>
      <c r="K51" s="6">
        <v>0</v>
      </c>
      <c r="L51" s="6">
        <v>1</v>
      </c>
      <c r="M51" s="6">
        <v>1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/>
      <c r="U51" s="5">
        <f t="shared" si="18"/>
        <v>9</v>
      </c>
    </row>
    <row r="52" spans="1:21" ht="13.15" customHeight="1" x14ac:dyDescent="0.4">
      <c r="A52" s="7"/>
      <c r="B52" s="46"/>
      <c r="C52" s="24" t="s">
        <v>109</v>
      </c>
      <c r="D52" s="45"/>
      <c r="E52" s="6">
        <v>1</v>
      </c>
      <c r="F52" s="6">
        <v>1</v>
      </c>
      <c r="G52" s="6">
        <v>0</v>
      </c>
      <c r="H52" s="6">
        <v>0</v>
      </c>
      <c r="I52" s="6">
        <v>1</v>
      </c>
      <c r="J52" s="6">
        <v>1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0</v>
      </c>
      <c r="T52" s="6">
        <v>1</v>
      </c>
      <c r="U52" s="5">
        <f t="shared" si="18"/>
        <v>7</v>
      </c>
    </row>
    <row r="53" spans="1:21" ht="13.15" customHeight="1" x14ac:dyDescent="0.4">
      <c r="A53" s="7"/>
      <c r="B53" s="46"/>
      <c r="C53" s="24" t="s">
        <v>110</v>
      </c>
      <c r="D53" s="47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/>
      <c r="U53" s="5">
        <f t="shared" si="18"/>
        <v>0</v>
      </c>
    </row>
    <row r="54" spans="1:21" ht="13.15" customHeight="1" x14ac:dyDescent="0.4">
      <c r="A54" s="7"/>
      <c r="B54" s="46"/>
      <c r="C54" s="24" t="s">
        <v>111</v>
      </c>
      <c r="D54" s="45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/>
      <c r="U54" s="5">
        <f t="shared" si="18"/>
        <v>1</v>
      </c>
    </row>
    <row r="55" spans="1:21" x14ac:dyDescent="0.4">
      <c r="A55" s="6" t="s">
        <v>25</v>
      </c>
      <c r="B55" s="52" t="s">
        <v>50</v>
      </c>
      <c r="C55" s="68"/>
      <c r="D55" s="51"/>
      <c r="E55" s="5">
        <f>SUM(E45:E54)</f>
        <v>16</v>
      </c>
      <c r="F55" s="5">
        <f t="shared" ref="F55:U55" si="19">SUM(F45:F54)</f>
        <v>17</v>
      </c>
      <c r="G55" s="5">
        <f t="shared" si="19"/>
        <v>51</v>
      </c>
      <c r="H55" s="5">
        <f t="shared" si="19"/>
        <v>87</v>
      </c>
      <c r="I55" s="5">
        <f t="shared" si="19"/>
        <v>34</v>
      </c>
      <c r="J55" s="5">
        <f t="shared" si="19"/>
        <v>37</v>
      </c>
      <c r="K55" s="5">
        <f t="shared" si="19"/>
        <v>36</v>
      </c>
      <c r="L55" s="5">
        <f t="shared" si="19"/>
        <v>43</v>
      </c>
      <c r="M55" s="5">
        <f t="shared" si="19"/>
        <v>60</v>
      </c>
      <c r="N55" s="5">
        <f t="shared" si="19"/>
        <v>23</v>
      </c>
      <c r="O55" s="5">
        <f t="shared" si="19"/>
        <v>47</v>
      </c>
      <c r="P55" s="5">
        <f t="shared" si="19"/>
        <v>52</v>
      </c>
      <c r="Q55" s="5">
        <f t="shared" si="19"/>
        <v>43</v>
      </c>
      <c r="R55" s="5">
        <f t="shared" si="19"/>
        <v>16</v>
      </c>
      <c r="S55" s="5">
        <f t="shared" si="19"/>
        <v>18</v>
      </c>
      <c r="T55" s="5">
        <f t="shared" si="19"/>
        <v>35</v>
      </c>
      <c r="U55" s="5">
        <f t="shared" si="19"/>
        <v>615</v>
      </c>
    </row>
    <row r="56" spans="1:21" x14ac:dyDescent="0.4">
      <c r="A56" s="69"/>
      <c r="B56" s="70"/>
      <c r="C56" s="70"/>
      <c r="D56" s="70"/>
      <c r="E56" s="70"/>
      <c r="U56" s="5"/>
    </row>
    <row r="57" spans="1:21" x14ac:dyDescent="0.4">
      <c r="A57" s="11" t="s">
        <v>47</v>
      </c>
      <c r="B57" s="17" t="s">
        <v>29</v>
      </c>
      <c r="C57" s="50" t="s">
        <v>51</v>
      </c>
      <c r="D57" s="51"/>
      <c r="E57" s="6">
        <v>15</v>
      </c>
      <c r="F57" s="6">
        <v>10</v>
      </c>
      <c r="G57" s="6">
        <v>10</v>
      </c>
      <c r="H57" s="6">
        <v>8</v>
      </c>
      <c r="I57" s="6">
        <v>13</v>
      </c>
      <c r="J57" s="6">
        <v>12</v>
      </c>
      <c r="K57" s="6">
        <v>16</v>
      </c>
      <c r="L57" s="6">
        <v>8</v>
      </c>
      <c r="M57" s="6">
        <v>11</v>
      </c>
      <c r="N57" s="6">
        <v>9</v>
      </c>
      <c r="O57" s="6">
        <v>5</v>
      </c>
      <c r="P57" s="6">
        <v>11</v>
      </c>
      <c r="Q57" s="6">
        <v>23</v>
      </c>
      <c r="R57" s="6">
        <v>24</v>
      </c>
      <c r="S57" s="6">
        <v>9</v>
      </c>
      <c r="T57" s="6">
        <v>14</v>
      </c>
      <c r="U57" s="5">
        <f t="shared" ref="U57:U66" si="20">SUM(E57:T57)</f>
        <v>198</v>
      </c>
    </row>
    <row r="58" spans="1:21" x14ac:dyDescent="0.4">
      <c r="A58" s="11" t="s">
        <v>49</v>
      </c>
      <c r="B58" s="46"/>
      <c r="C58" s="24" t="s">
        <v>112</v>
      </c>
      <c r="D58" s="45"/>
      <c r="E58" s="6">
        <v>3</v>
      </c>
      <c r="F58" s="6">
        <v>8</v>
      </c>
      <c r="G58" s="6">
        <v>3</v>
      </c>
      <c r="H58" s="6">
        <v>4</v>
      </c>
      <c r="I58" s="6">
        <v>3</v>
      </c>
      <c r="J58" s="6">
        <v>9</v>
      </c>
      <c r="K58" s="6">
        <v>6</v>
      </c>
      <c r="L58" s="6">
        <v>2</v>
      </c>
      <c r="M58" s="6">
        <v>4</v>
      </c>
      <c r="N58" s="6">
        <v>3</v>
      </c>
      <c r="O58" s="6">
        <v>5</v>
      </c>
      <c r="P58" s="6">
        <v>7</v>
      </c>
      <c r="Q58" s="6">
        <v>7</v>
      </c>
      <c r="R58" s="6">
        <v>1</v>
      </c>
      <c r="S58" s="6">
        <v>2</v>
      </c>
      <c r="T58" s="6">
        <v>5</v>
      </c>
      <c r="U58" s="5">
        <f t="shared" si="20"/>
        <v>72</v>
      </c>
    </row>
    <row r="59" spans="1:21" x14ac:dyDescent="0.4">
      <c r="A59" s="7"/>
      <c r="B59" s="46"/>
      <c r="C59" s="24" t="s">
        <v>113</v>
      </c>
      <c r="D59" s="45"/>
      <c r="E59" s="6">
        <v>23</v>
      </c>
      <c r="F59" s="6">
        <v>19</v>
      </c>
      <c r="G59" s="6">
        <v>14</v>
      </c>
      <c r="H59" s="6">
        <v>4</v>
      </c>
      <c r="I59" s="6">
        <v>5</v>
      </c>
      <c r="J59" s="6">
        <v>3</v>
      </c>
      <c r="K59" s="6">
        <v>10</v>
      </c>
      <c r="L59" s="6">
        <v>6</v>
      </c>
      <c r="M59" s="6">
        <v>22</v>
      </c>
      <c r="N59" s="6">
        <v>2</v>
      </c>
      <c r="O59" s="6">
        <v>6</v>
      </c>
      <c r="P59" s="6">
        <v>5</v>
      </c>
      <c r="Q59" s="6">
        <v>18</v>
      </c>
      <c r="R59" s="6">
        <v>8</v>
      </c>
      <c r="S59" s="6">
        <v>3</v>
      </c>
      <c r="T59" s="6">
        <v>5</v>
      </c>
      <c r="U59" s="5">
        <f t="shared" si="20"/>
        <v>153</v>
      </c>
    </row>
    <row r="60" spans="1:21" x14ac:dyDescent="0.4">
      <c r="A60" s="7"/>
      <c r="B60" s="46"/>
      <c r="C60" s="24" t="s">
        <v>114</v>
      </c>
      <c r="D60" s="45"/>
      <c r="E60" s="6">
        <v>2</v>
      </c>
      <c r="F60" s="6">
        <v>1</v>
      </c>
      <c r="G60" s="6">
        <v>2</v>
      </c>
      <c r="H60" s="6">
        <v>3</v>
      </c>
      <c r="I60" s="6">
        <v>3</v>
      </c>
      <c r="J60" s="6">
        <v>0</v>
      </c>
      <c r="K60" s="6">
        <v>2</v>
      </c>
      <c r="L60" s="6">
        <v>2</v>
      </c>
      <c r="M60" s="6">
        <v>0</v>
      </c>
      <c r="N60" s="6">
        <v>0</v>
      </c>
      <c r="O60" s="6">
        <v>0</v>
      </c>
      <c r="P60" s="6">
        <v>2</v>
      </c>
      <c r="Q60" s="6">
        <v>4</v>
      </c>
      <c r="R60" s="6">
        <v>4</v>
      </c>
      <c r="S60" s="6">
        <v>0</v>
      </c>
      <c r="T60" s="6">
        <v>1</v>
      </c>
      <c r="U60" s="5">
        <f t="shared" si="20"/>
        <v>26</v>
      </c>
    </row>
    <row r="61" spans="1:21" x14ac:dyDescent="0.4">
      <c r="A61" s="7"/>
      <c r="B61" s="46"/>
      <c r="C61" s="24" t="s">
        <v>115</v>
      </c>
      <c r="D61" s="45"/>
      <c r="E61" s="6">
        <v>4</v>
      </c>
      <c r="F61" s="6">
        <v>4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13</v>
      </c>
      <c r="M61" s="6">
        <v>2</v>
      </c>
      <c r="N61" s="6">
        <v>6</v>
      </c>
      <c r="O61" s="6">
        <v>0</v>
      </c>
      <c r="P61" s="6">
        <v>1</v>
      </c>
      <c r="Q61" s="6">
        <v>2</v>
      </c>
      <c r="R61" s="6">
        <v>1</v>
      </c>
      <c r="S61" s="6">
        <v>3</v>
      </c>
      <c r="T61" s="6">
        <v>2</v>
      </c>
      <c r="U61" s="5">
        <f t="shared" si="20"/>
        <v>38</v>
      </c>
    </row>
    <row r="62" spans="1:21" x14ac:dyDescent="0.4">
      <c r="A62" s="7"/>
      <c r="B62" s="46"/>
      <c r="C62" s="24" t="s">
        <v>116</v>
      </c>
      <c r="D62" s="45"/>
      <c r="E62" s="6">
        <v>2</v>
      </c>
      <c r="F62" s="6">
        <v>0</v>
      </c>
      <c r="G62" s="6">
        <v>2</v>
      </c>
      <c r="H62" s="6">
        <v>1</v>
      </c>
      <c r="I62" s="6">
        <v>0</v>
      </c>
      <c r="J62" s="6">
        <v>3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3</v>
      </c>
      <c r="R62" s="6">
        <v>0</v>
      </c>
      <c r="S62" s="6">
        <v>0</v>
      </c>
      <c r="T62" s="6"/>
      <c r="U62" s="5">
        <f t="shared" si="20"/>
        <v>12</v>
      </c>
    </row>
    <row r="63" spans="1:21" ht="13.15" customHeight="1" x14ac:dyDescent="0.4">
      <c r="A63" s="7"/>
      <c r="B63" s="46"/>
      <c r="C63" s="24" t="s">
        <v>117</v>
      </c>
      <c r="D63" s="45"/>
      <c r="E63" s="6">
        <v>2</v>
      </c>
      <c r="F63" s="6">
        <v>2</v>
      </c>
      <c r="G63" s="6">
        <v>0</v>
      </c>
      <c r="H63" s="6">
        <v>0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1</v>
      </c>
      <c r="S63" s="6">
        <v>0</v>
      </c>
      <c r="T63" s="6"/>
      <c r="U63" s="5">
        <f t="shared" si="20"/>
        <v>8</v>
      </c>
    </row>
    <row r="64" spans="1:21" x14ac:dyDescent="0.4">
      <c r="A64" s="7"/>
      <c r="B64" s="46"/>
      <c r="C64" s="24" t="s">
        <v>118</v>
      </c>
      <c r="D64" s="45"/>
      <c r="E64" s="6">
        <v>0</v>
      </c>
      <c r="F64" s="6">
        <v>0</v>
      </c>
      <c r="G64" s="6">
        <v>0</v>
      </c>
      <c r="H64" s="6">
        <v>2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0</v>
      </c>
      <c r="S64" s="6">
        <v>0</v>
      </c>
      <c r="T64" s="6"/>
      <c r="U64" s="5">
        <f t="shared" si="20"/>
        <v>4</v>
      </c>
    </row>
    <row r="65" spans="1:21" x14ac:dyDescent="0.4">
      <c r="A65" s="7"/>
      <c r="B65" s="46"/>
      <c r="C65" s="24" t="s">
        <v>119</v>
      </c>
      <c r="D65" s="45"/>
      <c r="E65" s="6">
        <v>0</v>
      </c>
      <c r="F65" s="6">
        <v>2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/>
      <c r="U65" s="5">
        <f t="shared" si="20"/>
        <v>4</v>
      </c>
    </row>
    <row r="66" spans="1:21" x14ac:dyDescent="0.4">
      <c r="A66" s="7"/>
      <c r="B66" s="46"/>
      <c r="C66" s="24" t="s">
        <v>120</v>
      </c>
      <c r="D66" s="45"/>
      <c r="E66" s="6">
        <v>0</v>
      </c>
      <c r="F66" s="6">
        <v>1</v>
      </c>
      <c r="G66" s="6">
        <v>2</v>
      </c>
      <c r="H66" s="6">
        <v>0</v>
      </c>
      <c r="I66" s="6">
        <v>1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1</v>
      </c>
      <c r="T66" s="6">
        <v>2</v>
      </c>
      <c r="U66" s="5">
        <f t="shared" si="20"/>
        <v>9</v>
      </c>
    </row>
    <row r="67" spans="1:21" x14ac:dyDescent="0.4">
      <c r="A67" s="6" t="s">
        <v>25</v>
      </c>
      <c r="B67" s="52" t="s">
        <v>50</v>
      </c>
      <c r="C67" s="68"/>
      <c r="D67" s="51"/>
      <c r="E67" s="5">
        <f t="shared" ref="E67:U67" si="21">SUM(E57:E66)</f>
        <v>51</v>
      </c>
      <c r="F67" s="5">
        <f t="shared" si="21"/>
        <v>47</v>
      </c>
      <c r="G67" s="5">
        <f t="shared" si="21"/>
        <v>34</v>
      </c>
      <c r="H67" s="5">
        <f t="shared" si="21"/>
        <v>22</v>
      </c>
      <c r="I67" s="5">
        <f t="shared" si="21"/>
        <v>26</v>
      </c>
      <c r="J67" s="5">
        <f t="shared" si="21"/>
        <v>29</v>
      </c>
      <c r="K67" s="5">
        <f t="shared" si="21"/>
        <v>35</v>
      </c>
      <c r="L67" s="5">
        <f t="shared" si="21"/>
        <v>31</v>
      </c>
      <c r="M67" s="5">
        <f t="shared" si="21"/>
        <v>40</v>
      </c>
      <c r="N67" s="5">
        <f t="shared" si="21"/>
        <v>20</v>
      </c>
      <c r="O67" s="5">
        <f t="shared" si="21"/>
        <v>17</v>
      </c>
      <c r="P67" s="5">
        <f t="shared" si="21"/>
        <v>28</v>
      </c>
      <c r="Q67" s="5">
        <f t="shared" si="21"/>
        <v>58</v>
      </c>
      <c r="R67" s="5">
        <f t="shared" si="21"/>
        <v>39</v>
      </c>
      <c r="S67" s="5">
        <f t="shared" si="21"/>
        <v>18</v>
      </c>
      <c r="T67" s="5">
        <f t="shared" si="21"/>
        <v>29</v>
      </c>
      <c r="U67" s="5">
        <f t="shared" si="21"/>
        <v>524</v>
      </c>
    </row>
    <row r="68" spans="1:21" x14ac:dyDescent="0.4">
      <c r="A68" s="69"/>
      <c r="B68" s="70"/>
      <c r="C68" s="70"/>
      <c r="D68" s="70"/>
      <c r="E68" s="70"/>
    </row>
    <row r="69" spans="1:21" x14ac:dyDescent="0.4">
      <c r="A69" s="11" t="s">
        <v>47</v>
      </c>
      <c r="B69" s="17" t="s">
        <v>31</v>
      </c>
      <c r="C69" s="50" t="s">
        <v>52</v>
      </c>
      <c r="D69" s="51"/>
      <c r="E69" s="6">
        <v>9</v>
      </c>
      <c r="F69" s="6">
        <v>15</v>
      </c>
      <c r="G69" s="6">
        <v>5</v>
      </c>
      <c r="H69" s="6">
        <v>3</v>
      </c>
      <c r="I69" s="6">
        <v>11</v>
      </c>
      <c r="J69" s="6">
        <v>10</v>
      </c>
      <c r="K69" s="6">
        <v>16</v>
      </c>
      <c r="L69" s="6">
        <v>10</v>
      </c>
      <c r="M69" s="6">
        <v>6</v>
      </c>
      <c r="N69" s="6">
        <v>13</v>
      </c>
      <c r="O69" s="6">
        <v>3</v>
      </c>
      <c r="P69" s="6">
        <v>10</v>
      </c>
      <c r="Q69" s="6">
        <v>17</v>
      </c>
      <c r="R69" s="6">
        <v>16</v>
      </c>
      <c r="S69" s="6">
        <v>8</v>
      </c>
      <c r="T69" s="6">
        <v>21</v>
      </c>
      <c r="U69" s="5">
        <f t="shared" ref="U69:U78" si="22">SUM(E69:T69)</f>
        <v>173</v>
      </c>
    </row>
    <row r="70" spans="1:21" x14ac:dyDescent="0.4">
      <c r="A70" s="11" t="s">
        <v>49</v>
      </c>
      <c r="B70" s="46"/>
      <c r="C70" s="24" t="s">
        <v>121</v>
      </c>
      <c r="D70" s="45"/>
      <c r="E70" s="6">
        <v>5</v>
      </c>
      <c r="F70" s="6">
        <v>1</v>
      </c>
      <c r="G70" s="6">
        <v>3</v>
      </c>
      <c r="H70" s="6">
        <v>3</v>
      </c>
      <c r="I70" s="6">
        <v>4</v>
      </c>
      <c r="J70" s="6">
        <v>8</v>
      </c>
      <c r="K70" s="6">
        <v>3</v>
      </c>
      <c r="L70" s="6">
        <v>10</v>
      </c>
      <c r="M70" s="6">
        <v>8</v>
      </c>
      <c r="N70" s="6">
        <v>7</v>
      </c>
      <c r="O70" s="6">
        <v>1</v>
      </c>
      <c r="P70" s="6">
        <v>2</v>
      </c>
      <c r="Q70" s="6">
        <v>11</v>
      </c>
      <c r="R70" s="6">
        <v>5</v>
      </c>
      <c r="S70" s="6">
        <v>7</v>
      </c>
      <c r="T70" s="6">
        <v>8</v>
      </c>
      <c r="U70" s="5">
        <f t="shared" si="22"/>
        <v>86</v>
      </c>
    </row>
    <row r="71" spans="1:21" x14ac:dyDescent="0.4">
      <c r="A71" s="7"/>
      <c r="B71" s="46"/>
      <c r="C71" s="24" t="s">
        <v>122</v>
      </c>
      <c r="D71" s="45"/>
      <c r="E71" s="6">
        <v>10</v>
      </c>
      <c r="F71" s="6">
        <v>10</v>
      </c>
      <c r="G71" s="6">
        <v>5</v>
      </c>
      <c r="H71" s="6">
        <v>6</v>
      </c>
      <c r="I71" s="6">
        <v>19</v>
      </c>
      <c r="J71" s="6">
        <v>38</v>
      </c>
      <c r="K71" s="6">
        <v>23</v>
      </c>
      <c r="L71" s="6">
        <v>10</v>
      </c>
      <c r="M71" s="6">
        <v>1</v>
      </c>
      <c r="N71" s="6">
        <v>11</v>
      </c>
      <c r="O71" s="6">
        <v>3</v>
      </c>
      <c r="P71" s="6">
        <v>6</v>
      </c>
      <c r="Q71" s="6">
        <v>9</v>
      </c>
      <c r="R71" s="6">
        <v>7</v>
      </c>
      <c r="S71" s="6">
        <v>3</v>
      </c>
      <c r="T71" s="6">
        <v>12</v>
      </c>
      <c r="U71" s="5">
        <f t="shared" si="22"/>
        <v>173</v>
      </c>
    </row>
    <row r="72" spans="1:21" x14ac:dyDescent="0.4">
      <c r="A72" s="7"/>
      <c r="B72" s="46"/>
      <c r="C72" s="24" t="s">
        <v>123</v>
      </c>
      <c r="D72" s="45"/>
      <c r="E72" s="6">
        <v>0</v>
      </c>
      <c r="F72" s="6">
        <v>5</v>
      </c>
      <c r="G72" s="6">
        <v>2</v>
      </c>
      <c r="H72" s="6">
        <v>1</v>
      </c>
      <c r="I72" s="6">
        <v>4</v>
      </c>
      <c r="J72" s="6">
        <v>4</v>
      </c>
      <c r="K72" s="6">
        <v>3</v>
      </c>
      <c r="L72" s="6">
        <v>7</v>
      </c>
      <c r="M72" s="6">
        <v>3</v>
      </c>
      <c r="N72" s="6">
        <v>5</v>
      </c>
      <c r="O72" s="6">
        <v>3</v>
      </c>
      <c r="P72" s="6">
        <v>0</v>
      </c>
      <c r="Q72" s="6">
        <v>3</v>
      </c>
      <c r="R72" s="6">
        <v>4</v>
      </c>
      <c r="S72" s="6">
        <v>5</v>
      </c>
      <c r="T72" s="6">
        <v>8</v>
      </c>
      <c r="U72" s="5">
        <f t="shared" si="22"/>
        <v>57</v>
      </c>
    </row>
    <row r="73" spans="1:21" x14ac:dyDescent="0.4">
      <c r="A73" s="7"/>
      <c r="B73" s="46"/>
      <c r="C73" s="24" t="s">
        <v>124</v>
      </c>
      <c r="D73" s="45"/>
      <c r="E73" s="6">
        <v>9</v>
      </c>
      <c r="F73" s="6">
        <v>0</v>
      </c>
      <c r="G73" s="6">
        <v>9</v>
      </c>
      <c r="H73" s="6">
        <v>7</v>
      </c>
      <c r="I73" s="6">
        <v>23</v>
      </c>
      <c r="J73" s="6">
        <v>12</v>
      </c>
      <c r="K73" s="6">
        <v>9</v>
      </c>
      <c r="L73" s="6">
        <v>16</v>
      </c>
      <c r="M73" s="6">
        <v>16</v>
      </c>
      <c r="N73" s="6">
        <v>6</v>
      </c>
      <c r="O73" s="6">
        <v>0</v>
      </c>
      <c r="P73" s="6">
        <v>1</v>
      </c>
      <c r="Q73" s="6">
        <v>8</v>
      </c>
      <c r="R73" s="6">
        <v>1</v>
      </c>
      <c r="S73" s="6">
        <v>0</v>
      </c>
      <c r="T73" s="6">
        <v>4</v>
      </c>
      <c r="U73" s="5">
        <f t="shared" si="22"/>
        <v>121</v>
      </c>
    </row>
    <row r="74" spans="1:21" ht="13.15" customHeight="1" x14ac:dyDescent="0.4">
      <c r="A74" s="7"/>
      <c r="B74" s="46"/>
      <c r="C74" s="24" t="s">
        <v>125</v>
      </c>
      <c r="D74" s="45"/>
      <c r="E74" s="6">
        <v>2</v>
      </c>
      <c r="F74" s="6">
        <v>2</v>
      </c>
      <c r="G74" s="6">
        <v>0</v>
      </c>
      <c r="H74" s="6">
        <v>2</v>
      </c>
      <c r="I74" s="6">
        <v>7</v>
      </c>
      <c r="J74" s="6">
        <v>2</v>
      </c>
      <c r="K74" s="6">
        <v>1</v>
      </c>
      <c r="L74" s="6">
        <v>0</v>
      </c>
      <c r="M74" s="6">
        <v>0</v>
      </c>
      <c r="N74" s="6">
        <v>2</v>
      </c>
      <c r="O74" s="6">
        <v>1</v>
      </c>
      <c r="P74" s="6">
        <v>1</v>
      </c>
      <c r="Q74" s="6">
        <v>3</v>
      </c>
      <c r="R74" s="6">
        <v>3</v>
      </c>
      <c r="S74" s="6">
        <v>1</v>
      </c>
      <c r="T74" s="6">
        <v>2</v>
      </c>
      <c r="U74" s="5">
        <f t="shared" si="22"/>
        <v>29</v>
      </c>
    </row>
    <row r="75" spans="1:21" x14ac:dyDescent="0.4">
      <c r="A75" s="7"/>
      <c r="B75" s="46"/>
      <c r="C75" s="24" t="s">
        <v>126</v>
      </c>
      <c r="D75" s="45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2</v>
      </c>
      <c r="M75" s="6">
        <v>1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  <c r="S75" s="6">
        <v>0</v>
      </c>
      <c r="T75" s="6">
        <v>2</v>
      </c>
      <c r="U75" s="5">
        <f t="shared" si="22"/>
        <v>8</v>
      </c>
    </row>
    <row r="76" spans="1:21" x14ac:dyDescent="0.4">
      <c r="A76" s="7"/>
      <c r="B76" s="46"/>
      <c r="C76" s="24" t="s">
        <v>127</v>
      </c>
      <c r="D76" s="45"/>
      <c r="E76" s="6">
        <v>0</v>
      </c>
      <c r="F76" s="6">
        <v>0</v>
      </c>
      <c r="G76" s="6">
        <v>0</v>
      </c>
      <c r="H76" s="6">
        <v>1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</v>
      </c>
      <c r="U76" s="5">
        <f t="shared" si="22"/>
        <v>4</v>
      </c>
    </row>
    <row r="77" spans="1:21" x14ac:dyDescent="0.4">
      <c r="A77" s="7"/>
      <c r="B77" s="46"/>
      <c r="C77" s="24" t="s">
        <v>128</v>
      </c>
      <c r="D77" s="45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/>
      <c r="U77" s="5">
        <f t="shared" si="22"/>
        <v>4</v>
      </c>
    </row>
    <row r="78" spans="1:21" x14ac:dyDescent="0.4">
      <c r="A78" s="7"/>
      <c r="B78" s="46"/>
      <c r="C78" s="24" t="s">
        <v>129</v>
      </c>
      <c r="D78" s="45"/>
      <c r="E78" s="6">
        <v>2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5">
        <f t="shared" si="22"/>
        <v>6</v>
      </c>
    </row>
    <row r="79" spans="1:21" x14ac:dyDescent="0.4">
      <c r="A79" s="6" t="s">
        <v>25</v>
      </c>
      <c r="B79" s="52" t="s">
        <v>50</v>
      </c>
      <c r="C79" s="68"/>
      <c r="D79" s="51"/>
      <c r="E79" s="5">
        <f t="shared" ref="E79:U79" si="23">SUM(E69:E78)</f>
        <v>37</v>
      </c>
      <c r="F79" s="5">
        <f t="shared" si="23"/>
        <v>34</v>
      </c>
      <c r="G79" s="5">
        <f t="shared" si="23"/>
        <v>25</v>
      </c>
      <c r="H79" s="5">
        <f t="shared" si="23"/>
        <v>23</v>
      </c>
      <c r="I79" s="5">
        <f t="shared" si="23"/>
        <v>69</v>
      </c>
      <c r="J79" s="5">
        <f t="shared" si="23"/>
        <v>75</v>
      </c>
      <c r="K79" s="5">
        <f t="shared" si="23"/>
        <v>57</v>
      </c>
      <c r="L79" s="5">
        <f t="shared" si="23"/>
        <v>55</v>
      </c>
      <c r="M79" s="5">
        <f t="shared" si="23"/>
        <v>35</v>
      </c>
      <c r="N79" s="5">
        <f t="shared" si="23"/>
        <v>45</v>
      </c>
      <c r="O79" s="5">
        <f t="shared" si="23"/>
        <v>13</v>
      </c>
      <c r="P79" s="5">
        <f t="shared" si="23"/>
        <v>21</v>
      </c>
      <c r="Q79" s="5">
        <f t="shared" si="23"/>
        <v>52</v>
      </c>
      <c r="R79" s="5">
        <f t="shared" si="23"/>
        <v>36</v>
      </c>
      <c r="S79" s="5">
        <f t="shared" si="23"/>
        <v>24</v>
      </c>
      <c r="T79" s="5">
        <f t="shared" si="23"/>
        <v>60</v>
      </c>
      <c r="U79" s="5">
        <f t="shared" si="23"/>
        <v>661</v>
      </c>
    </row>
    <row r="80" spans="1:21" x14ac:dyDescent="0.4">
      <c r="A80" s="69"/>
      <c r="B80" s="70"/>
      <c r="C80" s="70"/>
      <c r="D80" s="70"/>
      <c r="E80" s="70"/>
    </row>
    <row r="81" spans="1:21" x14ac:dyDescent="0.4">
      <c r="A81" s="11" t="s">
        <v>47</v>
      </c>
      <c r="B81" s="17" t="s">
        <v>33</v>
      </c>
      <c r="C81" s="50" t="s">
        <v>53</v>
      </c>
      <c r="D81" s="51"/>
      <c r="E81" s="6">
        <v>6</v>
      </c>
      <c r="F81" s="6">
        <v>3</v>
      </c>
      <c r="G81" s="6">
        <v>12</v>
      </c>
      <c r="H81" s="6">
        <v>15</v>
      </c>
      <c r="I81" s="6">
        <v>10</v>
      </c>
      <c r="J81" s="6">
        <v>3</v>
      </c>
      <c r="K81" s="6">
        <v>4</v>
      </c>
      <c r="L81" s="6">
        <v>7</v>
      </c>
      <c r="M81" s="6">
        <v>4</v>
      </c>
      <c r="N81" s="6">
        <v>11</v>
      </c>
      <c r="O81" s="6">
        <v>11</v>
      </c>
      <c r="P81" s="6">
        <v>8</v>
      </c>
      <c r="Q81" s="6">
        <v>3</v>
      </c>
      <c r="R81" s="6">
        <v>17</v>
      </c>
      <c r="S81" s="6">
        <v>3</v>
      </c>
      <c r="T81" s="6">
        <v>3</v>
      </c>
      <c r="U81" s="5">
        <f t="shared" ref="U81:U90" si="24">SUM(E81:T81)</f>
        <v>120</v>
      </c>
    </row>
    <row r="82" spans="1:21" x14ac:dyDescent="0.4">
      <c r="A82" s="11" t="s">
        <v>49</v>
      </c>
      <c r="B82" s="46"/>
      <c r="C82" s="24" t="s">
        <v>130</v>
      </c>
      <c r="D82" s="45"/>
      <c r="E82" s="6">
        <v>7</v>
      </c>
      <c r="F82" s="6">
        <v>3</v>
      </c>
      <c r="G82" s="6">
        <v>13</v>
      </c>
      <c r="H82" s="6">
        <v>15</v>
      </c>
      <c r="I82" s="6">
        <v>6</v>
      </c>
      <c r="J82" s="6">
        <v>7</v>
      </c>
      <c r="K82" s="6">
        <v>5</v>
      </c>
      <c r="L82" s="6">
        <v>20</v>
      </c>
      <c r="M82" s="6">
        <v>8</v>
      </c>
      <c r="N82" s="6">
        <v>14</v>
      </c>
      <c r="O82" s="6">
        <v>17</v>
      </c>
      <c r="P82" s="6">
        <v>12</v>
      </c>
      <c r="Q82" s="6">
        <v>5</v>
      </c>
      <c r="R82" s="6">
        <v>12</v>
      </c>
      <c r="S82" s="6">
        <v>1</v>
      </c>
      <c r="T82" s="6">
        <v>8</v>
      </c>
      <c r="U82" s="5">
        <f t="shared" si="24"/>
        <v>153</v>
      </c>
    </row>
    <row r="83" spans="1:21" x14ac:dyDescent="0.4">
      <c r="A83" s="7"/>
      <c r="B83" s="46"/>
      <c r="C83" s="24" t="s">
        <v>131</v>
      </c>
      <c r="D83" s="45"/>
      <c r="E83" s="6">
        <v>1</v>
      </c>
      <c r="F83" s="6">
        <v>2</v>
      </c>
      <c r="G83" s="6">
        <v>7</v>
      </c>
      <c r="H83" s="6">
        <v>9</v>
      </c>
      <c r="I83" s="6">
        <v>8</v>
      </c>
      <c r="J83" s="6">
        <v>3</v>
      </c>
      <c r="K83" s="6">
        <v>1</v>
      </c>
      <c r="L83" s="6">
        <v>5</v>
      </c>
      <c r="M83" s="6">
        <v>3</v>
      </c>
      <c r="N83" s="6">
        <v>10</v>
      </c>
      <c r="O83" s="6">
        <v>2</v>
      </c>
      <c r="P83" s="6">
        <v>3</v>
      </c>
      <c r="Q83" s="6">
        <v>1</v>
      </c>
      <c r="R83" s="6">
        <v>13</v>
      </c>
      <c r="S83" s="6">
        <v>0</v>
      </c>
      <c r="T83" s="6">
        <v>4</v>
      </c>
      <c r="U83" s="5">
        <f t="shared" si="24"/>
        <v>72</v>
      </c>
    </row>
    <row r="84" spans="1:21" x14ac:dyDescent="0.4">
      <c r="A84" s="7"/>
      <c r="B84" s="46"/>
      <c r="C84" s="24" t="s">
        <v>132</v>
      </c>
      <c r="D84" s="45"/>
      <c r="E84" s="6">
        <v>1</v>
      </c>
      <c r="F84" s="6">
        <v>2</v>
      </c>
      <c r="G84" s="6">
        <v>0</v>
      </c>
      <c r="H84" s="6">
        <v>1</v>
      </c>
      <c r="I84" s="6">
        <v>1</v>
      </c>
      <c r="J84" s="6">
        <v>0</v>
      </c>
      <c r="K84" s="6">
        <v>0</v>
      </c>
      <c r="L84" s="6">
        <v>0</v>
      </c>
      <c r="M84" s="6">
        <v>2</v>
      </c>
      <c r="N84" s="6">
        <v>5</v>
      </c>
      <c r="O84" s="6">
        <v>0</v>
      </c>
      <c r="P84" s="6">
        <v>2</v>
      </c>
      <c r="Q84" s="6">
        <v>0</v>
      </c>
      <c r="R84" s="6">
        <v>3</v>
      </c>
      <c r="S84" s="6">
        <v>0</v>
      </c>
      <c r="T84" s="6"/>
      <c r="U84" s="5">
        <f t="shared" si="24"/>
        <v>17</v>
      </c>
    </row>
    <row r="85" spans="1:21" ht="13.15" customHeight="1" x14ac:dyDescent="0.4">
      <c r="A85" s="7"/>
      <c r="B85" s="46"/>
      <c r="C85" s="24" t="s">
        <v>133</v>
      </c>
      <c r="D85" s="45"/>
      <c r="E85" s="6">
        <v>1</v>
      </c>
      <c r="F85" s="6">
        <v>5</v>
      </c>
      <c r="G85" s="6">
        <v>9</v>
      </c>
      <c r="H85" s="6">
        <v>1</v>
      </c>
      <c r="I85" s="6">
        <v>1</v>
      </c>
      <c r="J85" s="6">
        <v>4</v>
      </c>
      <c r="K85" s="6">
        <v>2</v>
      </c>
      <c r="L85" s="6">
        <v>4</v>
      </c>
      <c r="M85" s="6">
        <v>0</v>
      </c>
      <c r="N85" s="6">
        <v>1</v>
      </c>
      <c r="O85" s="6">
        <v>2</v>
      </c>
      <c r="P85" s="6">
        <v>0</v>
      </c>
      <c r="Q85" s="6">
        <v>1</v>
      </c>
      <c r="R85" s="6">
        <v>2</v>
      </c>
      <c r="S85" s="6">
        <v>3</v>
      </c>
      <c r="T85" s="6"/>
      <c r="U85" s="5">
        <f t="shared" si="24"/>
        <v>36</v>
      </c>
    </row>
    <row r="86" spans="1:21" x14ac:dyDescent="0.4">
      <c r="A86" s="7"/>
      <c r="B86" s="46"/>
      <c r="C86" s="24" t="s">
        <v>134</v>
      </c>
      <c r="D86" s="45"/>
      <c r="E86" s="6">
        <v>3</v>
      </c>
      <c r="F86" s="6">
        <v>1</v>
      </c>
      <c r="G86" s="6">
        <v>0</v>
      </c>
      <c r="H86" s="6">
        <v>2</v>
      </c>
      <c r="I86" s="6">
        <v>0</v>
      </c>
      <c r="J86" s="6">
        <v>1</v>
      </c>
      <c r="K86" s="6">
        <v>0</v>
      </c>
      <c r="L86" s="6">
        <v>0</v>
      </c>
      <c r="M86" s="6">
        <v>1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3</v>
      </c>
      <c r="U86" s="5">
        <f t="shared" si="24"/>
        <v>12</v>
      </c>
    </row>
    <row r="87" spans="1:21" x14ac:dyDescent="0.4">
      <c r="A87" s="7"/>
      <c r="B87" s="46"/>
      <c r="C87" s="24" t="s">
        <v>135</v>
      </c>
      <c r="D87" s="45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/>
      <c r="U87" s="5">
        <f t="shared" si="24"/>
        <v>1</v>
      </c>
    </row>
    <row r="88" spans="1:21" x14ac:dyDescent="0.4">
      <c r="A88" s="7"/>
      <c r="B88" s="46"/>
      <c r="C88" s="24" t="s">
        <v>136</v>
      </c>
      <c r="D88" s="45"/>
      <c r="E88" s="6">
        <v>0</v>
      </c>
      <c r="F88" s="6">
        <v>0</v>
      </c>
      <c r="G88" s="6">
        <v>1</v>
      </c>
      <c r="H88" s="6">
        <v>0</v>
      </c>
      <c r="I88" s="6">
        <v>1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1</v>
      </c>
      <c r="U88" s="5">
        <f t="shared" si="24"/>
        <v>5</v>
      </c>
    </row>
    <row r="89" spans="1:21" x14ac:dyDescent="0.4">
      <c r="A89" s="7"/>
      <c r="B89" s="46"/>
      <c r="C89" s="24" t="s">
        <v>137</v>
      </c>
      <c r="D89" s="45"/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5">
        <f t="shared" si="24"/>
        <v>4</v>
      </c>
    </row>
    <row r="90" spans="1:21" x14ac:dyDescent="0.4">
      <c r="A90" s="7"/>
      <c r="B90" s="46"/>
      <c r="C90" s="24" t="s">
        <v>138</v>
      </c>
      <c r="D90" s="45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/>
      <c r="U90" s="5">
        <f t="shared" si="24"/>
        <v>1</v>
      </c>
    </row>
    <row r="91" spans="1:21" x14ac:dyDescent="0.4">
      <c r="A91" s="6" t="s">
        <v>25</v>
      </c>
      <c r="B91" s="52" t="s">
        <v>50</v>
      </c>
      <c r="C91" s="68"/>
      <c r="D91" s="51"/>
      <c r="E91" s="5">
        <f t="shared" ref="E91:U91" si="25">SUM(E81:E90)</f>
        <v>19</v>
      </c>
      <c r="F91" s="5">
        <f t="shared" si="25"/>
        <v>17</v>
      </c>
      <c r="G91" s="5">
        <f t="shared" si="25"/>
        <v>42</v>
      </c>
      <c r="H91" s="5">
        <f t="shared" si="25"/>
        <v>43</v>
      </c>
      <c r="I91" s="5">
        <f t="shared" si="25"/>
        <v>27</v>
      </c>
      <c r="J91" s="5">
        <f t="shared" si="25"/>
        <v>19</v>
      </c>
      <c r="K91" s="5">
        <f t="shared" si="25"/>
        <v>13</v>
      </c>
      <c r="L91" s="5">
        <f t="shared" si="25"/>
        <v>37</v>
      </c>
      <c r="M91" s="5">
        <f t="shared" si="25"/>
        <v>19</v>
      </c>
      <c r="N91" s="5">
        <f t="shared" si="25"/>
        <v>42</v>
      </c>
      <c r="O91" s="5">
        <f t="shared" si="25"/>
        <v>32</v>
      </c>
      <c r="P91" s="5">
        <f t="shared" si="25"/>
        <v>26</v>
      </c>
      <c r="Q91" s="5">
        <f t="shared" si="25"/>
        <v>11</v>
      </c>
      <c r="R91" s="5">
        <f t="shared" si="25"/>
        <v>47</v>
      </c>
      <c r="S91" s="5">
        <f t="shared" si="25"/>
        <v>7</v>
      </c>
      <c r="T91" s="5">
        <f t="shared" si="25"/>
        <v>20</v>
      </c>
      <c r="U91" s="5">
        <f t="shared" si="25"/>
        <v>421</v>
      </c>
    </row>
    <row r="92" spans="1:21" x14ac:dyDescent="0.4">
      <c r="A92" s="69"/>
      <c r="B92" s="70"/>
      <c r="C92" s="70"/>
      <c r="D92" s="70"/>
      <c r="E92" s="70"/>
    </row>
    <row r="93" spans="1:21" x14ac:dyDescent="0.4">
      <c r="A93" s="11" t="s">
        <v>47</v>
      </c>
      <c r="B93" s="17" t="s">
        <v>54</v>
      </c>
      <c r="C93" s="50" t="s">
        <v>55</v>
      </c>
      <c r="D93" s="51"/>
      <c r="E93" s="6">
        <v>3</v>
      </c>
      <c r="F93" s="6">
        <v>3</v>
      </c>
      <c r="G93" s="6">
        <v>1</v>
      </c>
      <c r="H93" s="6">
        <v>0</v>
      </c>
      <c r="I93" s="6">
        <v>2</v>
      </c>
      <c r="J93" s="6">
        <v>0</v>
      </c>
      <c r="K93" s="6">
        <v>4</v>
      </c>
      <c r="L93" s="6">
        <v>1</v>
      </c>
      <c r="M93" s="6">
        <v>1</v>
      </c>
      <c r="N93" s="6">
        <v>1</v>
      </c>
      <c r="O93" s="6">
        <v>3</v>
      </c>
      <c r="P93" s="6">
        <v>2</v>
      </c>
      <c r="Q93" s="6">
        <v>1</v>
      </c>
      <c r="R93" s="6">
        <v>0</v>
      </c>
      <c r="S93" s="6">
        <v>3</v>
      </c>
      <c r="T93" s="6"/>
      <c r="U93" s="5">
        <f t="shared" ref="U93:U102" si="26">SUM(E93:T93)</f>
        <v>25</v>
      </c>
    </row>
    <row r="94" spans="1:21" x14ac:dyDescent="0.4">
      <c r="A94" s="11" t="s">
        <v>49</v>
      </c>
      <c r="B94" s="46"/>
      <c r="C94" s="24" t="s">
        <v>139</v>
      </c>
      <c r="D94" s="47"/>
      <c r="E94" s="6">
        <v>0</v>
      </c>
      <c r="F94" s="6">
        <v>4</v>
      </c>
      <c r="G94" s="6">
        <v>4</v>
      </c>
      <c r="H94" s="6">
        <v>1</v>
      </c>
      <c r="I94" s="6">
        <v>0</v>
      </c>
      <c r="J94" s="6">
        <v>0</v>
      </c>
      <c r="K94" s="6">
        <v>5</v>
      </c>
      <c r="L94" s="6">
        <v>3</v>
      </c>
      <c r="M94" s="6">
        <v>0</v>
      </c>
      <c r="N94" s="6">
        <v>1</v>
      </c>
      <c r="O94" s="6">
        <v>3</v>
      </c>
      <c r="P94" s="6">
        <v>5</v>
      </c>
      <c r="Q94" s="6">
        <v>0</v>
      </c>
      <c r="R94" s="6">
        <v>1</v>
      </c>
      <c r="S94" s="6">
        <v>0</v>
      </c>
      <c r="T94" s="6">
        <v>1</v>
      </c>
      <c r="U94" s="5">
        <f t="shared" si="26"/>
        <v>28</v>
      </c>
    </row>
    <row r="95" spans="1:21" x14ac:dyDescent="0.4">
      <c r="A95" s="7"/>
      <c r="B95" s="46"/>
      <c r="C95" s="24" t="s">
        <v>140</v>
      </c>
      <c r="D95" s="47"/>
      <c r="E95" s="6">
        <v>1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1</v>
      </c>
      <c r="L95" s="6">
        <v>3</v>
      </c>
      <c r="M95" s="6">
        <v>0</v>
      </c>
      <c r="N95" s="6">
        <v>2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/>
      <c r="U95" s="5">
        <f t="shared" si="26"/>
        <v>8</v>
      </c>
    </row>
    <row r="96" spans="1:21" ht="13.15" customHeight="1" x14ac:dyDescent="0.4">
      <c r="A96" s="7"/>
      <c r="B96" s="46"/>
      <c r="C96" s="24" t="s">
        <v>141</v>
      </c>
      <c r="D96" s="47"/>
      <c r="E96" s="6">
        <v>0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5">
        <f t="shared" si="26"/>
        <v>5</v>
      </c>
    </row>
    <row r="97" spans="1:21" x14ac:dyDescent="0.4">
      <c r="A97" s="7"/>
      <c r="B97" s="46"/>
      <c r="C97" s="24" t="s">
        <v>142</v>
      </c>
      <c r="D97" s="47"/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1</v>
      </c>
      <c r="M97" s="6">
        <v>0</v>
      </c>
      <c r="N97" s="6">
        <v>1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/>
      <c r="U97" s="5">
        <f t="shared" si="26"/>
        <v>5</v>
      </c>
    </row>
    <row r="98" spans="1:21" x14ac:dyDescent="0.4">
      <c r="A98" s="7"/>
      <c r="B98" s="46"/>
      <c r="C98" s="24" t="s">
        <v>143</v>
      </c>
      <c r="D98" s="45"/>
      <c r="E98" s="6">
        <v>2</v>
      </c>
      <c r="F98" s="6">
        <v>4</v>
      </c>
      <c r="G98" s="6">
        <v>1</v>
      </c>
      <c r="H98" s="6">
        <v>0</v>
      </c>
      <c r="I98" s="6">
        <v>0</v>
      </c>
      <c r="J98" s="6">
        <v>0</v>
      </c>
      <c r="K98" s="6">
        <v>1</v>
      </c>
      <c r="L98" s="6">
        <v>1</v>
      </c>
      <c r="M98" s="6">
        <v>0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1</v>
      </c>
      <c r="T98" s="6"/>
      <c r="U98" s="5">
        <f t="shared" si="26"/>
        <v>11</v>
      </c>
    </row>
    <row r="99" spans="1:21" x14ac:dyDescent="0.4">
      <c r="A99" s="7"/>
      <c r="B99" s="46"/>
      <c r="C99" s="24" t="s">
        <v>144</v>
      </c>
      <c r="D99" s="45"/>
      <c r="E99" s="6">
        <v>1</v>
      </c>
      <c r="F99" s="6">
        <v>0</v>
      </c>
      <c r="G99" s="6">
        <v>0</v>
      </c>
      <c r="H99" s="6">
        <v>1</v>
      </c>
      <c r="I99" s="6">
        <v>0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/>
      <c r="U99" s="5">
        <f t="shared" si="26"/>
        <v>3</v>
      </c>
    </row>
    <row r="100" spans="1:21" x14ac:dyDescent="0.4">
      <c r="A100" s="7"/>
      <c r="B100" s="46"/>
      <c r="C100" s="24" t="s">
        <v>145</v>
      </c>
      <c r="D100" s="47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5">
        <f t="shared" si="26"/>
        <v>0</v>
      </c>
    </row>
    <row r="101" spans="1:21" x14ac:dyDescent="0.4">
      <c r="A101" s="7"/>
      <c r="B101" s="46"/>
      <c r="C101" s="24" t="s">
        <v>146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2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/>
      <c r="U101" s="5">
        <f t="shared" si="26"/>
        <v>2</v>
      </c>
    </row>
    <row r="102" spans="1:21" x14ac:dyDescent="0.4">
      <c r="A102" s="7"/>
      <c r="B102" s="46"/>
      <c r="C102" s="24" t="s">
        <v>147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5">
        <f t="shared" si="26"/>
        <v>0</v>
      </c>
    </row>
    <row r="103" spans="1:21" x14ac:dyDescent="0.4">
      <c r="A103" s="6" t="s">
        <v>25</v>
      </c>
      <c r="B103" s="52" t="s">
        <v>50</v>
      </c>
      <c r="C103" s="68"/>
      <c r="D103" s="51"/>
      <c r="E103" s="5">
        <f t="shared" ref="E103:U103" si="27">SUM(E93:E102)</f>
        <v>7</v>
      </c>
      <c r="F103" s="5">
        <f t="shared" si="27"/>
        <v>14</v>
      </c>
      <c r="G103" s="5">
        <f t="shared" si="27"/>
        <v>7</v>
      </c>
      <c r="H103" s="5">
        <f t="shared" si="27"/>
        <v>2</v>
      </c>
      <c r="I103" s="5">
        <f t="shared" si="27"/>
        <v>4</v>
      </c>
      <c r="J103" s="5">
        <f t="shared" si="27"/>
        <v>1</v>
      </c>
      <c r="K103" s="5">
        <f t="shared" si="27"/>
        <v>13</v>
      </c>
      <c r="L103" s="5">
        <f t="shared" si="27"/>
        <v>9</v>
      </c>
      <c r="M103" s="5">
        <f t="shared" si="27"/>
        <v>1</v>
      </c>
      <c r="N103" s="5">
        <f t="shared" si="27"/>
        <v>5</v>
      </c>
      <c r="O103" s="5">
        <f t="shared" si="27"/>
        <v>8</v>
      </c>
      <c r="P103" s="5">
        <f t="shared" si="27"/>
        <v>8</v>
      </c>
      <c r="Q103" s="5">
        <f t="shared" si="27"/>
        <v>1</v>
      </c>
      <c r="R103" s="5">
        <f t="shared" si="27"/>
        <v>1</v>
      </c>
      <c r="S103" s="5">
        <f t="shared" si="27"/>
        <v>4</v>
      </c>
      <c r="T103" s="5">
        <f t="shared" si="27"/>
        <v>2</v>
      </c>
      <c r="U103" s="5">
        <f t="shared" si="27"/>
        <v>87</v>
      </c>
    </row>
    <row r="104" spans="1:21" x14ac:dyDescent="0.4">
      <c r="A104" s="69"/>
      <c r="B104" s="70"/>
      <c r="C104" s="70"/>
      <c r="D104" s="70"/>
      <c r="E104" s="7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x14ac:dyDescent="0.4">
      <c r="A105" s="11" t="s">
        <v>47</v>
      </c>
      <c r="B105" s="17" t="s">
        <v>56</v>
      </c>
      <c r="C105" s="50" t="s">
        <v>57</v>
      </c>
      <c r="D105" s="51"/>
      <c r="E105" s="6">
        <v>1</v>
      </c>
      <c r="F105" s="6">
        <v>2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0</v>
      </c>
      <c r="T105" s="6"/>
      <c r="U105" s="5">
        <f t="shared" ref="U105:U107" si="28">SUM(E105:T105)</f>
        <v>6</v>
      </c>
    </row>
    <row r="106" spans="1:21" x14ac:dyDescent="0.4">
      <c r="A106" s="11" t="s">
        <v>49</v>
      </c>
      <c r="B106" s="46"/>
      <c r="C106" s="24" t="s">
        <v>148</v>
      </c>
      <c r="D106" s="45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/>
      <c r="U106" s="5">
        <f t="shared" si="28"/>
        <v>3</v>
      </c>
    </row>
    <row r="107" spans="1:21" ht="13.15" customHeight="1" x14ac:dyDescent="0.4">
      <c r="A107" s="7"/>
      <c r="B107" s="46"/>
      <c r="C107" s="24" t="s">
        <v>149</v>
      </c>
      <c r="D107" s="45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/>
      <c r="U107" s="5">
        <f t="shared" si="28"/>
        <v>2</v>
      </c>
    </row>
    <row r="108" spans="1:21" ht="13.15" customHeight="1" x14ac:dyDescent="0.4">
      <c r="A108" s="6" t="s">
        <v>25</v>
      </c>
      <c r="B108" s="52" t="s">
        <v>50</v>
      </c>
      <c r="C108" s="53"/>
      <c r="D108" s="54"/>
      <c r="E108" s="5">
        <f t="shared" ref="E108:U108" si="29">SUM(E105:E107)</f>
        <v>1</v>
      </c>
      <c r="F108" s="5">
        <f t="shared" si="29"/>
        <v>3</v>
      </c>
      <c r="G108" s="5">
        <f t="shared" si="29"/>
        <v>0</v>
      </c>
      <c r="H108" s="5">
        <f t="shared" si="29"/>
        <v>2</v>
      </c>
      <c r="I108" s="5">
        <f t="shared" si="29"/>
        <v>0</v>
      </c>
      <c r="J108" s="5">
        <f t="shared" si="29"/>
        <v>0</v>
      </c>
      <c r="K108" s="5">
        <f t="shared" si="29"/>
        <v>1</v>
      </c>
      <c r="L108" s="5">
        <f t="shared" si="29"/>
        <v>1</v>
      </c>
      <c r="M108" s="5">
        <f t="shared" si="29"/>
        <v>0</v>
      </c>
      <c r="N108" s="5">
        <f t="shared" si="29"/>
        <v>1</v>
      </c>
      <c r="O108" s="5">
        <f t="shared" si="29"/>
        <v>2</v>
      </c>
      <c r="P108" s="5">
        <f t="shared" si="29"/>
        <v>0</v>
      </c>
      <c r="Q108" s="5">
        <f t="shared" si="29"/>
        <v>0</v>
      </c>
      <c r="R108" s="5">
        <f t="shared" si="29"/>
        <v>0</v>
      </c>
      <c r="S108" s="5">
        <f t="shared" si="29"/>
        <v>0</v>
      </c>
      <c r="T108" s="5">
        <f t="shared" si="29"/>
        <v>0</v>
      </c>
      <c r="U108" s="5">
        <f t="shared" si="29"/>
        <v>11</v>
      </c>
    </row>
    <row r="109" spans="1:21" x14ac:dyDescent="0.4">
      <c r="A109" s="55"/>
      <c r="B109" s="56"/>
      <c r="C109" s="56"/>
      <c r="D109" s="56"/>
      <c r="E109" s="5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5"/>
    </row>
    <row r="110" spans="1:21" x14ac:dyDescent="0.4">
      <c r="A110" s="11" t="s">
        <v>47</v>
      </c>
      <c r="B110" s="17" t="s">
        <v>58</v>
      </c>
      <c r="C110" s="50" t="s">
        <v>59</v>
      </c>
      <c r="D110" s="51"/>
      <c r="E110" s="6">
        <v>1</v>
      </c>
      <c r="F110" s="6">
        <v>0</v>
      </c>
      <c r="G110" s="6">
        <v>1</v>
      </c>
      <c r="H110" s="6">
        <v>0</v>
      </c>
      <c r="I110" s="6">
        <v>1</v>
      </c>
      <c r="J110" s="6">
        <v>1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>
        <v>2</v>
      </c>
      <c r="Q110" s="6">
        <v>0</v>
      </c>
      <c r="R110" s="6">
        <v>0</v>
      </c>
      <c r="S110" s="6">
        <v>1</v>
      </c>
      <c r="T110" s="6">
        <v>2</v>
      </c>
      <c r="U110" s="5">
        <f t="shared" ref="U110:U115" si="30">SUM(E110:T110)</f>
        <v>10</v>
      </c>
    </row>
    <row r="111" spans="1:21" x14ac:dyDescent="0.4">
      <c r="A111" s="11" t="s">
        <v>49</v>
      </c>
      <c r="B111" s="46"/>
      <c r="C111" s="24" t="s">
        <v>150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v>0</v>
      </c>
      <c r="Q111" s="6">
        <v>0</v>
      </c>
      <c r="R111" s="6">
        <v>0</v>
      </c>
      <c r="S111" s="6">
        <v>0</v>
      </c>
      <c r="T111" s="6"/>
      <c r="U111" s="5">
        <f t="shared" si="30"/>
        <v>1</v>
      </c>
    </row>
    <row r="112" spans="1:21" x14ac:dyDescent="0.4">
      <c r="A112" s="7"/>
      <c r="B112" s="46"/>
      <c r="C112" s="24" t="s">
        <v>151</v>
      </c>
      <c r="D112" s="45"/>
      <c r="E112" s="6">
        <v>0</v>
      </c>
      <c r="F112" s="6">
        <v>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5">
        <f t="shared" si="30"/>
        <v>2</v>
      </c>
    </row>
    <row r="113" spans="1:21" x14ac:dyDescent="0.4">
      <c r="A113" s="7"/>
      <c r="B113" s="46"/>
      <c r="C113" s="24" t="s">
        <v>152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5">
        <f t="shared" si="30"/>
        <v>0</v>
      </c>
    </row>
    <row r="114" spans="1:21" x14ac:dyDescent="0.4">
      <c r="A114" s="7"/>
      <c r="B114" s="46"/>
      <c r="C114" s="24" t="s">
        <v>153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/>
      <c r="U114" s="5">
        <f t="shared" si="30"/>
        <v>1</v>
      </c>
    </row>
    <row r="115" spans="1:21" x14ac:dyDescent="0.4">
      <c r="A115" s="7"/>
      <c r="B115" s="46"/>
      <c r="C115" s="24" t="s">
        <v>154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1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5">
        <f t="shared" si="30"/>
        <v>1</v>
      </c>
    </row>
    <row r="116" spans="1:21" x14ac:dyDescent="0.4">
      <c r="A116" s="6" t="s">
        <v>25</v>
      </c>
      <c r="B116" s="52" t="s">
        <v>50</v>
      </c>
      <c r="C116" s="53"/>
      <c r="D116" s="54"/>
      <c r="E116" s="5">
        <f t="shared" ref="E116:U116" si="31">SUM(E110:E115)</f>
        <v>1</v>
      </c>
      <c r="F116" s="5">
        <f t="shared" si="31"/>
        <v>1</v>
      </c>
      <c r="G116" s="5">
        <f t="shared" si="31"/>
        <v>1</v>
      </c>
      <c r="H116" s="5">
        <f t="shared" si="31"/>
        <v>0</v>
      </c>
      <c r="I116" s="5">
        <f t="shared" si="31"/>
        <v>1</v>
      </c>
      <c r="J116" s="5">
        <f t="shared" si="31"/>
        <v>2</v>
      </c>
      <c r="K116" s="5">
        <f t="shared" si="31"/>
        <v>1</v>
      </c>
      <c r="L116" s="5">
        <f t="shared" si="31"/>
        <v>1</v>
      </c>
      <c r="M116" s="5">
        <f t="shared" si="31"/>
        <v>0</v>
      </c>
      <c r="N116" s="5">
        <f t="shared" si="31"/>
        <v>1</v>
      </c>
      <c r="O116" s="5">
        <f t="shared" si="31"/>
        <v>1</v>
      </c>
      <c r="P116" s="5">
        <f t="shared" si="31"/>
        <v>2</v>
      </c>
      <c r="Q116" s="5">
        <f t="shared" si="31"/>
        <v>0</v>
      </c>
      <c r="R116" s="5">
        <f t="shared" si="31"/>
        <v>0</v>
      </c>
      <c r="S116" s="5">
        <f t="shared" si="31"/>
        <v>1</v>
      </c>
      <c r="T116" s="5">
        <f t="shared" si="31"/>
        <v>2</v>
      </c>
      <c r="U116" s="5">
        <f t="shared" si="31"/>
        <v>15</v>
      </c>
    </row>
    <row r="117" spans="1:21" x14ac:dyDescent="0.4">
      <c r="A117" s="55"/>
      <c r="B117" s="56"/>
      <c r="C117" s="56"/>
      <c r="D117" s="56"/>
      <c r="E117" s="5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</row>
    <row r="118" spans="1:21" x14ac:dyDescent="0.4">
      <c r="A118" s="11" t="s">
        <v>47</v>
      </c>
      <c r="B118" s="17" t="s">
        <v>60</v>
      </c>
      <c r="C118" s="50" t="s">
        <v>61</v>
      </c>
      <c r="D118" s="51"/>
      <c r="E118" s="6">
        <v>2</v>
      </c>
      <c r="F118" s="6">
        <v>4</v>
      </c>
      <c r="G118" s="6">
        <v>1</v>
      </c>
      <c r="H118" s="6">
        <v>1</v>
      </c>
      <c r="I118" s="6">
        <v>0</v>
      </c>
      <c r="J118" s="6">
        <v>0</v>
      </c>
      <c r="K118" s="6">
        <v>2</v>
      </c>
      <c r="L118" s="6">
        <v>0</v>
      </c>
      <c r="M118" s="6">
        <v>2</v>
      </c>
      <c r="N118" s="6">
        <v>0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5">
        <f t="shared" ref="U118:U127" si="32">SUM(E118:T118)</f>
        <v>14</v>
      </c>
    </row>
    <row r="119" spans="1:21" ht="13.15" customHeight="1" x14ac:dyDescent="0.4">
      <c r="A119" s="11" t="s">
        <v>49</v>
      </c>
      <c r="B119" s="46"/>
      <c r="C119" s="24" t="s">
        <v>155</v>
      </c>
      <c r="D119" s="45"/>
      <c r="E119" s="6">
        <v>6</v>
      </c>
      <c r="F119" s="6">
        <v>1</v>
      </c>
      <c r="G119" s="6">
        <v>0</v>
      </c>
      <c r="H119" s="6">
        <v>5</v>
      </c>
      <c r="I119" s="6">
        <v>1</v>
      </c>
      <c r="J119" s="6">
        <v>2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2</v>
      </c>
      <c r="U119" s="5">
        <f t="shared" si="32"/>
        <v>20</v>
      </c>
    </row>
    <row r="120" spans="1:21" x14ac:dyDescent="0.4">
      <c r="A120" s="7"/>
      <c r="B120" s="46"/>
      <c r="C120" s="24" t="s">
        <v>156</v>
      </c>
      <c r="D120" s="45"/>
      <c r="E120" s="6">
        <v>1</v>
      </c>
      <c r="F120" s="6">
        <v>1</v>
      </c>
      <c r="G120" s="6">
        <v>1</v>
      </c>
      <c r="H120" s="6">
        <v>0</v>
      </c>
      <c r="I120" s="6">
        <v>1</v>
      </c>
      <c r="J120" s="6">
        <v>0</v>
      </c>
      <c r="K120" s="6">
        <v>2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>
        <v>1</v>
      </c>
      <c r="U120" s="5">
        <f t="shared" si="32"/>
        <v>9</v>
      </c>
    </row>
    <row r="121" spans="1:21" x14ac:dyDescent="0.4">
      <c r="A121" s="7"/>
      <c r="B121" s="46"/>
      <c r="C121" s="24" t="s">
        <v>157</v>
      </c>
      <c r="D121" s="45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</v>
      </c>
      <c r="U121" s="5">
        <f t="shared" si="32"/>
        <v>3</v>
      </c>
    </row>
    <row r="122" spans="1:21" x14ac:dyDescent="0.4">
      <c r="A122" s="7"/>
      <c r="B122" s="46"/>
      <c r="C122" s="24" t="s">
        <v>158</v>
      </c>
      <c r="D122" s="45"/>
      <c r="E122" s="6">
        <v>0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/>
      <c r="U122" s="5">
        <f t="shared" si="32"/>
        <v>1</v>
      </c>
    </row>
    <row r="123" spans="1:21" x14ac:dyDescent="0.4">
      <c r="A123" s="7"/>
      <c r="B123" s="46"/>
      <c r="C123" s="24" t="s">
        <v>159</v>
      </c>
      <c r="D123" s="45"/>
      <c r="E123" s="6">
        <v>1</v>
      </c>
      <c r="F123" s="6">
        <v>1</v>
      </c>
      <c r="G123" s="6">
        <v>1</v>
      </c>
      <c r="H123" s="6">
        <v>1</v>
      </c>
      <c r="I123" s="6">
        <v>0</v>
      </c>
      <c r="J123" s="6">
        <v>1</v>
      </c>
      <c r="K123" s="6">
        <v>0</v>
      </c>
      <c r="L123" s="6">
        <v>1</v>
      </c>
      <c r="M123" s="6">
        <v>0</v>
      </c>
      <c r="N123" s="6">
        <v>0</v>
      </c>
      <c r="O123" s="6">
        <v>1</v>
      </c>
      <c r="P123" s="6">
        <v>0</v>
      </c>
      <c r="Q123" s="6">
        <v>0</v>
      </c>
      <c r="R123" s="6">
        <v>0</v>
      </c>
      <c r="S123" s="6">
        <v>0</v>
      </c>
      <c r="T123" s="6"/>
      <c r="U123" s="5">
        <f t="shared" si="32"/>
        <v>7</v>
      </c>
    </row>
    <row r="124" spans="1:21" x14ac:dyDescent="0.4">
      <c r="A124" s="7"/>
      <c r="B124" s="46"/>
      <c r="C124" s="24" t="s">
        <v>160</v>
      </c>
      <c r="D124" s="45"/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/>
      <c r="U124" s="5">
        <f t="shared" si="32"/>
        <v>3</v>
      </c>
    </row>
    <row r="125" spans="1:21" x14ac:dyDescent="0.4">
      <c r="A125" s="7"/>
      <c r="B125" s="46"/>
      <c r="C125" s="24" t="s">
        <v>161</v>
      </c>
      <c r="D125" s="45"/>
      <c r="E125" s="6">
        <v>0</v>
      </c>
      <c r="F125" s="6">
        <v>0</v>
      </c>
      <c r="G125" s="6">
        <v>4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/>
      <c r="U125" s="5">
        <f t="shared" si="32"/>
        <v>5</v>
      </c>
    </row>
    <row r="126" spans="1:21" x14ac:dyDescent="0.4">
      <c r="A126" s="7"/>
      <c r="B126" s="46"/>
      <c r="C126" s="24" t="s">
        <v>162</v>
      </c>
      <c r="D126" s="45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/>
      <c r="U126" s="5">
        <f t="shared" si="32"/>
        <v>1</v>
      </c>
    </row>
    <row r="127" spans="1:21" x14ac:dyDescent="0.4">
      <c r="A127" s="7"/>
      <c r="B127" s="46"/>
      <c r="C127" s="24" t="s">
        <v>163</v>
      </c>
      <c r="D127" s="45"/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/>
      <c r="U127" s="5">
        <f t="shared" si="32"/>
        <v>2</v>
      </c>
    </row>
    <row r="128" spans="1:21" x14ac:dyDescent="0.4">
      <c r="A128" s="6" t="s">
        <v>25</v>
      </c>
      <c r="B128" s="52" t="s">
        <v>50</v>
      </c>
      <c r="C128" s="53"/>
      <c r="D128" s="54"/>
      <c r="E128" s="5">
        <f t="shared" ref="E128:U128" si="33">SUM(E118:E127)</f>
        <v>12</v>
      </c>
      <c r="F128" s="5">
        <f t="shared" si="33"/>
        <v>8</v>
      </c>
      <c r="G128" s="5">
        <f t="shared" si="33"/>
        <v>7</v>
      </c>
      <c r="H128" s="5">
        <f t="shared" si="33"/>
        <v>8</v>
      </c>
      <c r="I128" s="5">
        <f t="shared" si="33"/>
        <v>2</v>
      </c>
      <c r="J128" s="5">
        <f t="shared" si="33"/>
        <v>3</v>
      </c>
      <c r="K128" s="5">
        <f t="shared" si="33"/>
        <v>8</v>
      </c>
      <c r="L128" s="5">
        <f t="shared" si="33"/>
        <v>2</v>
      </c>
      <c r="M128" s="5">
        <f t="shared" si="33"/>
        <v>2</v>
      </c>
      <c r="N128" s="5">
        <f t="shared" si="33"/>
        <v>4</v>
      </c>
      <c r="O128" s="5">
        <f t="shared" si="33"/>
        <v>2</v>
      </c>
      <c r="P128" s="5">
        <f t="shared" si="33"/>
        <v>0</v>
      </c>
      <c r="Q128" s="5">
        <f t="shared" si="33"/>
        <v>2</v>
      </c>
      <c r="R128" s="5">
        <f t="shared" si="33"/>
        <v>0</v>
      </c>
      <c r="S128" s="5">
        <f t="shared" si="33"/>
        <v>0</v>
      </c>
      <c r="T128" s="5">
        <f t="shared" si="33"/>
        <v>5</v>
      </c>
      <c r="U128" s="5">
        <f t="shared" si="33"/>
        <v>65</v>
      </c>
    </row>
    <row r="129" spans="1:21" x14ac:dyDescent="0.4">
      <c r="A129" s="55"/>
      <c r="B129" s="56"/>
      <c r="C129" s="56"/>
      <c r="D129" s="56"/>
      <c r="E129" s="5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</row>
    <row r="130" spans="1:21" ht="13.15" customHeight="1" x14ac:dyDescent="0.4">
      <c r="A130" s="11" t="s">
        <v>47</v>
      </c>
      <c r="B130" s="17" t="s">
        <v>62</v>
      </c>
      <c r="C130" s="50" t="s">
        <v>63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/>
      <c r="U130" s="5">
        <f t="shared" ref="U130:U133" si="34">SUM(E130:T130)</f>
        <v>1</v>
      </c>
    </row>
    <row r="131" spans="1:21" x14ac:dyDescent="0.4">
      <c r="A131" s="11" t="s">
        <v>49</v>
      </c>
      <c r="B131" s="46"/>
      <c r="C131" s="24" t="s">
        <v>164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/>
      <c r="U131" s="5">
        <f t="shared" si="34"/>
        <v>0</v>
      </c>
    </row>
    <row r="132" spans="1:21" x14ac:dyDescent="0.4">
      <c r="A132" s="7"/>
      <c r="B132" s="46"/>
      <c r="C132" s="24" t="s">
        <v>165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/>
      <c r="U132" s="5">
        <f t="shared" si="34"/>
        <v>1</v>
      </c>
    </row>
    <row r="133" spans="1:21" x14ac:dyDescent="0.4">
      <c r="A133" s="7"/>
      <c r="B133" s="46"/>
      <c r="C133" s="24" t="s">
        <v>166</v>
      </c>
      <c r="D133" s="45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0</v>
      </c>
      <c r="T133" s="6"/>
      <c r="U133" s="5">
        <f t="shared" si="34"/>
        <v>3</v>
      </c>
    </row>
    <row r="134" spans="1:21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U134" si="35">SUM(E130:E133)</f>
        <v>0</v>
      </c>
      <c r="F134" s="5">
        <f t="shared" si="35"/>
        <v>1</v>
      </c>
      <c r="G134" s="5">
        <f t="shared" si="35"/>
        <v>0</v>
      </c>
      <c r="H134" s="5">
        <f t="shared" si="35"/>
        <v>0</v>
      </c>
      <c r="I134" s="5">
        <f t="shared" si="35"/>
        <v>0</v>
      </c>
      <c r="J134" s="5">
        <f t="shared" si="35"/>
        <v>0</v>
      </c>
      <c r="K134" s="5">
        <f t="shared" si="35"/>
        <v>2</v>
      </c>
      <c r="L134" s="5">
        <f t="shared" si="35"/>
        <v>0</v>
      </c>
      <c r="M134" s="5">
        <f t="shared" si="35"/>
        <v>1</v>
      </c>
      <c r="N134" s="5">
        <f t="shared" si="35"/>
        <v>0</v>
      </c>
      <c r="O134" s="5">
        <f t="shared" si="35"/>
        <v>1</v>
      </c>
      <c r="P134" s="5">
        <f t="shared" si="35"/>
        <v>0</v>
      </c>
      <c r="Q134" s="5">
        <f t="shared" si="35"/>
        <v>0</v>
      </c>
      <c r="R134" s="5">
        <f t="shared" si="35"/>
        <v>0</v>
      </c>
      <c r="S134" s="5">
        <f t="shared" si="35"/>
        <v>0</v>
      </c>
      <c r="T134" s="5">
        <f t="shared" si="35"/>
        <v>0</v>
      </c>
      <c r="U134" s="5">
        <f t="shared" si="35"/>
        <v>5</v>
      </c>
    </row>
    <row r="135" spans="1:21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5"/>
    </row>
    <row r="136" spans="1:21" x14ac:dyDescent="0.4">
      <c r="A136" s="11" t="s">
        <v>47</v>
      </c>
      <c r="B136" s="44" t="s">
        <v>64</v>
      </c>
      <c r="C136" s="63" t="s">
        <v>65</v>
      </c>
      <c r="D136" s="64"/>
      <c r="E136" s="6">
        <v>0</v>
      </c>
      <c r="F136" s="6">
        <v>1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1</v>
      </c>
      <c r="M136" s="6">
        <v>0</v>
      </c>
      <c r="N136" s="6">
        <v>1</v>
      </c>
      <c r="O136" s="6">
        <v>1</v>
      </c>
      <c r="P136" s="6">
        <v>0</v>
      </c>
      <c r="Q136" s="6">
        <v>1</v>
      </c>
      <c r="R136" s="6">
        <v>0</v>
      </c>
      <c r="S136" s="6">
        <v>0</v>
      </c>
      <c r="T136" s="6"/>
      <c r="U136" s="5">
        <f t="shared" ref="U136:U143" si="36">SUM(E136:T136)</f>
        <v>6</v>
      </c>
    </row>
    <row r="137" spans="1:21" x14ac:dyDescent="0.4">
      <c r="A137" s="48" t="s">
        <v>49</v>
      </c>
      <c r="B137" s="46"/>
      <c r="C137" s="24" t="s">
        <v>167</v>
      </c>
      <c r="D137" s="45"/>
      <c r="E137" s="49">
        <v>0</v>
      </c>
      <c r="F137" s="6">
        <v>0</v>
      </c>
      <c r="G137" s="6">
        <v>1</v>
      </c>
      <c r="H137" s="6">
        <v>0</v>
      </c>
      <c r="I137" s="6">
        <v>0</v>
      </c>
      <c r="J137" s="6">
        <v>2</v>
      </c>
      <c r="K137" s="6">
        <v>1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/>
      <c r="U137" s="5">
        <f t="shared" si="36"/>
        <v>5</v>
      </c>
    </row>
    <row r="138" spans="1:21" x14ac:dyDescent="0.4">
      <c r="A138" s="7"/>
      <c r="B138" s="46"/>
      <c r="C138" s="24" t="s">
        <v>168</v>
      </c>
      <c r="D138" s="45"/>
      <c r="E138" s="49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1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/>
      <c r="U138" s="5">
        <f t="shared" si="36"/>
        <v>4</v>
      </c>
    </row>
    <row r="139" spans="1:21" x14ac:dyDescent="0.4">
      <c r="A139" s="7"/>
      <c r="B139" s="46"/>
      <c r="C139" s="24" t="s">
        <v>169</v>
      </c>
      <c r="D139" s="45"/>
      <c r="E139" s="49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5">
        <f t="shared" si="36"/>
        <v>1</v>
      </c>
    </row>
    <row r="140" spans="1:21" x14ac:dyDescent="0.4">
      <c r="A140" s="7"/>
      <c r="B140" s="46"/>
      <c r="C140" s="24" t="s">
        <v>170</v>
      </c>
      <c r="D140" s="45"/>
      <c r="E140" s="49">
        <v>0</v>
      </c>
      <c r="F140" s="6">
        <v>0</v>
      </c>
      <c r="G140" s="6">
        <v>0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5">
        <f t="shared" si="36"/>
        <v>3</v>
      </c>
    </row>
    <row r="141" spans="1:21" x14ac:dyDescent="0.4">
      <c r="A141" s="7"/>
      <c r="B141" s="46"/>
      <c r="C141" s="24" t="s">
        <v>171</v>
      </c>
      <c r="D141" s="45"/>
      <c r="E141" s="49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5">
        <f t="shared" si="36"/>
        <v>1</v>
      </c>
    </row>
    <row r="142" spans="1:21" x14ac:dyDescent="0.4">
      <c r="A142" s="7"/>
      <c r="B142" s="46"/>
      <c r="C142" s="24" t="s">
        <v>172</v>
      </c>
      <c r="D142" s="45"/>
      <c r="E142" s="49">
        <v>0</v>
      </c>
      <c r="F142" s="6">
        <v>0</v>
      </c>
      <c r="G142" s="6">
        <v>0</v>
      </c>
      <c r="H142" s="6">
        <v>0</v>
      </c>
      <c r="I142" s="6">
        <v>0</v>
      </c>
      <c r="J142" s="6">
        <v>2</v>
      </c>
      <c r="K142" s="6">
        <v>0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5">
        <f t="shared" si="36"/>
        <v>3</v>
      </c>
    </row>
    <row r="143" spans="1:21" x14ac:dyDescent="0.4">
      <c r="A143" s="7"/>
      <c r="B143" s="46"/>
      <c r="C143" s="24" t="s">
        <v>173</v>
      </c>
      <c r="D143" s="45"/>
      <c r="E143" s="49">
        <v>0</v>
      </c>
      <c r="F143" s="6">
        <v>0</v>
      </c>
      <c r="G143" s="6">
        <v>0</v>
      </c>
      <c r="H143" s="6">
        <v>0</v>
      </c>
      <c r="I143" s="6">
        <v>0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5">
        <f t="shared" si="36"/>
        <v>1</v>
      </c>
    </row>
    <row r="144" spans="1:21" x14ac:dyDescent="0.4">
      <c r="A144" s="6" t="s">
        <v>25</v>
      </c>
      <c r="B144" s="65" t="s">
        <v>50</v>
      </c>
      <c r="C144" s="66"/>
      <c r="D144" s="67"/>
      <c r="E144" s="5">
        <f t="shared" ref="E144:U144" si="37">SUM(E136:E143)</f>
        <v>1</v>
      </c>
      <c r="F144" s="5">
        <f t="shared" si="37"/>
        <v>1</v>
      </c>
      <c r="G144" s="5">
        <f t="shared" si="37"/>
        <v>1</v>
      </c>
      <c r="H144" s="5">
        <f t="shared" si="37"/>
        <v>1</v>
      </c>
      <c r="I144" s="5">
        <f t="shared" si="37"/>
        <v>1</v>
      </c>
      <c r="J144" s="5">
        <f t="shared" si="37"/>
        <v>8</v>
      </c>
      <c r="K144" s="5">
        <f t="shared" si="37"/>
        <v>3</v>
      </c>
      <c r="L144" s="5">
        <f t="shared" si="37"/>
        <v>2</v>
      </c>
      <c r="M144" s="5">
        <f t="shared" si="37"/>
        <v>0</v>
      </c>
      <c r="N144" s="5">
        <f t="shared" si="37"/>
        <v>3</v>
      </c>
      <c r="O144" s="5">
        <f t="shared" si="37"/>
        <v>1</v>
      </c>
      <c r="P144" s="5">
        <f t="shared" si="37"/>
        <v>0</v>
      </c>
      <c r="Q144" s="5">
        <f t="shared" si="37"/>
        <v>2</v>
      </c>
      <c r="R144" s="5">
        <f t="shared" si="37"/>
        <v>0</v>
      </c>
      <c r="S144" s="5">
        <f t="shared" si="37"/>
        <v>0</v>
      </c>
      <c r="T144" s="5">
        <f t="shared" si="37"/>
        <v>0</v>
      </c>
      <c r="U144" s="5">
        <f t="shared" si="37"/>
        <v>24</v>
      </c>
    </row>
    <row r="145" spans="1:21" x14ac:dyDescent="0.4">
      <c r="A145" s="55"/>
      <c r="B145" s="56"/>
      <c r="C145" s="56"/>
      <c r="D145" s="56"/>
      <c r="E145" s="5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</row>
    <row r="146" spans="1:21" ht="13.15" customHeight="1" x14ac:dyDescent="0.4">
      <c r="A146" s="11" t="s">
        <v>47</v>
      </c>
      <c r="B146" s="17" t="s">
        <v>66</v>
      </c>
      <c r="C146" s="50" t="s">
        <v>67</v>
      </c>
      <c r="D146" s="51"/>
      <c r="E146" s="6">
        <v>0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2</v>
      </c>
      <c r="U146" s="5">
        <f t="shared" ref="U146:U147" si="38">SUM(E146:T146)</f>
        <v>5</v>
      </c>
    </row>
    <row r="147" spans="1:21" x14ac:dyDescent="0.4">
      <c r="A147" s="11" t="s">
        <v>49</v>
      </c>
      <c r="B147" s="46"/>
      <c r="C147" s="24" t="s">
        <v>174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2</v>
      </c>
      <c r="J147" s="6">
        <v>1</v>
      </c>
      <c r="K147" s="6">
        <v>1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2</v>
      </c>
      <c r="U147" s="5">
        <f t="shared" si="38"/>
        <v>6</v>
      </c>
    </row>
    <row r="148" spans="1:21" x14ac:dyDescent="0.4">
      <c r="A148" s="6" t="s">
        <v>25</v>
      </c>
      <c r="B148" s="52" t="s">
        <v>50</v>
      </c>
      <c r="C148" s="53"/>
      <c r="D148" s="54"/>
      <c r="E148" s="5">
        <f t="shared" ref="E148:U148" si="39">SUM(E146:E147)</f>
        <v>0</v>
      </c>
      <c r="F148" s="5">
        <f t="shared" si="39"/>
        <v>1</v>
      </c>
      <c r="G148" s="5">
        <f t="shared" si="39"/>
        <v>0</v>
      </c>
      <c r="H148" s="5">
        <f t="shared" si="39"/>
        <v>0</v>
      </c>
      <c r="I148" s="5">
        <f t="shared" si="39"/>
        <v>2</v>
      </c>
      <c r="J148" s="5">
        <f t="shared" si="39"/>
        <v>1</v>
      </c>
      <c r="K148" s="5">
        <f t="shared" si="39"/>
        <v>2</v>
      </c>
      <c r="L148" s="5">
        <f t="shared" si="39"/>
        <v>0</v>
      </c>
      <c r="M148" s="5">
        <f t="shared" si="39"/>
        <v>1</v>
      </c>
      <c r="N148" s="5">
        <f t="shared" si="39"/>
        <v>0</v>
      </c>
      <c r="O148" s="5">
        <f t="shared" si="39"/>
        <v>0</v>
      </c>
      <c r="P148" s="5">
        <f t="shared" si="39"/>
        <v>0</v>
      </c>
      <c r="Q148" s="5">
        <f t="shared" si="39"/>
        <v>0</v>
      </c>
      <c r="R148" s="5">
        <f t="shared" si="39"/>
        <v>0</v>
      </c>
      <c r="S148" s="5">
        <f t="shared" si="39"/>
        <v>0</v>
      </c>
      <c r="T148" s="5">
        <f t="shared" si="39"/>
        <v>4</v>
      </c>
      <c r="U148" s="5">
        <f t="shared" si="39"/>
        <v>11</v>
      </c>
    </row>
    <row r="149" spans="1:21" ht="13.15" customHeight="1" x14ac:dyDescent="0.4">
      <c r="A149" s="55"/>
      <c r="B149" s="56"/>
      <c r="C149" s="56"/>
      <c r="D149" s="56"/>
      <c r="E149" s="5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</row>
    <row r="150" spans="1:21" x14ac:dyDescent="0.4">
      <c r="A150" s="11" t="s">
        <v>47</v>
      </c>
      <c r="B150" s="17" t="s">
        <v>68</v>
      </c>
      <c r="C150" s="50" t="s">
        <v>69</v>
      </c>
      <c r="D150" s="51"/>
      <c r="E150" s="6">
        <v>1</v>
      </c>
      <c r="F150" s="6">
        <v>3</v>
      </c>
      <c r="G150" s="6">
        <v>0</v>
      </c>
      <c r="H150" s="6">
        <v>1</v>
      </c>
      <c r="I150" s="6">
        <v>1</v>
      </c>
      <c r="J150" s="6">
        <v>2</v>
      </c>
      <c r="K150" s="6">
        <v>3</v>
      </c>
      <c r="L150" s="6">
        <v>1</v>
      </c>
      <c r="M150" s="6">
        <v>2</v>
      </c>
      <c r="N150" s="6">
        <v>3</v>
      </c>
      <c r="O150" s="6">
        <v>1</v>
      </c>
      <c r="P150" s="6">
        <v>0</v>
      </c>
      <c r="Q150" s="6">
        <v>0</v>
      </c>
      <c r="R150" s="6">
        <v>0</v>
      </c>
      <c r="S150" s="6">
        <v>6</v>
      </c>
      <c r="T150" s="6">
        <v>1</v>
      </c>
      <c r="U150" s="5">
        <f t="shared" ref="U150:U159" si="40">SUM(E150:T150)</f>
        <v>25</v>
      </c>
    </row>
    <row r="151" spans="1:21" x14ac:dyDescent="0.4">
      <c r="A151" s="11" t="s">
        <v>49</v>
      </c>
      <c r="B151" s="46"/>
      <c r="C151" s="24" t="s">
        <v>175</v>
      </c>
      <c r="D151" s="45"/>
      <c r="E151" s="6">
        <v>0</v>
      </c>
      <c r="F151" s="6">
        <v>2</v>
      </c>
      <c r="G151" s="6">
        <v>4</v>
      </c>
      <c r="H151" s="6">
        <v>1</v>
      </c>
      <c r="I151" s="6">
        <v>2</v>
      </c>
      <c r="J151" s="6">
        <v>3</v>
      </c>
      <c r="K151" s="6">
        <v>6</v>
      </c>
      <c r="L151" s="6">
        <v>1</v>
      </c>
      <c r="M151" s="6">
        <v>5</v>
      </c>
      <c r="N151" s="6">
        <v>5</v>
      </c>
      <c r="O151" s="6">
        <v>31</v>
      </c>
      <c r="P151" s="6">
        <v>10</v>
      </c>
      <c r="Q151" s="6">
        <v>10</v>
      </c>
      <c r="R151" s="6">
        <v>1</v>
      </c>
      <c r="S151" s="6">
        <v>8</v>
      </c>
      <c r="T151" s="6">
        <v>6</v>
      </c>
      <c r="U151" s="5">
        <f t="shared" si="40"/>
        <v>95</v>
      </c>
    </row>
    <row r="152" spans="1:21" x14ac:dyDescent="0.4">
      <c r="A152" s="7"/>
      <c r="B152" s="46"/>
      <c r="C152" s="24" t="s">
        <v>176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1</v>
      </c>
      <c r="M152" s="6">
        <v>1</v>
      </c>
      <c r="N152" s="6">
        <v>1</v>
      </c>
      <c r="O152" s="6">
        <v>0</v>
      </c>
      <c r="P152" s="6">
        <v>1</v>
      </c>
      <c r="Q152" s="6">
        <v>0</v>
      </c>
      <c r="R152" s="6">
        <v>1</v>
      </c>
      <c r="S152" s="6">
        <v>0</v>
      </c>
      <c r="T152" s="6">
        <v>2</v>
      </c>
      <c r="U152" s="5">
        <f t="shared" si="40"/>
        <v>7</v>
      </c>
    </row>
    <row r="153" spans="1:21" x14ac:dyDescent="0.4">
      <c r="A153" s="7"/>
      <c r="B153" s="46"/>
      <c r="C153" s="24" t="s">
        <v>177</v>
      </c>
      <c r="D153" s="45"/>
      <c r="E153" s="6">
        <v>0</v>
      </c>
      <c r="F153" s="6">
        <v>1</v>
      </c>
      <c r="G153" s="6">
        <v>0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/>
      <c r="U153" s="5">
        <f t="shared" si="40"/>
        <v>2</v>
      </c>
    </row>
    <row r="154" spans="1:21" x14ac:dyDescent="0.4">
      <c r="A154" s="7"/>
      <c r="B154" s="46"/>
      <c r="C154" s="24" t="s">
        <v>178</v>
      </c>
      <c r="D154" s="45"/>
      <c r="E154" s="6">
        <v>1</v>
      </c>
      <c r="F154" s="6">
        <v>1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1</v>
      </c>
      <c r="U154" s="5">
        <f t="shared" si="40"/>
        <v>5</v>
      </c>
    </row>
    <row r="155" spans="1:21" x14ac:dyDescent="0.4">
      <c r="A155" s="7"/>
      <c r="B155" s="46"/>
      <c r="C155" s="24" t="s">
        <v>179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/>
      <c r="U155" s="5">
        <f t="shared" si="40"/>
        <v>2</v>
      </c>
    </row>
    <row r="156" spans="1:21" x14ac:dyDescent="0.4">
      <c r="A156" s="7"/>
      <c r="B156" s="46"/>
      <c r="C156" s="24" t="s">
        <v>180</v>
      </c>
      <c r="D156" s="45"/>
      <c r="E156" s="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5">
        <f t="shared" si="40"/>
        <v>2</v>
      </c>
    </row>
    <row r="157" spans="1:21" x14ac:dyDescent="0.4">
      <c r="A157" s="7"/>
      <c r="B157" s="46"/>
      <c r="C157" s="24" t="s">
        <v>181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1</v>
      </c>
      <c r="T157" s="6"/>
      <c r="U157" s="5">
        <f t="shared" si="40"/>
        <v>2</v>
      </c>
    </row>
    <row r="158" spans="1:21" x14ac:dyDescent="0.4">
      <c r="A158" s="7"/>
      <c r="B158" s="46"/>
      <c r="C158" s="24" t="s">
        <v>182</v>
      </c>
      <c r="D158" s="45"/>
      <c r="E158" s="6">
        <v>1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6">
        <v>0</v>
      </c>
      <c r="O158" s="6">
        <v>1</v>
      </c>
      <c r="P158" s="6">
        <v>0</v>
      </c>
      <c r="Q158" s="6">
        <v>0</v>
      </c>
      <c r="R158" s="6">
        <v>0</v>
      </c>
      <c r="S158" s="6">
        <v>0</v>
      </c>
      <c r="T158" s="6"/>
      <c r="U158" s="5">
        <f t="shared" si="40"/>
        <v>3</v>
      </c>
    </row>
    <row r="159" spans="1:21" x14ac:dyDescent="0.4">
      <c r="A159" s="7"/>
      <c r="B159" s="46"/>
      <c r="C159" s="24" t="s">
        <v>183</v>
      </c>
      <c r="D159" s="45"/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5">
        <f t="shared" si="40"/>
        <v>1</v>
      </c>
    </row>
    <row r="160" spans="1:21" ht="13.15" customHeight="1" x14ac:dyDescent="0.4">
      <c r="A160" s="6" t="s">
        <v>25</v>
      </c>
      <c r="B160" s="52" t="s">
        <v>50</v>
      </c>
      <c r="C160" s="53"/>
      <c r="D160" s="54"/>
      <c r="E160" s="5">
        <f t="shared" ref="E160:U160" si="41">SUM(E150:E159)</f>
        <v>5</v>
      </c>
      <c r="F160" s="5">
        <f t="shared" si="41"/>
        <v>7</v>
      </c>
      <c r="G160" s="5">
        <f t="shared" si="41"/>
        <v>4</v>
      </c>
      <c r="H160" s="5">
        <f t="shared" si="41"/>
        <v>2</v>
      </c>
      <c r="I160" s="5">
        <f t="shared" si="41"/>
        <v>5</v>
      </c>
      <c r="J160" s="5">
        <f t="shared" si="41"/>
        <v>6</v>
      </c>
      <c r="K160" s="5">
        <f t="shared" si="41"/>
        <v>10</v>
      </c>
      <c r="L160" s="5">
        <f t="shared" si="41"/>
        <v>3</v>
      </c>
      <c r="M160" s="5">
        <f t="shared" si="41"/>
        <v>10</v>
      </c>
      <c r="N160" s="5">
        <f t="shared" si="41"/>
        <v>9</v>
      </c>
      <c r="O160" s="5">
        <f t="shared" si="41"/>
        <v>33</v>
      </c>
      <c r="P160" s="5">
        <f t="shared" si="41"/>
        <v>11</v>
      </c>
      <c r="Q160" s="5">
        <f t="shared" si="41"/>
        <v>11</v>
      </c>
      <c r="R160" s="5">
        <f t="shared" si="41"/>
        <v>2</v>
      </c>
      <c r="S160" s="5">
        <f t="shared" si="41"/>
        <v>15</v>
      </c>
      <c r="T160" s="5">
        <f t="shared" si="41"/>
        <v>11</v>
      </c>
      <c r="U160" s="5">
        <f t="shared" si="41"/>
        <v>144</v>
      </c>
    </row>
    <row r="161" spans="1:21" x14ac:dyDescent="0.4">
      <c r="A161" s="55"/>
      <c r="B161" s="56"/>
      <c r="C161" s="56"/>
      <c r="D161" s="56"/>
      <c r="E161" s="5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5"/>
    </row>
    <row r="162" spans="1:21" x14ac:dyDescent="0.4">
      <c r="A162" s="11" t="s">
        <v>47</v>
      </c>
      <c r="B162" s="17" t="s">
        <v>70</v>
      </c>
      <c r="C162" s="50" t="s">
        <v>71</v>
      </c>
      <c r="D162" s="51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1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1</v>
      </c>
      <c r="U162" s="5">
        <f t="shared" ref="U162:U171" si="42">SUM(E162:T162)</f>
        <v>2</v>
      </c>
    </row>
    <row r="163" spans="1:21" x14ac:dyDescent="0.4">
      <c r="A163" s="11" t="s">
        <v>49</v>
      </c>
      <c r="B163" s="46"/>
      <c r="C163" s="24" t="s">
        <v>184</v>
      </c>
      <c r="D163" s="45"/>
      <c r="E163" s="6">
        <v>0</v>
      </c>
      <c r="F163" s="6">
        <v>0</v>
      </c>
      <c r="G163" s="6">
        <v>0</v>
      </c>
      <c r="H163" s="6">
        <v>1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/>
      <c r="U163" s="5">
        <f t="shared" si="42"/>
        <v>1</v>
      </c>
    </row>
    <row r="164" spans="1:21" x14ac:dyDescent="0.4">
      <c r="A164" s="7"/>
      <c r="B164" s="46"/>
      <c r="C164" s="24" t="s">
        <v>185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1</v>
      </c>
      <c r="R164" s="6">
        <v>0</v>
      </c>
      <c r="S164" s="6">
        <v>0</v>
      </c>
      <c r="T164" s="6"/>
      <c r="U164" s="5">
        <f t="shared" si="42"/>
        <v>1</v>
      </c>
    </row>
    <row r="165" spans="1:21" x14ac:dyDescent="0.4">
      <c r="A165" s="7"/>
      <c r="B165" s="46"/>
      <c r="C165" s="24" t="s">
        <v>186</v>
      </c>
      <c r="D165" s="45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5">
        <f t="shared" si="42"/>
        <v>1</v>
      </c>
    </row>
    <row r="166" spans="1:21" x14ac:dyDescent="0.4">
      <c r="A166" s="7"/>
      <c r="B166" s="46"/>
      <c r="C166" s="24" t="s">
        <v>187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/>
      <c r="U166" s="5">
        <f t="shared" si="42"/>
        <v>0</v>
      </c>
    </row>
    <row r="167" spans="1:21" x14ac:dyDescent="0.4">
      <c r="A167" s="7"/>
      <c r="B167" s="46"/>
      <c r="C167" s="24" t="s">
        <v>188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5">
        <f t="shared" si="42"/>
        <v>0</v>
      </c>
    </row>
    <row r="168" spans="1:21" x14ac:dyDescent="0.4">
      <c r="A168" s="7"/>
      <c r="B168" s="46"/>
      <c r="C168" s="24" t="s">
        <v>189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5">
        <f t="shared" si="42"/>
        <v>0</v>
      </c>
    </row>
    <row r="169" spans="1:21" ht="13.15" customHeight="1" x14ac:dyDescent="0.4">
      <c r="A169" s="7"/>
      <c r="B169" s="46"/>
      <c r="C169" s="24" t="s">
        <v>190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5">
        <f t="shared" si="42"/>
        <v>0</v>
      </c>
    </row>
    <row r="170" spans="1:21" ht="13.15" customHeight="1" x14ac:dyDescent="0.4">
      <c r="A170" s="7"/>
      <c r="B170" s="46"/>
      <c r="C170" s="24" t="s">
        <v>191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5">
        <f t="shared" si="42"/>
        <v>0</v>
      </c>
    </row>
    <row r="171" spans="1:21" ht="13.15" customHeight="1" x14ac:dyDescent="0.4">
      <c r="A171" s="7"/>
      <c r="B171" s="46"/>
      <c r="C171" s="24" t="s">
        <v>192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1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/>
      <c r="U171" s="5">
        <f t="shared" si="42"/>
        <v>1</v>
      </c>
    </row>
    <row r="172" spans="1:21" x14ac:dyDescent="0.4">
      <c r="A172" s="6" t="s">
        <v>25</v>
      </c>
      <c r="B172" s="52" t="s">
        <v>50</v>
      </c>
      <c r="C172" s="53"/>
      <c r="D172" s="54"/>
      <c r="E172" s="5">
        <f t="shared" ref="E172:U172" si="43">SUM(E162:E171)</f>
        <v>0</v>
      </c>
      <c r="F172" s="5">
        <f t="shared" si="43"/>
        <v>1</v>
      </c>
      <c r="G172" s="5">
        <f t="shared" si="43"/>
        <v>0</v>
      </c>
      <c r="H172" s="5">
        <f t="shared" si="43"/>
        <v>1</v>
      </c>
      <c r="I172" s="5">
        <f t="shared" si="43"/>
        <v>0</v>
      </c>
      <c r="J172" s="5">
        <f t="shared" si="43"/>
        <v>0</v>
      </c>
      <c r="K172" s="5">
        <f t="shared" si="43"/>
        <v>1</v>
      </c>
      <c r="L172" s="5">
        <f t="shared" si="43"/>
        <v>1</v>
      </c>
      <c r="M172" s="5">
        <f t="shared" si="43"/>
        <v>0</v>
      </c>
      <c r="N172" s="5">
        <f t="shared" si="43"/>
        <v>0</v>
      </c>
      <c r="O172" s="5">
        <f t="shared" si="43"/>
        <v>0</v>
      </c>
      <c r="P172" s="5">
        <f t="shared" si="43"/>
        <v>0</v>
      </c>
      <c r="Q172" s="5">
        <f t="shared" si="43"/>
        <v>1</v>
      </c>
      <c r="R172" s="5">
        <f t="shared" si="43"/>
        <v>0</v>
      </c>
      <c r="S172" s="5">
        <f t="shared" si="43"/>
        <v>0</v>
      </c>
      <c r="T172" s="5">
        <f t="shared" si="43"/>
        <v>1</v>
      </c>
      <c r="U172" s="5">
        <f t="shared" si="43"/>
        <v>6</v>
      </c>
    </row>
    <row r="173" spans="1:21" x14ac:dyDescent="0.4">
      <c r="A173" s="55"/>
      <c r="B173" s="56"/>
      <c r="C173" s="56"/>
      <c r="D173" s="56"/>
      <c r="E173" s="5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</row>
    <row r="174" spans="1:21" x14ac:dyDescent="0.4">
      <c r="A174" s="11" t="s">
        <v>47</v>
      </c>
      <c r="B174" s="17" t="s">
        <v>72</v>
      </c>
      <c r="C174" s="50" t="s">
        <v>73</v>
      </c>
      <c r="D174" s="51"/>
      <c r="E174" s="6">
        <v>4</v>
      </c>
      <c r="F174" s="6">
        <v>8</v>
      </c>
      <c r="G174" s="6">
        <v>3</v>
      </c>
      <c r="H174" s="6">
        <v>1</v>
      </c>
      <c r="I174" s="6">
        <v>5</v>
      </c>
      <c r="J174" s="6">
        <v>4</v>
      </c>
      <c r="K174" s="6">
        <v>7</v>
      </c>
      <c r="L174" s="6">
        <v>1</v>
      </c>
      <c r="M174" s="6">
        <v>2</v>
      </c>
      <c r="N174" s="6">
        <v>7</v>
      </c>
      <c r="O174" s="6">
        <v>1</v>
      </c>
      <c r="P174" s="6">
        <v>2</v>
      </c>
      <c r="Q174" s="6">
        <v>0</v>
      </c>
      <c r="R174" s="6">
        <v>1</v>
      </c>
      <c r="S174" s="6">
        <v>4</v>
      </c>
      <c r="T174" s="6">
        <v>3</v>
      </c>
      <c r="U174" s="5">
        <f t="shared" ref="U174:U183" si="44">SUM(E174:T174)</f>
        <v>53</v>
      </c>
    </row>
    <row r="175" spans="1:21" x14ac:dyDescent="0.4">
      <c r="A175" s="11" t="s">
        <v>49</v>
      </c>
      <c r="B175" s="46"/>
      <c r="C175" s="24" t="s">
        <v>193</v>
      </c>
      <c r="D175" s="45"/>
      <c r="E175" s="6">
        <v>6</v>
      </c>
      <c r="F175" s="6">
        <v>3</v>
      </c>
      <c r="G175" s="6">
        <v>0</v>
      </c>
      <c r="H175" s="6">
        <v>2</v>
      </c>
      <c r="I175" s="6">
        <v>2</v>
      </c>
      <c r="J175" s="6">
        <v>0</v>
      </c>
      <c r="K175" s="6">
        <v>5</v>
      </c>
      <c r="L175" s="6">
        <v>0</v>
      </c>
      <c r="M175" s="6">
        <v>3</v>
      </c>
      <c r="N175" s="6">
        <v>1</v>
      </c>
      <c r="O175" s="6">
        <v>0</v>
      </c>
      <c r="P175" s="6">
        <v>0</v>
      </c>
      <c r="Q175" s="6">
        <v>0</v>
      </c>
      <c r="R175" s="6">
        <v>2</v>
      </c>
      <c r="S175" s="6">
        <v>1</v>
      </c>
      <c r="T175" s="6"/>
      <c r="U175" s="5">
        <f t="shared" si="44"/>
        <v>25</v>
      </c>
    </row>
    <row r="176" spans="1:21" x14ac:dyDescent="0.4">
      <c r="A176" s="7"/>
      <c r="B176" s="46"/>
      <c r="C176" s="24" t="s">
        <v>194</v>
      </c>
      <c r="D176" s="45"/>
      <c r="E176" s="6">
        <v>4</v>
      </c>
      <c r="F176" s="6">
        <v>10</v>
      </c>
      <c r="G176" s="6">
        <v>1</v>
      </c>
      <c r="H176" s="6">
        <v>2</v>
      </c>
      <c r="I176" s="6">
        <v>4</v>
      </c>
      <c r="J176" s="6">
        <v>2</v>
      </c>
      <c r="K176" s="6">
        <v>5</v>
      </c>
      <c r="L176" s="6">
        <v>2</v>
      </c>
      <c r="M176" s="6">
        <v>4</v>
      </c>
      <c r="N176" s="6">
        <v>13</v>
      </c>
      <c r="O176" s="6">
        <v>0</v>
      </c>
      <c r="P176" s="6">
        <v>1</v>
      </c>
      <c r="Q176" s="6">
        <v>0</v>
      </c>
      <c r="R176" s="6">
        <v>1</v>
      </c>
      <c r="S176" s="6">
        <v>5</v>
      </c>
      <c r="T176" s="6">
        <v>2</v>
      </c>
      <c r="U176" s="5">
        <f t="shared" si="44"/>
        <v>56</v>
      </c>
    </row>
    <row r="177" spans="1:21" x14ac:dyDescent="0.4">
      <c r="A177" s="7"/>
      <c r="B177" s="46"/>
      <c r="C177" s="24" t="s">
        <v>195</v>
      </c>
      <c r="D177" s="45"/>
      <c r="E177" s="6">
        <v>7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/>
      <c r="U177" s="5">
        <f t="shared" si="44"/>
        <v>9</v>
      </c>
    </row>
    <row r="178" spans="1:21" x14ac:dyDescent="0.4">
      <c r="A178" s="7"/>
      <c r="B178" s="46"/>
      <c r="C178" s="24" t="s">
        <v>196</v>
      </c>
      <c r="D178" s="45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1</v>
      </c>
      <c r="K178" s="6">
        <v>1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/>
      <c r="U178" s="5">
        <f t="shared" si="44"/>
        <v>4</v>
      </c>
    </row>
    <row r="179" spans="1:21" x14ac:dyDescent="0.4">
      <c r="A179" s="7"/>
      <c r="B179" s="46"/>
      <c r="C179" s="24" t="s">
        <v>197</v>
      </c>
      <c r="D179" s="45"/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/>
      <c r="U179" s="5">
        <f t="shared" si="44"/>
        <v>1</v>
      </c>
    </row>
    <row r="180" spans="1:21" ht="13.15" customHeight="1" x14ac:dyDescent="0.4">
      <c r="A180" s="7"/>
      <c r="B180" s="46"/>
      <c r="C180" s="24" t="s">
        <v>198</v>
      </c>
      <c r="D180" s="45"/>
      <c r="E180" s="6">
        <v>0</v>
      </c>
      <c r="F180" s="6">
        <v>0</v>
      </c>
      <c r="G180" s="6">
        <v>0</v>
      </c>
      <c r="H180" s="6">
        <v>1</v>
      </c>
      <c r="I180" s="6">
        <v>1</v>
      </c>
      <c r="J180" s="6">
        <v>0</v>
      </c>
      <c r="K180" s="6">
        <v>1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/>
      <c r="U180" s="5">
        <f t="shared" si="44"/>
        <v>4</v>
      </c>
    </row>
    <row r="181" spans="1:21" x14ac:dyDescent="0.4">
      <c r="A181" s="7"/>
      <c r="B181" s="46"/>
      <c r="C181" s="24" t="s">
        <v>199</v>
      </c>
      <c r="D181" s="45"/>
      <c r="E181" s="6">
        <v>0</v>
      </c>
      <c r="F181" s="6">
        <v>0</v>
      </c>
      <c r="G181" s="6">
        <v>0</v>
      </c>
      <c r="H181" s="6">
        <v>1</v>
      </c>
      <c r="I181" s="6">
        <v>0</v>
      </c>
      <c r="J181" s="6">
        <v>0</v>
      </c>
      <c r="K181" s="6">
        <v>2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/>
      <c r="U181" s="5">
        <f t="shared" si="44"/>
        <v>3</v>
      </c>
    </row>
    <row r="182" spans="1:21" x14ac:dyDescent="0.4">
      <c r="A182" s="7"/>
      <c r="B182" s="46"/>
      <c r="C182" s="24" t="s">
        <v>200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5">
        <f t="shared" si="44"/>
        <v>0</v>
      </c>
    </row>
    <row r="183" spans="1:21" x14ac:dyDescent="0.4">
      <c r="A183" s="7"/>
      <c r="B183" s="46"/>
      <c r="C183" s="24" t="s">
        <v>201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1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1</v>
      </c>
      <c r="S183" s="6">
        <v>0</v>
      </c>
      <c r="T183" s="6"/>
      <c r="U183" s="5">
        <f t="shared" si="44"/>
        <v>4</v>
      </c>
    </row>
    <row r="184" spans="1:21" x14ac:dyDescent="0.4">
      <c r="A184" s="6" t="s">
        <v>25</v>
      </c>
      <c r="B184" s="52" t="s">
        <v>50</v>
      </c>
      <c r="C184" s="53"/>
      <c r="D184" s="54"/>
      <c r="E184" s="5">
        <f t="shared" ref="E184:U184" si="45">SUM(E174:E183)</f>
        <v>21</v>
      </c>
      <c r="F184" s="5">
        <f t="shared" si="45"/>
        <v>23</v>
      </c>
      <c r="G184" s="5">
        <f t="shared" si="45"/>
        <v>4</v>
      </c>
      <c r="H184" s="5">
        <f t="shared" si="45"/>
        <v>8</v>
      </c>
      <c r="I184" s="5">
        <f t="shared" si="45"/>
        <v>12</v>
      </c>
      <c r="J184" s="5">
        <f t="shared" si="45"/>
        <v>7</v>
      </c>
      <c r="K184" s="5">
        <f t="shared" si="45"/>
        <v>22</v>
      </c>
      <c r="L184" s="5">
        <f t="shared" si="45"/>
        <v>4</v>
      </c>
      <c r="M184" s="5">
        <f t="shared" si="45"/>
        <v>9</v>
      </c>
      <c r="N184" s="5">
        <f t="shared" si="45"/>
        <v>23</v>
      </c>
      <c r="O184" s="5">
        <f t="shared" si="45"/>
        <v>2</v>
      </c>
      <c r="P184" s="5">
        <f t="shared" si="45"/>
        <v>3</v>
      </c>
      <c r="Q184" s="5">
        <f t="shared" si="45"/>
        <v>1</v>
      </c>
      <c r="R184" s="5">
        <f t="shared" si="45"/>
        <v>5</v>
      </c>
      <c r="S184" s="5">
        <f t="shared" si="45"/>
        <v>10</v>
      </c>
      <c r="T184" s="5">
        <f t="shared" si="45"/>
        <v>5</v>
      </c>
      <c r="U184" s="5">
        <f t="shared" si="45"/>
        <v>159</v>
      </c>
    </row>
    <row r="185" spans="1:21" x14ac:dyDescent="0.4">
      <c r="A185" s="55"/>
      <c r="B185" s="56"/>
      <c r="C185" s="56"/>
      <c r="D185" s="56"/>
      <c r="E185" s="5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</row>
    <row r="186" spans="1:21" x14ac:dyDescent="0.4">
      <c r="A186" s="11" t="s">
        <v>47</v>
      </c>
      <c r="B186" s="17" t="s">
        <v>74</v>
      </c>
      <c r="C186" s="50" t="s">
        <v>75</v>
      </c>
      <c r="D186" s="51"/>
      <c r="E186" s="6">
        <v>2</v>
      </c>
      <c r="F186" s="6">
        <v>2</v>
      </c>
      <c r="G186" s="6">
        <v>2</v>
      </c>
      <c r="H186" s="6">
        <v>1</v>
      </c>
      <c r="I186" s="6">
        <v>1</v>
      </c>
      <c r="J186" s="6">
        <v>1</v>
      </c>
      <c r="K186" s="6">
        <v>1</v>
      </c>
      <c r="L186" s="6">
        <v>0</v>
      </c>
      <c r="M186" s="6">
        <v>1</v>
      </c>
      <c r="N186" s="6">
        <v>0</v>
      </c>
      <c r="O186" s="6">
        <v>0</v>
      </c>
      <c r="P186" s="6">
        <v>1</v>
      </c>
      <c r="Q186" s="6">
        <v>1</v>
      </c>
      <c r="R186" s="6">
        <v>0</v>
      </c>
      <c r="S186" s="6">
        <v>2</v>
      </c>
      <c r="T186" s="6"/>
      <c r="U186" s="5">
        <f t="shared" ref="U186:U189" si="46">SUM(E186:T186)</f>
        <v>15</v>
      </c>
    </row>
    <row r="187" spans="1:21" x14ac:dyDescent="0.4">
      <c r="A187" s="11" t="s">
        <v>49</v>
      </c>
      <c r="B187" s="46"/>
      <c r="C187" s="24" t="s">
        <v>202</v>
      </c>
      <c r="D187" s="45"/>
      <c r="E187" s="6">
        <v>2</v>
      </c>
      <c r="F187" s="6">
        <v>0</v>
      </c>
      <c r="G187" s="6">
        <v>2</v>
      </c>
      <c r="H187" s="6">
        <v>2</v>
      </c>
      <c r="I187" s="6">
        <v>0</v>
      </c>
      <c r="J187" s="6">
        <v>1</v>
      </c>
      <c r="K187" s="6">
        <v>0</v>
      </c>
      <c r="L187" s="6">
        <v>1</v>
      </c>
      <c r="M187" s="6">
        <v>1</v>
      </c>
      <c r="N187" s="6">
        <v>1</v>
      </c>
      <c r="O187" s="6">
        <v>0</v>
      </c>
      <c r="P187" s="6">
        <v>0</v>
      </c>
      <c r="Q187" s="6">
        <v>2</v>
      </c>
      <c r="R187" s="6">
        <v>1</v>
      </c>
      <c r="S187" s="6">
        <v>0</v>
      </c>
      <c r="T187" s="6"/>
      <c r="U187" s="5">
        <f t="shared" si="46"/>
        <v>13</v>
      </c>
    </row>
    <row r="188" spans="1:21" x14ac:dyDescent="0.4">
      <c r="A188" s="7"/>
      <c r="B188" s="46"/>
      <c r="C188" s="24" t="s">
        <v>203</v>
      </c>
      <c r="D188" s="45"/>
      <c r="E188" s="6">
        <v>4</v>
      </c>
      <c r="F188" s="6">
        <v>1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1</v>
      </c>
      <c r="R188" s="6">
        <v>3</v>
      </c>
      <c r="S188" s="6">
        <v>1</v>
      </c>
      <c r="T188" s="6">
        <v>2</v>
      </c>
      <c r="U188" s="5">
        <f t="shared" si="46"/>
        <v>13</v>
      </c>
    </row>
    <row r="189" spans="1:21" x14ac:dyDescent="0.4">
      <c r="A189" s="7"/>
      <c r="B189" s="46"/>
      <c r="C189" s="24" t="s">
        <v>204</v>
      </c>
      <c r="D189" s="45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  <c r="S189" s="6">
        <v>0</v>
      </c>
      <c r="T189" s="6"/>
      <c r="U189" s="5">
        <f t="shared" si="46"/>
        <v>3</v>
      </c>
    </row>
    <row r="190" spans="1:21" x14ac:dyDescent="0.4">
      <c r="A190" s="6" t="s">
        <v>25</v>
      </c>
      <c r="B190" s="52" t="s">
        <v>50</v>
      </c>
      <c r="C190" s="53"/>
      <c r="D190" s="54"/>
      <c r="E190" s="5">
        <f t="shared" ref="E190:U190" si="47">SUM(E186:E189)</f>
        <v>9</v>
      </c>
      <c r="F190" s="5">
        <f t="shared" si="47"/>
        <v>3</v>
      </c>
      <c r="G190" s="5">
        <f t="shared" si="47"/>
        <v>5</v>
      </c>
      <c r="H190" s="5">
        <f t="shared" si="47"/>
        <v>3</v>
      </c>
      <c r="I190" s="5">
        <f t="shared" si="47"/>
        <v>1</v>
      </c>
      <c r="J190" s="5">
        <f t="shared" si="47"/>
        <v>3</v>
      </c>
      <c r="K190" s="5">
        <f t="shared" si="47"/>
        <v>1</v>
      </c>
      <c r="L190" s="5">
        <f t="shared" si="47"/>
        <v>1</v>
      </c>
      <c r="M190" s="5">
        <f t="shared" si="47"/>
        <v>2</v>
      </c>
      <c r="N190" s="5">
        <f t="shared" si="47"/>
        <v>1</v>
      </c>
      <c r="O190" s="5">
        <f t="shared" si="47"/>
        <v>0</v>
      </c>
      <c r="P190" s="5">
        <f t="shared" si="47"/>
        <v>1</v>
      </c>
      <c r="Q190" s="5">
        <f t="shared" si="47"/>
        <v>4</v>
      </c>
      <c r="R190" s="5">
        <f t="shared" si="47"/>
        <v>5</v>
      </c>
      <c r="S190" s="5">
        <f t="shared" si="47"/>
        <v>3</v>
      </c>
      <c r="T190" s="5">
        <f t="shared" si="47"/>
        <v>2</v>
      </c>
      <c r="U190" s="5">
        <f t="shared" si="47"/>
        <v>44</v>
      </c>
    </row>
    <row r="191" spans="1:21" x14ac:dyDescent="0.4">
      <c r="A191" s="55"/>
      <c r="B191" s="56"/>
      <c r="C191" s="56"/>
      <c r="D191" s="56"/>
      <c r="E191" s="5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</row>
    <row r="192" spans="1:21" x14ac:dyDescent="0.4">
      <c r="A192" s="11" t="s">
        <v>47</v>
      </c>
      <c r="B192" s="17" t="s">
        <v>76</v>
      </c>
      <c r="C192" s="50" t="s">
        <v>77</v>
      </c>
      <c r="D192" s="51"/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/>
      <c r="U192" s="5">
        <f t="shared" ref="U192:U196" si="48">SUM(E192:T192)</f>
        <v>4</v>
      </c>
    </row>
    <row r="193" spans="1:21" x14ac:dyDescent="0.4">
      <c r="A193" s="11" t="s">
        <v>49</v>
      </c>
      <c r="B193" s="46"/>
      <c r="C193" s="24" t="s">
        <v>205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/>
      <c r="U193" s="5">
        <f t="shared" si="48"/>
        <v>1</v>
      </c>
    </row>
    <row r="194" spans="1:21" x14ac:dyDescent="0.4">
      <c r="A194" s="7"/>
      <c r="B194" s="46"/>
      <c r="C194" s="24" t="s">
        <v>206</v>
      </c>
      <c r="D194" s="45"/>
      <c r="E194" s="6">
        <v>0</v>
      </c>
      <c r="F194" s="6">
        <v>0</v>
      </c>
      <c r="G194" s="6">
        <v>1</v>
      </c>
      <c r="H194" s="6">
        <v>1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1</v>
      </c>
      <c r="U194" s="5">
        <f t="shared" si="48"/>
        <v>4</v>
      </c>
    </row>
    <row r="195" spans="1:21" x14ac:dyDescent="0.4">
      <c r="A195" s="7"/>
      <c r="B195" s="46"/>
      <c r="C195" s="24" t="s">
        <v>207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/>
      <c r="U195" s="5">
        <f t="shared" si="48"/>
        <v>0</v>
      </c>
    </row>
    <row r="196" spans="1:21" ht="13.15" customHeight="1" x14ac:dyDescent="0.4">
      <c r="A196" s="7"/>
      <c r="B196" s="46"/>
      <c r="C196" s="24" t="s">
        <v>208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/>
      <c r="U196" s="5">
        <f t="shared" si="48"/>
        <v>0</v>
      </c>
    </row>
    <row r="197" spans="1:21" x14ac:dyDescent="0.4">
      <c r="A197" s="6" t="s">
        <v>25</v>
      </c>
      <c r="B197" s="52" t="s">
        <v>50</v>
      </c>
      <c r="C197" s="53"/>
      <c r="D197" s="54"/>
      <c r="E197" s="5">
        <f t="shared" ref="E197:U197" si="49">SUM(E192:E196)</f>
        <v>1</v>
      </c>
      <c r="F197" s="5">
        <f t="shared" si="49"/>
        <v>0</v>
      </c>
      <c r="G197" s="5">
        <f t="shared" si="49"/>
        <v>1</v>
      </c>
      <c r="H197" s="5">
        <f t="shared" si="49"/>
        <v>1</v>
      </c>
      <c r="I197" s="5">
        <f t="shared" si="49"/>
        <v>0</v>
      </c>
      <c r="J197" s="5">
        <f t="shared" si="49"/>
        <v>1</v>
      </c>
      <c r="K197" s="5">
        <f t="shared" si="49"/>
        <v>0</v>
      </c>
      <c r="L197" s="5">
        <f t="shared" si="49"/>
        <v>0</v>
      </c>
      <c r="M197" s="5">
        <f t="shared" si="49"/>
        <v>0</v>
      </c>
      <c r="N197" s="5">
        <f t="shared" si="49"/>
        <v>2</v>
      </c>
      <c r="O197" s="5">
        <f t="shared" si="49"/>
        <v>0</v>
      </c>
      <c r="P197" s="5">
        <f t="shared" si="49"/>
        <v>0</v>
      </c>
      <c r="Q197" s="5">
        <f t="shared" si="49"/>
        <v>1</v>
      </c>
      <c r="R197" s="5">
        <f t="shared" si="49"/>
        <v>0</v>
      </c>
      <c r="S197" s="5">
        <f t="shared" si="49"/>
        <v>1</v>
      </c>
      <c r="T197" s="5">
        <f t="shared" si="49"/>
        <v>1</v>
      </c>
      <c r="U197" s="5">
        <f t="shared" si="49"/>
        <v>9</v>
      </c>
    </row>
    <row r="198" spans="1:21" x14ac:dyDescent="0.4">
      <c r="A198" s="55"/>
      <c r="B198" s="56"/>
      <c r="C198" s="56"/>
      <c r="D198" s="56"/>
      <c r="E198" s="5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</row>
    <row r="199" spans="1:21" x14ac:dyDescent="0.4">
      <c r="A199" s="11" t="s">
        <v>47</v>
      </c>
      <c r="B199" s="17" t="s">
        <v>78</v>
      </c>
      <c r="C199" s="50" t="s">
        <v>79</v>
      </c>
      <c r="D199" s="51"/>
      <c r="E199" s="6">
        <v>0</v>
      </c>
      <c r="F199" s="6">
        <v>1</v>
      </c>
      <c r="G199" s="6">
        <v>1</v>
      </c>
      <c r="H199" s="6">
        <v>3</v>
      </c>
      <c r="I199" s="6">
        <v>0</v>
      </c>
      <c r="J199" s="6">
        <v>2</v>
      </c>
      <c r="K199" s="6">
        <v>0</v>
      </c>
      <c r="L199" s="6">
        <v>2</v>
      </c>
      <c r="M199" s="6">
        <v>10</v>
      </c>
      <c r="N199" s="6">
        <v>0</v>
      </c>
      <c r="O199" s="6">
        <v>1</v>
      </c>
      <c r="P199" s="6">
        <v>10</v>
      </c>
      <c r="Q199" s="6">
        <v>1</v>
      </c>
      <c r="R199" s="6">
        <v>2</v>
      </c>
      <c r="S199" s="6">
        <v>0</v>
      </c>
      <c r="T199" s="6">
        <v>1</v>
      </c>
      <c r="U199" s="5">
        <f t="shared" ref="U199:U208" si="50">SUM(E199:T199)</f>
        <v>34</v>
      </c>
    </row>
    <row r="200" spans="1:21" x14ac:dyDescent="0.4">
      <c r="A200" s="11" t="s">
        <v>49</v>
      </c>
      <c r="B200" s="46"/>
      <c r="C200" s="24" t="s">
        <v>209</v>
      </c>
      <c r="D200" s="45"/>
      <c r="E200" s="6">
        <v>0</v>
      </c>
      <c r="F200" s="6">
        <v>5</v>
      </c>
      <c r="G200" s="6">
        <v>12</v>
      </c>
      <c r="H200" s="6">
        <v>14</v>
      </c>
      <c r="I200" s="6">
        <v>3</v>
      </c>
      <c r="J200" s="6">
        <v>6</v>
      </c>
      <c r="K200" s="6">
        <v>1</v>
      </c>
      <c r="L200" s="6">
        <v>10</v>
      </c>
      <c r="M200" s="6">
        <v>36</v>
      </c>
      <c r="N200" s="6">
        <v>2</v>
      </c>
      <c r="O200" s="6">
        <v>2</v>
      </c>
      <c r="P200" s="6">
        <v>4</v>
      </c>
      <c r="Q200" s="6">
        <v>1</v>
      </c>
      <c r="R200" s="6">
        <v>2</v>
      </c>
      <c r="S200" s="6">
        <v>0</v>
      </c>
      <c r="T200" s="6"/>
      <c r="U200" s="5">
        <f t="shared" si="50"/>
        <v>98</v>
      </c>
    </row>
    <row r="201" spans="1:21" x14ac:dyDescent="0.4">
      <c r="A201" s="7"/>
      <c r="B201" s="46"/>
      <c r="C201" s="24" t="s">
        <v>210</v>
      </c>
      <c r="D201" s="45"/>
      <c r="E201" s="6">
        <v>2</v>
      </c>
      <c r="F201" s="6">
        <v>0</v>
      </c>
      <c r="G201" s="6">
        <v>0</v>
      </c>
      <c r="H201" s="6">
        <v>0</v>
      </c>
      <c r="I201" s="6">
        <v>0</v>
      </c>
      <c r="J201" s="6">
        <v>1</v>
      </c>
      <c r="K201" s="6">
        <v>1</v>
      </c>
      <c r="L201" s="6">
        <v>1</v>
      </c>
      <c r="M201" s="6">
        <v>0</v>
      </c>
      <c r="N201" s="6">
        <v>0</v>
      </c>
      <c r="O201" s="6">
        <v>2</v>
      </c>
      <c r="P201" s="6">
        <v>4</v>
      </c>
      <c r="Q201" s="6">
        <v>4</v>
      </c>
      <c r="R201" s="6">
        <v>4</v>
      </c>
      <c r="S201" s="6">
        <v>0</v>
      </c>
      <c r="T201" s="6"/>
      <c r="U201" s="5">
        <f t="shared" si="50"/>
        <v>19</v>
      </c>
    </row>
    <row r="202" spans="1:21" ht="13.15" customHeight="1" x14ac:dyDescent="0.4">
      <c r="A202" s="7"/>
      <c r="B202" s="46"/>
      <c r="C202" s="24" t="s">
        <v>211</v>
      </c>
      <c r="D202" s="45"/>
      <c r="E202" s="6">
        <v>0</v>
      </c>
      <c r="F202" s="6">
        <v>0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5">
        <f t="shared" si="50"/>
        <v>1</v>
      </c>
    </row>
    <row r="203" spans="1:21" x14ac:dyDescent="0.4">
      <c r="A203" s="7"/>
      <c r="B203" s="46"/>
      <c r="C203" s="24" t="s">
        <v>212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3</v>
      </c>
      <c r="Q203" s="6">
        <v>0</v>
      </c>
      <c r="R203" s="6">
        <v>0</v>
      </c>
      <c r="S203" s="6">
        <v>0</v>
      </c>
      <c r="T203" s="6"/>
      <c r="U203" s="5">
        <f t="shared" si="50"/>
        <v>4</v>
      </c>
    </row>
    <row r="204" spans="1:21" ht="12.75" customHeight="1" x14ac:dyDescent="0.4">
      <c r="A204" s="7"/>
      <c r="B204" s="46"/>
      <c r="C204" s="24" t="s">
        <v>213</v>
      </c>
      <c r="D204" s="45"/>
      <c r="E204" s="6">
        <v>0</v>
      </c>
      <c r="F204" s="6">
        <v>1</v>
      </c>
      <c r="G204" s="6">
        <v>1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/>
      <c r="U204" s="5">
        <f t="shared" si="50"/>
        <v>4</v>
      </c>
    </row>
    <row r="205" spans="1:21" x14ac:dyDescent="0.4">
      <c r="A205" s="7"/>
      <c r="B205" s="46"/>
      <c r="C205" s="24" t="s">
        <v>214</v>
      </c>
      <c r="D205" s="45"/>
      <c r="E205" s="6">
        <v>0</v>
      </c>
      <c r="F205" s="6">
        <v>0</v>
      </c>
      <c r="G205" s="6">
        <v>1</v>
      </c>
      <c r="H205" s="6">
        <v>2</v>
      </c>
      <c r="I205" s="6">
        <v>1</v>
      </c>
      <c r="J205" s="6">
        <v>0</v>
      </c>
      <c r="K205" s="6">
        <v>1</v>
      </c>
      <c r="L205" s="6">
        <v>0</v>
      </c>
      <c r="M205" s="6">
        <v>2</v>
      </c>
      <c r="N205" s="6">
        <v>0</v>
      </c>
      <c r="O205" s="6">
        <v>1</v>
      </c>
      <c r="P205" s="6">
        <v>0</v>
      </c>
      <c r="Q205" s="6">
        <v>1</v>
      </c>
      <c r="R205" s="6">
        <v>0</v>
      </c>
      <c r="S205" s="6">
        <v>0</v>
      </c>
      <c r="T205" s="6"/>
      <c r="U205" s="5">
        <f t="shared" si="50"/>
        <v>9</v>
      </c>
    </row>
    <row r="206" spans="1:21" x14ac:dyDescent="0.4">
      <c r="A206" s="7"/>
      <c r="B206" s="46"/>
      <c r="C206" s="24" t="s">
        <v>215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5">
        <f t="shared" si="50"/>
        <v>0</v>
      </c>
    </row>
    <row r="207" spans="1:21" x14ac:dyDescent="0.4">
      <c r="A207" s="7"/>
      <c r="B207" s="46"/>
      <c r="C207" s="24" t="s">
        <v>216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5">
        <f t="shared" si="50"/>
        <v>0</v>
      </c>
    </row>
    <row r="208" spans="1:21" x14ac:dyDescent="0.4">
      <c r="A208" s="7"/>
      <c r="B208" s="46"/>
      <c r="C208" s="24" t="s">
        <v>217</v>
      </c>
      <c r="D208" s="45"/>
      <c r="E208" s="6">
        <v>1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1</v>
      </c>
      <c r="R208" s="6">
        <v>0</v>
      </c>
      <c r="S208" s="6">
        <v>0</v>
      </c>
      <c r="T208" s="6"/>
      <c r="U208" s="5">
        <f t="shared" si="50"/>
        <v>3</v>
      </c>
    </row>
    <row r="209" spans="1:21" ht="12.75" customHeight="1" x14ac:dyDescent="0.4">
      <c r="A209" s="6" t="s">
        <v>25</v>
      </c>
      <c r="B209" s="52" t="s">
        <v>50</v>
      </c>
      <c r="C209" s="53"/>
      <c r="D209" s="54"/>
      <c r="E209" s="5">
        <f t="shared" ref="E209:U209" si="51">SUM(E199:E208)</f>
        <v>3</v>
      </c>
      <c r="F209" s="5">
        <f t="shared" si="51"/>
        <v>7</v>
      </c>
      <c r="G209" s="5">
        <f t="shared" si="51"/>
        <v>16</v>
      </c>
      <c r="H209" s="5">
        <f t="shared" si="51"/>
        <v>20</v>
      </c>
      <c r="I209" s="5">
        <f t="shared" si="51"/>
        <v>5</v>
      </c>
      <c r="J209" s="5">
        <f t="shared" si="51"/>
        <v>9</v>
      </c>
      <c r="K209" s="5">
        <f t="shared" si="51"/>
        <v>3</v>
      </c>
      <c r="L209" s="5">
        <f t="shared" si="51"/>
        <v>14</v>
      </c>
      <c r="M209" s="5">
        <f t="shared" si="51"/>
        <v>48</v>
      </c>
      <c r="N209" s="5">
        <f t="shared" si="51"/>
        <v>2</v>
      </c>
      <c r="O209" s="5">
        <f t="shared" si="51"/>
        <v>6</v>
      </c>
      <c r="P209" s="5">
        <f t="shared" si="51"/>
        <v>21</v>
      </c>
      <c r="Q209" s="5">
        <f t="shared" si="51"/>
        <v>8</v>
      </c>
      <c r="R209" s="5">
        <f t="shared" si="51"/>
        <v>9</v>
      </c>
      <c r="S209" s="5">
        <f t="shared" si="51"/>
        <v>0</v>
      </c>
      <c r="T209" s="5">
        <f t="shared" si="51"/>
        <v>1</v>
      </c>
      <c r="U209" s="5">
        <f t="shared" si="51"/>
        <v>172</v>
      </c>
    </row>
    <row r="210" spans="1:21" x14ac:dyDescent="0.4">
      <c r="A210" s="55"/>
      <c r="B210" s="56"/>
      <c r="C210" s="56"/>
      <c r="D210" s="56"/>
      <c r="E210" s="57"/>
    </row>
    <row r="211" spans="1:21" x14ac:dyDescent="0.4">
      <c r="A211" s="11" t="s">
        <v>47</v>
      </c>
      <c r="B211" s="17" t="s">
        <v>80</v>
      </c>
      <c r="C211" s="50" t="s">
        <v>81</v>
      </c>
      <c r="D211" s="51"/>
      <c r="E211" s="6">
        <v>0</v>
      </c>
      <c r="F211" s="6">
        <v>1</v>
      </c>
      <c r="G211" s="6">
        <v>0</v>
      </c>
      <c r="H211" s="6">
        <v>0</v>
      </c>
      <c r="I211" s="6">
        <v>1</v>
      </c>
      <c r="J211" s="6">
        <v>0</v>
      </c>
      <c r="K211" s="6">
        <v>0</v>
      </c>
      <c r="L211" s="6">
        <v>0</v>
      </c>
      <c r="M211" s="6">
        <v>0</v>
      </c>
      <c r="N211" s="6">
        <v>1</v>
      </c>
      <c r="O211" s="6">
        <v>2</v>
      </c>
      <c r="P211" s="6">
        <v>0</v>
      </c>
      <c r="Q211" s="6">
        <v>0</v>
      </c>
      <c r="R211" s="6">
        <v>2</v>
      </c>
      <c r="S211" s="6">
        <v>0</v>
      </c>
      <c r="T211" s="6"/>
      <c r="U211" s="5">
        <f t="shared" ref="U211:U214" si="52">SUM(E211:T211)</f>
        <v>7</v>
      </c>
    </row>
    <row r="212" spans="1:21" x14ac:dyDescent="0.4">
      <c r="A212" s="11" t="s">
        <v>49</v>
      </c>
      <c r="B212" s="46"/>
      <c r="C212" s="24" t="s">
        <v>218</v>
      </c>
      <c r="D212" s="45"/>
      <c r="E212" s="6">
        <v>2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1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/>
      <c r="U212" s="5">
        <f t="shared" si="52"/>
        <v>3</v>
      </c>
    </row>
    <row r="213" spans="1:21" x14ac:dyDescent="0.4">
      <c r="A213" s="7"/>
      <c r="B213" s="46"/>
      <c r="C213" s="24" t="s">
        <v>219</v>
      </c>
      <c r="D213" s="45"/>
      <c r="E213" s="6">
        <v>0</v>
      </c>
      <c r="F213" s="6">
        <v>2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5">
        <f t="shared" si="52"/>
        <v>2</v>
      </c>
    </row>
    <row r="214" spans="1:21" x14ac:dyDescent="0.4">
      <c r="A214" s="7"/>
      <c r="B214" s="46"/>
      <c r="C214" s="24" t="s">
        <v>220</v>
      </c>
      <c r="D214" s="45"/>
      <c r="E214" s="6">
        <v>0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/>
      <c r="U214" s="5">
        <f t="shared" si="52"/>
        <v>1</v>
      </c>
    </row>
    <row r="215" spans="1:21" x14ac:dyDescent="0.4">
      <c r="A215" s="6" t="s">
        <v>25</v>
      </c>
      <c r="B215" s="52" t="s">
        <v>50</v>
      </c>
      <c r="C215" s="53"/>
      <c r="D215" s="54"/>
      <c r="E215" s="5">
        <f t="shared" ref="E215:U215" si="53">SUM(E211:E214)</f>
        <v>2</v>
      </c>
      <c r="F215" s="5">
        <f t="shared" si="53"/>
        <v>3</v>
      </c>
      <c r="G215" s="5">
        <f t="shared" si="53"/>
        <v>0</v>
      </c>
      <c r="H215" s="5">
        <f t="shared" si="53"/>
        <v>1</v>
      </c>
      <c r="I215" s="5">
        <f t="shared" si="53"/>
        <v>1</v>
      </c>
      <c r="J215" s="5">
        <f t="shared" si="53"/>
        <v>0</v>
      </c>
      <c r="K215" s="5">
        <f t="shared" si="53"/>
        <v>0</v>
      </c>
      <c r="L215" s="5">
        <f t="shared" si="53"/>
        <v>1</v>
      </c>
      <c r="M215" s="5">
        <f t="shared" si="53"/>
        <v>0</v>
      </c>
      <c r="N215" s="5">
        <f t="shared" si="53"/>
        <v>1</v>
      </c>
      <c r="O215" s="5">
        <f t="shared" si="53"/>
        <v>2</v>
      </c>
      <c r="P215" s="5">
        <f t="shared" si="53"/>
        <v>0</v>
      </c>
      <c r="Q215" s="5">
        <f t="shared" si="53"/>
        <v>0</v>
      </c>
      <c r="R215" s="5">
        <f t="shared" si="53"/>
        <v>2</v>
      </c>
      <c r="S215" s="5">
        <f t="shared" si="53"/>
        <v>0</v>
      </c>
      <c r="T215" s="5">
        <f t="shared" si="53"/>
        <v>0</v>
      </c>
      <c r="U215" s="5">
        <f t="shared" si="53"/>
        <v>13</v>
      </c>
    </row>
    <row r="217" spans="1:21" x14ac:dyDescent="0.4">
      <c r="A217" s="16" t="s">
        <v>82</v>
      </c>
      <c r="B217" s="60" t="s">
        <v>83</v>
      </c>
      <c r="C217" s="61"/>
      <c r="D217" s="62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5"/>
      <c r="P217" s="5"/>
      <c r="Q217" s="5"/>
      <c r="R217" s="5"/>
      <c r="S217" s="5"/>
      <c r="T217" s="5"/>
      <c r="U217" s="5"/>
    </row>
    <row r="218" spans="1:21" x14ac:dyDescent="0.4">
      <c r="A218" s="16"/>
      <c r="B218" s="19" t="s">
        <v>84</v>
      </c>
      <c r="C218" s="58" t="s">
        <v>85</v>
      </c>
      <c r="D218" s="59"/>
      <c r="E218" s="6">
        <f t="shared" ref="E218:T218" si="54">E55+E67+E79+E91+E103+E108+E116+E128+E134+E144+E148+E160+E172+E184+E190+E197+E209+E215</f>
        <v>186</v>
      </c>
      <c r="F218" s="6">
        <f t="shared" si="54"/>
        <v>188</v>
      </c>
      <c r="G218" s="6">
        <f t="shared" si="54"/>
        <v>198</v>
      </c>
      <c r="H218" s="6">
        <f t="shared" si="54"/>
        <v>224</v>
      </c>
      <c r="I218" s="6">
        <f t="shared" si="54"/>
        <v>190</v>
      </c>
      <c r="J218" s="6">
        <f t="shared" si="54"/>
        <v>201</v>
      </c>
      <c r="K218" s="6">
        <f t="shared" si="54"/>
        <v>208</v>
      </c>
      <c r="L218" s="6">
        <f t="shared" si="54"/>
        <v>205</v>
      </c>
      <c r="M218" s="6">
        <f t="shared" si="54"/>
        <v>228</v>
      </c>
      <c r="N218" s="6">
        <f t="shared" si="54"/>
        <v>182</v>
      </c>
      <c r="O218" s="6">
        <f t="shared" si="54"/>
        <v>167</v>
      </c>
      <c r="P218" s="6">
        <f t="shared" si="54"/>
        <v>173</v>
      </c>
      <c r="Q218" s="6">
        <f t="shared" si="54"/>
        <v>195</v>
      </c>
      <c r="R218" s="6">
        <f t="shared" si="54"/>
        <v>162</v>
      </c>
      <c r="S218" s="6">
        <f t="shared" si="54"/>
        <v>101</v>
      </c>
      <c r="T218" s="6">
        <f t="shared" si="54"/>
        <v>178</v>
      </c>
      <c r="U218" s="5">
        <f>SUM(E218:T218)</f>
        <v>2986</v>
      </c>
    </row>
    <row r="219" spans="1:21" x14ac:dyDescent="0.4">
      <c r="A219" s="13"/>
      <c r="B219" s="19" t="s">
        <v>86</v>
      </c>
      <c r="C219" s="58" t="s">
        <v>87</v>
      </c>
      <c r="D219" s="59"/>
      <c r="E219" s="6">
        <v>29</v>
      </c>
      <c r="F219" s="6">
        <v>47</v>
      </c>
      <c r="G219" s="6">
        <v>53</v>
      </c>
      <c r="H219" s="6">
        <v>33</v>
      </c>
      <c r="I219" s="6">
        <v>40</v>
      </c>
      <c r="J219" s="6">
        <v>43</v>
      </c>
      <c r="K219" s="6">
        <v>34</v>
      </c>
      <c r="L219" s="6">
        <v>32</v>
      </c>
      <c r="M219" s="6">
        <v>32</v>
      </c>
      <c r="N219" s="6">
        <v>53</v>
      </c>
      <c r="O219" s="6">
        <v>24</v>
      </c>
      <c r="P219" s="6">
        <v>40</v>
      </c>
      <c r="Q219" s="6">
        <v>14</v>
      </c>
      <c r="R219" s="6">
        <v>29</v>
      </c>
      <c r="S219" s="6">
        <v>19</v>
      </c>
      <c r="T219" s="6">
        <v>37</v>
      </c>
      <c r="U219" s="5">
        <f>SUM(E219:T219)</f>
        <v>559</v>
      </c>
    </row>
    <row r="220" spans="1:21" x14ac:dyDescent="0.4">
      <c r="A220" s="14"/>
      <c r="B220" s="19" t="s">
        <v>88</v>
      </c>
      <c r="C220" s="58" t="s">
        <v>89</v>
      </c>
      <c r="D220" s="59"/>
      <c r="E220" s="5">
        <f>SUM(E218:E219)</f>
        <v>215</v>
      </c>
      <c r="F220" s="5">
        <f t="shared" ref="F220:N220" si="55">SUM(F218:F219)</f>
        <v>235</v>
      </c>
      <c r="G220" s="5">
        <f t="shared" si="55"/>
        <v>251</v>
      </c>
      <c r="H220" s="5">
        <f t="shared" si="55"/>
        <v>257</v>
      </c>
      <c r="I220" s="5">
        <f t="shared" si="55"/>
        <v>230</v>
      </c>
      <c r="J220" s="5">
        <f t="shared" si="55"/>
        <v>244</v>
      </c>
      <c r="K220" s="5">
        <f t="shared" si="55"/>
        <v>242</v>
      </c>
      <c r="L220" s="5">
        <f t="shared" si="55"/>
        <v>237</v>
      </c>
      <c r="M220" s="5">
        <f t="shared" si="55"/>
        <v>260</v>
      </c>
      <c r="N220" s="5">
        <f t="shared" si="55"/>
        <v>235</v>
      </c>
      <c r="O220" s="5">
        <f t="shared" ref="O220:T220" si="56">SUM(O218:O219)</f>
        <v>191</v>
      </c>
      <c r="P220" s="5">
        <f t="shared" si="56"/>
        <v>213</v>
      </c>
      <c r="Q220" s="5">
        <f t="shared" si="56"/>
        <v>209</v>
      </c>
      <c r="R220" s="5">
        <f t="shared" si="56"/>
        <v>191</v>
      </c>
      <c r="S220" s="5">
        <f t="shared" si="56"/>
        <v>120</v>
      </c>
      <c r="T220" s="5">
        <f t="shared" si="56"/>
        <v>215</v>
      </c>
      <c r="U220" s="5">
        <f>SUM(E220:T220)</f>
        <v>3545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T12"/>
    <mergeCell ref="U12:U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T37"/>
    <mergeCell ref="B38:D38"/>
    <mergeCell ref="A42:D42"/>
    <mergeCell ref="E42:T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219:D219"/>
    <mergeCell ref="C220:D220"/>
    <mergeCell ref="B209:D209"/>
    <mergeCell ref="A210:E210"/>
    <mergeCell ref="C211:D211"/>
    <mergeCell ref="B215:D215"/>
    <mergeCell ref="B217:D217"/>
    <mergeCell ref="C218:D218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</mergeCells>
  <phoneticPr fontId="8" type="noConversion"/>
  <conditionalFormatting sqref="E14:T15 E33:T33 E35:T35 E39:T40 E45:T54 E57:T66 E69:T78 E81:T90 E93:T102 E105:T107 E110:T115 E118:T127 E130:T133 E136:T143 E146:T147 E150:T159 E162:T171 E174:T183 E186:T189 E192:T196 E199:T208 E211:T214 E218:T219">
    <cfRule type="containsBlanks" dxfId="151" priority="24">
      <formula>LEN(TRIM(E14))=0</formula>
    </cfRule>
  </conditionalFormatting>
  <conditionalFormatting sqref="E30:T30">
    <cfRule type="expression" dxfId="150" priority="29">
      <formula>E30&lt;&gt;E47</formula>
    </cfRule>
    <cfRule type="expression" dxfId="149" priority="30">
      <formula>E30&lt;&gt;E34</formula>
    </cfRule>
  </conditionalFormatting>
  <conditionalFormatting sqref="E34:T34">
    <cfRule type="expression" dxfId="148" priority="25">
      <formula>E30&lt;&gt;E34</formula>
    </cfRule>
    <cfRule type="expression" dxfId="147" priority="26">
      <formula>E30=E34</formula>
    </cfRule>
    <cfRule type="expression" dxfId="146" priority="31">
      <formula>E34&lt;&gt;E30</formula>
    </cfRule>
    <cfRule type="expression" dxfId="145" priority="33">
      <formula>E34&lt;&gt;E64</formula>
    </cfRule>
  </conditionalFormatting>
  <conditionalFormatting sqref="E19:T20">
    <cfRule type="containsBlanks" dxfId="5" priority="3">
      <formula>LEN(TRIM(E19))=0</formula>
    </cfRule>
  </conditionalFormatting>
  <conditionalFormatting sqref="E22:T23">
    <cfRule type="containsBlanks" dxfId="4" priority="2">
      <formula>LEN(TRIM(E22))=0</formula>
    </cfRule>
  </conditionalFormatting>
  <conditionalFormatting sqref="E25:T26">
    <cfRule type="containsBlanks" dxfId="3" priority="1">
      <formula>LEN(TRIM(E25))=0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V220"/>
  <sheetViews>
    <sheetView topLeftCell="D13" zoomScaleNormal="100" workbookViewId="0">
      <pane ySplit="1" topLeftCell="A211" activePane="bottomLeft" state="frozen"/>
      <selection activeCell="A13" sqref="A13"/>
      <selection pane="bottomLeft" activeCell="V220" sqref="V220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98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4">
      <c r="A12" s="5" t="s">
        <v>0</v>
      </c>
      <c r="B12" s="60" t="s">
        <v>1</v>
      </c>
      <c r="C12" s="68"/>
      <c r="D12" s="51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6" t="s">
        <v>90</v>
      </c>
    </row>
    <row r="13" spans="1:22" x14ac:dyDescent="0.4">
      <c r="A13" s="6" t="s">
        <v>2</v>
      </c>
      <c r="B13" s="77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87"/>
    </row>
    <row r="14" spans="1:22" x14ac:dyDescent="0.4">
      <c r="A14" s="7"/>
      <c r="B14" s="88" t="s">
        <v>21</v>
      </c>
      <c r="C14" s="64"/>
      <c r="D14" s="6" t="s">
        <v>22</v>
      </c>
      <c r="E14" s="6">
        <v>140</v>
      </c>
      <c r="F14" s="6">
        <v>148</v>
      </c>
      <c r="G14" s="6">
        <v>141</v>
      </c>
      <c r="H14" s="6">
        <v>141</v>
      </c>
      <c r="I14" s="6">
        <v>140</v>
      </c>
      <c r="J14" s="6">
        <v>132</v>
      </c>
      <c r="K14" s="6">
        <v>121</v>
      </c>
      <c r="L14" s="6">
        <v>134</v>
      </c>
      <c r="M14" s="6">
        <v>142</v>
      </c>
      <c r="N14" s="6">
        <v>112</v>
      </c>
      <c r="O14" s="6">
        <v>135</v>
      </c>
      <c r="P14" s="6">
        <v>125</v>
      </c>
      <c r="Q14" s="6">
        <v>110</v>
      </c>
      <c r="R14" s="6">
        <v>128</v>
      </c>
      <c r="S14" s="6">
        <v>139</v>
      </c>
      <c r="T14" s="6">
        <v>134</v>
      </c>
      <c r="U14" s="6">
        <v>141</v>
      </c>
      <c r="V14" s="5">
        <f>SUM(E14:U14)</f>
        <v>2263</v>
      </c>
    </row>
    <row r="15" spans="1:22" x14ac:dyDescent="0.4">
      <c r="A15" s="7"/>
      <c r="B15" s="89"/>
      <c r="C15" s="76"/>
      <c r="D15" s="6" t="s">
        <v>23</v>
      </c>
      <c r="E15" s="6">
        <v>148</v>
      </c>
      <c r="F15" s="6">
        <v>140</v>
      </c>
      <c r="G15" s="6">
        <v>148</v>
      </c>
      <c r="H15" s="6">
        <v>145</v>
      </c>
      <c r="I15" s="6">
        <v>148</v>
      </c>
      <c r="J15" s="6">
        <v>147</v>
      </c>
      <c r="K15" s="6">
        <v>124</v>
      </c>
      <c r="L15" s="6">
        <v>143</v>
      </c>
      <c r="M15" s="6">
        <v>135</v>
      </c>
      <c r="N15" s="6">
        <v>122</v>
      </c>
      <c r="O15" s="6">
        <v>151</v>
      </c>
      <c r="P15" s="6">
        <v>147</v>
      </c>
      <c r="Q15" s="6">
        <v>111</v>
      </c>
      <c r="R15" s="6">
        <v>137</v>
      </c>
      <c r="S15" s="6">
        <v>138</v>
      </c>
      <c r="T15" s="6">
        <v>135</v>
      </c>
      <c r="U15" s="6">
        <v>143</v>
      </c>
      <c r="V15" s="5">
        <f>SUM(E15:U15)</f>
        <v>2362</v>
      </c>
    </row>
    <row r="16" spans="1:22" x14ac:dyDescent="0.4">
      <c r="A16" s="8"/>
      <c r="B16" s="90"/>
      <c r="C16" s="74"/>
      <c r="D16" s="5" t="s">
        <v>24</v>
      </c>
      <c r="E16" s="5">
        <f t="shared" ref="E16:U16" si="0">SUM(E14:E15)</f>
        <v>288</v>
      </c>
      <c r="F16" s="5">
        <f t="shared" ref="F16:K16" si="1">SUM(F14:F15)</f>
        <v>288</v>
      </c>
      <c r="G16" s="5">
        <f t="shared" si="1"/>
        <v>289</v>
      </c>
      <c r="H16" s="5">
        <f t="shared" si="1"/>
        <v>286</v>
      </c>
      <c r="I16" s="5">
        <f t="shared" si="1"/>
        <v>288</v>
      </c>
      <c r="J16" s="5">
        <f t="shared" si="1"/>
        <v>279</v>
      </c>
      <c r="K16" s="5">
        <f t="shared" si="1"/>
        <v>245</v>
      </c>
      <c r="L16" s="5">
        <f t="shared" si="0"/>
        <v>277</v>
      </c>
      <c r="M16" s="5">
        <f t="shared" si="0"/>
        <v>277</v>
      </c>
      <c r="N16" s="5">
        <f t="shared" si="0"/>
        <v>234</v>
      </c>
      <c r="O16" s="5">
        <f t="shared" ref="O16:Q16" si="2">SUM(O14:O15)</f>
        <v>286</v>
      </c>
      <c r="P16" s="5">
        <f t="shared" si="2"/>
        <v>272</v>
      </c>
      <c r="Q16" s="5">
        <f t="shared" si="2"/>
        <v>221</v>
      </c>
      <c r="R16" s="5">
        <f t="shared" si="0"/>
        <v>265</v>
      </c>
      <c r="S16" s="5">
        <f t="shared" ref="S16:T16" si="3">SUM(S14:S15)</f>
        <v>277</v>
      </c>
      <c r="T16" s="5">
        <f t="shared" si="3"/>
        <v>269</v>
      </c>
      <c r="U16" s="5">
        <f t="shared" si="0"/>
        <v>284</v>
      </c>
      <c r="V16" s="5">
        <f>SUM(E16:U16)</f>
        <v>4625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x14ac:dyDescent="0.4">
      <c r="A18" s="11" t="s">
        <v>25</v>
      </c>
      <c r="B18" s="77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x14ac:dyDescent="0.4">
      <c r="A19" s="11"/>
      <c r="B19" s="78" t="s">
        <v>27</v>
      </c>
      <c r="C19" s="79" t="s">
        <v>28</v>
      </c>
      <c r="D19" s="6" t="s">
        <v>22</v>
      </c>
      <c r="E19" s="6">
        <v>92</v>
      </c>
      <c r="F19" s="6">
        <v>99</v>
      </c>
      <c r="G19" s="6">
        <v>107</v>
      </c>
      <c r="H19" s="6">
        <v>107</v>
      </c>
      <c r="I19" s="6">
        <v>90</v>
      </c>
      <c r="J19" s="6">
        <v>96</v>
      </c>
      <c r="K19" s="6">
        <v>99</v>
      </c>
      <c r="L19" s="6">
        <v>101</v>
      </c>
      <c r="M19" s="6">
        <v>114</v>
      </c>
      <c r="N19" s="6">
        <v>76</v>
      </c>
      <c r="O19" s="6">
        <v>98</v>
      </c>
      <c r="P19" s="6">
        <v>95</v>
      </c>
      <c r="Q19" s="6">
        <v>84</v>
      </c>
      <c r="R19" s="6">
        <v>94</v>
      </c>
      <c r="S19" s="6">
        <v>110</v>
      </c>
      <c r="T19" s="6">
        <v>93</v>
      </c>
      <c r="U19" s="6">
        <v>119</v>
      </c>
      <c r="V19" s="5">
        <f t="shared" ref="V19:V30" si="4">SUM(E19:U19)</f>
        <v>1674</v>
      </c>
    </row>
    <row r="20" spans="1:22" x14ac:dyDescent="0.4">
      <c r="A20" s="12"/>
      <c r="B20" s="76"/>
      <c r="C20" s="80"/>
      <c r="D20" s="6" t="s">
        <v>23</v>
      </c>
      <c r="E20" s="6">
        <v>118</v>
      </c>
      <c r="F20" s="6">
        <v>105</v>
      </c>
      <c r="G20" s="6">
        <v>129</v>
      </c>
      <c r="H20" s="6">
        <v>117</v>
      </c>
      <c r="I20" s="6">
        <v>116</v>
      </c>
      <c r="J20" s="6">
        <v>122</v>
      </c>
      <c r="K20" s="6">
        <v>103</v>
      </c>
      <c r="L20" s="6">
        <v>128</v>
      </c>
      <c r="M20" s="6">
        <v>108</v>
      </c>
      <c r="N20" s="6">
        <v>84</v>
      </c>
      <c r="O20" s="6">
        <v>123</v>
      </c>
      <c r="P20" s="6">
        <v>122</v>
      </c>
      <c r="Q20" s="6">
        <v>91</v>
      </c>
      <c r="R20" s="6">
        <v>104</v>
      </c>
      <c r="S20" s="6">
        <v>104</v>
      </c>
      <c r="T20" s="6">
        <v>107</v>
      </c>
      <c r="U20" s="6">
        <v>124</v>
      </c>
      <c r="V20" s="5">
        <f t="shared" si="4"/>
        <v>1905</v>
      </c>
    </row>
    <row r="21" spans="1:22" x14ac:dyDescent="0.4">
      <c r="A21" s="13"/>
      <c r="B21" s="74"/>
      <c r="C21" s="81"/>
      <c r="D21" s="5" t="s">
        <v>24</v>
      </c>
      <c r="E21" s="5">
        <f t="shared" ref="E21:U21" si="5">SUM(E19:E20)</f>
        <v>210</v>
      </c>
      <c r="F21" s="5">
        <f t="shared" ref="F21:K21" si="6">SUM(F19:F20)</f>
        <v>204</v>
      </c>
      <c r="G21" s="5">
        <f t="shared" si="6"/>
        <v>236</v>
      </c>
      <c r="H21" s="5">
        <f t="shared" si="6"/>
        <v>224</v>
      </c>
      <c r="I21" s="5">
        <f t="shared" si="6"/>
        <v>206</v>
      </c>
      <c r="J21" s="5">
        <f t="shared" si="6"/>
        <v>218</v>
      </c>
      <c r="K21" s="5">
        <f t="shared" si="6"/>
        <v>202</v>
      </c>
      <c r="L21" s="5">
        <f t="shared" si="5"/>
        <v>229</v>
      </c>
      <c r="M21" s="5">
        <f t="shared" si="5"/>
        <v>222</v>
      </c>
      <c r="N21" s="5">
        <f t="shared" si="5"/>
        <v>160</v>
      </c>
      <c r="O21" s="5">
        <f t="shared" ref="O21:Q21" si="7">SUM(O19:O20)</f>
        <v>221</v>
      </c>
      <c r="P21" s="5">
        <f t="shared" si="7"/>
        <v>217</v>
      </c>
      <c r="Q21" s="5">
        <f t="shared" si="7"/>
        <v>175</v>
      </c>
      <c r="R21" s="5">
        <f t="shared" si="5"/>
        <v>198</v>
      </c>
      <c r="S21" s="5">
        <f t="shared" ref="S21:T21" si="8">SUM(S19:S20)</f>
        <v>214</v>
      </c>
      <c r="T21" s="5">
        <f t="shared" si="8"/>
        <v>200</v>
      </c>
      <c r="U21" s="5">
        <f t="shared" si="5"/>
        <v>243</v>
      </c>
      <c r="V21" s="5">
        <f t="shared" si="4"/>
        <v>3579</v>
      </c>
    </row>
    <row r="22" spans="1:22" x14ac:dyDescent="0.4">
      <c r="A22" s="12"/>
      <c r="B22" s="78" t="s">
        <v>29</v>
      </c>
      <c r="C22" s="79" t="s">
        <v>30</v>
      </c>
      <c r="D22" s="6" t="s">
        <v>22</v>
      </c>
      <c r="E22" s="6"/>
      <c r="F22" s="6"/>
      <c r="G22" s="6">
        <v>2</v>
      </c>
      <c r="H22" s="6"/>
      <c r="I22" s="6"/>
      <c r="J22" s="6"/>
      <c r="K22" s="6"/>
      <c r="L22" s="6"/>
      <c r="M22" s="6"/>
      <c r="N22" s="6">
        <v>1</v>
      </c>
      <c r="O22" s="6"/>
      <c r="P22" s="6"/>
      <c r="Q22" s="6"/>
      <c r="R22" s="6"/>
      <c r="S22" s="6"/>
      <c r="T22" s="6"/>
      <c r="U22" s="6"/>
      <c r="V22" s="5">
        <f t="shared" si="4"/>
        <v>3</v>
      </c>
    </row>
    <row r="23" spans="1:22" x14ac:dyDescent="0.4">
      <c r="A23" s="12"/>
      <c r="B23" s="76"/>
      <c r="C23" s="80"/>
      <c r="D23" s="6" t="s">
        <v>23</v>
      </c>
      <c r="E23" s="6"/>
      <c r="F23" s="6"/>
      <c r="G23" s="6">
        <v>3</v>
      </c>
      <c r="H23" s="6"/>
      <c r="I23" s="6"/>
      <c r="J23" s="6"/>
      <c r="K23" s="6">
        <v>1</v>
      </c>
      <c r="L23" s="6"/>
      <c r="M23" s="6"/>
      <c r="N23" s="6">
        <v>1</v>
      </c>
      <c r="O23" s="6"/>
      <c r="P23" s="6"/>
      <c r="Q23" s="6"/>
      <c r="R23" s="6"/>
      <c r="S23" s="6">
        <v>1</v>
      </c>
      <c r="T23" s="6"/>
      <c r="U23" s="6"/>
      <c r="V23" s="5">
        <f t="shared" si="4"/>
        <v>6</v>
      </c>
    </row>
    <row r="24" spans="1:22" x14ac:dyDescent="0.4">
      <c r="A24" s="13"/>
      <c r="B24" s="74"/>
      <c r="C24" s="81"/>
      <c r="D24" s="5" t="s">
        <v>24</v>
      </c>
      <c r="E24" s="5">
        <f t="shared" ref="E24:U24" si="9">SUM(E22:E23)</f>
        <v>0</v>
      </c>
      <c r="F24" s="5">
        <f t="shared" ref="F24:K24" si="10">SUM(F22:F23)</f>
        <v>0</v>
      </c>
      <c r="G24" s="5">
        <f t="shared" si="10"/>
        <v>5</v>
      </c>
      <c r="H24" s="5">
        <f t="shared" si="10"/>
        <v>0</v>
      </c>
      <c r="I24" s="5">
        <f t="shared" si="10"/>
        <v>0</v>
      </c>
      <c r="J24" s="5">
        <f t="shared" si="10"/>
        <v>0</v>
      </c>
      <c r="K24" s="5">
        <f t="shared" si="10"/>
        <v>1</v>
      </c>
      <c r="L24" s="5">
        <f t="shared" si="9"/>
        <v>0</v>
      </c>
      <c r="M24" s="5">
        <f t="shared" si="9"/>
        <v>0</v>
      </c>
      <c r="N24" s="5">
        <f t="shared" si="9"/>
        <v>2</v>
      </c>
      <c r="O24" s="5">
        <f t="shared" ref="O24:Q24" si="11">SUM(O22:O23)</f>
        <v>0</v>
      </c>
      <c r="P24" s="5">
        <f t="shared" si="11"/>
        <v>0</v>
      </c>
      <c r="Q24" s="5">
        <f t="shared" si="11"/>
        <v>0</v>
      </c>
      <c r="R24" s="5">
        <f t="shared" si="9"/>
        <v>0</v>
      </c>
      <c r="S24" s="5">
        <f t="shared" ref="S24:T24" si="12">SUM(S22:S23)</f>
        <v>1</v>
      </c>
      <c r="T24" s="5">
        <f t="shared" si="12"/>
        <v>0</v>
      </c>
      <c r="U24" s="5">
        <f t="shared" si="9"/>
        <v>0</v>
      </c>
      <c r="V24" s="5">
        <f t="shared" si="4"/>
        <v>9</v>
      </c>
    </row>
    <row r="25" spans="1:22" x14ac:dyDescent="0.4">
      <c r="A25" s="12"/>
      <c r="B25" s="78" t="s">
        <v>31</v>
      </c>
      <c r="C25" s="79" t="s">
        <v>32</v>
      </c>
      <c r="D25" s="6" t="s">
        <v>22</v>
      </c>
      <c r="E25" s="6"/>
      <c r="F25" s="6">
        <v>2</v>
      </c>
      <c r="G25" s="6">
        <v>3</v>
      </c>
      <c r="H25" s="6">
        <v>3</v>
      </c>
      <c r="I25" s="6"/>
      <c r="J25" s="6"/>
      <c r="K25" s="6"/>
      <c r="L25" s="6">
        <v>1</v>
      </c>
      <c r="M25" s="6"/>
      <c r="N25" s="6"/>
      <c r="O25" s="6"/>
      <c r="P25" s="6"/>
      <c r="Q25" s="6">
        <v>2</v>
      </c>
      <c r="R25" s="6">
        <v>3</v>
      </c>
      <c r="S25" s="6"/>
      <c r="T25" s="6"/>
      <c r="U25" s="6"/>
      <c r="V25" s="5">
        <f t="shared" si="4"/>
        <v>14</v>
      </c>
    </row>
    <row r="26" spans="1:22" x14ac:dyDescent="0.4">
      <c r="A26" s="12"/>
      <c r="B26" s="76"/>
      <c r="C26" s="80"/>
      <c r="D26" s="6" t="s">
        <v>23</v>
      </c>
      <c r="E26" s="6">
        <v>2</v>
      </c>
      <c r="F26" s="6">
        <v>4</v>
      </c>
      <c r="G26" s="6">
        <v>3</v>
      </c>
      <c r="H26" s="6">
        <v>3</v>
      </c>
      <c r="I26" s="6"/>
      <c r="J26" s="6"/>
      <c r="K26" s="6">
        <v>1</v>
      </c>
      <c r="L26" s="6"/>
      <c r="M26" s="6"/>
      <c r="N26" s="6"/>
      <c r="O26" s="6"/>
      <c r="P26" s="6">
        <v>3</v>
      </c>
      <c r="Q26" s="6">
        <v>2</v>
      </c>
      <c r="R26" s="6">
        <v>6</v>
      </c>
      <c r="S26" s="6">
        <v>1</v>
      </c>
      <c r="T26" s="6">
        <v>2</v>
      </c>
      <c r="U26" s="6">
        <v>1</v>
      </c>
      <c r="V26" s="5">
        <f t="shared" si="4"/>
        <v>28</v>
      </c>
    </row>
    <row r="27" spans="1:22" x14ac:dyDescent="0.4">
      <c r="A27" s="13"/>
      <c r="B27" s="74"/>
      <c r="C27" s="81"/>
      <c r="D27" s="5" t="s">
        <v>24</v>
      </c>
      <c r="E27" s="5">
        <f t="shared" ref="E27:U27" si="13">SUM(E25:E26)</f>
        <v>2</v>
      </c>
      <c r="F27" s="5">
        <f t="shared" ref="F27:K27" si="14">SUM(F25:F26)</f>
        <v>6</v>
      </c>
      <c r="G27" s="5">
        <f t="shared" si="14"/>
        <v>6</v>
      </c>
      <c r="H27" s="5">
        <f t="shared" si="14"/>
        <v>6</v>
      </c>
      <c r="I27" s="5">
        <f t="shared" si="14"/>
        <v>0</v>
      </c>
      <c r="J27" s="5">
        <f t="shared" si="14"/>
        <v>0</v>
      </c>
      <c r="K27" s="5">
        <f t="shared" si="14"/>
        <v>1</v>
      </c>
      <c r="L27" s="5">
        <f t="shared" si="13"/>
        <v>1</v>
      </c>
      <c r="M27" s="5">
        <f t="shared" si="13"/>
        <v>0</v>
      </c>
      <c r="N27" s="5">
        <f t="shared" si="13"/>
        <v>0</v>
      </c>
      <c r="O27" s="5">
        <f t="shared" ref="O27:Q27" si="15">SUM(O25:O26)</f>
        <v>0</v>
      </c>
      <c r="P27" s="5">
        <f t="shared" si="15"/>
        <v>3</v>
      </c>
      <c r="Q27" s="5">
        <f t="shared" si="15"/>
        <v>4</v>
      </c>
      <c r="R27" s="5">
        <f t="shared" si="13"/>
        <v>9</v>
      </c>
      <c r="S27" s="5">
        <f t="shared" ref="S27:T27" si="16">SUM(S25:S26)</f>
        <v>1</v>
      </c>
      <c r="T27" s="5">
        <f t="shared" si="16"/>
        <v>2</v>
      </c>
      <c r="U27" s="5">
        <f t="shared" si="13"/>
        <v>1</v>
      </c>
      <c r="V27" s="5">
        <f t="shared" si="4"/>
        <v>42</v>
      </c>
    </row>
    <row r="28" spans="1:22" x14ac:dyDescent="0.4">
      <c r="A28" s="13"/>
      <c r="B28" s="82" t="s">
        <v>33</v>
      </c>
      <c r="C28" s="83" t="s">
        <v>34</v>
      </c>
      <c r="D28" s="5" t="s">
        <v>22</v>
      </c>
      <c r="E28" s="5">
        <f>SUM(E19,E22,E25)</f>
        <v>92</v>
      </c>
      <c r="F28" s="5">
        <f t="shared" ref="F28:K28" si="17">SUM(F19,F22,F25)</f>
        <v>101</v>
      </c>
      <c r="G28" s="5">
        <f t="shared" si="17"/>
        <v>112</v>
      </c>
      <c r="H28" s="5">
        <f t="shared" si="17"/>
        <v>110</v>
      </c>
      <c r="I28" s="5">
        <f t="shared" si="17"/>
        <v>90</v>
      </c>
      <c r="J28" s="5">
        <f t="shared" si="17"/>
        <v>96</v>
      </c>
      <c r="K28" s="5">
        <f t="shared" si="17"/>
        <v>99</v>
      </c>
      <c r="L28" s="5">
        <f t="shared" ref="L28:U29" si="18">SUM(L19,L22,L25)</f>
        <v>102</v>
      </c>
      <c r="M28" s="5">
        <f t="shared" si="18"/>
        <v>114</v>
      </c>
      <c r="N28" s="5">
        <f t="shared" si="18"/>
        <v>77</v>
      </c>
      <c r="O28" s="5">
        <f t="shared" ref="O28:Q28" si="19">SUM(O19,O22,O25)</f>
        <v>98</v>
      </c>
      <c r="P28" s="5">
        <f t="shared" si="19"/>
        <v>95</v>
      </c>
      <c r="Q28" s="5">
        <f t="shared" si="19"/>
        <v>86</v>
      </c>
      <c r="R28" s="5">
        <f t="shared" si="18"/>
        <v>97</v>
      </c>
      <c r="S28" s="5">
        <f t="shared" ref="S28:T28" si="20">SUM(S19,S22,S25)</f>
        <v>110</v>
      </c>
      <c r="T28" s="5">
        <f t="shared" si="20"/>
        <v>93</v>
      </c>
      <c r="U28" s="5">
        <f t="shared" si="18"/>
        <v>119</v>
      </c>
      <c r="V28" s="5">
        <f t="shared" si="4"/>
        <v>1691</v>
      </c>
    </row>
    <row r="29" spans="1:22" x14ac:dyDescent="0.4">
      <c r="A29" s="13"/>
      <c r="B29" s="76"/>
      <c r="C29" s="80"/>
      <c r="D29" s="5" t="s">
        <v>23</v>
      </c>
      <c r="E29" s="5">
        <f>SUM(E20,E23,E26)</f>
        <v>120</v>
      </c>
      <c r="F29" s="5">
        <f t="shared" ref="F29:K29" si="21">SUM(F20,F23,F26)</f>
        <v>109</v>
      </c>
      <c r="G29" s="5">
        <f t="shared" si="21"/>
        <v>135</v>
      </c>
      <c r="H29" s="5">
        <f t="shared" si="21"/>
        <v>120</v>
      </c>
      <c r="I29" s="5">
        <f t="shared" si="21"/>
        <v>116</v>
      </c>
      <c r="J29" s="5">
        <f t="shared" si="21"/>
        <v>122</v>
      </c>
      <c r="K29" s="5">
        <f t="shared" si="21"/>
        <v>105</v>
      </c>
      <c r="L29" s="5">
        <f t="shared" si="18"/>
        <v>128</v>
      </c>
      <c r="M29" s="5">
        <f t="shared" si="18"/>
        <v>108</v>
      </c>
      <c r="N29" s="5">
        <f t="shared" si="18"/>
        <v>85</v>
      </c>
      <c r="O29" s="5">
        <f t="shared" ref="O29:Q29" si="22">SUM(O20,O23,O26)</f>
        <v>123</v>
      </c>
      <c r="P29" s="5">
        <f t="shared" si="22"/>
        <v>125</v>
      </c>
      <c r="Q29" s="5">
        <f t="shared" si="22"/>
        <v>93</v>
      </c>
      <c r="R29" s="5">
        <f t="shared" si="18"/>
        <v>110</v>
      </c>
      <c r="S29" s="5">
        <f t="shared" ref="S29:T29" si="23">SUM(S20,S23,S26)</f>
        <v>106</v>
      </c>
      <c r="T29" s="5">
        <f t="shared" si="23"/>
        <v>109</v>
      </c>
      <c r="U29" s="5">
        <f t="shared" si="18"/>
        <v>125</v>
      </c>
      <c r="V29" s="5">
        <f t="shared" si="4"/>
        <v>1939</v>
      </c>
    </row>
    <row r="30" spans="1:22" x14ac:dyDescent="0.4">
      <c r="A30" s="13"/>
      <c r="B30" s="74"/>
      <c r="C30" s="81"/>
      <c r="D30" s="5" t="s">
        <v>24</v>
      </c>
      <c r="E30" s="5">
        <f t="shared" ref="E30:U30" si="24">SUM(E28:E29)</f>
        <v>212</v>
      </c>
      <c r="F30" s="5">
        <f t="shared" ref="F30:K30" si="25">SUM(F28:F29)</f>
        <v>210</v>
      </c>
      <c r="G30" s="5">
        <f t="shared" si="25"/>
        <v>247</v>
      </c>
      <c r="H30" s="5">
        <f t="shared" si="25"/>
        <v>230</v>
      </c>
      <c r="I30" s="5">
        <f t="shared" si="25"/>
        <v>206</v>
      </c>
      <c r="J30" s="5">
        <f t="shared" si="25"/>
        <v>218</v>
      </c>
      <c r="K30" s="5">
        <f t="shared" si="25"/>
        <v>204</v>
      </c>
      <c r="L30" s="5">
        <f t="shared" si="24"/>
        <v>230</v>
      </c>
      <c r="M30" s="5">
        <f t="shared" si="24"/>
        <v>222</v>
      </c>
      <c r="N30" s="5">
        <f t="shared" si="24"/>
        <v>162</v>
      </c>
      <c r="O30" s="5">
        <f t="shared" ref="O30:Q30" si="26">SUM(O28:O29)</f>
        <v>221</v>
      </c>
      <c r="P30" s="5">
        <f t="shared" si="26"/>
        <v>220</v>
      </c>
      <c r="Q30" s="5">
        <f t="shared" si="26"/>
        <v>179</v>
      </c>
      <c r="R30" s="5">
        <f t="shared" si="24"/>
        <v>207</v>
      </c>
      <c r="S30" s="5">
        <f t="shared" ref="S30:T30" si="27">SUM(S28:S29)</f>
        <v>216</v>
      </c>
      <c r="T30" s="5">
        <f t="shared" si="27"/>
        <v>202</v>
      </c>
      <c r="U30" s="5">
        <f t="shared" si="24"/>
        <v>244</v>
      </c>
      <c r="V30" s="5">
        <f t="shared" si="4"/>
        <v>3630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28"/>
    </row>
    <row r="33" spans="1:22" x14ac:dyDescent="0.4">
      <c r="A33" s="6">
        <v>1</v>
      </c>
      <c r="B33" s="77" t="s">
        <v>37</v>
      </c>
      <c r="C33" s="68"/>
      <c r="D33" s="51"/>
      <c r="E33" s="6">
        <v>284</v>
      </c>
      <c r="F33" s="6">
        <v>294</v>
      </c>
      <c r="G33" s="6">
        <v>295</v>
      </c>
      <c r="H33" s="6">
        <v>293</v>
      </c>
      <c r="I33" s="6">
        <v>294</v>
      </c>
      <c r="J33" s="6">
        <v>283</v>
      </c>
      <c r="K33" s="6">
        <v>248</v>
      </c>
      <c r="L33" s="6">
        <v>281</v>
      </c>
      <c r="M33" s="6">
        <v>282</v>
      </c>
      <c r="N33" s="6">
        <v>237</v>
      </c>
      <c r="O33" s="6">
        <v>290</v>
      </c>
      <c r="P33" s="6">
        <v>278</v>
      </c>
      <c r="Q33" s="6">
        <v>224</v>
      </c>
      <c r="R33" s="6">
        <v>269</v>
      </c>
      <c r="S33" s="6">
        <v>281</v>
      </c>
      <c r="T33" s="6">
        <v>273</v>
      </c>
      <c r="U33" s="6">
        <v>288</v>
      </c>
      <c r="V33" s="5">
        <f>SUM(E33:U33)</f>
        <v>4694</v>
      </c>
    </row>
    <row r="34" spans="1:22" x14ac:dyDescent="0.4">
      <c r="A34" s="6">
        <v>2</v>
      </c>
      <c r="B34" s="77" t="s">
        <v>38</v>
      </c>
      <c r="C34" s="68"/>
      <c r="D34" s="51"/>
      <c r="E34" s="5">
        <v>212</v>
      </c>
      <c r="F34" s="5">
        <v>210</v>
      </c>
      <c r="G34" s="5">
        <v>247</v>
      </c>
      <c r="H34" s="5">
        <v>230</v>
      </c>
      <c r="I34" s="5">
        <v>206</v>
      </c>
      <c r="J34" s="5">
        <v>218</v>
      </c>
      <c r="K34" s="5">
        <v>204</v>
      </c>
      <c r="L34" s="5">
        <v>230</v>
      </c>
      <c r="M34" s="5">
        <v>222</v>
      </c>
      <c r="N34" s="5">
        <v>162</v>
      </c>
      <c r="O34" s="5">
        <v>221</v>
      </c>
      <c r="P34" s="5">
        <v>220</v>
      </c>
      <c r="Q34" s="5">
        <v>179</v>
      </c>
      <c r="R34" s="5">
        <v>207</v>
      </c>
      <c r="S34" s="5">
        <v>216</v>
      </c>
      <c r="T34" s="5">
        <v>202</v>
      </c>
      <c r="U34" s="5">
        <v>244</v>
      </c>
      <c r="V34" s="5">
        <f>SUM(E34:U34)</f>
        <v>3630</v>
      </c>
    </row>
    <row r="35" spans="1:22" x14ac:dyDescent="0.4">
      <c r="A35" s="6">
        <v>3</v>
      </c>
      <c r="B35" s="77" t="s">
        <v>39</v>
      </c>
      <c r="C35" s="68"/>
      <c r="D35" s="51"/>
      <c r="E35" s="6"/>
      <c r="F35" s="6"/>
      <c r="G35" s="6"/>
      <c r="H35" s="6"/>
      <c r="I35" s="6"/>
      <c r="J35" s="6"/>
      <c r="K35" s="6"/>
      <c r="L35" s="6">
        <v>1</v>
      </c>
      <c r="M35" s="6"/>
      <c r="N35" s="6"/>
      <c r="O35" s="6"/>
      <c r="P35" s="6"/>
      <c r="Q35" s="6"/>
      <c r="R35" s="6"/>
      <c r="S35" s="6"/>
      <c r="T35" s="6"/>
      <c r="U35" s="6"/>
      <c r="V35" s="5">
        <f>SUM(E35:U35)</f>
        <v>1</v>
      </c>
    </row>
    <row r="36" spans="1:22" x14ac:dyDescent="0.4">
      <c r="A36" s="6">
        <v>4</v>
      </c>
      <c r="B36" s="77" t="s">
        <v>40</v>
      </c>
      <c r="C36" s="68"/>
      <c r="D36" s="51"/>
      <c r="E36" s="5">
        <f t="shared" ref="E36:U36" si="28">E33-(E34+E35)</f>
        <v>72</v>
      </c>
      <c r="F36" s="5">
        <f t="shared" ref="F36:K36" si="29">F33-(F34+F35)</f>
        <v>84</v>
      </c>
      <c r="G36" s="5">
        <f t="shared" si="29"/>
        <v>48</v>
      </c>
      <c r="H36" s="5">
        <f t="shared" si="29"/>
        <v>63</v>
      </c>
      <c r="I36" s="5">
        <f t="shared" si="29"/>
        <v>88</v>
      </c>
      <c r="J36" s="5">
        <f t="shared" si="29"/>
        <v>65</v>
      </c>
      <c r="K36" s="5">
        <f t="shared" si="29"/>
        <v>44</v>
      </c>
      <c r="L36" s="5">
        <f t="shared" si="28"/>
        <v>50</v>
      </c>
      <c r="M36" s="5">
        <f t="shared" si="28"/>
        <v>60</v>
      </c>
      <c r="N36" s="5">
        <f t="shared" si="28"/>
        <v>75</v>
      </c>
      <c r="O36" s="5">
        <v>69</v>
      </c>
      <c r="P36" s="5">
        <f t="shared" ref="O36:Q36" si="30">P33-(P34+P35)</f>
        <v>58</v>
      </c>
      <c r="Q36" s="5">
        <f t="shared" si="30"/>
        <v>45</v>
      </c>
      <c r="R36" s="5">
        <f t="shared" si="28"/>
        <v>62</v>
      </c>
      <c r="S36" s="5">
        <f t="shared" ref="S36:T36" si="31">S33-(S34+S35)</f>
        <v>65</v>
      </c>
      <c r="T36" s="5">
        <f t="shared" si="31"/>
        <v>71</v>
      </c>
      <c r="U36" s="5">
        <f t="shared" si="28"/>
        <v>44</v>
      </c>
      <c r="V36" s="5">
        <f>SUM(E36:U36)</f>
        <v>1063</v>
      </c>
    </row>
    <row r="37" spans="1:22" x14ac:dyDescent="0.4">
      <c r="A37" s="55"/>
      <c r="B37" s="68"/>
      <c r="C37" s="68"/>
      <c r="D37" s="68"/>
      <c r="E37" s="55"/>
      <c r="F37" s="56"/>
      <c r="G37" s="56"/>
      <c r="H37" s="56"/>
      <c r="I37" s="56"/>
      <c r="J37" s="56"/>
      <c r="K37" s="56"/>
      <c r="L37" s="73"/>
      <c r="M37" s="73"/>
      <c r="N37" s="73"/>
      <c r="O37" s="73"/>
      <c r="P37" s="73"/>
      <c r="Q37" s="73"/>
      <c r="R37" s="92"/>
      <c r="S37" s="6"/>
      <c r="T37" s="6"/>
      <c r="U37" s="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>
        <v>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1</v>
      </c>
      <c r="T39" s="6"/>
      <c r="U39" s="6"/>
      <c r="V39" s="5">
        <f>SUM(E39:U39)</f>
        <v>3</v>
      </c>
    </row>
    <row r="40" spans="1:22" x14ac:dyDescent="0.4">
      <c r="A40" s="12"/>
      <c r="B40" s="75"/>
      <c r="C40" s="76"/>
      <c r="D40" s="6" t="s">
        <v>23</v>
      </c>
      <c r="E40" s="6">
        <v>2</v>
      </c>
      <c r="F40" s="6"/>
      <c r="G40" s="6"/>
      <c r="H40" s="6"/>
      <c r="I40" s="6"/>
      <c r="J40" s="6">
        <v>1</v>
      </c>
      <c r="K40" s="6"/>
      <c r="L40" s="6"/>
      <c r="M40" s="6"/>
      <c r="N40" s="6"/>
      <c r="O40" s="6"/>
      <c r="P40" s="6"/>
      <c r="Q40" s="6"/>
      <c r="R40" s="6"/>
      <c r="S40" s="6">
        <v>1</v>
      </c>
      <c r="T40" s="6"/>
      <c r="U40" s="6"/>
      <c r="V40" s="5">
        <f>SUM(E40:U40)</f>
        <v>4</v>
      </c>
    </row>
    <row r="41" spans="1:22" x14ac:dyDescent="0.4">
      <c r="A41" s="14"/>
      <c r="B41" s="70"/>
      <c r="C41" s="74"/>
      <c r="D41" s="5" t="s">
        <v>24</v>
      </c>
      <c r="E41" s="5">
        <f t="shared" ref="E41:U41" si="32">SUM(E39:E40)</f>
        <v>4</v>
      </c>
      <c r="F41" s="5">
        <f t="shared" ref="F41:K41" si="33">SUM(F39:F40)</f>
        <v>0</v>
      </c>
      <c r="G41" s="5">
        <f t="shared" si="33"/>
        <v>0</v>
      </c>
      <c r="H41" s="5">
        <f t="shared" si="33"/>
        <v>0</v>
      </c>
      <c r="I41" s="5">
        <f t="shared" si="33"/>
        <v>0</v>
      </c>
      <c r="J41" s="5">
        <f t="shared" si="33"/>
        <v>1</v>
      </c>
      <c r="K41" s="5">
        <f t="shared" si="33"/>
        <v>0</v>
      </c>
      <c r="L41" s="5">
        <f t="shared" si="32"/>
        <v>0</v>
      </c>
      <c r="M41" s="5">
        <f t="shared" si="32"/>
        <v>0</v>
      </c>
      <c r="N41" s="5">
        <f t="shared" si="32"/>
        <v>0</v>
      </c>
      <c r="O41" s="5">
        <f t="shared" ref="O41:Q41" si="34">SUM(O39:O40)</f>
        <v>0</v>
      </c>
      <c r="P41" s="5">
        <f t="shared" si="34"/>
        <v>0</v>
      </c>
      <c r="Q41" s="5">
        <f t="shared" si="34"/>
        <v>0</v>
      </c>
      <c r="R41" s="5">
        <f t="shared" si="32"/>
        <v>0</v>
      </c>
      <c r="S41" s="5">
        <f t="shared" ref="S41:T41" si="35">SUM(S39:S40)</f>
        <v>2</v>
      </c>
      <c r="T41" s="5">
        <f t="shared" si="35"/>
        <v>0</v>
      </c>
      <c r="U41" s="5">
        <f t="shared" si="32"/>
        <v>0</v>
      </c>
      <c r="V41" s="5">
        <f>SUM(E41:U41)</f>
        <v>7</v>
      </c>
    </row>
    <row r="42" spans="1:22" x14ac:dyDescent="0.4">
      <c r="A42" s="69"/>
      <c r="B42" s="70"/>
      <c r="C42" s="70"/>
      <c r="D42" s="74"/>
      <c r="E42" s="55"/>
      <c r="F42" s="56"/>
      <c r="G42" s="56"/>
      <c r="H42" s="56"/>
      <c r="I42" s="56"/>
      <c r="J42" s="56"/>
      <c r="K42" s="56"/>
      <c r="L42" s="68"/>
      <c r="M42" s="68"/>
      <c r="N42" s="68"/>
      <c r="O42" s="68"/>
      <c r="P42" s="68"/>
      <c r="Q42" s="68"/>
      <c r="R42" s="51"/>
      <c r="S42" s="6"/>
      <c r="T42" s="6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6</v>
      </c>
      <c r="F45" s="6">
        <v>4</v>
      </c>
      <c r="G45" s="6">
        <v>4</v>
      </c>
      <c r="H45" s="6">
        <v>4</v>
      </c>
      <c r="I45" s="6">
        <v>6</v>
      </c>
      <c r="J45" s="6">
        <v>14</v>
      </c>
      <c r="K45" s="6">
        <v>10</v>
      </c>
      <c r="L45" s="6">
        <v>14</v>
      </c>
      <c r="M45" s="6">
        <v>11</v>
      </c>
      <c r="N45" s="6">
        <v>7</v>
      </c>
      <c r="O45" s="6">
        <v>5</v>
      </c>
      <c r="P45" s="6">
        <v>3</v>
      </c>
      <c r="Q45" s="6">
        <v>7</v>
      </c>
      <c r="R45" s="6">
        <v>18</v>
      </c>
      <c r="S45" s="6">
        <v>22</v>
      </c>
      <c r="T45" s="6">
        <v>16</v>
      </c>
      <c r="U45" s="6">
        <v>17</v>
      </c>
      <c r="V45" s="5">
        <f t="shared" ref="V45:V54" si="36">SUM(E45:U45)</f>
        <v>168</v>
      </c>
    </row>
    <row r="46" spans="1:22" x14ac:dyDescent="0.4">
      <c r="A46" s="11" t="s">
        <v>49</v>
      </c>
      <c r="B46" s="46"/>
      <c r="C46" s="24" t="s">
        <v>103</v>
      </c>
      <c r="D46" s="45"/>
      <c r="E46" s="6">
        <v>6</v>
      </c>
      <c r="F46" s="6">
        <v>16</v>
      </c>
      <c r="G46" s="6">
        <v>11</v>
      </c>
      <c r="H46" s="6">
        <v>3</v>
      </c>
      <c r="I46" s="6">
        <v>8</v>
      </c>
      <c r="J46" s="6">
        <v>26</v>
      </c>
      <c r="K46" s="6">
        <v>42</v>
      </c>
      <c r="L46" s="6">
        <v>32</v>
      </c>
      <c r="M46" s="6">
        <v>19</v>
      </c>
      <c r="N46" s="6">
        <v>26</v>
      </c>
      <c r="O46" s="6">
        <v>16</v>
      </c>
      <c r="P46" s="6">
        <v>13</v>
      </c>
      <c r="Q46" s="6">
        <v>40</v>
      </c>
      <c r="R46" s="6">
        <v>61</v>
      </c>
      <c r="S46" s="6">
        <v>31</v>
      </c>
      <c r="T46" s="6">
        <v>12</v>
      </c>
      <c r="U46" s="6">
        <v>31</v>
      </c>
      <c r="V46" s="5">
        <f t="shared" si="36"/>
        <v>393</v>
      </c>
    </row>
    <row r="47" spans="1:22" x14ac:dyDescent="0.4">
      <c r="A47" s="7"/>
      <c r="B47" s="46"/>
      <c r="C47" s="24" t="s">
        <v>104</v>
      </c>
      <c r="D47" s="45"/>
      <c r="E47" s="6">
        <v>2</v>
      </c>
      <c r="F47" s="6">
        <v>4</v>
      </c>
      <c r="G47" s="6">
        <v>1</v>
      </c>
      <c r="H47" s="6">
        <v>0</v>
      </c>
      <c r="I47" s="6">
        <v>1</v>
      </c>
      <c r="J47" s="6">
        <v>4</v>
      </c>
      <c r="K47" s="6">
        <v>2</v>
      </c>
      <c r="L47" s="6">
        <v>1</v>
      </c>
      <c r="M47" s="6">
        <v>1</v>
      </c>
      <c r="N47" s="6">
        <v>2</v>
      </c>
      <c r="O47" s="6">
        <v>1</v>
      </c>
      <c r="P47" s="6">
        <v>0</v>
      </c>
      <c r="Q47" s="6">
        <v>1</v>
      </c>
      <c r="R47" s="6">
        <v>0</v>
      </c>
      <c r="S47" s="6">
        <v>1</v>
      </c>
      <c r="T47" s="6">
        <v>2</v>
      </c>
      <c r="U47" s="6">
        <v>4</v>
      </c>
      <c r="V47" s="5">
        <f t="shared" si="36"/>
        <v>27</v>
      </c>
    </row>
    <row r="48" spans="1:22" x14ac:dyDescent="0.4">
      <c r="A48" s="7"/>
      <c r="B48" s="46"/>
      <c r="C48" s="24" t="s">
        <v>105</v>
      </c>
      <c r="D48" s="45"/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2</v>
      </c>
      <c r="L48" s="6">
        <v>1</v>
      </c>
      <c r="M48" s="6">
        <v>1</v>
      </c>
      <c r="N48" s="6">
        <v>1</v>
      </c>
      <c r="O48" s="6">
        <v>1</v>
      </c>
      <c r="P48" s="6">
        <v>2</v>
      </c>
      <c r="Q48" s="6">
        <v>0</v>
      </c>
      <c r="R48" s="6">
        <v>1</v>
      </c>
      <c r="S48" s="6">
        <v>0</v>
      </c>
      <c r="T48" s="6">
        <v>2</v>
      </c>
      <c r="U48" s="6">
        <v>1</v>
      </c>
      <c r="V48" s="5">
        <f t="shared" si="36"/>
        <v>14</v>
      </c>
    </row>
    <row r="49" spans="1:22" x14ac:dyDescent="0.4">
      <c r="A49" s="7"/>
      <c r="B49" s="46"/>
      <c r="C49" s="24" t="s">
        <v>106</v>
      </c>
      <c r="D49" s="45"/>
      <c r="E49" s="6">
        <v>0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5">
        <f t="shared" si="36"/>
        <v>7</v>
      </c>
    </row>
    <row r="50" spans="1:22" x14ac:dyDescent="0.4">
      <c r="A50" s="7"/>
      <c r="B50" s="46"/>
      <c r="C50" s="24" t="s">
        <v>107</v>
      </c>
      <c r="D50" s="45"/>
      <c r="E50" s="6">
        <v>0</v>
      </c>
      <c r="F50" s="6">
        <v>1</v>
      </c>
      <c r="G50" s="6">
        <v>1</v>
      </c>
      <c r="H50" s="6">
        <v>1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5">
        <f t="shared" si="36"/>
        <v>5</v>
      </c>
    </row>
    <row r="51" spans="1:22" x14ac:dyDescent="0.4">
      <c r="A51" s="7"/>
      <c r="B51" s="46"/>
      <c r="C51" s="24" t="s">
        <v>108</v>
      </c>
      <c r="D51" s="45"/>
      <c r="E51" s="6">
        <v>0</v>
      </c>
      <c r="F51" s="6">
        <v>1</v>
      </c>
      <c r="G51" s="6">
        <v>2</v>
      </c>
      <c r="H51" s="6">
        <v>1</v>
      </c>
      <c r="I51" s="6">
        <v>0</v>
      </c>
      <c r="J51" s="6">
        <v>1</v>
      </c>
      <c r="K51" s="6">
        <v>1</v>
      </c>
      <c r="L51" s="6">
        <v>1</v>
      </c>
      <c r="M51" s="6">
        <v>4</v>
      </c>
      <c r="N51" s="6">
        <v>1</v>
      </c>
      <c r="O51" s="6">
        <v>0</v>
      </c>
      <c r="P51" s="6">
        <v>1</v>
      </c>
      <c r="Q51" s="6">
        <v>0</v>
      </c>
      <c r="R51" s="6">
        <v>1</v>
      </c>
      <c r="S51" s="6">
        <v>0</v>
      </c>
      <c r="T51" s="6">
        <v>1</v>
      </c>
      <c r="U51" s="6">
        <v>0</v>
      </c>
      <c r="V51" s="5">
        <f t="shared" si="36"/>
        <v>15</v>
      </c>
    </row>
    <row r="52" spans="1:22" ht="13.15" customHeight="1" x14ac:dyDescent="0.4">
      <c r="A52" s="7"/>
      <c r="B52" s="46"/>
      <c r="C52" s="24" t="s">
        <v>109</v>
      </c>
      <c r="D52" s="45"/>
      <c r="E52" s="6">
        <v>1</v>
      </c>
      <c r="F52" s="6">
        <v>0</v>
      </c>
      <c r="G52" s="6">
        <v>1</v>
      </c>
      <c r="H52" s="6">
        <v>1</v>
      </c>
      <c r="I52" s="6">
        <v>0</v>
      </c>
      <c r="J52" s="6">
        <v>0</v>
      </c>
      <c r="K52" s="6">
        <v>1</v>
      </c>
      <c r="L52" s="6">
        <v>2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1</v>
      </c>
      <c r="T52" s="6">
        <v>0</v>
      </c>
      <c r="U52" s="6">
        <v>0</v>
      </c>
      <c r="V52" s="5">
        <f t="shared" si="36"/>
        <v>8</v>
      </c>
    </row>
    <row r="53" spans="1:22" ht="13.15" customHeight="1" x14ac:dyDescent="0.4">
      <c r="A53" s="7"/>
      <c r="B53" s="46"/>
      <c r="C53" s="24" t="s">
        <v>110</v>
      </c>
      <c r="D53" s="47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5">
        <f t="shared" si="36"/>
        <v>1</v>
      </c>
    </row>
    <row r="54" spans="1:22" ht="13.15" customHeight="1" x14ac:dyDescent="0.4">
      <c r="A54" s="7"/>
      <c r="B54" s="46"/>
      <c r="C54" s="24" t="s">
        <v>111</v>
      </c>
      <c r="D54" s="45"/>
      <c r="E54" s="6">
        <v>0</v>
      </c>
      <c r="F54" s="6">
        <v>0</v>
      </c>
      <c r="G54" s="6">
        <v>2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5">
        <f t="shared" si="36"/>
        <v>5</v>
      </c>
    </row>
    <row r="55" spans="1:22" x14ac:dyDescent="0.4">
      <c r="A55" s="6" t="s">
        <v>25</v>
      </c>
      <c r="B55" s="52" t="s">
        <v>50</v>
      </c>
      <c r="C55" s="68"/>
      <c r="D55" s="51"/>
      <c r="E55" s="5">
        <f>SUM(E45:E54)</f>
        <v>16</v>
      </c>
      <c r="F55" s="5">
        <f t="shared" ref="F55:V55" si="37">SUM(F45:F54)</f>
        <v>27</v>
      </c>
      <c r="G55" s="5">
        <f t="shared" si="37"/>
        <v>23</v>
      </c>
      <c r="H55" s="5">
        <f t="shared" si="37"/>
        <v>10</v>
      </c>
      <c r="I55" s="5">
        <f t="shared" si="37"/>
        <v>16</v>
      </c>
      <c r="J55" s="5">
        <f t="shared" si="37"/>
        <v>45</v>
      </c>
      <c r="K55" s="5">
        <f t="shared" si="37"/>
        <v>61</v>
      </c>
      <c r="L55" s="5">
        <f t="shared" si="37"/>
        <v>52</v>
      </c>
      <c r="M55" s="5">
        <f t="shared" si="37"/>
        <v>38</v>
      </c>
      <c r="N55" s="5">
        <f t="shared" si="37"/>
        <v>38</v>
      </c>
      <c r="O55" s="5">
        <f t="shared" ref="O55:Q55" si="38">SUM(O45:O54)</f>
        <v>24</v>
      </c>
      <c r="P55" s="5">
        <f t="shared" si="38"/>
        <v>20</v>
      </c>
      <c r="Q55" s="5">
        <f t="shared" si="38"/>
        <v>48</v>
      </c>
      <c r="R55" s="5">
        <f t="shared" si="37"/>
        <v>81</v>
      </c>
      <c r="S55" s="5">
        <f t="shared" si="37"/>
        <v>55</v>
      </c>
      <c r="T55" s="5">
        <f t="shared" si="37"/>
        <v>34</v>
      </c>
      <c r="U55" s="5">
        <f t="shared" si="37"/>
        <v>55</v>
      </c>
      <c r="V55" s="5">
        <f t="shared" si="37"/>
        <v>643</v>
      </c>
    </row>
    <row r="56" spans="1:22" x14ac:dyDescent="0.4">
      <c r="A56" s="69"/>
      <c r="B56" s="70"/>
      <c r="C56" s="70"/>
      <c r="D56" s="70"/>
      <c r="E56" s="70"/>
      <c r="V56" s="5"/>
    </row>
    <row r="57" spans="1:22" x14ac:dyDescent="0.4">
      <c r="A57" s="11" t="s">
        <v>47</v>
      </c>
      <c r="B57" s="17" t="s">
        <v>29</v>
      </c>
      <c r="C57" s="50" t="s">
        <v>51</v>
      </c>
      <c r="D57" s="51"/>
      <c r="E57" s="6">
        <v>9</v>
      </c>
      <c r="F57" s="6">
        <v>20</v>
      </c>
      <c r="G57" s="6">
        <v>24</v>
      </c>
      <c r="H57" s="6">
        <v>9</v>
      </c>
      <c r="I57" s="6">
        <v>8</v>
      </c>
      <c r="J57" s="6">
        <v>16</v>
      </c>
      <c r="K57" s="6">
        <v>7</v>
      </c>
      <c r="L57" s="6">
        <v>14</v>
      </c>
      <c r="M57" s="6">
        <v>17</v>
      </c>
      <c r="N57" s="6">
        <v>8</v>
      </c>
      <c r="O57" s="6">
        <v>10</v>
      </c>
      <c r="P57" s="6">
        <v>18</v>
      </c>
      <c r="Q57" s="6">
        <v>12</v>
      </c>
      <c r="R57" s="6">
        <v>8</v>
      </c>
      <c r="S57" s="6">
        <v>22</v>
      </c>
      <c r="T57" s="6">
        <v>26</v>
      </c>
      <c r="U57" s="6">
        <v>18</v>
      </c>
      <c r="V57" s="5">
        <f t="shared" ref="V57:V66" si="39">SUM(E57:U57)</f>
        <v>246</v>
      </c>
    </row>
    <row r="58" spans="1:22" x14ac:dyDescent="0.4">
      <c r="A58" s="11" t="s">
        <v>49</v>
      </c>
      <c r="B58" s="46"/>
      <c r="C58" s="24" t="s">
        <v>112</v>
      </c>
      <c r="D58" s="45"/>
      <c r="E58" s="6">
        <v>3</v>
      </c>
      <c r="F58" s="6">
        <v>3</v>
      </c>
      <c r="G58" s="6">
        <v>2</v>
      </c>
      <c r="H58" s="6">
        <v>7</v>
      </c>
      <c r="I58" s="6">
        <v>1</v>
      </c>
      <c r="J58" s="6">
        <v>7</v>
      </c>
      <c r="K58" s="6">
        <v>4</v>
      </c>
      <c r="L58" s="6">
        <v>10</v>
      </c>
      <c r="M58" s="6">
        <v>7</v>
      </c>
      <c r="N58" s="6">
        <v>6</v>
      </c>
      <c r="O58" s="6">
        <v>7</v>
      </c>
      <c r="P58" s="6">
        <v>2</v>
      </c>
      <c r="Q58" s="6">
        <v>5</v>
      </c>
      <c r="R58" s="6">
        <v>6</v>
      </c>
      <c r="S58" s="6">
        <v>11</v>
      </c>
      <c r="T58" s="6">
        <v>3</v>
      </c>
      <c r="U58" s="6">
        <v>10</v>
      </c>
      <c r="V58" s="5">
        <f t="shared" si="39"/>
        <v>94</v>
      </c>
    </row>
    <row r="59" spans="1:22" x14ac:dyDescent="0.4">
      <c r="A59" s="7"/>
      <c r="B59" s="46"/>
      <c r="C59" s="24" t="s">
        <v>113</v>
      </c>
      <c r="D59" s="45"/>
      <c r="E59" s="6">
        <v>8</v>
      </c>
      <c r="F59" s="6">
        <v>8</v>
      </c>
      <c r="G59" s="6">
        <v>13</v>
      </c>
      <c r="H59" s="6">
        <v>12</v>
      </c>
      <c r="I59" s="6">
        <v>5</v>
      </c>
      <c r="J59" s="6">
        <v>12</v>
      </c>
      <c r="K59" s="6">
        <v>10</v>
      </c>
      <c r="L59" s="6">
        <v>13</v>
      </c>
      <c r="M59" s="6">
        <v>14</v>
      </c>
      <c r="N59" s="6">
        <v>21</v>
      </c>
      <c r="O59" s="6">
        <v>17</v>
      </c>
      <c r="P59" s="6">
        <v>30</v>
      </c>
      <c r="Q59" s="6">
        <v>17</v>
      </c>
      <c r="R59" s="6">
        <v>11</v>
      </c>
      <c r="S59" s="6">
        <v>3</v>
      </c>
      <c r="T59" s="6">
        <v>8</v>
      </c>
      <c r="U59" s="6">
        <v>13</v>
      </c>
      <c r="V59" s="5">
        <f t="shared" si="39"/>
        <v>215</v>
      </c>
    </row>
    <row r="60" spans="1:22" x14ac:dyDescent="0.4">
      <c r="A60" s="7"/>
      <c r="B60" s="46"/>
      <c r="C60" s="24" t="s">
        <v>114</v>
      </c>
      <c r="D60" s="45"/>
      <c r="E60" s="6">
        <v>1</v>
      </c>
      <c r="F60" s="6">
        <v>1</v>
      </c>
      <c r="G60" s="6">
        <v>5</v>
      </c>
      <c r="H60" s="6">
        <v>5</v>
      </c>
      <c r="I60" s="6">
        <v>1</v>
      </c>
      <c r="J60" s="6">
        <v>3</v>
      </c>
      <c r="K60" s="6">
        <v>1</v>
      </c>
      <c r="L60" s="6">
        <v>1</v>
      </c>
      <c r="M60" s="6">
        <v>0</v>
      </c>
      <c r="N60" s="6">
        <v>2</v>
      </c>
      <c r="O60" s="6">
        <v>5</v>
      </c>
      <c r="P60" s="6">
        <v>1</v>
      </c>
      <c r="Q60" s="6">
        <v>3</v>
      </c>
      <c r="R60" s="6">
        <v>3</v>
      </c>
      <c r="S60" s="6">
        <v>2</v>
      </c>
      <c r="T60" s="6">
        <v>6</v>
      </c>
      <c r="U60" s="6">
        <v>2</v>
      </c>
      <c r="V60" s="5">
        <f t="shared" si="39"/>
        <v>42</v>
      </c>
    </row>
    <row r="61" spans="1:22" x14ac:dyDescent="0.4">
      <c r="A61" s="7"/>
      <c r="B61" s="46"/>
      <c r="C61" s="24" t="s">
        <v>115</v>
      </c>
      <c r="D61" s="45"/>
      <c r="E61" s="6">
        <v>0</v>
      </c>
      <c r="F61" s="6">
        <v>4</v>
      </c>
      <c r="G61" s="6">
        <v>7</v>
      </c>
      <c r="H61" s="6">
        <v>6</v>
      </c>
      <c r="I61" s="6">
        <v>2</v>
      </c>
      <c r="J61" s="6">
        <v>3</v>
      </c>
      <c r="K61" s="6">
        <v>1</v>
      </c>
      <c r="L61" s="6">
        <v>11</v>
      </c>
      <c r="M61" s="6">
        <v>21</v>
      </c>
      <c r="N61" s="6">
        <v>3</v>
      </c>
      <c r="O61" s="6">
        <v>5</v>
      </c>
      <c r="P61" s="6">
        <v>2</v>
      </c>
      <c r="Q61" s="6">
        <v>2</v>
      </c>
      <c r="R61" s="6">
        <v>3</v>
      </c>
      <c r="S61" s="6">
        <v>1</v>
      </c>
      <c r="T61" s="6">
        <v>2</v>
      </c>
      <c r="U61" s="6">
        <v>3</v>
      </c>
      <c r="V61" s="5">
        <f t="shared" si="39"/>
        <v>76</v>
      </c>
    </row>
    <row r="62" spans="1:22" x14ac:dyDescent="0.4">
      <c r="A62" s="7"/>
      <c r="B62" s="46"/>
      <c r="C62" s="24" t="s">
        <v>116</v>
      </c>
      <c r="D62" s="45"/>
      <c r="E62" s="6">
        <v>0</v>
      </c>
      <c r="F62" s="6">
        <v>3</v>
      </c>
      <c r="G62" s="6">
        <v>3</v>
      </c>
      <c r="H62" s="6">
        <v>0</v>
      </c>
      <c r="I62" s="6">
        <v>0</v>
      </c>
      <c r="J62" s="6">
        <v>1</v>
      </c>
      <c r="K62" s="6">
        <v>1</v>
      </c>
      <c r="L62" s="6">
        <v>0</v>
      </c>
      <c r="M62" s="6">
        <v>0</v>
      </c>
      <c r="N62" s="6">
        <v>1</v>
      </c>
      <c r="O62" s="6">
        <v>4</v>
      </c>
      <c r="P62" s="6">
        <v>0</v>
      </c>
      <c r="Q62" s="6">
        <v>1</v>
      </c>
      <c r="R62" s="6">
        <v>1</v>
      </c>
      <c r="S62" s="6">
        <v>2</v>
      </c>
      <c r="T62" s="6">
        <v>2</v>
      </c>
      <c r="U62" s="6">
        <v>1</v>
      </c>
      <c r="V62" s="5">
        <f t="shared" si="39"/>
        <v>20</v>
      </c>
    </row>
    <row r="63" spans="1:22" ht="13.15" customHeight="1" x14ac:dyDescent="0.4">
      <c r="A63" s="7"/>
      <c r="B63" s="46"/>
      <c r="C63" s="24" t="s">
        <v>117</v>
      </c>
      <c r="D63" s="45"/>
      <c r="E63" s="6">
        <v>1</v>
      </c>
      <c r="F63" s="6">
        <v>0</v>
      </c>
      <c r="G63" s="6">
        <v>2</v>
      </c>
      <c r="H63" s="6">
        <v>1</v>
      </c>
      <c r="I63" s="6">
        <v>0</v>
      </c>
      <c r="J63" s="6">
        <v>1</v>
      </c>
      <c r="K63" s="6">
        <v>0</v>
      </c>
      <c r="L63" s="6">
        <v>2</v>
      </c>
      <c r="M63" s="6">
        <v>1</v>
      </c>
      <c r="N63" s="6">
        <v>1</v>
      </c>
      <c r="O63" s="6">
        <v>0</v>
      </c>
      <c r="P63" s="6">
        <v>0</v>
      </c>
      <c r="Q63" s="6">
        <v>1</v>
      </c>
      <c r="R63" s="6">
        <v>0</v>
      </c>
      <c r="S63" s="6">
        <v>2</v>
      </c>
      <c r="T63" s="6">
        <v>0</v>
      </c>
      <c r="U63" s="6">
        <v>0</v>
      </c>
      <c r="V63" s="5">
        <f t="shared" si="39"/>
        <v>12</v>
      </c>
    </row>
    <row r="64" spans="1:22" x14ac:dyDescent="0.4">
      <c r="A64" s="7"/>
      <c r="B64" s="46"/>
      <c r="C64" s="24" t="s">
        <v>118</v>
      </c>
      <c r="D64" s="45"/>
      <c r="E64" s="6">
        <v>0</v>
      </c>
      <c r="F64" s="6">
        <v>0</v>
      </c>
      <c r="G64" s="6">
        <v>0</v>
      </c>
      <c r="H64" s="6">
        <v>1</v>
      </c>
      <c r="I64" s="6">
        <v>0</v>
      </c>
      <c r="J64" s="6">
        <v>1</v>
      </c>
      <c r="K64" s="6">
        <v>0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5">
        <f t="shared" si="39"/>
        <v>3</v>
      </c>
    </row>
    <row r="65" spans="1:22" x14ac:dyDescent="0.4">
      <c r="A65" s="7"/>
      <c r="B65" s="46"/>
      <c r="C65" s="24" t="s">
        <v>119</v>
      </c>
      <c r="D65" s="45"/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1</v>
      </c>
      <c r="P65" s="6">
        <v>1</v>
      </c>
      <c r="Q65" s="6">
        <v>0</v>
      </c>
      <c r="R65" s="6">
        <v>0</v>
      </c>
      <c r="S65" s="6">
        <v>1</v>
      </c>
      <c r="T65" s="6">
        <v>0</v>
      </c>
      <c r="U65" s="6">
        <v>0</v>
      </c>
      <c r="V65" s="5">
        <f t="shared" si="39"/>
        <v>5</v>
      </c>
    </row>
    <row r="66" spans="1:22" x14ac:dyDescent="0.4">
      <c r="A66" s="7"/>
      <c r="B66" s="46"/>
      <c r="C66" s="24" t="s">
        <v>120</v>
      </c>
      <c r="D66" s="45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6">
        <v>1</v>
      </c>
      <c r="M66" s="6">
        <v>0</v>
      </c>
      <c r="N66" s="6">
        <v>0</v>
      </c>
      <c r="O66" s="6">
        <v>1</v>
      </c>
      <c r="P66" s="6">
        <v>3</v>
      </c>
      <c r="Q66" s="6">
        <v>0</v>
      </c>
      <c r="R66" s="6">
        <v>1</v>
      </c>
      <c r="S66" s="6">
        <v>0</v>
      </c>
      <c r="T66" s="6">
        <v>0</v>
      </c>
      <c r="U66" s="6">
        <v>0</v>
      </c>
      <c r="V66" s="5">
        <f t="shared" si="39"/>
        <v>8</v>
      </c>
    </row>
    <row r="67" spans="1:22" x14ac:dyDescent="0.4">
      <c r="A67" s="6" t="s">
        <v>25</v>
      </c>
      <c r="B67" s="52" t="s">
        <v>50</v>
      </c>
      <c r="C67" s="68"/>
      <c r="D67" s="51"/>
      <c r="E67" s="5">
        <f t="shared" ref="E67:V67" si="40">SUM(E57:E66)</f>
        <v>22</v>
      </c>
      <c r="F67" s="5">
        <f t="shared" si="40"/>
        <v>40</v>
      </c>
      <c r="G67" s="5">
        <f t="shared" si="40"/>
        <v>57</v>
      </c>
      <c r="H67" s="5">
        <f t="shared" si="40"/>
        <v>41</v>
      </c>
      <c r="I67" s="5">
        <f t="shared" si="40"/>
        <v>17</v>
      </c>
      <c r="J67" s="5">
        <f t="shared" si="40"/>
        <v>45</v>
      </c>
      <c r="K67" s="5">
        <f t="shared" si="40"/>
        <v>24</v>
      </c>
      <c r="L67" s="5">
        <f t="shared" si="40"/>
        <v>54</v>
      </c>
      <c r="M67" s="5">
        <f t="shared" si="40"/>
        <v>60</v>
      </c>
      <c r="N67" s="5">
        <f t="shared" si="40"/>
        <v>42</v>
      </c>
      <c r="O67" s="5">
        <f t="shared" ref="O67:Q67" si="41">SUM(O57:O66)</f>
        <v>50</v>
      </c>
      <c r="P67" s="5">
        <f t="shared" si="41"/>
        <v>57</v>
      </c>
      <c r="Q67" s="5">
        <f t="shared" si="41"/>
        <v>41</v>
      </c>
      <c r="R67" s="5">
        <f t="shared" si="40"/>
        <v>33</v>
      </c>
      <c r="S67" s="5">
        <f t="shared" si="40"/>
        <v>44</v>
      </c>
      <c r="T67" s="5">
        <f t="shared" si="40"/>
        <v>47</v>
      </c>
      <c r="U67" s="5">
        <f t="shared" si="40"/>
        <v>47</v>
      </c>
      <c r="V67" s="5">
        <f t="shared" si="40"/>
        <v>721</v>
      </c>
    </row>
    <row r="68" spans="1:22" x14ac:dyDescent="0.4">
      <c r="A68" s="69"/>
      <c r="B68" s="70"/>
      <c r="C68" s="70"/>
      <c r="D68" s="70"/>
      <c r="E68" s="70"/>
    </row>
    <row r="69" spans="1:22" x14ac:dyDescent="0.4">
      <c r="A69" s="11" t="s">
        <v>47</v>
      </c>
      <c r="B69" s="17" t="s">
        <v>31</v>
      </c>
      <c r="C69" s="50" t="s">
        <v>52</v>
      </c>
      <c r="D69" s="51"/>
      <c r="E69" s="6">
        <v>11</v>
      </c>
      <c r="F69" s="6">
        <v>6</v>
      </c>
      <c r="G69" s="6">
        <v>6</v>
      </c>
      <c r="H69" s="6">
        <v>19</v>
      </c>
      <c r="I69" s="6">
        <v>16</v>
      </c>
      <c r="J69" s="6">
        <v>8</v>
      </c>
      <c r="K69" s="6">
        <v>3</v>
      </c>
      <c r="L69" s="6">
        <v>4</v>
      </c>
      <c r="M69" s="6">
        <v>9</v>
      </c>
      <c r="N69" s="6">
        <v>2</v>
      </c>
      <c r="O69" s="6">
        <v>10</v>
      </c>
      <c r="P69" s="6">
        <v>16</v>
      </c>
      <c r="Q69" s="6">
        <v>6</v>
      </c>
      <c r="R69" s="6">
        <v>7</v>
      </c>
      <c r="S69" s="6">
        <v>7</v>
      </c>
      <c r="T69" s="6">
        <v>5</v>
      </c>
      <c r="U69" s="6">
        <v>5</v>
      </c>
      <c r="V69" s="5">
        <f t="shared" ref="V69:V78" si="42">SUM(E69:U69)</f>
        <v>140</v>
      </c>
    </row>
    <row r="70" spans="1:22" x14ac:dyDescent="0.4">
      <c r="A70" s="11" t="s">
        <v>49</v>
      </c>
      <c r="B70" s="46"/>
      <c r="C70" s="24" t="s">
        <v>121</v>
      </c>
      <c r="D70" s="45"/>
      <c r="E70" s="6">
        <v>11</v>
      </c>
      <c r="F70" s="6">
        <v>2</v>
      </c>
      <c r="G70" s="6">
        <v>11</v>
      </c>
      <c r="H70" s="6">
        <v>4</v>
      </c>
      <c r="I70" s="6">
        <v>6</v>
      </c>
      <c r="J70" s="6">
        <v>1</v>
      </c>
      <c r="K70" s="6">
        <v>1</v>
      </c>
      <c r="L70" s="6">
        <v>6</v>
      </c>
      <c r="M70" s="6">
        <v>2</v>
      </c>
      <c r="N70" s="6">
        <v>4</v>
      </c>
      <c r="O70" s="6">
        <v>7</v>
      </c>
      <c r="P70" s="6">
        <v>4</v>
      </c>
      <c r="Q70" s="6">
        <v>1</v>
      </c>
      <c r="R70" s="6">
        <v>4</v>
      </c>
      <c r="S70" s="6">
        <v>2</v>
      </c>
      <c r="T70" s="6">
        <v>3</v>
      </c>
      <c r="U70" s="6">
        <v>4</v>
      </c>
      <c r="V70" s="5">
        <f t="shared" si="42"/>
        <v>73</v>
      </c>
    </row>
    <row r="71" spans="1:22" x14ac:dyDescent="0.4">
      <c r="A71" s="7"/>
      <c r="B71" s="46"/>
      <c r="C71" s="24" t="s">
        <v>122</v>
      </c>
      <c r="D71" s="45"/>
      <c r="E71" s="6">
        <v>12</v>
      </c>
      <c r="F71" s="6">
        <v>11</v>
      </c>
      <c r="G71" s="6">
        <v>10</v>
      </c>
      <c r="H71" s="6">
        <v>47</v>
      </c>
      <c r="I71" s="6">
        <v>56</v>
      </c>
      <c r="J71" s="6">
        <v>21</v>
      </c>
      <c r="K71" s="6">
        <v>7</v>
      </c>
      <c r="L71" s="6">
        <v>15</v>
      </c>
      <c r="M71" s="6">
        <v>3</v>
      </c>
      <c r="N71" s="6">
        <v>6</v>
      </c>
      <c r="O71" s="6">
        <v>12</v>
      </c>
      <c r="P71" s="6">
        <v>10</v>
      </c>
      <c r="Q71" s="6">
        <v>3</v>
      </c>
      <c r="R71" s="6">
        <v>3</v>
      </c>
      <c r="S71" s="6">
        <v>7</v>
      </c>
      <c r="T71" s="6">
        <v>2</v>
      </c>
      <c r="U71" s="6">
        <v>9</v>
      </c>
      <c r="V71" s="5">
        <f t="shared" si="42"/>
        <v>234</v>
      </c>
    </row>
    <row r="72" spans="1:22" x14ac:dyDescent="0.4">
      <c r="A72" s="7"/>
      <c r="B72" s="46"/>
      <c r="C72" s="24" t="s">
        <v>123</v>
      </c>
      <c r="D72" s="45"/>
      <c r="E72" s="6">
        <v>3</v>
      </c>
      <c r="F72" s="6">
        <v>4</v>
      </c>
      <c r="G72" s="6">
        <v>2</v>
      </c>
      <c r="H72" s="6">
        <v>5</v>
      </c>
      <c r="I72" s="6">
        <v>4</v>
      </c>
      <c r="J72" s="6">
        <v>3</v>
      </c>
      <c r="K72" s="6">
        <v>6</v>
      </c>
      <c r="L72" s="6">
        <v>1</v>
      </c>
      <c r="M72" s="6">
        <v>1</v>
      </c>
      <c r="N72" s="6">
        <v>2</v>
      </c>
      <c r="O72" s="6">
        <v>0</v>
      </c>
      <c r="P72" s="6">
        <v>1</v>
      </c>
      <c r="Q72" s="6">
        <v>0</v>
      </c>
      <c r="R72" s="6">
        <v>1</v>
      </c>
      <c r="S72" s="6">
        <v>2</v>
      </c>
      <c r="T72" s="6">
        <v>1</v>
      </c>
      <c r="U72" s="6">
        <v>2</v>
      </c>
      <c r="V72" s="5">
        <f t="shared" si="42"/>
        <v>38</v>
      </c>
    </row>
    <row r="73" spans="1:22" x14ac:dyDescent="0.4">
      <c r="A73" s="7"/>
      <c r="B73" s="46"/>
      <c r="C73" s="24" t="s">
        <v>124</v>
      </c>
      <c r="D73" s="45"/>
      <c r="E73" s="6">
        <v>40</v>
      </c>
      <c r="F73" s="6">
        <v>0</v>
      </c>
      <c r="G73" s="6">
        <v>2</v>
      </c>
      <c r="H73" s="6">
        <v>3</v>
      </c>
      <c r="I73" s="6">
        <v>1</v>
      </c>
      <c r="J73" s="6">
        <v>2</v>
      </c>
      <c r="K73" s="6">
        <v>0</v>
      </c>
      <c r="L73" s="6">
        <v>1</v>
      </c>
      <c r="M73" s="6">
        <v>1</v>
      </c>
      <c r="N73" s="6">
        <v>0</v>
      </c>
      <c r="O73" s="6">
        <v>2</v>
      </c>
      <c r="P73" s="6">
        <v>6</v>
      </c>
      <c r="Q73" s="6">
        <v>2</v>
      </c>
      <c r="R73" s="6">
        <v>1</v>
      </c>
      <c r="S73" s="6">
        <v>2</v>
      </c>
      <c r="T73" s="6">
        <v>0</v>
      </c>
      <c r="U73" s="6">
        <v>4</v>
      </c>
      <c r="V73" s="5">
        <f t="shared" si="42"/>
        <v>67</v>
      </c>
    </row>
    <row r="74" spans="1:22" ht="13.15" customHeight="1" x14ac:dyDescent="0.4">
      <c r="A74" s="7"/>
      <c r="B74" s="46"/>
      <c r="C74" s="24" t="s">
        <v>125</v>
      </c>
      <c r="D74" s="45"/>
      <c r="E74" s="6">
        <v>1</v>
      </c>
      <c r="F74" s="6">
        <v>2</v>
      </c>
      <c r="G74" s="6">
        <v>1</v>
      </c>
      <c r="H74" s="6">
        <v>1</v>
      </c>
      <c r="I74" s="6">
        <v>3</v>
      </c>
      <c r="J74" s="6">
        <v>0</v>
      </c>
      <c r="K74" s="6">
        <v>4</v>
      </c>
      <c r="L74" s="6">
        <v>0</v>
      </c>
      <c r="M74" s="6">
        <v>0</v>
      </c>
      <c r="N74" s="6">
        <v>0</v>
      </c>
      <c r="O74" s="6">
        <v>1</v>
      </c>
      <c r="P74" s="6">
        <v>0</v>
      </c>
      <c r="Q74" s="6">
        <v>2</v>
      </c>
      <c r="R74" s="6">
        <v>0</v>
      </c>
      <c r="S74" s="6">
        <v>1</v>
      </c>
      <c r="T74" s="6">
        <v>1</v>
      </c>
      <c r="U74" s="6">
        <v>1</v>
      </c>
      <c r="V74" s="5">
        <f t="shared" si="42"/>
        <v>18</v>
      </c>
    </row>
    <row r="75" spans="1:22" x14ac:dyDescent="0.4">
      <c r="A75" s="7"/>
      <c r="B75" s="46"/>
      <c r="C75" s="24" t="s">
        <v>126</v>
      </c>
      <c r="D75" s="45"/>
      <c r="E75" s="6">
        <v>4</v>
      </c>
      <c r="F75" s="6">
        <v>2</v>
      </c>
      <c r="G75" s="6">
        <v>1</v>
      </c>
      <c r="H75" s="6">
        <v>0</v>
      </c>
      <c r="I75" s="6">
        <v>1</v>
      </c>
      <c r="J75" s="6">
        <v>1</v>
      </c>
      <c r="K75" s="6">
        <v>0</v>
      </c>
      <c r="L75" s="6">
        <v>1</v>
      </c>
      <c r="M75" s="6">
        <v>0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2</v>
      </c>
      <c r="U75" s="6">
        <v>0</v>
      </c>
      <c r="V75" s="5">
        <f t="shared" si="42"/>
        <v>18</v>
      </c>
    </row>
    <row r="76" spans="1:22" x14ac:dyDescent="0.4">
      <c r="A76" s="7"/>
      <c r="B76" s="46"/>
      <c r="C76" s="24" t="s">
        <v>127</v>
      </c>
      <c r="D76" s="45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5">
        <f t="shared" si="42"/>
        <v>3</v>
      </c>
    </row>
    <row r="77" spans="1:22" x14ac:dyDescent="0.4">
      <c r="A77" s="7"/>
      <c r="B77" s="46"/>
      <c r="C77" s="24" t="s">
        <v>128</v>
      </c>
      <c r="D77" s="45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5">
        <f t="shared" si="42"/>
        <v>3</v>
      </c>
    </row>
    <row r="78" spans="1:22" x14ac:dyDescent="0.4">
      <c r="A78" s="7"/>
      <c r="B78" s="46"/>
      <c r="C78" s="24" t="s">
        <v>129</v>
      </c>
      <c r="D78" s="45"/>
      <c r="E78" s="6">
        <v>1</v>
      </c>
      <c r="F78" s="6">
        <v>0</v>
      </c>
      <c r="G78" s="6">
        <v>0</v>
      </c>
      <c r="H78" s="6">
        <v>0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1</v>
      </c>
      <c r="S78" s="6">
        <v>1</v>
      </c>
      <c r="T78" s="6">
        <v>0</v>
      </c>
      <c r="U78" s="6">
        <v>0</v>
      </c>
      <c r="V78" s="5">
        <f t="shared" si="42"/>
        <v>6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43">SUM(E69:E78)</f>
        <v>84</v>
      </c>
      <c r="F79" s="5">
        <f t="shared" si="43"/>
        <v>27</v>
      </c>
      <c r="G79" s="5">
        <f t="shared" si="43"/>
        <v>33</v>
      </c>
      <c r="H79" s="5">
        <f t="shared" si="43"/>
        <v>79</v>
      </c>
      <c r="I79" s="5">
        <f t="shared" si="43"/>
        <v>88</v>
      </c>
      <c r="J79" s="5">
        <f t="shared" si="43"/>
        <v>38</v>
      </c>
      <c r="K79" s="5">
        <f t="shared" si="43"/>
        <v>22</v>
      </c>
      <c r="L79" s="5">
        <f t="shared" si="43"/>
        <v>28</v>
      </c>
      <c r="M79" s="5">
        <f t="shared" si="43"/>
        <v>17</v>
      </c>
      <c r="N79" s="5">
        <f t="shared" si="43"/>
        <v>15</v>
      </c>
      <c r="O79" s="5">
        <f t="shared" ref="O79:Q79" si="44">SUM(O69:O78)</f>
        <v>34</v>
      </c>
      <c r="P79" s="5">
        <f t="shared" si="44"/>
        <v>39</v>
      </c>
      <c r="Q79" s="5">
        <f t="shared" si="44"/>
        <v>15</v>
      </c>
      <c r="R79" s="5">
        <f t="shared" si="43"/>
        <v>18</v>
      </c>
      <c r="S79" s="5">
        <f t="shared" si="43"/>
        <v>24</v>
      </c>
      <c r="T79" s="5">
        <f t="shared" si="43"/>
        <v>14</v>
      </c>
      <c r="U79" s="5">
        <f t="shared" si="43"/>
        <v>25</v>
      </c>
      <c r="V79" s="5">
        <f t="shared" si="43"/>
        <v>600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33</v>
      </c>
      <c r="C81" s="50" t="s">
        <v>53</v>
      </c>
      <c r="D81" s="51"/>
      <c r="E81" s="6">
        <v>6</v>
      </c>
      <c r="F81" s="6">
        <v>3</v>
      </c>
      <c r="G81" s="6">
        <v>3</v>
      </c>
      <c r="H81" s="6">
        <v>6</v>
      </c>
      <c r="I81" s="6">
        <v>2</v>
      </c>
      <c r="J81" s="6">
        <v>0</v>
      </c>
      <c r="K81" s="6">
        <v>3</v>
      </c>
      <c r="L81" s="6">
        <v>1</v>
      </c>
      <c r="M81" s="6">
        <v>4</v>
      </c>
      <c r="N81" s="6">
        <v>3</v>
      </c>
      <c r="O81" s="6">
        <v>6</v>
      </c>
      <c r="P81" s="6">
        <v>5</v>
      </c>
      <c r="Q81" s="6">
        <v>9</v>
      </c>
      <c r="R81" s="6">
        <v>5</v>
      </c>
      <c r="S81" s="6">
        <v>13</v>
      </c>
      <c r="T81" s="6">
        <v>13</v>
      </c>
      <c r="U81" s="6">
        <v>11</v>
      </c>
      <c r="V81" s="5">
        <f t="shared" ref="V81:V90" si="45">SUM(E81:U81)</f>
        <v>93</v>
      </c>
    </row>
    <row r="82" spans="1:22" x14ac:dyDescent="0.4">
      <c r="A82" s="11" t="s">
        <v>49</v>
      </c>
      <c r="B82" s="46"/>
      <c r="C82" s="24" t="s">
        <v>130</v>
      </c>
      <c r="D82" s="45"/>
      <c r="E82" s="6">
        <v>0</v>
      </c>
      <c r="F82" s="6">
        <v>1</v>
      </c>
      <c r="G82" s="6">
        <v>3</v>
      </c>
      <c r="H82" s="6">
        <v>3</v>
      </c>
      <c r="I82" s="6">
        <v>6</v>
      </c>
      <c r="J82" s="6">
        <v>2</v>
      </c>
      <c r="K82" s="6">
        <v>6</v>
      </c>
      <c r="L82" s="6">
        <v>1</v>
      </c>
      <c r="M82" s="6">
        <v>4</v>
      </c>
      <c r="N82" s="6">
        <v>4</v>
      </c>
      <c r="O82" s="6">
        <v>4</v>
      </c>
      <c r="P82" s="6">
        <v>3</v>
      </c>
      <c r="Q82" s="6">
        <v>11</v>
      </c>
      <c r="R82" s="6">
        <v>7</v>
      </c>
      <c r="S82" s="6">
        <v>6</v>
      </c>
      <c r="T82" s="6">
        <v>5</v>
      </c>
      <c r="U82" s="6">
        <v>4</v>
      </c>
      <c r="V82" s="5">
        <f t="shared" si="45"/>
        <v>70</v>
      </c>
    </row>
    <row r="83" spans="1:22" x14ac:dyDescent="0.4">
      <c r="A83" s="7"/>
      <c r="B83" s="46"/>
      <c r="C83" s="24" t="s">
        <v>131</v>
      </c>
      <c r="D83" s="45"/>
      <c r="E83" s="6">
        <v>1</v>
      </c>
      <c r="F83" s="6">
        <v>3</v>
      </c>
      <c r="G83" s="6">
        <v>0</v>
      </c>
      <c r="H83" s="6">
        <v>4</v>
      </c>
      <c r="I83" s="6">
        <v>0</v>
      </c>
      <c r="J83" s="6">
        <v>3</v>
      </c>
      <c r="K83" s="6">
        <v>0</v>
      </c>
      <c r="L83" s="6">
        <v>3</v>
      </c>
      <c r="M83" s="6">
        <v>1</v>
      </c>
      <c r="N83" s="6">
        <v>4</v>
      </c>
      <c r="O83" s="6">
        <v>3</v>
      </c>
      <c r="P83" s="6">
        <v>0</v>
      </c>
      <c r="Q83" s="6">
        <v>1</v>
      </c>
      <c r="R83" s="6">
        <v>0</v>
      </c>
      <c r="S83" s="6">
        <v>5</v>
      </c>
      <c r="T83" s="6">
        <v>12</v>
      </c>
      <c r="U83" s="6">
        <v>15</v>
      </c>
      <c r="V83" s="5">
        <f t="shared" si="45"/>
        <v>55</v>
      </c>
    </row>
    <row r="84" spans="1:22" x14ac:dyDescent="0.4">
      <c r="A84" s="7"/>
      <c r="B84" s="46"/>
      <c r="C84" s="24" t="s">
        <v>132</v>
      </c>
      <c r="D84" s="45"/>
      <c r="E84" s="6">
        <v>0</v>
      </c>
      <c r="F84" s="6">
        <v>1</v>
      </c>
      <c r="G84" s="6">
        <v>2</v>
      </c>
      <c r="H84" s="6">
        <v>1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1</v>
      </c>
      <c r="O84" s="6">
        <v>0</v>
      </c>
      <c r="P84" s="6">
        <v>0</v>
      </c>
      <c r="Q84" s="6">
        <v>1</v>
      </c>
      <c r="R84" s="6">
        <v>1</v>
      </c>
      <c r="S84" s="6">
        <v>1</v>
      </c>
      <c r="T84" s="6">
        <v>0</v>
      </c>
      <c r="U84" s="6">
        <v>7</v>
      </c>
      <c r="V84" s="5">
        <f t="shared" si="45"/>
        <v>16</v>
      </c>
    </row>
    <row r="85" spans="1:22" ht="13.15" customHeight="1" x14ac:dyDescent="0.4">
      <c r="A85" s="7"/>
      <c r="B85" s="46"/>
      <c r="C85" s="24" t="s">
        <v>133</v>
      </c>
      <c r="D85" s="45"/>
      <c r="E85" s="6">
        <v>1</v>
      </c>
      <c r="F85" s="6">
        <v>2</v>
      </c>
      <c r="G85" s="6">
        <v>1</v>
      </c>
      <c r="H85" s="6">
        <v>3</v>
      </c>
      <c r="I85" s="6">
        <v>4</v>
      </c>
      <c r="J85" s="6">
        <v>2</v>
      </c>
      <c r="K85" s="6">
        <v>0</v>
      </c>
      <c r="L85" s="6">
        <v>1</v>
      </c>
      <c r="M85" s="6">
        <v>3</v>
      </c>
      <c r="N85" s="6">
        <v>0</v>
      </c>
      <c r="O85" s="6">
        <v>1</v>
      </c>
      <c r="P85" s="6">
        <v>2</v>
      </c>
      <c r="Q85" s="6">
        <v>1</v>
      </c>
      <c r="R85" s="6">
        <v>4</v>
      </c>
      <c r="S85" s="6">
        <v>1</v>
      </c>
      <c r="T85" s="6">
        <v>2</v>
      </c>
      <c r="U85" s="6">
        <v>3</v>
      </c>
      <c r="V85" s="5">
        <f t="shared" si="45"/>
        <v>31</v>
      </c>
    </row>
    <row r="86" spans="1:22" x14ac:dyDescent="0.4">
      <c r="A86" s="7"/>
      <c r="B86" s="46"/>
      <c r="C86" s="24" t="s">
        <v>134</v>
      </c>
      <c r="D86" s="45"/>
      <c r="E86" s="6">
        <v>1</v>
      </c>
      <c r="F86" s="6">
        <v>4</v>
      </c>
      <c r="G86" s="6">
        <v>0</v>
      </c>
      <c r="H86" s="6">
        <v>1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6">
        <v>1</v>
      </c>
      <c r="O86" s="6">
        <v>5</v>
      </c>
      <c r="P86" s="6">
        <v>3</v>
      </c>
      <c r="Q86" s="6">
        <v>0</v>
      </c>
      <c r="R86" s="6">
        <v>1</v>
      </c>
      <c r="S86" s="6">
        <v>1</v>
      </c>
      <c r="T86" s="6">
        <v>0</v>
      </c>
      <c r="U86" s="6">
        <v>2</v>
      </c>
      <c r="V86" s="5">
        <f t="shared" si="45"/>
        <v>21</v>
      </c>
    </row>
    <row r="87" spans="1:22" x14ac:dyDescent="0.4">
      <c r="A87" s="7"/>
      <c r="B87" s="46"/>
      <c r="C87" s="24" t="s">
        <v>135</v>
      </c>
      <c r="D87" s="45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5">
        <f t="shared" si="45"/>
        <v>1</v>
      </c>
    </row>
    <row r="88" spans="1:22" x14ac:dyDescent="0.4">
      <c r="A88" s="7"/>
      <c r="B88" s="46"/>
      <c r="C88" s="24" t="s">
        <v>136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1</v>
      </c>
      <c r="V88" s="5">
        <f t="shared" si="45"/>
        <v>4</v>
      </c>
    </row>
    <row r="89" spans="1:22" x14ac:dyDescent="0.4">
      <c r="A89" s="7"/>
      <c r="B89" s="46"/>
      <c r="C89" s="24" t="s">
        <v>137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5">
        <f t="shared" si="45"/>
        <v>0</v>
      </c>
    </row>
    <row r="90" spans="1:22" x14ac:dyDescent="0.4">
      <c r="A90" s="7"/>
      <c r="B90" s="46"/>
      <c r="C90" s="24" t="s">
        <v>138</v>
      </c>
      <c r="D90" s="45"/>
      <c r="E90" s="6">
        <v>0</v>
      </c>
      <c r="F90" s="6">
        <v>0</v>
      </c>
      <c r="G90" s="6">
        <v>1</v>
      </c>
      <c r="H90" s="6">
        <v>0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5">
        <f t="shared" si="45"/>
        <v>5</v>
      </c>
    </row>
    <row r="91" spans="1:22" x14ac:dyDescent="0.4">
      <c r="A91" s="6" t="s">
        <v>25</v>
      </c>
      <c r="B91" s="52" t="s">
        <v>50</v>
      </c>
      <c r="C91" s="68"/>
      <c r="D91" s="51"/>
      <c r="E91" s="5">
        <f t="shared" ref="E91:V91" si="46">SUM(E81:E90)</f>
        <v>9</v>
      </c>
      <c r="F91" s="5">
        <f t="shared" si="46"/>
        <v>14</v>
      </c>
      <c r="G91" s="5">
        <f t="shared" si="46"/>
        <v>10</v>
      </c>
      <c r="H91" s="5">
        <f t="shared" si="46"/>
        <v>18</v>
      </c>
      <c r="I91" s="5">
        <f t="shared" si="46"/>
        <v>16</v>
      </c>
      <c r="J91" s="5">
        <f t="shared" si="46"/>
        <v>8</v>
      </c>
      <c r="K91" s="5">
        <f t="shared" si="46"/>
        <v>10</v>
      </c>
      <c r="L91" s="5">
        <f t="shared" si="46"/>
        <v>7</v>
      </c>
      <c r="M91" s="5">
        <f t="shared" si="46"/>
        <v>12</v>
      </c>
      <c r="N91" s="5">
        <f t="shared" si="46"/>
        <v>14</v>
      </c>
      <c r="O91" s="5">
        <f t="shared" ref="O91:Q91" si="47">SUM(O81:O90)</f>
        <v>20</v>
      </c>
      <c r="P91" s="5">
        <f t="shared" si="47"/>
        <v>13</v>
      </c>
      <c r="Q91" s="5">
        <f t="shared" si="47"/>
        <v>23</v>
      </c>
      <c r="R91" s="5">
        <f t="shared" si="46"/>
        <v>18</v>
      </c>
      <c r="S91" s="5">
        <f t="shared" si="46"/>
        <v>27</v>
      </c>
      <c r="T91" s="5">
        <f t="shared" si="46"/>
        <v>33</v>
      </c>
      <c r="U91" s="5">
        <f t="shared" si="46"/>
        <v>44</v>
      </c>
      <c r="V91" s="5">
        <f t="shared" si="46"/>
        <v>296</v>
      </c>
    </row>
    <row r="92" spans="1:22" x14ac:dyDescent="0.4">
      <c r="A92" s="69"/>
      <c r="B92" s="70"/>
      <c r="C92" s="70"/>
      <c r="D92" s="70"/>
      <c r="E92" s="70"/>
    </row>
    <row r="93" spans="1:22" x14ac:dyDescent="0.4">
      <c r="A93" s="11" t="s">
        <v>47</v>
      </c>
      <c r="B93" s="17" t="s">
        <v>54</v>
      </c>
      <c r="C93" s="50" t="s">
        <v>55</v>
      </c>
      <c r="D93" s="51"/>
      <c r="E93" s="6">
        <v>2</v>
      </c>
      <c r="F93" s="6">
        <v>4</v>
      </c>
      <c r="G93" s="6">
        <v>2</v>
      </c>
      <c r="H93" s="6">
        <v>4</v>
      </c>
      <c r="I93" s="6">
        <v>3</v>
      </c>
      <c r="J93" s="6">
        <v>0</v>
      </c>
      <c r="K93" s="6">
        <v>0</v>
      </c>
      <c r="L93" s="6">
        <v>0</v>
      </c>
      <c r="M93" s="6">
        <v>5</v>
      </c>
      <c r="N93" s="6">
        <v>0</v>
      </c>
      <c r="O93" s="6">
        <v>2</v>
      </c>
      <c r="P93" s="6">
        <v>4</v>
      </c>
      <c r="Q93" s="6">
        <v>2</v>
      </c>
      <c r="R93" s="6">
        <v>0</v>
      </c>
      <c r="S93" s="6">
        <v>1</v>
      </c>
      <c r="T93" s="6">
        <v>3</v>
      </c>
      <c r="U93" s="6">
        <v>1</v>
      </c>
      <c r="V93" s="5">
        <f t="shared" ref="V93:V102" si="48">SUM(E93:U93)</f>
        <v>33</v>
      </c>
    </row>
    <row r="94" spans="1:22" x14ac:dyDescent="0.4">
      <c r="A94" s="11" t="s">
        <v>49</v>
      </c>
      <c r="B94" s="46"/>
      <c r="C94" s="24" t="s">
        <v>139</v>
      </c>
      <c r="D94" s="47"/>
      <c r="E94" s="6">
        <v>1</v>
      </c>
      <c r="F94" s="6">
        <v>3</v>
      </c>
      <c r="G94" s="6">
        <v>2</v>
      </c>
      <c r="H94" s="6">
        <v>1</v>
      </c>
      <c r="I94" s="6">
        <v>2</v>
      </c>
      <c r="J94" s="6">
        <v>2</v>
      </c>
      <c r="K94" s="6">
        <v>0</v>
      </c>
      <c r="L94" s="6">
        <v>2</v>
      </c>
      <c r="M94" s="6">
        <v>4</v>
      </c>
      <c r="N94" s="6">
        <v>4</v>
      </c>
      <c r="O94" s="6">
        <v>17</v>
      </c>
      <c r="P94" s="6">
        <v>10</v>
      </c>
      <c r="Q94" s="6">
        <v>0</v>
      </c>
      <c r="R94" s="6">
        <v>0</v>
      </c>
      <c r="S94" s="6">
        <v>1</v>
      </c>
      <c r="T94" s="6">
        <v>2</v>
      </c>
      <c r="U94" s="6">
        <v>2</v>
      </c>
      <c r="V94" s="5">
        <f t="shared" si="48"/>
        <v>53</v>
      </c>
    </row>
    <row r="95" spans="1:22" x14ac:dyDescent="0.4">
      <c r="A95" s="7"/>
      <c r="B95" s="46"/>
      <c r="C95" s="24" t="s">
        <v>140</v>
      </c>
      <c r="D95" s="47"/>
      <c r="E95" s="6">
        <v>0</v>
      </c>
      <c r="F95" s="6">
        <v>1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5">
        <f t="shared" si="48"/>
        <v>3</v>
      </c>
    </row>
    <row r="96" spans="1:22" ht="13.15" customHeight="1" x14ac:dyDescent="0.4">
      <c r="A96" s="7"/>
      <c r="B96" s="46"/>
      <c r="C96" s="24" t="s">
        <v>141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5">
        <f t="shared" si="48"/>
        <v>1</v>
      </c>
    </row>
    <row r="97" spans="1:22" x14ac:dyDescent="0.4">
      <c r="A97" s="7"/>
      <c r="B97" s="46"/>
      <c r="C97" s="24" t="s">
        <v>142</v>
      </c>
      <c r="D97" s="47"/>
      <c r="E97" s="6">
        <v>0</v>
      </c>
      <c r="F97" s="6">
        <v>1</v>
      </c>
      <c r="G97" s="6">
        <v>1</v>
      </c>
      <c r="H97" s="6">
        <v>0</v>
      </c>
      <c r="I97" s="6">
        <v>1</v>
      </c>
      <c r="J97" s="6">
        <v>0</v>
      </c>
      <c r="K97" s="6">
        <v>1</v>
      </c>
      <c r="L97" s="6">
        <v>0</v>
      </c>
      <c r="M97" s="6">
        <v>1</v>
      </c>
      <c r="N97" s="6">
        <v>0</v>
      </c>
      <c r="O97" s="6">
        <v>1</v>
      </c>
      <c r="P97" s="6">
        <v>2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5">
        <f t="shared" si="48"/>
        <v>8</v>
      </c>
    </row>
    <row r="98" spans="1:22" x14ac:dyDescent="0.4">
      <c r="A98" s="7"/>
      <c r="B98" s="46"/>
      <c r="C98" s="24" t="s">
        <v>143</v>
      </c>
      <c r="D98" s="45"/>
      <c r="E98" s="6">
        <v>0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5">
        <f t="shared" si="48"/>
        <v>2</v>
      </c>
    </row>
    <row r="99" spans="1:22" x14ac:dyDescent="0.4">
      <c r="A99" s="7"/>
      <c r="B99" s="46"/>
      <c r="C99" s="24" t="s">
        <v>144</v>
      </c>
      <c r="D99" s="45"/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5">
        <f t="shared" si="48"/>
        <v>2</v>
      </c>
    </row>
    <row r="100" spans="1:22" x14ac:dyDescent="0.4">
      <c r="A100" s="7"/>
      <c r="B100" s="46"/>
      <c r="C100" s="24" t="s">
        <v>145</v>
      </c>
      <c r="D100" s="47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5">
        <f t="shared" si="48"/>
        <v>0</v>
      </c>
    </row>
    <row r="101" spans="1:22" x14ac:dyDescent="0.4">
      <c r="A101" s="7"/>
      <c r="B101" s="46"/>
      <c r="C101" s="24" t="s">
        <v>146</v>
      </c>
      <c r="D101" s="47"/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4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5">
        <f t="shared" si="48"/>
        <v>5</v>
      </c>
    </row>
    <row r="102" spans="1:22" x14ac:dyDescent="0.4">
      <c r="A102" s="7"/>
      <c r="B102" s="46"/>
      <c r="C102" s="24" t="s">
        <v>147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5">
        <f t="shared" si="48"/>
        <v>0</v>
      </c>
    </row>
    <row r="103" spans="1:22" x14ac:dyDescent="0.4">
      <c r="A103" s="6" t="s">
        <v>25</v>
      </c>
      <c r="B103" s="52" t="s">
        <v>50</v>
      </c>
      <c r="C103" s="68"/>
      <c r="D103" s="51"/>
      <c r="E103" s="5">
        <f t="shared" ref="E103:V103" si="49">SUM(E93:E102)</f>
        <v>4</v>
      </c>
      <c r="F103" s="5">
        <f t="shared" si="49"/>
        <v>10</v>
      </c>
      <c r="G103" s="5">
        <f t="shared" si="49"/>
        <v>6</v>
      </c>
      <c r="H103" s="5">
        <f t="shared" si="49"/>
        <v>6</v>
      </c>
      <c r="I103" s="5">
        <f t="shared" si="49"/>
        <v>6</v>
      </c>
      <c r="J103" s="5">
        <f t="shared" si="49"/>
        <v>2</v>
      </c>
      <c r="K103" s="5">
        <f t="shared" si="49"/>
        <v>1</v>
      </c>
      <c r="L103" s="5">
        <f t="shared" si="49"/>
        <v>2</v>
      </c>
      <c r="M103" s="5">
        <f t="shared" si="49"/>
        <v>14</v>
      </c>
      <c r="N103" s="5">
        <f t="shared" si="49"/>
        <v>4</v>
      </c>
      <c r="O103" s="5">
        <f t="shared" ref="O103:Q103" si="50">SUM(O93:O102)</f>
        <v>21</v>
      </c>
      <c r="P103" s="5">
        <f t="shared" si="50"/>
        <v>16</v>
      </c>
      <c r="Q103" s="5">
        <f t="shared" si="50"/>
        <v>3</v>
      </c>
      <c r="R103" s="5">
        <f t="shared" si="49"/>
        <v>0</v>
      </c>
      <c r="S103" s="5">
        <f t="shared" si="49"/>
        <v>3</v>
      </c>
      <c r="T103" s="5">
        <f t="shared" si="49"/>
        <v>6</v>
      </c>
      <c r="U103" s="5">
        <f t="shared" si="49"/>
        <v>3</v>
      </c>
      <c r="V103" s="5">
        <f t="shared" si="49"/>
        <v>107</v>
      </c>
    </row>
    <row r="104" spans="1:22" x14ac:dyDescent="0.4">
      <c r="A104" s="69"/>
      <c r="B104" s="70"/>
      <c r="C104" s="70"/>
      <c r="D104" s="70"/>
      <c r="E104" s="7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x14ac:dyDescent="0.4">
      <c r="A105" s="11" t="s">
        <v>47</v>
      </c>
      <c r="B105" s="17" t="s">
        <v>56</v>
      </c>
      <c r="C105" s="50" t="s">
        <v>57</v>
      </c>
      <c r="D105" s="51"/>
      <c r="E105" s="6">
        <v>1</v>
      </c>
      <c r="F105" s="6">
        <v>2</v>
      </c>
      <c r="G105" s="6">
        <v>0</v>
      </c>
      <c r="H105" s="6">
        <v>0</v>
      </c>
      <c r="I105" s="6">
        <v>1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1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5">
        <f t="shared" ref="V105:V107" si="51">SUM(E105:U105)</f>
        <v>7</v>
      </c>
    </row>
    <row r="106" spans="1:22" x14ac:dyDescent="0.4">
      <c r="A106" s="11" t="s">
        <v>49</v>
      </c>
      <c r="B106" s="46"/>
      <c r="C106" s="24" t="s">
        <v>148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5">
        <f t="shared" si="51"/>
        <v>1</v>
      </c>
    </row>
    <row r="107" spans="1:22" ht="13.15" customHeight="1" x14ac:dyDescent="0.4">
      <c r="A107" s="7"/>
      <c r="B107" s="46"/>
      <c r="C107" s="24" t="s">
        <v>149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0</v>
      </c>
      <c r="S107" s="6">
        <v>0</v>
      </c>
      <c r="T107" s="6">
        <v>1</v>
      </c>
      <c r="U107" s="6">
        <v>0</v>
      </c>
      <c r="V107" s="5">
        <f t="shared" si="51"/>
        <v>2</v>
      </c>
    </row>
    <row r="108" spans="1:22" ht="13.15" customHeight="1" x14ac:dyDescent="0.4">
      <c r="A108" s="6" t="s">
        <v>25</v>
      </c>
      <c r="B108" s="52" t="s">
        <v>50</v>
      </c>
      <c r="C108" s="53"/>
      <c r="D108" s="54"/>
      <c r="E108" s="5">
        <f t="shared" ref="E108:V108" si="52">SUM(E105:E107)</f>
        <v>1</v>
      </c>
      <c r="F108" s="5">
        <f t="shared" si="52"/>
        <v>2</v>
      </c>
      <c r="G108" s="5">
        <f t="shared" si="52"/>
        <v>0</v>
      </c>
      <c r="H108" s="5">
        <f t="shared" si="52"/>
        <v>0</v>
      </c>
      <c r="I108" s="5">
        <f t="shared" si="52"/>
        <v>1</v>
      </c>
      <c r="J108" s="5">
        <f t="shared" si="52"/>
        <v>0</v>
      </c>
      <c r="K108" s="5">
        <f t="shared" si="52"/>
        <v>1</v>
      </c>
      <c r="L108" s="5">
        <f t="shared" si="52"/>
        <v>0</v>
      </c>
      <c r="M108" s="5">
        <f t="shared" si="52"/>
        <v>0</v>
      </c>
      <c r="N108" s="5">
        <f t="shared" si="52"/>
        <v>1</v>
      </c>
      <c r="O108" s="5">
        <f t="shared" si="52"/>
        <v>1</v>
      </c>
      <c r="P108" s="5">
        <f t="shared" si="52"/>
        <v>1</v>
      </c>
      <c r="Q108" s="5">
        <f t="shared" si="52"/>
        <v>1</v>
      </c>
      <c r="R108" s="5">
        <f t="shared" si="52"/>
        <v>0</v>
      </c>
      <c r="S108" s="5">
        <f t="shared" si="52"/>
        <v>0</v>
      </c>
      <c r="T108" s="5">
        <f t="shared" si="52"/>
        <v>1</v>
      </c>
      <c r="U108" s="5">
        <f t="shared" si="52"/>
        <v>0</v>
      </c>
      <c r="V108" s="5">
        <f t="shared" si="52"/>
        <v>10</v>
      </c>
    </row>
    <row r="109" spans="1:22" x14ac:dyDescent="0.4">
      <c r="A109" s="55"/>
      <c r="B109" s="56"/>
      <c r="C109" s="56"/>
      <c r="D109" s="56"/>
      <c r="E109" s="5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5"/>
    </row>
    <row r="110" spans="1:22" x14ac:dyDescent="0.4">
      <c r="A110" s="11" t="s">
        <v>47</v>
      </c>
      <c r="B110" s="17" t="s">
        <v>58</v>
      </c>
      <c r="C110" s="50" t="s">
        <v>59</v>
      </c>
      <c r="D110" s="51"/>
      <c r="E110" s="6">
        <v>0</v>
      </c>
      <c r="F110" s="6">
        <v>0</v>
      </c>
      <c r="G110" s="6">
        <v>1</v>
      </c>
      <c r="H110" s="6">
        <v>1</v>
      </c>
      <c r="I110" s="6">
        <v>1</v>
      </c>
      <c r="J110" s="6">
        <v>0</v>
      </c>
      <c r="K110" s="6">
        <v>0</v>
      </c>
      <c r="L110" s="6">
        <v>1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1</v>
      </c>
      <c r="U110" s="6"/>
      <c r="V110" s="5">
        <f t="shared" ref="V110:V115" si="53">SUM(E110:U110)</f>
        <v>5</v>
      </c>
    </row>
    <row r="111" spans="1:22" x14ac:dyDescent="0.4">
      <c r="A111" s="11" t="s">
        <v>49</v>
      </c>
      <c r="B111" s="46"/>
      <c r="C111" s="24" t="s">
        <v>150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1</v>
      </c>
      <c r="S111" s="6">
        <v>0</v>
      </c>
      <c r="T111" s="6"/>
      <c r="U111" s="6"/>
      <c r="V111" s="5">
        <f t="shared" si="53"/>
        <v>2</v>
      </c>
    </row>
    <row r="112" spans="1:22" x14ac:dyDescent="0.4">
      <c r="A112" s="7"/>
      <c r="B112" s="46"/>
      <c r="C112" s="24" t="s">
        <v>151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53"/>
        <v>1</v>
      </c>
    </row>
    <row r="113" spans="1:22" x14ac:dyDescent="0.4">
      <c r="A113" s="7"/>
      <c r="B113" s="46"/>
      <c r="C113" s="24" t="s">
        <v>152</v>
      </c>
      <c r="D113" s="45"/>
      <c r="E113" s="6">
        <v>0</v>
      </c>
      <c r="F113" s="6">
        <v>0</v>
      </c>
      <c r="G113" s="6">
        <v>0</v>
      </c>
      <c r="H113" s="6">
        <v>1</v>
      </c>
      <c r="I113" s="6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6"/>
      <c r="V113" s="5">
        <f t="shared" si="53"/>
        <v>2</v>
      </c>
    </row>
    <row r="114" spans="1:22" x14ac:dyDescent="0.4">
      <c r="A114" s="7"/>
      <c r="B114" s="46"/>
      <c r="C114" s="24" t="s">
        <v>153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1</v>
      </c>
      <c r="P114" s="6">
        <v>0</v>
      </c>
      <c r="Q114" s="6">
        <v>0</v>
      </c>
      <c r="R114" s="6">
        <v>0</v>
      </c>
      <c r="S114" s="6">
        <v>1</v>
      </c>
      <c r="T114" s="6"/>
      <c r="U114" s="6"/>
      <c r="V114" s="5">
        <f t="shared" si="53"/>
        <v>2</v>
      </c>
    </row>
    <row r="115" spans="1:22" x14ac:dyDescent="0.4">
      <c r="A115" s="7"/>
      <c r="B115" s="46"/>
      <c r="C115" s="24" t="s">
        <v>154</v>
      </c>
      <c r="D115" s="45"/>
      <c r="E115" s="6">
        <v>0</v>
      </c>
      <c r="F115" s="6">
        <v>0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6"/>
      <c r="V115" s="5">
        <f t="shared" si="53"/>
        <v>2</v>
      </c>
    </row>
    <row r="116" spans="1:22" x14ac:dyDescent="0.4">
      <c r="A116" s="6" t="s">
        <v>25</v>
      </c>
      <c r="B116" s="52" t="s">
        <v>50</v>
      </c>
      <c r="C116" s="53"/>
      <c r="D116" s="54"/>
      <c r="E116" s="5">
        <f t="shared" ref="E116:V116" si="54">SUM(E110:E115)</f>
        <v>0</v>
      </c>
      <c r="F116" s="5">
        <f t="shared" si="54"/>
        <v>0</v>
      </c>
      <c r="G116" s="5">
        <f t="shared" si="54"/>
        <v>1</v>
      </c>
      <c r="H116" s="5">
        <f t="shared" si="54"/>
        <v>3</v>
      </c>
      <c r="I116" s="5">
        <f t="shared" si="54"/>
        <v>3</v>
      </c>
      <c r="J116" s="5">
        <f t="shared" si="54"/>
        <v>0</v>
      </c>
      <c r="K116" s="5">
        <f t="shared" si="54"/>
        <v>0</v>
      </c>
      <c r="L116" s="5">
        <f t="shared" si="54"/>
        <v>1</v>
      </c>
      <c r="M116" s="5">
        <f t="shared" si="54"/>
        <v>1</v>
      </c>
      <c r="N116" s="5">
        <f t="shared" si="54"/>
        <v>1</v>
      </c>
      <c r="O116" s="5">
        <f t="shared" si="54"/>
        <v>1</v>
      </c>
      <c r="P116" s="5">
        <f t="shared" si="54"/>
        <v>0</v>
      </c>
      <c r="Q116" s="5">
        <f t="shared" si="54"/>
        <v>0</v>
      </c>
      <c r="R116" s="5">
        <f t="shared" si="54"/>
        <v>1</v>
      </c>
      <c r="S116" s="5">
        <f t="shared" si="54"/>
        <v>1</v>
      </c>
      <c r="T116" s="5">
        <f t="shared" si="54"/>
        <v>1</v>
      </c>
      <c r="U116" s="5">
        <f t="shared" si="54"/>
        <v>0</v>
      </c>
      <c r="V116" s="5">
        <f t="shared" si="54"/>
        <v>14</v>
      </c>
    </row>
    <row r="117" spans="1:22" x14ac:dyDescent="0.4">
      <c r="A117" s="55"/>
      <c r="B117" s="56"/>
      <c r="C117" s="56"/>
      <c r="D117" s="56"/>
      <c r="E117" s="5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 x14ac:dyDescent="0.4">
      <c r="A118" s="11" t="s">
        <v>47</v>
      </c>
      <c r="B118" s="17" t="s">
        <v>60</v>
      </c>
      <c r="C118" s="50" t="s">
        <v>61</v>
      </c>
      <c r="D118" s="51"/>
      <c r="E118" s="6">
        <v>10</v>
      </c>
      <c r="F118" s="6">
        <v>8</v>
      </c>
      <c r="G118" s="6">
        <v>2</v>
      </c>
      <c r="H118" s="6">
        <v>4</v>
      </c>
      <c r="I118" s="6">
        <v>4</v>
      </c>
      <c r="J118" s="6">
        <v>5</v>
      </c>
      <c r="K118" s="6">
        <v>2</v>
      </c>
      <c r="L118" s="6">
        <v>2</v>
      </c>
      <c r="M118" s="6">
        <v>5</v>
      </c>
      <c r="N118" s="6">
        <v>0</v>
      </c>
      <c r="O118" s="6">
        <v>4</v>
      </c>
      <c r="P118" s="6">
        <v>2</v>
      </c>
      <c r="Q118" s="6">
        <v>6</v>
      </c>
      <c r="R118" s="6">
        <v>0</v>
      </c>
      <c r="S118" s="6">
        <v>3</v>
      </c>
      <c r="T118" s="6">
        <v>0</v>
      </c>
      <c r="U118" s="6">
        <v>1</v>
      </c>
      <c r="V118" s="5">
        <f t="shared" ref="V118:V127" si="55">SUM(E118:U118)</f>
        <v>58</v>
      </c>
    </row>
    <row r="119" spans="1:22" ht="13.15" customHeight="1" x14ac:dyDescent="0.4">
      <c r="A119" s="11" t="s">
        <v>49</v>
      </c>
      <c r="B119" s="46"/>
      <c r="C119" s="24" t="s">
        <v>155</v>
      </c>
      <c r="D119" s="45"/>
      <c r="E119" s="6">
        <v>4</v>
      </c>
      <c r="F119" s="6">
        <v>8</v>
      </c>
      <c r="G119" s="6">
        <v>4</v>
      </c>
      <c r="H119" s="6">
        <v>7</v>
      </c>
      <c r="I119" s="6">
        <v>4</v>
      </c>
      <c r="J119" s="6">
        <v>7</v>
      </c>
      <c r="K119" s="6">
        <v>5</v>
      </c>
      <c r="L119" s="6">
        <v>4</v>
      </c>
      <c r="M119" s="6">
        <v>6</v>
      </c>
      <c r="N119" s="6">
        <v>0</v>
      </c>
      <c r="O119" s="6">
        <v>1</v>
      </c>
      <c r="P119" s="6">
        <v>4</v>
      </c>
      <c r="Q119" s="6">
        <v>4</v>
      </c>
      <c r="R119" s="6">
        <v>0</v>
      </c>
      <c r="S119" s="6">
        <v>2</v>
      </c>
      <c r="T119" s="6">
        <v>2</v>
      </c>
      <c r="U119" s="6">
        <v>1</v>
      </c>
      <c r="V119" s="5">
        <f t="shared" si="55"/>
        <v>63</v>
      </c>
    </row>
    <row r="120" spans="1:22" x14ac:dyDescent="0.4">
      <c r="A120" s="7"/>
      <c r="B120" s="46"/>
      <c r="C120" s="24" t="s">
        <v>156</v>
      </c>
      <c r="D120" s="45"/>
      <c r="E120" s="6">
        <v>1</v>
      </c>
      <c r="F120" s="6">
        <v>2</v>
      </c>
      <c r="G120" s="6">
        <v>1</v>
      </c>
      <c r="H120" s="6">
        <v>2</v>
      </c>
      <c r="I120" s="6">
        <v>1</v>
      </c>
      <c r="J120" s="6">
        <v>1</v>
      </c>
      <c r="K120" s="6">
        <v>0</v>
      </c>
      <c r="L120" s="6">
        <v>0</v>
      </c>
      <c r="M120" s="6">
        <v>1</v>
      </c>
      <c r="N120" s="6">
        <v>0</v>
      </c>
      <c r="O120" s="6">
        <v>0</v>
      </c>
      <c r="P120" s="6">
        <v>2</v>
      </c>
      <c r="Q120" s="6">
        <v>0</v>
      </c>
      <c r="R120" s="6">
        <v>1</v>
      </c>
      <c r="S120" s="6">
        <v>3</v>
      </c>
      <c r="T120" s="6">
        <v>1</v>
      </c>
      <c r="U120" s="6">
        <v>0</v>
      </c>
      <c r="V120" s="5">
        <f t="shared" si="55"/>
        <v>16</v>
      </c>
    </row>
    <row r="121" spans="1:22" x14ac:dyDescent="0.4">
      <c r="A121" s="7"/>
      <c r="B121" s="46"/>
      <c r="C121" s="24" t="s">
        <v>157</v>
      </c>
      <c r="D121" s="45"/>
      <c r="E121" s="6">
        <v>1</v>
      </c>
      <c r="F121" s="6">
        <v>0</v>
      </c>
      <c r="G121" s="6">
        <v>2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1</v>
      </c>
      <c r="Q121" s="6">
        <v>0</v>
      </c>
      <c r="R121" s="6">
        <v>0</v>
      </c>
      <c r="S121" s="6">
        <v>1</v>
      </c>
      <c r="T121" s="6">
        <v>0</v>
      </c>
      <c r="U121" s="6">
        <v>0</v>
      </c>
      <c r="V121" s="5">
        <f t="shared" si="55"/>
        <v>6</v>
      </c>
    </row>
    <row r="122" spans="1:22" x14ac:dyDescent="0.4">
      <c r="A122" s="7"/>
      <c r="B122" s="46"/>
      <c r="C122" s="24" t="s">
        <v>158</v>
      </c>
      <c r="D122" s="45"/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1</v>
      </c>
      <c r="T122" s="6">
        <v>0</v>
      </c>
      <c r="U122" s="6">
        <v>0</v>
      </c>
      <c r="V122" s="5">
        <f t="shared" si="55"/>
        <v>3</v>
      </c>
    </row>
    <row r="123" spans="1:22" x14ac:dyDescent="0.4">
      <c r="A123" s="7"/>
      <c r="B123" s="46"/>
      <c r="C123" s="24" t="s">
        <v>159</v>
      </c>
      <c r="D123" s="45"/>
      <c r="E123" s="6">
        <v>5</v>
      </c>
      <c r="F123" s="6">
        <v>4</v>
      </c>
      <c r="G123" s="6">
        <v>10</v>
      </c>
      <c r="H123" s="6">
        <v>2</v>
      </c>
      <c r="I123" s="6">
        <v>7</v>
      </c>
      <c r="J123" s="6">
        <v>0</v>
      </c>
      <c r="K123" s="6">
        <v>0</v>
      </c>
      <c r="L123" s="6">
        <v>0</v>
      </c>
      <c r="M123" s="6">
        <v>3</v>
      </c>
      <c r="N123" s="6">
        <v>0</v>
      </c>
      <c r="O123" s="6">
        <v>0</v>
      </c>
      <c r="P123" s="6">
        <v>3</v>
      </c>
      <c r="Q123" s="6">
        <v>3</v>
      </c>
      <c r="R123" s="6">
        <v>1</v>
      </c>
      <c r="S123" s="6">
        <v>4</v>
      </c>
      <c r="T123" s="6">
        <v>0</v>
      </c>
      <c r="U123" s="6">
        <v>0</v>
      </c>
      <c r="V123" s="5">
        <f t="shared" si="55"/>
        <v>42</v>
      </c>
    </row>
    <row r="124" spans="1:22" x14ac:dyDescent="0.4">
      <c r="A124" s="7"/>
      <c r="B124" s="46"/>
      <c r="C124" s="24" t="s">
        <v>160</v>
      </c>
      <c r="D124" s="45"/>
      <c r="E124" s="6">
        <v>1</v>
      </c>
      <c r="F124" s="6">
        <v>0</v>
      </c>
      <c r="G124" s="6">
        <v>0</v>
      </c>
      <c r="H124" s="6">
        <v>2</v>
      </c>
      <c r="I124" s="6">
        <v>2</v>
      </c>
      <c r="J124" s="6">
        <v>0</v>
      </c>
      <c r="K124" s="6">
        <v>1</v>
      </c>
      <c r="L124" s="6">
        <v>1</v>
      </c>
      <c r="M124" s="6">
        <v>1</v>
      </c>
      <c r="N124" s="6">
        <v>0</v>
      </c>
      <c r="O124" s="6">
        <v>0</v>
      </c>
      <c r="P124" s="6">
        <v>1</v>
      </c>
      <c r="Q124" s="6">
        <v>0</v>
      </c>
      <c r="R124" s="6">
        <v>0</v>
      </c>
      <c r="S124" s="6">
        <v>1</v>
      </c>
      <c r="T124" s="6">
        <v>2</v>
      </c>
      <c r="U124" s="6">
        <v>0</v>
      </c>
      <c r="V124" s="5">
        <f t="shared" si="55"/>
        <v>12</v>
      </c>
    </row>
    <row r="125" spans="1:22" x14ac:dyDescent="0.4">
      <c r="A125" s="7"/>
      <c r="B125" s="46"/>
      <c r="C125" s="24" t="s">
        <v>161</v>
      </c>
      <c r="D125" s="45"/>
      <c r="E125" s="6">
        <v>0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1</v>
      </c>
      <c r="O125" s="6">
        <v>1</v>
      </c>
      <c r="P125" s="6">
        <v>0</v>
      </c>
      <c r="Q125" s="6">
        <v>0</v>
      </c>
      <c r="R125" s="6">
        <v>1</v>
      </c>
      <c r="S125" s="6">
        <v>0</v>
      </c>
      <c r="T125" s="6">
        <v>1</v>
      </c>
      <c r="U125" s="6">
        <v>0</v>
      </c>
      <c r="V125" s="5">
        <f t="shared" si="55"/>
        <v>5</v>
      </c>
    </row>
    <row r="126" spans="1:22" x14ac:dyDescent="0.4">
      <c r="A126" s="7"/>
      <c r="B126" s="46"/>
      <c r="C126" s="24" t="s">
        <v>162</v>
      </c>
      <c r="D126" s="45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/>
      <c r="U126" s="6"/>
      <c r="V126" s="5">
        <f t="shared" si="55"/>
        <v>0</v>
      </c>
    </row>
    <row r="127" spans="1:22" x14ac:dyDescent="0.4">
      <c r="A127" s="7"/>
      <c r="B127" s="46"/>
      <c r="C127" s="24" t="s">
        <v>163</v>
      </c>
      <c r="D127" s="45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2</v>
      </c>
      <c r="S127" s="6">
        <v>1</v>
      </c>
      <c r="T127" s="6"/>
      <c r="U127" s="6"/>
      <c r="V127" s="5">
        <f t="shared" si="55"/>
        <v>4</v>
      </c>
    </row>
    <row r="128" spans="1:22" x14ac:dyDescent="0.4">
      <c r="A128" s="6" t="s">
        <v>25</v>
      </c>
      <c r="B128" s="52" t="s">
        <v>50</v>
      </c>
      <c r="C128" s="53"/>
      <c r="D128" s="54"/>
      <c r="E128" s="5">
        <f t="shared" ref="E128:V128" si="56">SUM(E118:E127)</f>
        <v>22</v>
      </c>
      <c r="F128" s="5">
        <f t="shared" si="56"/>
        <v>23</v>
      </c>
      <c r="G128" s="5">
        <f t="shared" si="56"/>
        <v>20</v>
      </c>
      <c r="H128" s="5">
        <f t="shared" si="56"/>
        <v>18</v>
      </c>
      <c r="I128" s="5">
        <f t="shared" si="56"/>
        <v>18</v>
      </c>
      <c r="J128" s="5">
        <f t="shared" si="56"/>
        <v>14</v>
      </c>
      <c r="K128" s="5">
        <f t="shared" si="56"/>
        <v>9</v>
      </c>
      <c r="L128" s="5">
        <f t="shared" si="56"/>
        <v>7</v>
      </c>
      <c r="M128" s="5">
        <f t="shared" si="56"/>
        <v>16</v>
      </c>
      <c r="N128" s="5">
        <f t="shared" si="56"/>
        <v>1</v>
      </c>
      <c r="O128" s="5">
        <f t="shared" ref="O128:Q128" si="57">SUM(O118:O127)</f>
        <v>6</v>
      </c>
      <c r="P128" s="5">
        <f t="shared" si="57"/>
        <v>13</v>
      </c>
      <c r="Q128" s="5">
        <f t="shared" si="57"/>
        <v>13</v>
      </c>
      <c r="R128" s="5">
        <f t="shared" si="56"/>
        <v>5</v>
      </c>
      <c r="S128" s="5">
        <f t="shared" si="56"/>
        <v>16</v>
      </c>
      <c r="T128" s="5">
        <f t="shared" si="56"/>
        <v>6</v>
      </c>
      <c r="U128" s="5">
        <f t="shared" si="56"/>
        <v>2</v>
      </c>
      <c r="V128" s="5">
        <f t="shared" si="56"/>
        <v>209</v>
      </c>
    </row>
    <row r="129" spans="1:22" x14ac:dyDescent="0.4">
      <c r="A129" s="55"/>
      <c r="B129" s="56"/>
      <c r="C129" s="56"/>
      <c r="D129" s="56"/>
      <c r="E129" s="5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3.15" customHeight="1" x14ac:dyDescent="0.4">
      <c r="A130" s="11" t="s">
        <v>47</v>
      </c>
      <c r="B130" s="17" t="s">
        <v>62</v>
      </c>
      <c r="C130" s="50" t="s">
        <v>63</v>
      </c>
      <c r="D130" s="5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>
        <v>2</v>
      </c>
      <c r="Q130" s="6"/>
      <c r="R130" s="6"/>
      <c r="S130" s="6"/>
      <c r="T130" s="6"/>
      <c r="U130" s="6"/>
      <c r="V130" s="5">
        <f t="shared" ref="V130:V133" si="58">SUM(E130:U130)</f>
        <v>2</v>
      </c>
    </row>
    <row r="131" spans="1:22" x14ac:dyDescent="0.4">
      <c r="A131" s="11" t="s">
        <v>49</v>
      </c>
      <c r="B131" s="46"/>
      <c r="C131" s="24" t="s">
        <v>164</v>
      </c>
      <c r="D131" s="45"/>
      <c r="E131" s="6"/>
      <c r="F131" s="6"/>
      <c r="G131" s="6"/>
      <c r="H131" s="6">
        <v>1</v>
      </c>
      <c r="I131" s="6"/>
      <c r="J131" s="6"/>
      <c r="K131" s="6"/>
      <c r="L131" s="6"/>
      <c r="M131" s="6"/>
      <c r="N131" s="6">
        <v>1</v>
      </c>
      <c r="O131" s="6"/>
      <c r="P131" s="6"/>
      <c r="Q131" s="6"/>
      <c r="R131" s="6"/>
      <c r="S131" s="6"/>
      <c r="T131" s="6"/>
      <c r="U131" s="6"/>
      <c r="V131" s="5">
        <f t="shared" si="58"/>
        <v>2</v>
      </c>
    </row>
    <row r="132" spans="1:22" x14ac:dyDescent="0.4">
      <c r="A132" s="7"/>
      <c r="B132" s="46"/>
      <c r="C132" s="24" t="s">
        <v>165</v>
      </c>
      <c r="D132" s="45"/>
      <c r="E132" s="6">
        <v>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5">
        <f t="shared" si="58"/>
        <v>1</v>
      </c>
    </row>
    <row r="133" spans="1:22" x14ac:dyDescent="0.4">
      <c r="A133" s="7"/>
      <c r="B133" s="46"/>
      <c r="C133" s="24" t="s">
        <v>166</v>
      </c>
      <c r="D133" s="4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5">
        <f t="shared" si="58"/>
        <v>0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9">SUM(E130:E133)</f>
        <v>1</v>
      </c>
      <c r="F134" s="5">
        <f t="shared" si="59"/>
        <v>0</v>
      </c>
      <c r="G134" s="5">
        <f t="shared" si="59"/>
        <v>0</v>
      </c>
      <c r="H134" s="5">
        <f t="shared" si="59"/>
        <v>1</v>
      </c>
      <c r="I134" s="5">
        <f t="shared" si="59"/>
        <v>0</v>
      </c>
      <c r="J134" s="5">
        <f t="shared" si="59"/>
        <v>0</v>
      </c>
      <c r="K134" s="5">
        <f t="shared" si="59"/>
        <v>0</v>
      </c>
      <c r="L134" s="5">
        <f t="shared" si="59"/>
        <v>0</v>
      </c>
      <c r="M134" s="5">
        <f t="shared" si="59"/>
        <v>0</v>
      </c>
      <c r="N134" s="5">
        <f t="shared" si="59"/>
        <v>1</v>
      </c>
      <c r="O134" s="5">
        <f t="shared" si="59"/>
        <v>0</v>
      </c>
      <c r="P134" s="5">
        <f t="shared" si="59"/>
        <v>2</v>
      </c>
      <c r="Q134" s="5">
        <f t="shared" si="59"/>
        <v>0</v>
      </c>
      <c r="R134" s="5">
        <f t="shared" si="59"/>
        <v>0</v>
      </c>
      <c r="S134" s="5">
        <f t="shared" si="59"/>
        <v>0</v>
      </c>
      <c r="T134" s="5">
        <f t="shared" si="59"/>
        <v>0</v>
      </c>
      <c r="U134" s="5">
        <f t="shared" si="59"/>
        <v>0</v>
      </c>
      <c r="V134" s="5">
        <f t="shared" si="59"/>
        <v>5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5"/>
    </row>
    <row r="136" spans="1:22" x14ac:dyDescent="0.4">
      <c r="A136" s="11" t="s">
        <v>47</v>
      </c>
      <c r="B136" s="44" t="s">
        <v>64</v>
      </c>
      <c r="C136" s="63" t="s">
        <v>65</v>
      </c>
      <c r="D136" s="64"/>
      <c r="E136" s="6"/>
      <c r="F136" s="6"/>
      <c r="G136" s="6"/>
      <c r="H136" s="6"/>
      <c r="I136" s="6"/>
      <c r="J136" s="6"/>
      <c r="K136" s="6"/>
      <c r="L136" s="6">
        <v>1</v>
      </c>
      <c r="M136" s="6">
        <v>1</v>
      </c>
      <c r="N136" s="6">
        <v>1</v>
      </c>
      <c r="O136" s="6"/>
      <c r="P136" s="6"/>
      <c r="Q136" s="6"/>
      <c r="R136" s="6"/>
      <c r="S136" s="6">
        <v>2</v>
      </c>
      <c r="T136" s="6"/>
      <c r="U136" s="6"/>
      <c r="V136" s="5">
        <f t="shared" ref="V136:V143" si="60">SUM(E136:U136)</f>
        <v>5</v>
      </c>
    </row>
    <row r="137" spans="1:22" x14ac:dyDescent="0.4">
      <c r="A137" s="48" t="s">
        <v>49</v>
      </c>
      <c r="B137" s="46"/>
      <c r="C137" s="24" t="s">
        <v>167</v>
      </c>
      <c r="D137" s="45"/>
      <c r="E137" s="49">
        <v>1</v>
      </c>
      <c r="F137" s="6"/>
      <c r="G137" s="6"/>
      <c r="H137" s="6"/>
      <c r="I137" s="6"/>
      <c r="J137" s="6"/>
      <c r="K137" s="6"/>
      <c r="L137" s="6"/>
      <c r="M137" s="6"/>
      <c r="N137" s="6">
        <v>2</v>
      </c>
      <c r="O137" s="6"/>
      <c r="P137" s="6">
        <v>1</v>
      </c>
      <c r="Q137" s="6"/>
      <c r="R137" s="6"/>
      <c r="S137" s="6">
        <v>2</v>
      </c>
      <c r="T137" s="6"/>
      <c r="U137" s="6">
        <v>1</v>
      </c>
      <c r="V137" s="5">
        <f t="shared" si="60"/>
        <v>7</v>
      </c>
    </row>
    <row r="138" spans="1:22" x14ac:dyDescent="0.4">
      <c r="A138" s="7"/>
      <c r="B138" s="46"/>
      <c r="C138" s="24" t="s">
        <v>168</v>
      </c>
      <c r="D138" s="45"/>
      <c r="E138" s="4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>
        <v>1</v>
      </c>
      <c r="U138" s="6"/>
      <c r="V138" s="5">
        <f t="shared" si="60"/>
        <v>1</v>
      </c>
    </row>
    <row r="139" spans="1:22" x14ac:dyDescent="0.4">
      <c r="A139" s="7"/>
      <c r="B139" s="46"/>
      <c r="C139" s="24" t="s">
        <v>169</v>
      </c>
      <c r="D139" s="45"/>
      <c r="E139" s="49">
        <v>1</v>
      </c>
      <c r="F139" s="6"/>
      <c r="G139" s="6"/>
      <c r="H139" s="6"/>
      <c r="I139" s="6"/>
      <c r="J139" s="6"/>
      <c r="K139" s="6"/>
      <c r="L139" s="6"/>
      <c r="M139" s="6"/>
      <c r="N139" s="6">
        <v>1</v>
      </c>
      <c r="O139" s="6"/>
      <c r="P139" s="6"/>
      <c r="Q139" s="6"/>
      <c r="R139" s="6"/>
      <c r="S139" s="6"/>
      <c r="T139" s="6"/>
      <c r="U139" s="6"/>
      <c r="V139" s="5">
        <f t="shared" si="60"/>
        <v>2</v>
      </c>
    </row>
    <row r="140" spans="1:22" x14ac:dyDescent="0.4">
      <c r="A140" s="7"/>
      <c r="B140" s="46"/>
      <c r="C140" s="24" t="s">
        <v>170</v>
      </c>
      <c r="D140" s="45"/>
      <c r="E140" s="49"/>
      <c r="F140" s="6"/>
      <c r="G140" s="6"/>
      <c r="H140" s="6"/>
      <c r="I140" s="6">
        <v>1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5">
        <f t="shared" si="60"/>
        <v>1</v>
      </c>
    </row>
    <row r="141" spans="1:22" x14ac:dyDescent="0.4">
      <c r="A141" s="7"/>
      <c r="B141" s="46"/>
      <c r="C141" s="24" t="s">
        <v>171</v>
      </c>
      <c r="D141" s="45"/>
      <c r="E141" s="4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>
        <v>1</v>
      </c>
      <c r="U141" s="6"/>
      <c r="V141" s="5">
        <f t="shared" si="60"/>
        <v>1</v>
      </c>
    </row>
    <row r="142" spans="1:22" x14ac:dyDescent="0.4">
      <c r="A142" s="7"/>
      <c r="B142" s="46"/>
      <c r="C142" s="24" t="s">
        <v>172</v>
      </c>
      <c r="D142" s="45"/>
      <c r="E142" s="4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5">
        <f t="shared" si="60"/>
        <v>0</v>
      </c>
    </row>
    <row r="143" spans="1:22" x14ac:dyDescent="0.4">
      <c r="A143" s="7"/>
      <c r="B143" s="46"/>
      <c r="C143" s="24" t="s">
        <v>173</v>
      </c>
      <c r="D143" s="45"/>
      <c r="E143" s="4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5">
        <f t="shared" si="60"/>
        <v>0</v>
      </c>
    </row>
    <row r="144" spans="1:22" x14ac:dyDescent="0.4">
      <c r="A144" s="6" t="s">
        <v>25</v>
      </c>
      <c r="B144" s="65" t="s">
        <v>50</v>
      </c>
      <c r="C144" s="66"/>
      <c r="D144" s="67"/>
      <c r="E144" s="5">
        <f t="shared" ref="E144:V144" si="61">SUM(E136:E143)</f>
        <v>2</v>
      </c>
      <c r="F144" s="5">
        <f t="shared" si="61"/>
        <v>0</v>
      </c>
      <c r="G144" s="5">
        <f t="shared" si="61"/>
        <v>0</v>
      </c>
      <c r="H144" s="5">
        <f t="shared" si="61"/>
        <v>0</v>
      </c>
      <c r="I144" s="5">
        <f t="shared" si="61"/>
        <v>1</v>
      </c>
      <c r="J144" s="5">
        <f t="shared" si="61"/>
        <v>0</v>
      </c>
      <c r="K144" s="5">
        <f t="shared" si="61"/>
        <v>0</v>
      </c>
      <c r="L144" s="5">
        <f t="shared" si="61"/>
        <v>1</v>
      </c>
      <c r="M144" s="5">
        <f t="shared" si="61"/>
        <v>1</v>
      </c>
      <c r="N144" s="5">
        <f t="shared" si="61"/>
        <v>4</v>
      </c>
      <c r="O144" s="5">
        <f t="shared" si="61"/>
        <v>0</v>
      </c>
      <c r="P144" s="5">
        <f t="shared" si="61"/>
        <v>1</v>
      </c>
      <c r="Q144" s="5">
        <f t="shared" si="61"/>
        <v>0</v>
      </c>
      <c r="R144" s="5">
        <f t="shared" si="61"/>
        <v>0</v>
      </c>
      <c r="S144" s="5">
        <f t="shared" si="61"/>
        <v>4</v>
      </c>
      <c r="T144" s="5">
        <f t="shared" si="61"/>
        <v>2</v>
      </c>
      <c r="U144" s="5">
        <f t="shared" si="61"/>
        <v>1</v>
      </c>
      <c r="V144" s="5">
        <f t="shared" si="61"/>
        <v>17</v>
      </c>
    </row>
    <row r="145" spans="1:22" x14ac:dyDescent="0.4">
      <c r="A145" s="55"/>
      <c r="B145" s="56"/>
      <c r="C145" s="56"/>
      <c r="D145" s="56"/>
      <c r="E145" s="5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ht="13.15" customHeight="1" x14ac:dyDescent="0.4">
      <c r="A146" s="11" t="s">
        <v>47</v>
      </c>
      <c r="B146" s="17" t="s">
        <v>66</v>
      </c>
      <c r="C146" s="50" t="s">
        <v>67</v>
      </c>
      <c r="D146" s="51"/>
      <c r="E146" s="6">
        <v>0</v>
      </c>
      <c r="F146" s="6">
        <v>0</v>
      </c>
      <c r="G146" s="6">
        <v>1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/>
      <c r="U146" s="6"/>
      <c r="V146" s="5">
        <f t="shared" ref="V146:V147" si="62">SUM(E146:U146)</f>
        <v>3</v>
      </c>
    </row>
    <row r="147" spans="1:22" x14ac:dyDescent="0.4">
      <c r="A147" s="11" t="s">
        <v>49</v>
      </c>
      <c r="B147" s="46"/>
      <c r="C147" s="24" t="s">
        <v>174</v>
      </c>
      <c r="D147" s="45"/>
      <c r="E147" s="6">
        <v>0</v>
      </c>
      <c r="F147" s="6">
        <v>0</v>
      </c>
      <c r="G147" s="6">
        <v>0</v>
      </c>
      <c r="H147" s="6">
        <v>1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1</v>
      </c>
      <c r="S147" s="6">
        <v>0</v>
      </c>
      <c r="T147" s="6"/>
      <c r="U147" s="6"/>
      <c r="V147" s="5">
        <f t="shared" si="62"/>
        <v>4</v>
      </c>
    </row>
    <row r="148" spans="1:22" x14ac:dyDescent="0.4">
      <c r="A148" s="6" t="s">
        <v>25</v>
      </c>
      <c r="B148" s="52" t="s">
        <v>50</v>
      </c>
      <c r="C148" s="53"/>
      <c r="D148" s="54"/>
      <c r="E148" s="5">
        <f t="shared" ref="E148:V148" si="63">SUM(E146:E147)</f>
        <v>0</v>
      </c>
      <c r="F148" s="5">
        <f t="shared" si="63"/>
        <v>0</v>
      </c>
      <c r="G148" s="5">
        <f t="shared" si="63"/>
        <v>1</v>
      </c>
      <c r="H148" s="5">
        <f t="shared" si="63"/>
        <v>1</v>
      </c>
      <c r="I148" s="5">
        <f t="shared" si="63"/>
        <v>0</v>
      </c>
      <c r="J148" s="5">
        <f t="shared" si="63"/>
        <v>1</v>
      </c>
      <c r="K148" s="5">
        <f t="shared" si="63"/>
        <v>0</v>
      </c>
      <c r="L148" s="5">
        <f t="shared" si="63"/>
        <v>0</v>
      </c>
      <c r="M148" s="5">
        <f t="shared" si="63"/>
        <v>1</v>
      </c>
      <c r="N148" s="5">
        <f t="shared" si="63"/>
        <v>0</v>
      </c>
      <c r="O148" s="5">
        <f t="shared" si="63"/>
        <v>1</v>
      </c>
      <c r="P148" s="5">
        <f t="shared" si="63"/>
        <v>0</v>
      </c>
      <c r="Q148" s="5">
        <f t="shared" si="63"/>
        <v>0</v>
      </c>
      <c r="R148" s="5">
        <f t="shared" si="63"/>
        <v>1</v>
      </c>
      <c r="S148" s="5">
        <f t="shared" si="63"/>
        <v>1</v>
      </c>
      <c r="T148" s="5">
        <f t="shared" si="63"/>
        <v>0</v>
      </c>
      <c r="U148" s="5">
        <f t="shared" si="63"/>
        <v>0</v>
      </c>
      <c r="V148" s="5">
        <f t="shared" si="63"/>
        <v>7</v>
      </c>
    </row>
    <row r="149" spans="1:22" ht="13.15" customHeight="1" x14ac:dyDescent="0.4">
      <c r="A149" s="55"/>
      <c r="B149" s="56"/>
      <c r="C149" s="56"/>
      <c r="D149" s="56"/>
      <c r="E149" s="5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x14ac:dyDescent="0.4">
      <c r="A150" s="11" t="s">
        <v>47</v>
      </c>
      <c r="B150" s="17" t="s">
        <v>68</v>
      </c>
      <c r="C150" s="50" t="s">
        <v>69</v>
      </c>
      <c r="D150" s="51"/>
      <c r="E150" s="6">
        <v>1</v>
      </c>
      <c r="F150" s="6">
        <v>2</v>
      </c>
      <c r="G150" s="6">
        <v>2</v>
      </c>
      <c r="H150" s="6">
        <v>2</v>
      </c>
      <c r="I150" s="6">
        <v>1</v>
      </c>
      <c r="J150" s="6">
        <v>1</v>
      </c>
      <c r="K150" s="6">
        <v>4</v>
      </c>
      <c r="L150" s="6">
        <v>2</v>
      </c>
      <c r="M150" s="6">
        <v>1</v>
      </c>
      <c r="N150" s="6">
        <v>0</v>
      </c>
      <c r="O150" s="6">
        <v>0</v>
      </c>
      <c r="P150" s="6">
        <v>1</v>
      </c>
      <c r="Q150" s="6">
        <v>1</v>
      </c>
      <c r="R150" s="6">
        <v>0</v>
      </c>
      <c r="S150" s="6">
        <v>0</v>
      </c>
      <c r="T150" s="6">
        <v>1</v>
      </c>
      <c r="U150" s="6">
        <v>0</v>
      </c>
      <c r="V150" s="5">
        <f t="shared" ref="V150:V159" si="64">SUM(E150:U150)</f>
        <v>19</v>
      </c>
    </row>
    <row r="151" spans="1:22" x14ac:dyDescent="0.4">
      <c r="A151" s="11" t="s">
        <v>49</v>
      </c>
      <c r="B151" s="46"/>
      <c r="C151" s="24" t="s">
        <v>175</v>
      </c>
      <c r="D151" s="45"/>
      <c r="E151" s="6">
        <v>2</v>
      </c>
      <c r="F151" s="6">
        <v>5</v>
      </c>
      <c r="G151" s="6">
        <v>1</v>
      </c>
      <c r="H151" s="6">
        <v>0</v>
      </c>
      <c r="I151" s="6">
        <v>0</v>
      </c>
      <c r="J151" s="6">
        <v>3</v>
      </c>
      <c r="K151" s="6">
        <v>1</v>
      </c>
      <c r="L151" s="6">
        <v>2</v>
      </c>
      <c r="M151" s="6">
        <v>12</v>
      </c>
      <c r="N151" s="6">
        <v>4</v>
      </c>
      <c r="O151" s="6">
        <v>3</v>
      </c>
      <c r="P151" s="6">
        <v>0</v>
      </c>
      <c r="Q151" s="6">
        <v>0</v>
      </c>
      <c r="R151" s="6">
        <v>0</v>
      </c>
      <c r="S151" s="6">
        <v>0</v>
      </c>
      <c r="T151" s="6">
        <v>2</v>
      </c>
      <c r="U151" s="6">
        <v>1</v>
      </c>
      <c r="V151" s="5">
        <f t="shared" si="64"/>
        <v>36</v>
      </c>
    </row>
    <row r="152" spans="1:22" x14ac:dyDescent="0.4">
      <c r="A152" s="7"/>
      <c r="B152" s="46"/>
      <c r="C152" s="24" t="s">
        <v>176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1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1</v>
      </c>
      <c r="S152" s="6">
        <v>0</v>
      </c>
      <c r="T152" s="6">
        <v>0</v>
      </c>
      <c r="U152" s="6">
        <v>0</v>
      </c>
      <c r="V152" s="5">
        <f t="shared" si="64"/>
        <v>4</v>
      </c>
    </row>
    <row r="153" spans="1:22" x14ac:dyDescent="0.4">
      <c r="A153" s="7"/>
      <c r="B153" s="46"/>
      <c r="C153" s="24" t="s">
        <v>177</v>
      </c>
      <c r="D153" s="45"/>
      <c r="E153" s="6">
        <v>1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2</v>
      </c>
      <c r="N153" s="6">
        <v>1</v>
      </c>
      <c r="O153" s="6">
        <v>1</v>
      </c>
      <c r="P153" s="6">
        <v>2</v>
      </c>
      <c r="Q153" s="6">
        <v>0</v>
      </c>
      <c r="R153" s="6">
        <v>0</v>
      </c>
      <c r="S153" s="6">
        <v>0</v>
      </c>
      <c r="T153" s="6">
        <v>2</v>
      </c>
      <c r="U153" s="6">
        <v>0</v>
      </c>
      <c r="V153" s="5">
        <f t="shared" si="64"/>
        <v>11</v>
      </c>
    </row>
    <row r="154" spans="1:22" x14ac:dyDescent="0.4">
      <c r="A154" s="7"/>
      <c r="B154" s="46"/>
      <c r="C154" s="24" t="s">
        <v>178</v>
      </c>
      <c r="D154" s="45"/>
      <c r="E154" s="6">
        <v>0</v>
      </c>
      <c r="F154" s="6">
        <v>2</v>
      </c>
      <c r="G154" s="6">
        <v>2</v>
      </c>
      <c r="H154" s="6">
        <v>2</v>
      </c>
      <c r="I154" s="6">
        <v>0</v>
      </c>
      <c r="J154" s="6">
        <v>2</v>
      </c>
      <c r="K154" s="6">
        <v>1</v>
      </c>
      <c r="L154" s="6">
        <v>0</v>
      </c>
      <c r="M154" s="6">
        <v>0</v>
      </c>
      <c r="N154" s="6">
        <v>1</v>
      </c>
      <c r="O154" s="6">
        <v>2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1</v>
      </c>
      <c r="V154" s="5">
        <f t="shared" si="64"/>
        <v>13</v>
      </c>
    </row>
    <row r="155" spans="1:22" x14ac:dyDescent="0.4">
      <c r="A155" s="7"/>
      <c r="B155" s="46"/>
      <c r="C155" s="24" t="s">
        <v>179</v>
      </c>
      <c r="D155" s="45"/>
      <c r="E155" s="6">
        <v>0</v>
      </c>
      <c r="F155" s="6">
        <v>1</v>
      </c>
      <c r="G155" s="6">
        <v>0</v>
      </c>
      <c r="H155" s="6">
        <v>0</v>
      </c>
      <c r="I155" s="6">
        <v>0</v>
      </c>
      <c r="J155" s="6">
        <v>2</v>
      </c>
      <c r="K155" s="6">
        <v>1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1</v>
      </c>
      <c r="U155" s="6">
        <v>0</v>
      </c>
      <c r="V155" s="5">
        <f t="shared" si="64"/>
        <v>6</v>
      </c>
    </row>
    <row r="156" spans="1:22" x14ac:dyDescent="0.4">
      <c r="A156" s="7"/>
      <c r="B156" s="46"/>
      <c r="C156" s="24" t="s">
        <v>180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5">
        <f t="shared" si="64"/>
        <v>1</v>
      </c>
    </row>
    <row r="157" spans="1:22" x14ac:dyDescent="0.4">
      <c r="A157" s="7"/>
      <c r="B157" s="46"/>
      <c r="C157" s="24" t="s">
        <v>181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5">
        <f t="shared" si="64"/>
        <v>1</v>
      </c>
    </row>
    <row r="158" spans="1:22" x14ac:dyDescent="0.4">
      <c r="A158" s="7"/>
      <c r="B158" s="46"/>
      <c r="C158" s="24" t="s">
        <v>182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1</v>
      </c>
      <c r="T158" s="6">
        <v>0</v>
      </c>
      <c r="U158" s="6">
        <v>0</v>
      </c>
      <c r="V158" s="5">
        <f t="shared" si="64"/>
        <v>1</v>
      </c>
    </row>
    <row r="159" spans="1:22" x14ac:dyDescent="0.4">
      <c r="A159" s="7"/>
      <c r="B159" s="46"/>
      <c r="C159" s="24" t="s">
        <v>183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2</v>
      </c>
      <c r="J159" s="6">
        <v>1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1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5">
        <f t="shared" si="64"/>
        <v>6</v>
      </c>
    </row>
    <row r="160" spans="1:22" ht="13.15" customHeight="1" x14ac:dyDescent="0.4">
      <c r="A160" s="6" t="s">
        <v>25</v>
      </c>
      <c r="B160" s="52" t="s">
        <v>50</v>
      </c>
      <c r="C160" s="53"/>
      <c r="D160" s="54"/>
      <c r="E160" s="5">
        <f t="shared" ref="E160:V160" si="65">SUM(E150:E159)</f>
        <v>4</v>
      </c>
      <c r="F160" s="5">
        <f t="shared" si="65"/>
        <v>11</v>
      </c>
      <c r="G160" s="5">
        <f t="shared" si="65"/>
        <v>5</v>
      </c>
      <c r="H160" s="5">
        <f t="shared" si="65"/>
        <v>4</v>
      </c>
      <c r="I160" s="5">
        <f t="shared" si="65"/>
        <v>3</v>
      </c>
      <c r="J160" s="5">
        <f t="shared" si="65"/>
        <v>11</v>
      </c>
      <c r="K160" s="5">
        <f t="shared" si="65"/>
        <v>9</v>
      </c>
      <c r="L160" s="5">
        <f t="shared" si="65"/>
        <v>5</v>
      </c>
      <c r="M160" s="5">
        <f t="shared" si="65"/>
        <v>16</v>
      </c>
      <c r="N160" s="5">
        <f t="shared" si="65"/>
        <v>7</v>
      </c>
      <c r="O160" s="5">
        <f t="shared" ref="O160:Q160" si="66">SUM(O150:O159)</f>
        <v>7</v>
      </c>
      <c r="P160" s="5">
        <f t="shared" si="66"/>
        <v>4</v>
      </c>
      <c r="Q160" s="5">
        <f t="shared" si="66"/>
        <v>1</v>
      </c>
      <c r="R160" s="5">
        <f t="shared" si="65"/>
        <v>1</v>
      </c>
      <c r="S160" s="5">
        <f t="shared" si="65"/>
        <v>2</v>
      </c>
      <c r="T160" s="5">
        <f t="shared" si="65"/>
        <v>6</v>
      </c>
      <c r="U160" s="5">
        <f t="shared" si="65"/>
        <v>2</v>
      </c>
      <c r="V160" s="5">
        <f t="shared" si="65"/>
        <v>98</v>
      </c>
    </row>
    <row r="161" spans="1:22" x14ac:dyDescent="0.4">
      <c r="A161" s="55"/>
      <c r="B161" s="56"/>
      <c r="C161" s="56"/>
      <c r="D161" s="56"/>
      <c r="E161" s="5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5"/>
    </row>
    <row r="162" spans="1:22" x14ac:dyDescent="0.4">
      <c r="A162" s="11" t="s">
        <v>47</v>
      </c>
      <c r="B162" s="17" t="s">
        <v>70</v>
      </c>
      <c r="C162" s="50" t="s">
        <v>71</v>
      </c>
      <c r="D162" s="51"/>
      <c r="E162" s="6">
        <v>0</v>
      </c>
      <c r="F162" s="6">
        <v>0</v>
      </c>
      <c r="G162" s="6">
        <v>3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6"/>
      <c r="V162" s="5">
        <f t="shared" ref="V162:V171" si="67">SUM(E162:U162)</f>
        <v>3</v>
      </c>
    </row>
    <row r="163" spans="1:22" x14ac:dyDescent="0.4">
      <c r="A163" s="11" t="s">
        <v>49</v>
      </c>
      <c r="B163" s="46"/>
      <c r="C163" s="24" t="s">
        <v>184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1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/>
      <c r="U163" s="6"/>
      <c r="V163" s="5">
        <f t="shared" si="67"/>
        <v>1</v>
      </c>
    </row>
    <row r="164" spans="1:22" x14ac:dyDescent="0.4">
      <c r="A164" s="7"/>
      <c r="B164" s="46"/>
      <c r="C164" s="24" t="s">
        <v>185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6"/>
      <c r="U164" s="6"/>
      <c r="V164" s="5">
        <f t="shared" si="67"/>
        <v>2</v>
      </c>
    </row>
    <row r="165" spans="1:22" x14ac:dyDescent="0.4">
      <c r="A165" s="7"/>
      <c r="B165" s="46"/>
      <c r="C165" s="24" t="s">
        <v>186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/>
      <c r="V165" s="5">
        <f t="shared" si="67"/>
        <v>0</v>
      </c>
    </row>
    <row r="166" spans="1:22" x14ac:dyDescent="0.4">
      <c r="A166" s="7"/>
      <c r="B166" s="46"/>
      <c r="C166" s="24" t="s">
        <v>187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/>
      <c r="U166" s="6"/>
      <c r="V166" s="5">
        <f t="shared" si="67"/>
        <v>0</v>
      </c>
    </row>
    <row r="167" spans="1:22" x14ac:dyDescent="0.4">
      <c r="A167" s="7"/>
      <c r="B167" s="46"/>
      <c r="C167" s="24" t="s">
        <v>188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/>
      <c r="V167" s="5">
        <f t="shared" si="67"/>
        <v>0</v>
      </c>
    </row>
    <row r="168" spans="1:22" x14ac:dyDescent="0.4">
      <c r="A168" s="7"/>
      <c r="B168" s="46"/>
      <c r="C168" s="24" t="s">
        <v>189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/>
      <c r="V168" s="5">
        <f t="shared" si="67"/>
        <v>0</v>
      </c>
    </row>
    <row r="169" spans="1:22" ht="13.15" customHeight="1" x14ac:dyDescent="0.4">
      <c r="A169" s="7"/>
      <c r="B169" s="46"/>
      <c r="C169" s="24" t="s">
        <v>190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/>
      <c r="V169" s="5">
        <f t="shared" si="67"/>
        <v>0</v>
      </c>
    </row>
    <row r="170" spans="1:22" ht="13.15" customHeight="1" x14ac:dyDescent="0.4">
      <c r="A170" s="7"/>
      <c r="B170" s="46"/>
      <c r="C170" s="24" t="s">
        <v>191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/>
      <c r="V170" s="5">
        <f t="shared" si="67"/>
        <v>0</v>
      </c>
    </row>
    <row r="171" spans="1:22" ht="13.15" customHeight="1" x14ac:dyDescent="0.4">
      <c r="A171" s="7"/>
      <c r="B171" s="46"/>
      <c r="C171" s="24" t="s">
        <v>192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/>
      <c r="U171" s="6"/>
      <c r="V171" s="5">
        <f t="shared" si="67"/>
        <v>0</v>
      </c>
    </row>
    <row r="172" spans="1:22" x14ac:dyDescent="0.4">
      <c r="A172" s="6" t="s">
        <v>25</v>
      </c>
      <c r="B172" s="52" t="s">
        <v>50</v>
      </c>
      <c r="C172" s="53"/>
      <c r="D172" s="54"/>
      <c r="E172" s="5">
        <f t="shared" ref="E172:V172" si="68">SUM(E162:E171)</f>
        <v>0</v>
      </c>
      <c r="F172" s="5">
        <f t="shared" si="68"/>
        <v>0</v>
      </c>
      <c r="G172" s="5">
        <f t="shared" si="68"/>
        <v>3</v>
      </c>
      <c r="H172" s="5">
        <f t="shared" si="68"/>
        <v>0</v>
      </c>
      <c r="I172" s="5">
        <f t="shared" si="68"/>
        <v>0</v>
      </c>
      <c r="J172" s="5">
        <f t="shared" si="68"/>
        <v>1</v>
      </c>
      <c r="K172" s="5">
        <f t="shared" si="68"/>
        <v>1</v>
      </c>
      <c r="L172" s="5">
        <f t="shared" si="68"/>
        <v>0</v>
      </c>
      <c r="M172" s="5">
        <f t="shared" si="68"/>
        <v>0</v>
      </c>
      <c r="N172" s="5">
        <f t="shared" si="68"/>
        <v>0</v>
      </c>
      <c r="O172" s="5">
        <f t="shared" ref="O172:Q172" si="69">SUM(O162:O171)</f>
        <v>1</v>
      </c>
      <c r="P172" s="5">
        <f t="shared" si="69"/>
        <v>0</v>
      </c>
      <c r="Q172" s="5">
        <f t="shared" si="69"/>
        <v>0</v>
      </c>
      <c r="R172" s="5">
        <f t="shared" si="68"/>
        <v>0</v>
      </c>
      <c r="S172" s="5">
        <f t="shared" si="68"/>
        <v>0</v>
      </c>
      <c r="T172" s="5">
        <f t="shared" si="68"/>
        <v>0</v>
      </c>
      <c r="U172" s="5">
        <f t="shared" si="68"/>
        <v>0</v>
      </c>
      <c r="V172" s="5">
        <f t="shared" si="68"/>
        <v>6</v>
      </c>
    </row>
    <row r="173" spans="1:22" x14ac:dyDescent="0.4">
      <c r="A173" s="55"/>
      <c r="B173" s="56"/>
      <c r="C173" s="56"/>
      <c r="D173" s="56"/>
      <c r="E173" s="5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x14ac:dyDescent="0.4">
      <c r="A174" s="11" t="s">
        <v>47</v>
      </c>
      <c r="B174" s="17" t="s">
        <v>72</v>
      </c>
      <c r="C174" s="50" t="s">
        <v>73</v>
      </c>
      <c r="D174" s="51"/>
      <c r="E174" s="6">
        <v>3</v>
      </c>
      <c r="F174" s="6">
        <v>6</v>
      </c>
      <c r="G174" s="6">
        <v>9</v>
      </c>
      <c r="H174" s="6">
        <v>3</v>
      </c>
      <c r="I174" s="6">
        <v>3</v>
      </c>
      <c r="J174" s="6">
        <v>3</v>
      </c>
      <c r="K174" s="6">
        <v>18</v>
      </c>
      <c r="L174" s="6">
        <v>11</v>
      </c>
      <c r="M174" s="6">
        <v>3</v>
      </c>
      <c r="N174" s="6">
        <v>0</v>
      </c>
      <c r="O174" s="6">
        <v>1</v>
      </c>
      <c r="P174" s="6">
        <v>4</v>
      </c>
      <c r="Q174" s="6">
        <v>3</v>
      </c>
      <c r="R174" s="6">
        <v>1</v>
      </c>
      <c r="S174" s="6">
        <v>1</v>
      </c>
      <c r="T174" s="6">
        <v>5</v>
      </c>
      <c r="U174" s="6">
        <v>11</v>
      </c>
      <c r="V174" s="5">
        <f t="shared" ref="V174:V183" si="70">SUM(E174:U174)</f>
        <v>85</v>
      </c>
    </row>
    <row r="175" spans="1:22" x14ac:dyDescent="0.4">
      <c r="A175" s="11" t="s">
        <v>49</v>
      </c>
      <c r="B175" s="46"/>
      <c r="C175" s="24" t="s">
        <v>193</v>
      </c>
      <c r="D175" s="45"/>
      <c r="E175" s="6">
        <v>2</v>
      </c>
      <c r="F175" s="6">
        <v>8</v>
      </c>
      <c r="G175" s="6">
        <v>4</v>
      </c>
      <c r="H175" s="6">
        <v>5</v>
      </c>
      <c r="I175" s="6">
        <v>0</v>
      </c>
      <c r="J175" s="6">
        <v>6</v>
      </c>
      <c r="K175" s="6">
        <v>2</v>
      </c>
      <c r="L175" s="6">
        <v>2</v>
      </c>
      <c r="M175" s="6">
        <v>2</v>
      </c>
      <c r="N175" s="6">
        <v>1</v>
      </c>
      <c r="O175" s="6">
        <v>3</v>
      </c>
      <c r="P175" s="6">
        <v>5</v>
      </c>
      <c r="Q175" s="6">
        <v>1</v>
      </c>
      <c r="R175" s="6">
        <v>6</v>
      </c>
      <c r="S175" s="6">
        <v>3</v>
      </c>
      <c r="T175" s="6">
        <v>10</v>
      </c>
      <c r="U175" s="6">
        <v>1</v>
      </c>
      <c r="V175" s="5">
        <f t="shared" si="70"/>
        <v>61</v>
      </c>
    </row>
    <row r="176" spans="1:22" x14ac:dyDescent="0.4">
      <c r="A176" s="7"/>
      <c r="B176" s="46"/>
      <c r="C176" s="24" t="s">
        <v>194</v>
      </c>
      <c r="D176" s="45"/>
      <c r="E176" s="6">
        <v>6</v>
      </c>
      <c r="F176" s="6">
        <v>3</v>
      </c>
      <c r="G176" s="6">
        <v>6</v>
      </c>
      <c r="H176" s="6">
        <v>0</v>
      </c>
      <c r="I176" s="6">
        <v>1</v>
      </c>
      <c r="J176" s="6">
        <v>8</v>
      </c>
      <c r="K176" s="6">
        <v>9</v>
      </c>
      <c r="L176" s="6">
        <v>6</v>
      </c>
      <c r="M176" s="6">
        <v>4</v>
      </c>
      <c r="N176" s="6">
        <v>2</v>
      </c>
      <c r="O176" s="6">
        <v>0</v>
      </c>
      <c r="P176" s="6">
        <v>1</v>
      </c>
      <c r="Q176" s="6">
        <v>1</v>
      </c>
      <c r="R176" s="6">
        <v>1</v>
      </c>
      <c r="S176" s="6">
        <v>0</v>
      </c>
      <c r="T176" s="6">
        <v>5</v>
      </c>
      <c r="U176" s="6">
        <v>12</v>
      </c>
      <c r="V176" s="5">
        <f t="shared" si="70"/>
        <v>65</v>
      </c>
    </row>
    <row r="177" spans="1:22" x14ac:dyDescent="0.4">
      <c r="A177" s="7"/>
      <c r="B177" s="46"/>
      <c r="C177" s="24" t="s">
        <v>195</v>
      </c>
      <c r="D177" s="45"/>
      <c r="E177" s="6">
        <v>1</v>
      </c>
      <c r="F177" s="6">
        <v>0</v>
      </c>
      <c r="G177" s="6">
        <v>1</v>
      </c>
      <c r="H177" s="6">
        <v>1</v>
      </c>
      <c r="I177" s="6">
        <v>0</v>
      </c>
      <c r="J177" s="6">
        <v>3</v>
      </c>
      <c r="K177" s="6">
        <v>0</v>
      </c>
      <c r="L177" s="6">
        <v>2</v>
      </c>
      <c r="M177" s="6">
        <v>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/>
      <c r="U177" s="6"/>
      <c r="V177" s="5">
        <f t="shared" si="70"/>
        <v>9</v>
      </c>
    </row>
    <row r="178" spans="1:22" x14ac:dyDescent="0.4">
      <c r="A178" s="7"/>
      <c r="B178" s="46"/>
      <c r="C178" s="24" t="s">
        <v>196</v>
      </c>
      <c r="D178" s="45"/>
      <c r="E178" s="6">
        <v>0</v>
      </c>
      <c r="F178" s="6">
        <v>1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1</v>
      </c>
      <c r="U178" s="6"/>
      <c r="V178" s="5">
        <f t="shared" si="70"/>
        <v>4</v>
      </c>
    </row>
    <row r="179" spans="1:22" x14ac:dyDescent="0.4">
      <c r="A179" s="7"/>
      <c r="B179" s="46"/>
      <c r="C179" s="24" t="s">
        <v>197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  <c r="M179" s="6">
        <v>0</v>
      </c>
      <c r="N179" s="6">
        <v>0</v>
      </c>
      <c r="O179" s="6">
        <v>1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/>
      <c r="V179" s="5">
        <f t="shared" si="70"/>
        <v>4</v>
      </c>
    </row>
    <row r="180" spans="1:22" ht="13.15" customHeight="1" x14ac:dyDescent="0.4">
      <c r="A180" s="7"/>
      <c r="B180" s="46"/>
      <c r="C180" s="24" t="s">
        <v>198</v>
      </c>
      <c r="D180" s="45"/>
      <c r="E180" s="6">
        <v>0</v>
      </c>
      <c r="F180" s="6">
        <v>1</v>
      </c>
      <c r="G180" s="6">
        <v>1</v>
      </c>
      <c r="H180" s="6">
        <v>0</v>
      </c>
      <c r="I180" s="6">
        <v>0</v>
      </c>
      <c r="J180" s="6">
        <v>0</v>
      </c>
      <c r="K180" s="6">
        <v>1</v>
      </c>
      <c r="L180" s="6">
        <v>2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/>
      <c r="U180" s="6">
        <v>1</v>
      </c>
      <c r="V180" s="5">
        <f t="shared" si="70"/>
        <v>7</v>
      </c>
    </row>
    <row r="181" spans="1:22" x14ac:dyDescent="0.4">
      <c r="A181" s="7"/>
      <c r="B181" s="46"/>
      <c r="C181" s="24" t="s">
        <v>199</v>
      </c>
      <c r="D181" s="45"/>
      <c r="E181" s="6">
        <v>0</v>
      </c>
      <c r="F181" s="6">
        <v>1</v>
      </c>
      <c r="G181" s="6">
        <v>1</v>
      </c>
      <c r="H181" s="6">
        <v>2</v>
      </c>
      <c r="I181" s="6">
        <v>0</v>
      </c>
      <c r="J181" s="6">
        <v>0</v>
      </c>
      <c r="K181" s="6">
        <v>0</v>
      </c>
      <c r="L181" s="6">
        <v>2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6">
        <v>2</v>
      </c>
      <c r="S181" s="6">
        <v>0</v>
      </c>
      <c r="T181" s="6"/>
      <c r="U181" s="6"/>
      <c r="V181" s="5">
        <f t="shared" si="70"/>
        <v>9</v>
      </c>
    </row>
    <row r="182" spans="1:22" x14ac:dyDescent="0.4">
      <c r="A182" s="7"/>
      <c r="B182" s="46"/>
      <c r="C182" s="24" t="s">
        <v>200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/>
      <c r="U182" s="6"/>
      <c r="V182" s="5">
        <f t="shared" si="70"/>
        <v>1</v>
      </c>
    </row>
    <row r="183" spans="1:22" x14ac:dyDescent="0.4">
      <c r="A183" s="7"/>
      <c r="B183" s="46"/>
      <c r="C183" s="24" t="s">
        <v>201</v>
      </c>
      <c r="D183" s="45"/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  <c r="S183" s="6">
        <v>0</v>
      </c>
      <c r="T183" s="6"/>
      <c r="U183" s="6"/>
      <c r="V183" s="5">
        <f t="shared" si="70"/>
        <v>3</v>
      </c>
    </row>
    <row r="184" spans="1:22" x14ac:dyDescent="0.4">
      <c r="A184" s="6" t="s">
        <v>25</v>
      </c>
      <c r="B184" s="52" t="s">
        <v>50</v>
      </c>
      <c r="C184" s="53"/>
      <c r="D184" s="54"/>
      <c r="E184" s="5">
        <f t="shared" ref="E184:V184" si="71">SUM(E174:E183)</f>
        <v>12</v>
      </c>
      <c r="F184" s="5">
        <f t="shared" si="71"/>
        <v>21</v>
      </c>
      <c r="G184" s="5">
        <f t="shared" si="71"/>
        <v>22</v>
      </c>
      <c r="H184" s="5">
        <f t="shared" si="71"/>
        <v>12</v>
      </c>
      <c r="I184" s="5">
        <f t="shared" si="71"/>
        <v>4</v>
      </c>
      <c r="J184" s="5">
        <f t="shared" si="71"/>
        <v>20</v>
      </c>
      <c r="K184" s="5">
        <f t="shared" si="71"/>
        <v>31</v>
      </c>
      <c r="L184" s="5">
        <f t="shared" si="71"/>
        <v>27</v>
      </c>
      <c r="M184" s="5">
        <f t="shared" si="71"/>
        <v>10</v>
      </c>
      <c r="N184" s="5">
        <f t="shared" si="71"/>
        <v>4</v>
      </c>
      <c r="O184" s="5">
        <f t="shared" ref="O184:Q184" si="72">SUM(O174:O183)</f>
        <v>5</v>
      </c>
      <c r="P184" s="5">
        <f t="shared" si="72"/>
        <v>12</v>
      </c>
      <c r="Q184" s="5">
        <f t="shared" si="72"/>
        <v>5</v>
      </c>
      <c r="R184" s="5">
        <f t="shared" si="71"/>
        <v>11</v>
      </c>
      <c r="S184" s="5">
        <f t="shared" si="71"/>
        <v>5</v>
      </c>
      <c r="T184" s="5">
        <f t="shared" si="71"/>
        <v>22</v>
      </c>
      <c r="U184" s="5">
        <f t="shared" si="71"/>
        <v>25</v>
      </c>
      <c r="V184" s="5">
        <f t="shared" si="71"/>
        <v>248</v>
      </c>
    </row>
    <row r="185" spans="1:22" x14ac:dyDescent="0.4">
      <c r="A185" s="55"/>
      <c r="B185" s="56"/>
      <c r="C185" s="56"/>
      <c r="D185" s="56"/>
      <c r="E185" s="5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 x14ac:dyDescent="0.4">
      <c r="A186" s="11" t="s">
        <v>47</v>
      </c>
      <c r="B186" s="17" t="s">
        <v>74</v>
      </c>
      <c r="C186" s="50" t="s">
        <v>75</v>
      </c>
      <c r="D186" s="51"/>
      <c r="E186" s="6">
        <v>3</v>
      </c>
      <c r="F186" s="6">
        <v>4</v>
      </c>
      <c r="G186" s="6">
        <v>1</v>
      </c>
      <c r="H186" s="6">
        <v>4</v>
      </c>
      <c r="I186" s="6">
        <v>0</v>
      </c>
      <c r="J186" s="6">
        <v>1</v>
      </c>
      <c r="K186" s="6">
        <v>2</v>
      </c>
      <c r="L186" s="6">
        <v>1</v>
      </c>
      <c r="M186" s="6">
        <v>1</v>
      </c>
      <c r="N186" s="6">
        <v>1</v>
      </c>
      <c r="O186" s="6">
        <v>10</v>
      </c>
      <c r="P186" s="6">
        <v>4</v>
      </c>
      <c r="Q186" s="6">
        <v>4</v>
      </c>
      <c r="R186" s="6">
        <v>2</v>
      </c>
      <c r="S186" s="6">
        <v>1</v>
      </c>
      <c r="T186" s="6">
        <v>0</v>
      </c>
      <c r="U186" s="6">
        <v>2</v>
      </c>
      <c r="V186" s="5">
        <f t="shared" ref="V186:V189" si="73">SUM(E186:U186)</f>
        <v>41</v>
      </c>
    </row>
    <row r="187" spans="1:22" x14ac:dyDescent="0.4">
      <c r="A187" s="11" t="s">
        <v>49</v>
      </c>
      <c r="B187" s="46"/>
      <c r="C187" s="24" t="s">
        <v>202</v>
      </c>
      <c r="D187" s="45"/>
      <c r="E187" s="6">
        <v>3</v>
      </c>
      <c r="F187" s="6">
        <v>2</v>
      </c>
      <c r="G187" s="6">
        <v>1</v>
      </c>
      <c r="H187" s="6">
        <v>0</v>
      </c>
      <c r="I187" s="6">
        <v>1</v>
      </c>
      <c r="J187" s="6">
        <v>3</v>
      </c>
      <c r="K187" s="6">
        <v>0</v>
      </c>
      <c r="L187" s="6">
        <v>0</v>
      </c>
      <c r="M187" s="6">
        <v>1</v>
      </c>
      <c r="N187" s="6">
        <v>0</v>
      </c>
      <c r="O187" s="6">
        <v>1</v>
      </c>
      <c r="P187" s="6">
        <v>0</v>
      </c>
      <c r="Q187" s="6">
        <v>2</v>
      </c>
      <c r="R187" s="6">
        <v>1</v>
      </c>
      <c r="S187" s="6">
        <v>2</v>
      </c>
      <c r="T187" s="6">
        <v>0</v>
      </c>
      <c r="U187" s="6">
        <v>0</v>
      </c>
      <c r="V187" s="5">
        <f t="shared" si="73"/>
        <v>17</v>
      </c>
    </row>
    <row r="188" spans="1:22" x14ac:dyDescent="0.4">
      <c r="A188" s="7"/>
      <c r="B188" s="46"/>
      <c r="C188" s="24" t="s">
        <v>203</v>
      </c>
      <c r="D188" s="45"/>
      <c r="E188" s="6">
        <v>2</v>
      </c>
      <c r="F188" s="6">
        <v>3</v>
      </c>
      <c r="G188" s="6">
        <v>0</v>
      </c>
      <c r="H188" s="6">
        <v>0</v>
      </c>
      <c r="I188" s="6">
        <v>2</v>
      </c>
      <c r="J188" s="6">
        <v>0</v>
      </c>
      <c r="K188" s="6">
        <v>0</v>
      </c>
      <c r="L188" s="6">
        <v>0</v>
      </c>
      <c r="M188" s="6">
        <v>1</v>
      </c>
      <c r="N188" s="6">
        <v>0</v>
      </c>
      <c r="O188" s="6">
        <v>3</v>
      </c>
      <c r="P188" s="6">
        <v>1</v>
      </c>
      <c r="Q188" s="6">
        <v>0</v>
      </c>
      <c r="R188" s="6">
        <v>1</v>
      </c>
      <c r="S188" s="6">
        <v>0</v>
      </c>
      <c r="T188" s="6">
        <v>0</v>
      </c>
      <c r="U188" s="6">
        <v>1</v>
      </c>
      <c r="V188" s="5">
        <f t="shared" si="73"/>
        <v>14</v>
      </c>
    </row>
    <row r="189" spans="1:22" x14ac:dyDescent="0.4">
      <c r="A189" s="7"/>
      <c r="B189" s="46"/>
      <c r="C189" s="24" t="s">
        <v>204</v>
      </c>
      <c r="D189" s="45"/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1</v>
      </c>
      <c r="P189" s="6">
        <v>3</v>
      </c>
      <c r="Q189" s="6">
        <v>1</v>
      </c>
      <c r="R189" s="6">
        <v>0</v>
      </c>
      <c r="S189" s="6">
        <v>1</v>
      </c>
      <c r="T189" s="6">
        <v>1</v>
      </c>
      <c r="U189" s="6">
        <v>0</v>
      </c>
      <c r="V189" s="5">
        <f t="shared" si="73"/>
        <v>9</v>
      </c>
    </row>
    <row r="190" spans="1:22" x14ac:dyDescent="0.4">
      <c r="A190" s="6" t="s">
        <v>25</v>
      </c>
      <c r="B190" s="52" t="s">
        <v>50</v>
      </c>
      <c r="C190" s="53"/>
      <c r="D190" s="54"/>
      <c r="E190" s="5">
        <f t="shared" ref="E190:V190" si="74">SUM(E186:E189)</f>
        <v>8</v>
      </c>
      <c r="F190" s="5">
        <f t="shared" si="74"/>
        <v>9</v>
      </c>
      <c r="G190" s="5">
        <f t="shared" si="74"/>
        <v>2</v>
      </c>
      <c r="H190" s="5">
        <f t="shared" si="74"/>
        <v>4</v>
      </c>
      <c r="I190" s="5">
        <f t="shared" si="74"/>
        <v>4</v>
      </c>
      <c r="J190" s="5">
        <f t="shared" si="74"/>
        <v>4</v>
      </c>
      <c r="K190" s="5">
        <f t="shared" si="74"/>
        <v>2</v>
      </c>
      <c r="L190" s="5">
        <f t="shared" si="74"/>
        <v>1</v>
      </c>
      <c r="M190" s="5">
        <f t="shared" si="74"/>
        <v>3</v>
      </c>
      <c r="N190" s="5">
        <f t="shared" si="74"/>
        <v>2</v>
      </c>
      <c r="O190" s="5">
        <f t="shared" si="74"/>
        <v>15</v>
      </c>
      <c r="P190" s="5">
        <f t="shared" si="74"/>
        <v>8</v>
      </c>
      <c r="Q190" s="5">
        <f t="shared" si="74"/>
        <v>7</v>
      </c>
      <c r="R190" s="5">
        <f t="shared" si="74"/>
        <v>4</v>
      </c>
      <c r="S190" s="5">
        <f t="shared" si="74"/>
        <v>4</v>
      </c>
      <c r="T190" s="5">
        <f t="shared" si="74"/>
        <v>1</v>
      </c>
      <c r="U190" s="5">
        <f t="shared" si="74"/>
        <v>3</v>
      </c>
      <c r="V190" s="5">
        <f t="shared" si="74"/>
        <v>81</v>
      </c>
    </row>
    <row r="191" spans="1:22" x14ac:dyDescent="0.4">
      <c r="A191" s="55"/>
      <c r="B191" s="56"/>
      <c r="C191" s="56"/>
      <c r="D191" s="56"/>
      <c r="E191" s="5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 x14ac:dyDescent="0.4">
      <c r="A192" s="11" t="s">
        <v>47</v>
      </c>
      <c r="B192" s="17" t="s">
        <v>76</v>
      </c>
      <c r="C192" s="50" t="s">
        <v>77</v>
      </c>
      <c r="D192" s="51"/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2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1</v>
      </c>
      <c r="U192" s="6">
        <v>0</v>
      </c>
      <c r="V192" s="5">
        <f t="shared" ref="V192:V196" si="75">SUM(E192:U192)</f>
        <v>5</v>
      </c>
    </row>
    <row r="193" spans="1:22" x14ac:dyDescent="0.4">
      <c r="A193" s="11" t="s">
        <v>49</v>
      </c>
      <c r="B193" s="46"/>
      <c r="C193" s="24" t="s">
        <v>205</v>
      </c>
      <c r="D193" s="45"/>
      <c r="E193" s="6">
        <v>0</v>
      </c>
      <c r="F193" s="6">
        <v>0</v>
      </c>
      <c r="G193" s="6">
        <v>1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6">
        <v>1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>
        <v>0</v>
      </c>
      <c r="U193" s="6">
        <v>0</v>
      </c>
      <c r="V193" s="5">
        <f t="shared" si="75"/>
        <v>4</v>
      </c>
    </row>
    <row r="194" spans="1:22" x14ac:dyDescent="0.4">
      <c r="A194" s="7"/>
      <c r="B194" s="46"/>
      <c r="C194" s="24" t="s">
        <v>206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1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5">
        <f t="shared" si="75"/>
        <v>3</v>
      </c>
    </row>
    <row r="195" spans="1:22" x14ac:dyDescent="0.4">
      <c r="A195" s="7"/>
      <c r="B195" s="46"/>
      <c r="C195" s="24" t="s">
        <v>207</v>
      </c>
      <c r="D195" s="45"/>
      <c r="E195" s="6">
        <v>0</v>
      </c>
      <c r="F195" s="6">
        <v>0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5">
        <f t="shared" si="75"/>
        <v>1</v>
      </c>
    </row>
    <row r="196" spans="1:22" ht="13.15" customHeight="1" x14ac:dyDescent="0.4">
      <c r="A196" s="7"/>
      <c r="B196" s="46"/>
      <c r="C196" s="24" t="s">
        <v>208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1</v>
      </c>
      <c r="Q196" s="6">
        <v>1</v>
      </c>
      <c r="R196" s="6">
        <v>0</v>
      </c>
      <c r="S196" s="6">
        <v>0</v>
      </c>
      <c r="T196" s="6">
        <v>0</v>
      </c>
      <c r="U196" s="6">
        <v>0</v>
      </c>
      <c r="V196" s="5">
        <f t="shared" si="75"/>
        <v>2</v>
      </c>
    </row>
    <row r="197" spans="1:22" x14ac:dyDescent="0.4">
      <c r="A197" s="6" t="s">
        <v>25</v>
      </c>
      <c r="B197" s="52" t="s">
        <v>50</v>
      </c>
      <c r="C197" s="53"/>
      <c r="D197" s="54"/>
      <c r="E197" s="5">
        <f t="shared" ref="E197:V197" si="76">SUM(E192:E196)</f>
        <v>1</v>
      </c>
      <c r="F197" s="5">
        <f t="shared" si="76"/>
        <v>0</v>
      </c>
      <c r="G197" s="5">
        <f t="shared" si="76"/>
        <v>2</v>
      </c>
      <c r="H197" s="5">
        <f t="shared" si="76"/>
        <v>0</v>
      </c>
      <c r="I197" s="5">
        <f t="shared" si="76"/>
        <v>2</v>
      </c>
      <c r="J197" s="5">
        <f t="shared" si="76"/>
        <v>2</v>
      </c>
      <c r="K197" s="5">
        <f t="shared" si="76"/>
        <v>1</v>
      </c>
      <c r="L197" s="5">
        <f t="shared" si="76"/>
        <v>0</v>
      </c>
      <c r="M197" s="5">
        <f t="shared" si="76"/>
        <v>1</v>
      </c>
      <c r="N197" s="5">
        <f t="shared" si="76"/>
        <v>0</v>
      </c>
      <c r="O197" s="5">
        <f t="shared" si="76"/>
        <v>0</v>
      </c>
      <c r="P197" s="5">
        <f t="shared" si="76"/>
        <v>1</v>
      </c>
      <c r="Q197" s="5">
        <f t="shared" si="76"/>
        <v>1</v>
      </c>
      <c r="R197" s="5">
        <f t="shared" si="76"/>
        <v>1</v>
      </c>
      <c r="S197" s="5">
        <f t="shared" si="76"/>
        <v>2</v>
      </c>
      <c r="T197" s="5">
        <f t="shared" si="76"/>
        <v>1</v>
      </c>
      <c r="U197" s="5">
        <f t="shared" si="76"/>
        <v>0</v>
      </c>
      <c r="V197" s="5">
        <f t="shared" si="76"/>
        <v>15</v>
      </c>
    </row>
    <row r="198" spans="1:22" x14ac:dyDescent="0.4">
      <c r="A198" s="55"/>
      <c r="B198" s="56"/>
      <c r="C198" s="56"/>
      <c r="D198" s="56"/>
      <c r="E198" s="5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 x14ac:dyDescent="0.4">
      <c r="A199" s="11" t="s">
        <v>47</v>
      </c>
      <c r="B199" s="17" t="s">
        <v>78</v>
      </c>
      <c r="C199" s="50" t="s">
        <v>79</v>
      </c>
      <c r="D199" s="51"/>
      <c r="E199" s="6">
        <v>2</v>
      </c>
      <c r="F199" s="6">
        <v>1</v>
      </c>
      <c r="G199" s="6">
        <v>0</v>
      </c>
      <c r="H199" s="6">
        <v>1</v>
      </c>
      <c r="I199" s="6">
        <v>0</v>
      </c>
      <c r="J199" s="6">
        <v>0</v>
      </c>
      <c r="K199" s="6">
        <v>0</v>
      </c>
      <c r="L199" s="6">
        <v>1</v>
      </c>
      <c r="M199" s="6">
        <v>1</v>
      </c>
      <c r="N199" s="6">
        <v>2</v>
      </c>
      <c r="O199" s="6">
        <v>0</v>
      </c>
      <c r="P199" s="6">
        <v>0</v>
      </c>
      <c r="Q199" s="6">
        <v>0</v>
      </c>
      <c r="R199" s="6">
        <v>0</v>
      </c>
      <c r="S199" s="6">
        <v>1</v>
      </c>
      <c r="T199" s="6"/>
      <c r="U199" s="6">
        <v>2</v>
      </c>
      <c r="V199" s="5">
        <f t="shared" ref="V199:V208" si="77">SUM(E199:U199)</f>
        <v>11</v>
      </c>
    </row>
    <row r="200" spans="1:22" x14ac:dyDescent="0.4">
      <c r="A200" s="11" t="s">
        <v>49</v>
      </c>
      <c r="B200" s="46"/>
      <c r="C200" s="24" t="s">
        <v>209</v>
      </c>
      <c r="D200" s="45"/>
      <c r="E200" s="6">
        <v>0</v>
      </c>
      <c r="F200" s="6">
        <v>0</v>
      </c>
      <c r="G200" s="6">
        <v>2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2</v>
      </c>
      <c r="P200" s="6">
        <v>0</v>
      </c>
      <c r="Q200" s="6">
        <v>1</v>
      </c>
      <c r="R200" s="6">
        <v>2</v>
      </c>
      <c r="S200" s="6">
        <v>0</v>
      </c>
      <c r="T200" s="6"/>
      <c r="U200" s="6"/>
      <c r="V200" s="5">
        <f t="shared" si="77"/>
        <v>8</v>
      </c>
    </row>
    <row r="201" spans="1:22" x14ac:dyDescent="0.4">
      <c r="A201" s="7"/>
      <c r="B201" s="46"/>
      <c r="C201" s="24" t="s">
        <v>210</v>
      </c>
      <c r="D201" s="45"/>
      <c r="E201" s="6">
        <v>2</v>
      </c>
      <c r="F201" s="6">
        <v>0</v>
      </c>
      <c r="G201" s="6">
        <v>23</v>
      </c>
      <c r="H201" s="6">
        <v>3</v>
      </c>
      <c r="I201" s="6">
        <v>1</v>
      </c>
      <c r="J201" s="6">
        <v>1</v>
      </c>
      <c r="K201" s="6">
        <v>1</v>
      </c>
      <c r="L201" s="6">
        <v>1</v>
      </c>
      <c r="M201" s="6">
        <v>0</v>
      </c>
      <c r="N201" s="6">
        <v>1</v>
      </c>
      <c r="O201" s="6">
        <v>4</v>
      </c>
      <c r="P201" s="6">
        <v>4</v>
      </c>
      <c r="Q201" s="6">
        <v>12</v>
      </c>
      <c r="R201" s="6">
        <v>10</v>
      </c>
      <c r="S201" s="6">
        <v>0</v>
      </c>
      <c r="T201" s="6"/>
      <c r="U201" s="6"/>
      <c r="V201" s="5">
        <f t="shared" si="77"/>
        <v>63</v>
      </c>
    </row>
    <row r="202" spans="1:22" ht="13.15" customHeight="1" x14ac:dyDescent="0.4">
      <c r="A202" s="7"/>
      <c r="B202" s="46"/>
      <c r="C202" s="24" t="s">
        <v>211</v>
      </c>
      <c r="D202" s="45"/>
      <c r="E202" s="6">
        <v>0</v>
      </c>
      <c r="F202" s="6">
        <v>0</v>
      </c>
      <c r="G202" s="6">
        <v>3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6"/>
      <c r="V202" s="5">
        <f t="shared" si="77"/>
        <v>3</v>
      </c>
    </row>
    <row r="203" spans="1:22" x14ac:dyDescent="0.4">
      <c r="A203" s="7"/>
      <c r="B203" s="46"/>
      <c r="C203" s="24" t="s">
        <v>212</v>
      </c>
      <c r="D203" s="45"/>
      <c r="E203" s="6">
        <v>0</v>
      </c>
      <c r="F203" s="6">
        <v>0</v>
      </c>
      <c r="G203" s="6">
        <v>1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1</v>
      </c>
      <c r="U203" s="6">
        <v>1</v>
      </c>
      <c r="V203" s="5">
        <f t="shared" si="77"/>
        <v>3</v>
      </c>
    </row>
    <row r="204" spans="1:22" ht="12.75" customHeight="1" x14ac:dyDescent="0.4">
      <c r="A204" s="7"/>
      <c r="B204" s="46"/>
      <c r="C204" s="24" t="s">
        <v>213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/>
      <c r="U204" s="6">
        <v>2</v>
      </c>
      <c r="V204" s="5">
        <f t="shared" si="77"/>
        <v>2</v>
      </c>
    </row>
    <row r="205" spans="1:22" x14ac:dyDescent="0.4">
      <c r="A205" s="7"/>
      <c r="B205" s="46"/>
      <c r="C205" s="24" t="s">
        <v>214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/>
      <c r="U205" s="6"/>
      <c r="V205" s="5">
        <f t="shared" si="77"/>
        <v>1</v>
      </c>
    </row>
    <row r="206" spans="1:22" x14ac:dyDescent="0.4">
      <c r="A206" s="7"/>
      <c r="B206" s="46"/>
      <c r="C206" s="24" t="s">
        <v>215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6">
        <v>1</v>
      </c>
      <c r="V206" s="5">
        <f t="shared" si="77"/>
        <v>1</v>
      </c>
    </row>
    <row r="207" spans="1:22" x14ac:dyDescent="0.4">
      <c r="A207" s="7"/>
      <c r="B207" s="46"/>
      <c r="C207" s="24" t="s">
        <v>216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6"/>
      <c r="V207" s="5">
        <f t="shared" si="77"/>
        <v>0</v>
      </c>
    </row>
    <row r="208" spans="1:22" x14ac:dyDescent="0.4">
      <c r="A208" s="7"/>
      <c r="B208" s="46"/>
      <c r="C208" s="24" t="s">
        <v>217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6"/>
      <c r="U208" s="6"/>
      <c r="V208" s="5">
        <f t="shared" si="77"/>
        <v>2</v>
      </c>
    </row>
    <row r="209" spans="1:22" ht="12.75" customHeight="1" x14ac:dyDescent="0.4">
      <c r="A209" s="6" t="s">
        <v>25</v>
      </c>
      <c r="B209" s="52" t="s">
        <v>50</v>
      </c>
      <c r="C209" s="53"/>
      <c r="D209" s="54"/>
      <c r="E209" s="5">
        <f t="shared" ref="E209:V209" si="78">SUM(E199:E208)</f>
        <v>4</v>
      </c>
      <c r="F209" s="5">
        <f t="shared" si="78"/>
        <v>1</v>
      </c>
      <c r="G209" s="5">
        <f t="shared" si="78"/>
        <v>29</v>
      </c>
      <c r="H209" s="5">
        <f t="shared" si="78"/>
        <v>5</v>
      </c>
      <c r="I209" s="5">
        <f t="shared" si="78"/>
        <v>1</v>
      </c>
      <c r="J209" s="5">
        <f t="shared" si="78"/>
        <v>2</v>
      </c>
      <c r="K209" s="5">
        <f t="shared" si="78"/>
        <v>1</v>
      </c>
      <c r="L209" s="5">
        <f t="shared" si="78"/>
        <v>2</v>
      </c>
      <c r="M209" s="5">
        <f t="shared" si="78"/>
        <v>1</v>
      </c>
      <c r="N209" s="5">
        <f t="shared" si="78"/>
        <v>3</v>
      </c>
      <c r="O209" s="5">
        <f t="shared" ref="O209:Q209" si="79">SUM(O199:O208)</f>
        <v>7</v>
      </c>
      <c r="P209" s="5">
        <f t="shared" si="79"/>
        <v>5</v>
      </c>
      <c r="Q209" s="5">
        <f t="shared" si="79"/>
        <v>13</v>
      </c>
      <c r="R209" s="5">
        <f t="shared" si="78"/>
        <v>12</v>
      </c>
      <c r="S209" s="5">
        <f t="shared" si="78"/>
        <v>1</v>
      </c>
      <c r="T209" s="5">
        <f t="shared" si="78"/>
        <v>1</v>
      </c>
      <c r="U209" s="5">
        <f t="shared" si="78"/>
        <v>6</v>
      </c>
      <c r="V209" s="5">
        <f t="shared" si="78"/>
        <v>94</v>
      </c>
    </row>
    <row r="210" spans="1:22" x14ac:dyDescent="0.4">
      <c r="A210" s="55"/>
      <c r="B210" s="56"/>
      <c r="C210" s="56"/>
      <c r="D210" s="56"/>
      <c r="E210" s="57"/>
    </row>
    <row r="211" spans="1:22" x14ac:dyDescent="0.4">
      <c r="A211" s="11" t="s">
        <v>47</v>
      </c>
      <c r="B211" s="17" t="s">
        <v>80</v>
      </c>
      <c r="C211" s="50" t="s">
        <v>81</v>
      </c>
      <c r="D211" s="51"/>
      <c r="E211" s="6">
        <v>1</v>
      </c>
      <c r="F211" s="6">
        <v>2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1</v>
      </c>
      <c r="Q211" s="6">
        <v>1</v>
      </c>
      <c r="R211" s="6">
        <v>0</v>
      </c>
      <c r="S211" s="6">
        <v>0</v>
      </c>
      <c r="T211" s="6"/>
      <c r="U211" s="6">
        <v>1</v>
      </c>
      <c r="V211" s="5">
        <f t="shared" ref="V211:V214" si="80">SUM(E211:U211)</f>
        <v>6</v>
      </c>
    </row>
    <row r="212" spans="1:22" x14ac:dyDescent="0.4">
      <c r="A212" s="11" t="s">
        <v>49</v>
      </c>
      <c r="B212" s="46"/>
      <c r="C212" s="24" t="s">
        <v>218</v>
      </c>
      <c r="D212" s="45"/>
      <c r="E212" s="6">
        <v>0</v>
      </c>
      <c r="F212" s="6">
        <v>1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1</v>
      </c>
      <c r="N212" s="6">
        <v>1</v>
      </c>
      <c r="O212" s="6">
        <v>2</v>
      </c>
      <c r="P212" s="6">
        <v>0</v>
      </c>
      <c r="Q212" s="6">
        <v>0</v>
      </c>
      <c r="R212" s="6">
        <v>0</v>
      </c>
      <c r="S212" s="6">
        <v>0</v>
      </c>
      <c r="T212" s="6"/>
      <c r="U212" s="6"/>
      <c r="V212" s="5">
        <f t="shared" si="80"/>
        <v>5</v>
      </c>
    </row>
    <row r="213" spans="1:22" x14ac:dyDescent="0.4">
      <c r="A213" s="7"/>
      <c r="B213" s="46"/>
      <c r="C213" s="24" t="s">
        <v>219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6"/>
      <c r="V213" s="5">
        <f t="shared" si="80"/>
        <v>0</v>
      </c>
    </row>
    <row r="214" spans="1:22" x14ac:dyDescent="0.4">
      <c r="A214" s="7"/>
      <c r="B214" s="46"/>
      <c r="C214" s="24" t="s">
        <v>220</v>
      </c>
      <c r="D214" s="45"/>
      <c r="E214" s="6">
        <v>0</v>
      </c>
      <c r="F214" s="6">
        <v>0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/>
      <c r="U214" s="6"/>
      <c r="V214" s="5">
        <f t="shared" si="80"/>
        <v>1</v>
      </c>
    </row>
    <row r="215" spans="1:22" x14ac:dyDescent="0.4">
      <c r="A215" s="6" t="s">
        <v>25</v>
      </c>
      <c r="B215" s="52" t="s">
        <v>50</v>
      </c>
      <c r="C215" s="53"/>
      <c r="D215" s="54"/>
      <c r="E215" s="5">
        <f t="shared" ref="E215:V215" si="81">SUM(E211:E214)</f>
        <v>1</v>
      </c>
      <c r="F215" s="5">
        <f t="shared" si="81"/>
        <v>3</v>
      </c>
      <c r="G215" s="5">
        <f t="shared" si="81"/>
        <v>1</v>
      </c>
      <c r="H215" s="5">
        <f t="shared" si="81"/>
        <v>0</v>
      </c>
      <c r="I215" s="5">
        <f t="shared" si="81"/>
        <v>0</v>
      </c>
      <c r="J215" s="5">
        <f t="shared" si="81"/>
        <v>0</v>
      </c>
      <c r="K215" s="5">
        <f t="shared" si="81"/>
        <v>0</v>
      </c>
      <c r="L215" s="5">
        <f t="shared" si="81"/>
        <v>0</v>
      </c>
      <c r="M215" s="5">
        <f t="shared" si="81"/>
        <v>1</v>
      </c>
      <c r="N215" s="5">
        <f t="shared" si="81"/>
        <v>1</v>
      </c>
      <c r="O215" s="5">
        <f t="shared" si="81"/>
        <v>2</v>
      </c>
      <c r="P215" s="5">
        <f t="shared" si="81"/>
        <v>1</v>
      </c>
      <c r="Q215" s="5">
        <f t="shared" si="81"/>
        <v>1</v>
      </c>
      <c r="R215" s="5">
        <f t="shared" si="81"/>
        <v>0</v>
      </c>
      <c r="S215" s="5">
        <f t="shared" si="81"/>
        <v>0</v>
      </c>
      <c r="T215" s="5">
        <f t="shared" si="81"/>
        <v>0</v>
      </c>
      <c r="U215" s="5">
        <f t="shared" si="81"/>
        <v>1</v>
      </c>
      <c r="V215" s="5">
        <f t="shared" si="81"/>
        <v>12</v>
      </c>
    </row>
    <row r="217" spans="1:22" x14ac:dyDescent="0.4">
      <c r="A217" s="16" t="s">
        <v>82</v>
      </c>
      <c r="B217" s="60" t="s">
        <v>83</v>
      </c>
      <c r="C217" s="61"/>
      <c r="D217" s="6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x14ac:dyDescent="0.4">
      <c r="A218" s="16"/>
      <c r="B218" s="19" t="s">
        <v>84</v>
      </c>
      <c r="C218" s="58" t="s">
        <v>85</v>
      </c>
      <c r="D218" s="59"/>
      <c r="E218" s="6">
        <f t="shared" ref="E218:U218" si="82">E55+E67+E79+E91+E103+E108+E116+E128+E134+E144+E148+E160+E172+E184+E190+E197+E209+E215</f>
        <v>191</v>
      </c>
      <c r="F218" s="6">
        <f t="shared" si="82"/>
        <v>188</v>
      </c>
      <c r="G218" s="6">
        <f t="shared" si="82"/>
        <v>215</v>
      </c>
      <c r="H218" s="6">
        <f t="shared" si="82"/>
        <v>202</v>
      </c>
      <c r="I218" s="6">
        <f t="shared" si="82"/>
        <v>180</v>
      </c>
      <c r="J218" s="6">
        <f t="shared" si="82"/>
        <v>193</v>
      </c>
      <c r="K218" s="6">
        <f t="shared" si="82"/>
        <v>173</v>
      </c>
      <c r="L218" s="6">
        <f t="shared" si="82"/>
        <v>187</v>
      </c>
      <c r="M218" s="6">
        <f t="shared" si="82"/>
        <v>192</v>
      </c>
      <c r="N218" s="6">
        <f t="shared" si="82"/>
        <v>138</v>
      </c>
      <c r="O218" s="6">
        <f t="shared" si="82"/>
        <v>195</v>
      </c>
      <c r="P218" s="6">
        <f t="shared" si="82"/>
        <v>193</v>
      </c>
      <c r="Q218" s="6">
        <f t="shared" si="82"/>
        <v>172</v>
      </c>
      <c r="R218" s="6">
        <f t="shared" si="82"/>
        <v>186</v>
      </c>
      <c r="S218" s="6">
        <f t="shared" si="82"/>
        <v>189</v>
      </c>
      <c r="T218" s="6">
        <f t="shared" si="82"/>
        <v>175</v>
      </c>
      <c r="U218" s="6">
        <f t="shared" si="82"/>
        <v>214</v>
      </c>
      <c r="V218" s="5">
        <f>SUM(E218:U218)</f>
        <v>3183</v>
      </c>
    </row>
    <row r="219" spans="1:22" x14ac:dyDescent="0.4">
      <c r="A219" s="13"/>
      <c r="B219" s="19" t="s">
        <v>86</v>
      </c>
      <c r="C219" s="58" t="s">
        <v>87</v>
      </c>
      <c r="D219" s="59"/>
      <c r="E219" s="6">
        <v>21</v>
      </c>
      <c r="F219" s="6">
        <v>22</v>
      </c>
      <c r="G219" s="6">
        <v>32</v>
      </c>
      <c r="H219" s="6">
        <v>28</v>
      </c>
      <c r="I219" s="6">
        <v>26</v>
      </c>
      <c r="J219" s="6">
        <v>25</v>
      </c>
      <c r="K219" s="6">
        <v>31</v>
      </c>
      <c r="L219" s="6">
        <v>43</v>
      </c>
      <c r="M219" s="6">
        <v>30</v>
      </c>
      <c r="N219" s="6">
        <v>24</v>
      </c>
      <c r="O219" s="6">
        <v>26</v>
      </c>
      <c r="P219" s="6">
        <v>27</v>
      </c>
      <c r="Q219" s="6">
        <v>7</v>
      </c>
      <c r="R219" s="6">
        <v>22</v>
      </c>
      <c r="S219" s="6">
        <v>26</v>
      </c>
      <c r="T219" s="6">
        <v>27</v>
      </c>
      <c r="U219" s="6">
        <v>30</v>
      </c>
      <c r="V219" s="5">
        <f>SUM(E219:U219)</f>
        <v>447</v>
      </c>
    </row>
    <row r="220" spans="1:22" x14ac:dyDescent="0.4">
      <c r="A220" s="14"/>
      <c r="B220" s="19" t="s">
        <v>88</v>
      </c>
      <c r="C220" s="58" t="s">
        <v>89</v>
      </c>
      <c r="D220" s="59"/>
      <c r="E220" s="5">
        <f>SUM(E218:E219)</f>
        <v>212</v>
      </c>
      <c r="F220" s="5">
        <f t="shared" ref="F220:K220" si="83">SUM(F218:F219)</f>
        <v>210</v>
      </c>
      <c r="G220" s="5">
        <f t="shared" si="83"/>
        <v>247</v>
      </c>
      <c r="H220" s="5">
        <f t="shared" si="83"/>
        <v>230</v>
      </c>
      <c r="I220" s="5">
        <f t="shared" si="83"/>
        <v>206</v>
      </c>
      <c r="J220" s="5">
        <f t="shared" si="83"/>
        <v>218</v>
      </c>
      <c r="K220" s="5">
        <f t="shared" si="83"/>
        <v>204</v>
      </c>
      <c r="L220" s="5">
        <f t="shared" ref="L220:U220" si="84">SUM(L218:L219)</f>
        <v>230</v>
      </c>
      <c r="M220" s="5">
        <f t="shared" si="84"/>
        <v>222</v>
      </c>
      <c r="N220" s="5">
        <f t="shared" si="84"/>
        <v>162</v>
      </c>
      <c r="O220" s="5">
        <f t="shared" ref="O220:Q220" si="85">SUM(O218:O219)</f>
        <v>221</v>
      </c>
      <c r="P220" s="5">
        <f t="shared" si="85"/>
        <v>220</v>
      </c>
      <c r="Q220" s="5">
        <f t="shared" si="85"/>
        <v>179</v>
      </c>
      <c r="R220" s="5">
        <f t="shared" si="84"/>
        <v>208</v>
      </c>
      <c r="S220" s="5">
        <f t="shared" ref="S220:T220" si="86">SUM(S218:S219)</f>
        <v>215</v>
      </c>
      <c r="T220" s="5">
        <f t="shared" si="86"/>
        <v>202</v>
      </c>
      <c r="U220" s="5">
        <f t="shared" si="84"/>
        <v>244</v>
      </c>
      <c r="V220" s="5">
        <f>SUM(E220:U220)</f>
        <v>3630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U12"/>
    <mergeCell ref="V12: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R37"/>
    <mergeCell ref="B38:D38"/>
    <mergeCell ref="A42:D42"/>
    <mergeCell ref="E42:R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219:D219"/>
    <mergeCell ref="C220:D220"/>
    <mergeCell ref="B209:D209"/>
    <mergeCell ref="A210:E210"/>
    <mergeCell ref="C211:D211"/>
    <mergeCell ref="B215:D215"/>
    <mergeCell ref="B217:D217"/>
    <mergeCell ref="C218:D218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</mergeCells>
  <phoneticPr fontId="8" type="noConversion"/>
  <conditionalFormatting sqref="E14:U15">
    <cfRule type="containsBlanks" dxfId="144" priority="21">
      <formula>LEN(TRIM(E14))=0</formula>
    </cfRule>
  </conditionalFormatting>
  <conditionalFormatting sqref="E19:U20">
    <cfRule type="containsBlanks" dxfId="143" priority="24">
      <formula>LEN(TRIM(E19))=0</formula>
    </cfRule>
  </conditionalFormatting>
  <conditionalFormatting sqref="E22:U23 E25:U26 E33:U33 E35:U35 E39:U40">
    <cfRule type="containsBlanks" dxfId="142" priority="25">
      <formula>LEN(TRIM(E22))=0</formula>
    </cfRule>
  </conditionalFormatting>
  <conditionalFormatting sqref="E30:U30">
    <cfRule type="expression" dxfId="141" priority="26">
      <formula>E30&lt;&gt;E47</formula>
    </cfRule>
    <cfRule type="expression" dxfId="140" priority="27">
      <formula>E30&lt;&gt;E34</formula>
    </cfRule>
  </conditionalFormatting>
  <conditionalFormatting sqref="E34:U34">
    <cfRule type="expression" dxfId="139" priority="22">
      <formula>E30&lt;&gt;E34</formula>
    </cfRule>
    <cfRule type="expression" dxfId="138" priority="23">
      <formula>E30=E34</formula>
    </cfRule>
    <cfRule type="expression" dxfId="137" priority="28">
      <formula>E34&lt;&gt;E30</formula>
    </cfRule>
    <cfRule type="expression" dxfId="136" priority="30">
      <formula>E34&lt;&gt;E64</formula>
    </cfRule>
  </conditionalFormatting>
  <conditionalFormatting sqref="E45:U54">
    <cfRule type="containsBlanks" dxfId="135" priority="20">
      <formula>LEN(TRIM(E45))=0</formula>
    </cfRule>
  </conditionalFormatting>
  <conditionalFormatting sqref="E57:U66">
    <cfRule type="containsBlanks" dxfId="134" priority="19">
      <formula>LEN(TRIM(E57))=0</formula>
    </cfRule>
  </conditionalFormatting>
  <conditionalFormatting sqref="E69:U78">
    <cfRule type="containsBlanks" dxfId="133" priority="18">
      <formula>LEN(TRIM(E69))=0</formula>
    </cfRule>
  </conditionalFormatting>
  <conditionalFormatting sqref="E81:U90">
    <cfRule type="containsBlanks" dxfId="132" priority="17">
      <formula>LEN(TRIM(E81))=0</formula>
    </cfRule>
  </conditionalFormatting>
  <conditionalFormatting sqref="E93:U102">
    <cfRule type="containsBlanks" dxfId="131" priority="16">
      <formula>LEN(TRIM(E93))=0</formula>
    </cfRule>
  </conditionalFormatting>
  <conditionalFormatting sqref="E105:U107">
    <cfRule type="containsBlanks" dxfId="130" priority="15">
      <formula>LEN(TRIM(E105))=0</formula>
    </cfRule>
  </conditionalFormatting>
  <conditionalFormatting sqref="E110:U115">
    <cfRule type="containsBlanks" dxfId="129" priority="1">
      <formula>LEN(TRIM(E110))=0</formula>
    </cfRule>
  </conditionalFormatting>
  <conditionalFormatting sqref="E118:U127">
    <cfRule type="containsBlanks" dxfId="128" priority="14">
      <formula>LEN(TRIM(E118))=0</formula>
    </cfRule>
  </conditionalFormatting>
  <conditionalFormatting sqref="E130:U133">
    <cfRule type="containsBlanks" dxfId="127" priority="13">
      <formula>LEN(TRIM(E130))=0</formula>
    </cfRule>
  </conditionalFormatting>
  <conditionalFormatting sqref="E136:U143">
    <cfRule type="containsBlanks" dxfId="126" priority="3">
      <formula>LEN(TRIM(E136))=0</formula>
    </cfRule>
  </conditionalFormatting>
  <conditionalFormatting sqref="E146:U147">
    <cfRule type="containsBlanks" dxfId="125" priority="12">
      <formula>LEN(TRIM(E146))=0</formula>
    </cfRule>
  </conditionalFormatting>
  <conditionalFormatting sqref="E150:U159">
    <cfRule type="containsBlanks" dxfId="124" priority="11">
      <formula>LEN(TRIM(E150))=0</formula>
    </cfRule>
  </conditionalFormatting>
  <conditionalFormatting sqref="E162:U171">
    <cfRule type="containsBlanks" dxfId="123" priority="10">
      <formula>LEN(TRIM(E162))=0</formula>
    </cfRule>
  </conditionalFormatting>
  <conditionalFormatting sqref="E174:U183">
    <cfRule type="containsBlanks" dxfId="122" priority="9">
      <formula>LEN(TRIM(E174))=0</formula>
    </cfRule>
  </conditionalFormatting>
  <conditionalFormatting sqref="E186:U189">
    <cfRule type="containsBlanks" dxfId="121" priority="8">
      <formula>LEN(TRIM(E186))=0</formula>
    </cfRule>
  </conditionalFormatting>
  <conditionalFormatting sqref="E192:U196">
    <cfRule type="containsBlanks" dxfId="120" priority="7">
      <formula>LEN(TRIM(E192))=0</formula>
    </cfRule>
  </conditionalFormatting>
  <conditionalFormatting sqref="E199:U208">
    <cfRule type="containsBlanks" dxfId="119" priority="6">
      <formula>LEN(TRIM(E199))=0</formula>
    </cfRule>
  </conditionalFormatting>
  <conditionalFormatting sqref="E211:U214">
    <cfRule type="containsBlanks" dxfId="118" priority="4">
      <formula>LEN(TRIM(E211))=0</formula>
    </cfRule>
  </conditionalFormatting>
  <conditionalFormatting sqref="E218:U219">
    <cfRule type="containsBlanks" dxfId="117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V220"/>
  <sheetViews>
    <sheetView tabSelected="1" topLeftCell="D13" zoomScaleNormal="100" workbookViewId="0">
      <pane ySplit="1" topLeftCell="A215" activePane="bottomLeft" state="frozen"/>
      <selection activeCell="A13" sqref="A13"/>
      <selection pane="bottomLeft" activeCell="T223" sqref="T223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99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2" x14ac:dyDescent="0.4">
      <c r="A12" s="5" t="s">
        <v>0</v>
      </c>
      <c r="B12" s="60" t="s">
        <v>1</v>
      </c>
      <c r="C12" s="68"/>
      <c r="D12" s="51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6" t="s">
        <v>90</v>
      </c>
    </row>
    <row r="13" spans="1:22" x14ac:dyDescent="0.4">
      <c r="A13" s="6" t="s">
        <v>2</v>
      </c>
      <c r="B13" s="77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87"/>
    </row>
    <row r="14" spans="1:22" x14ac:dyDescent="0.4">
      <c r="A14" s="7"/>
      <c r="B14" s="88" t="s">
        <v>21</v>
      </c>
      <c r="C14" s="64"/>
      <c r="D14" s="6" t="s">
        <v>22</v>
      </c>
      <c r="E14" s="6">
        <v>139</v>
      </c>
      <c r="F14" s="6">
        <v>128</v>
      </c>
      <c r="G14" s="6">
        <v>99</v>
      </c>
      <c r="H14" s="6">
        <v>119</v>
      </c>
      <c r="I14" s="6">
        <v>112</v>
      </c>
      <c r="J14" s="6">
        <v>141</v>
      </c>
      <c r="K14" s="6">
        <v>133</v>
      </c>
      <c r="L14" s="6">
        <v>137</v>
      </c>
      <c r="M14" s="6">
        <v>126</v>
      </c>
      <c r="N14" s="6">
        <v>121</v>
      </c>
      <c r="O14" s="6">
        <v>109</v>
      </c>
      <c r="P14" s="6">
        <v>113</v>
      </c>
      <c r="Q14" s="6">
        <v>144</v>
      </c>
      <c r="R14" s="6">
        <v>122</v>
      </c>
      <c r="S14" s="6">
        <v>93</v>
      </c>
      <c r="T14" s="6">
        <v>96</v>
      </c>
      <c r="U14" s="6">
        <v>116</v>
      </c>
      <c r="V14" s="5">
        <f>SUM(E14:U14)</f>
        <v>2048</v>
      </c>
    </row>
    <row r="15" spans="1:22" x14ac:dyDescent="0.4">
      <c r="A15" s="7"/>
      <c r="B15" s="89"/>
      <c r="C15" s="76"/>
      <c r="D15" s="6" t="s">
        <v>23</v>
      </c>
      <c r="E15" s="6">
        <v>146</v>
      </c>
      <c r="F15" s="6">
        <v>135</v>
      </c>
      <c r="G15" s="6">
        <v>104</v>
      </c>
      <c r="H15" s="6">
        <v>131</v>
      </c>
      <c r="I15" s="6">
        <v>104</v>
      </c>
      <c r="J15" s="6">
        <v>148</v>
      </c>
      <c r="K15" s="6">
        <v>146</v>
      </c>
      <c r="L15" s="6">
        <v>151</v>
      </c>
      <c r="M15" s="6">
        <v>144</v>
      </c>
      <c r="N15" s="6">
        <v>123</v>
      </c>
      <c r="O15" s="6">
        <v>119</v>
      </c>
      <c r="P15" s="6">
        <v>114</v>
      </c>
      <c r="Q15" s="6">
        <v>132</v>
      </c>
      <c r="R15" s="6">
        <v>128</v>
      </c>
      <c r="S15" s="6">
        <v>108</v>
      </c>
      <c r="T15" s="6">
        <v>102</v>
      </c>
      <c r="U15" s="6">
        <v>103</v>
      </c>
      <c r="V15" s="5">
        <f>SUM(E15:U15)</f>
        <v>2138</v>
      </c>
    </row>
    <row r="16" spans="1:22" x14ac:dyDescent="0.4">
      <c r="A16" s="8"/>
      <c r="B16" s="90"/>
      <c r="C16" s="74"/>
      <c r="D16" s="5" t="s">
        <v>24</v>
      </c>
      <c r="E16" s="5">
        <f t="shared" ref="E16:O16" si="0">SUM(E14:E15)</f>
        <v>285</v>
      </c>
      <c r="F16" s="5">
        <f t="shared" si="0"/>
        <v>263</v>
      </c>
      <c r="G16" s="5">
        <f t="shared" si="0"/>
        <v>203</v>
      </c>
      <c r="H16" s="5">
        <f t="shared" si="0"/>
        <v>250</v>
      </c>
      <c r="I16" s="5">
        <f t="shared" si="0"/>
        <v>216</v>
      </c>
      <c r="J16" s="5">
        <f t="shared" si="0"/>
        <v>289</v>
      </c>
      <c r="K16" s="5">
        <f t="shared" si="0"/>
        <v>279</v>
      </c>
      <c r="L16" s="5">
        <f t="shared" si="0"/>
        <v>288</v>
      </c>
      <c r="M16" s="5">
        <f t="shared" si="0"/>
        <v>270</v>
      </c>
      <c r="N16" s="5">
        <f t="shared" si="0"/>
        <v>244</v>
      </c>
      <c r="O16" s="5">
        <f t="shared" si="0"/>
        <v>228</v>
      </c>
      <c r="P16" s="5">
        <f t="shared" ref="P16:U16" si="1">SUM(P14:P15)</f>
        <v>227</v>
      </c>
      <c r="Q16" s="5">
        <f t="shared" ref="Q16:R16" si="2">SUM(Q14:Q15)</f>
        <v>276</v>
      </c>
      <c r="R16" s="5">
        <f t="shared" si="2"/>
        <v>250</v>
      </c>
      <c r="S16" s="5">
        <f t="shared" si="1"/>
        <v>201</v>
      </c>
      <c r="T16" s="5">
        <f t="shared" si="1"/>
        <v>198</v>
      </c>
      <c r="U16" s="5">
        <f t="shared" si="1"/>
        <v>219</v>
      </c>
      <c r="V16" s="5">
        <f>SUM(E16:U16)</f>
        <v>4186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28"/>
    </row>
    <row r="18" spans="1:22" x14ac:dyDescent="0.4">
      <c r="A18" s="11" t="s">
        <v>25</v>
      </c>
      <c r="B18" s="77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28"/>
    </row>
    <row r="19" spans="1:22" x14ac:dyDescent="0.4">
      <c r="A19" s="11"/>
      <c r="B19" s="78" t="s">
        <v>27</v>
      </c>
      <c r="C19" s="79" t="s">
        <v>28</v>
      </c>
      <c r="D19" s="6" t="s">
        <v>22</v>
      </c>
      <c r="E19" s="6">
        <v>113</v>
      </c>
      <c r="F19" s="6">
        <v>109</v>
      </c>
      <c r="G19" s="6">
        <v>76</v>
      </c>
      <c r="H19" s="6">
        <v>89</v>
      </c>
      <c r="I19" s="6">
        <v>99</v>
      </c>
      <c r="J19" s="6">
        <v>106</v>
      </c>
      <c r="K19" s="6">
        <v>94</v>
      </c>
      <c r="L19" s="6">
        <v>105</v>
      </c>
      <c r="M19" s="6">
        <v>99</v>
      </c>
      <c r="N19" s="6">
        <v>90</v>
      </c>
      <c r="O19" s="6">
        <v>88</v>
      </c>
      <c r="P19" s="6">
        <v>96</v>
      </c>
      <c r="Q19" s="6">
        <v>120</v>
      </c>
      <c r="R19" s="6">
        <v>95</v>
      </c>
      <c r="S19" s="6">
        <v>75</v>
      </c>
      <c r="T19" s="6">
        <v>80</v>
      </c>
      <c r="U19" s="6">
        <v>87</v>
      </c>
      <c r="V19" s="5">
        <f t="shared" ref="V19:V30" si="3">SUM(E19:U19)</f>
        <v>1621</v>
      </c>
    </row>
    <row r="20" spans="1:22" x14ac:dyDescent="0.4">
      <c r="A20" s="12"/>
      <c r="B20" s="76"/>
      <c r="C20" s="80"/>
      <c r="D20" s="6" t="s">
        <v>23</v>
      </c>
      <c r="E20" s="6">
        <v>117</v>
      </c>
      <c r="F20" s="6">
        <v>113</v>
      </c>
      <c r="G20" s="6">
        <v>83</v>
      </c>
      <c r="H20" s="6">
        <v>110</v>
      </c>
      <c r="I20" s="6">
        <v>96</v>
      </c>
      <c r="J20" s="6">
        <v>117</v>
      </c>
      <c r="K20" s="6">
        <v>127</v>
      </c>
      <c r="L20" s="6">
        <v>127</v>
      </c>
      <c r="M20" s="6">
        <v>122</v>
      </c>
      <c r="N20" s="6">
        <v>102</v>
      </c>
      <c r="O20" s="6">
        <v>99</v>
      </c>
      <c r="P20" s="6">
        <v>102</v>
      </c>
      <c r="Q20" s="6">
        <v>109</v>
      </c>
      <c r="R20" s="6">
        <v>109</v>
      </c>
      <c r="S20" s="6">
        <v>94</v>
      </c>
      <c r="T20" s="6">
        <v>85</v>
      </c>
      <c r="U20" s="6">
        <v>79</v>
      </c>
      <c r="V20" s="5">
        <f t="shared" si="3"/>
        <v>1791</v>
      </c>
    </row>
    <row r="21" spans="1:22" x14ac:dyDescent="0.4">
      <c r="A21" s="13"/>
      <c r="B21" s="74"/>
      <c r="C21" s="81"/>
      <c r="D21" s="5" t="s">
        <v>24</v>
      </c>
      <c r="E21" s="5">
        <f t="shared" ref="E21:O21" si="4">SUM(E19:E20)</f>
        <v>230</v>
      </c>
      <c r="F21" s="5">
        <f t="shared" si="4"/>
        <v>222</v>
      </c>
      <c r="G21" s="5">
        <f t="shared" si="4"/>
        <v>159</v>
      </c>
      <c r="H21" s="5">
        <f t="shared" si="4"/>
        <v>199</v>
      </c>
      <c r="I21" s="5">
        <f t="shared" si="4"/>
        <v>195</v>
      </c>
      <c r="J21" s="5">
        <f t="shared" si="4"/>
        <v>223</v>
      </c>
      <c r="K21" s="5">
        <f t="shared" si="4"/>
        <v>221</v>
      </c>
      <c r="L21" s="5">
        <f t="shared" si="4"/>
        <v>232</v>
      </c>
      <c r="M21" s="5">
        <f t="shared" si="4"/>
        <v>221</v>
      </c>
      <c r="N21" s="5">
        <f t="shared" si="4"/>
        <v>192</v>
      </c>
      <c r="O21" s="5">
        <f t="shared" si="4"/>
        <v>187</v>
      </c>
      <c r="P21" s="5">
        <f t="shared" ref="P21:U21" si="5">SUM(P19:P20)</f>
        <v>198</v>
      </c>
      <c r="Q21" s="5">
        <f t="shared" ref="Q21:R21" si="6">SUM(Q19:Q20)</f>
        <v>229</v>
      </c>
      <c r="R21" s="5">
        <f t="shared" si="6"/>
        <v>204</v>
      </c>
      <c r="S21" s="5">
        <f t="shared" si="5"/>
        <v>169</v>
      </c>
      <c r="T21" s="5">
        <f t="shared" si="5"/>
        <v>165</v>
      </c>
      <c r="U21" s="5">
        <f t="shared" si="5"/>
        <v>166</v>
      </c>
      <c r="V21" s="5">
        <f t="shared" si="3"/>
        <v>3412</v>
      </c>
    </row>
    <row r="22" spans="1:22" x14ac:dyDescent="0.4">
      <c r="A22" s="12"/>
      <c r="B22" s="78" t="s">
        <v>29</v>
      </c>
      <c r="C22" s="79" t="s">
        <v>30</v>
      </c>
      <c r="D22" s="6" t="s">
        <v>22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/>
      <c r="U22" s="6"/>
      <c r="V22" s="5">
        <f t="shared" si="3"/>
        <v>2</v>
      </c>
    </row>
    <row r="23" spans="1:22" x14ac:dyDescent="0.4">
      <c r="A23" s="12"/>
      <c r="B23" s="76"/>
      <c r="C23" s="80"/>
      <c r="D23" s="6" t="s">
        <v>23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1</v>
      </c>
      <c r="R23" s="6">
        <v>0</v>
      </c>
      <c r="S23" s="6">
        <v>0</v>
      </c>
      <c r="T23" s="6"/>
      <c r="U23" s="6"/>
      <c r="V23" s="5">
        <f t="shared" si="3"/>
        <v>3</v>
      </c>
    </row>
    <row r="24" spans="1:22" x14ac:dyDescent="0.4">
      <c r="A24" s="13"/>
      <c r="B24" s="74"/>
      <c r="C24" s="81"/>
      <c r="D24" s="5" t="s">
        <v>24</v>
      </c>
      <c r="E24" s="5">
        <f t="shared" ref="E24:O24" si="7">SUM(E22:E23)</f>
        <v>2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0</v>
      </c>
      <c r="O24" s="5">
        <f t="shared" si="7"/>
        <v>1</v>
      </c>
      <c r="P24" s="5">
        <f t="shared" ref="P24:U24" si="8">SUM(P22:P23)</f>
        <v>0</v>
      </c>
      <c r="Q24" s="5">
        <f t="shared" ref="Q24:R24" si="9">SUM(Q22:Q23)</f>
        <v>2</v>
      </c>
      <c r="R24" s="5">
        <f t="shared" si="9"/>
        <v>0</v>
      </c>
      <c r="S24" s="5">
        <f t="shared" si="8"/>
        <v>0</v>
      </c>
      <c r="T24" s="5">
        <f t="shared" si="8"/>
        <v>0</v>
      </c>
      <c r="U24" s="5">
        <f t="shared" si="8"/>
        <v>0</v>
      </c>
      <c r="V24" s="5">
        <f t="shared" si="3"/>
        <v>5</v>
      </c>
    </row>
    <row r="25" spans="1:22" x14ac:dyDescent="0.4">
      <c r="A25" s="12"/>
      <c r="B25" s="78" t="s">
        <v>31</v>
      </c>
      <c r="C25" s="79" t="s">
        <v>32</v>
      </c>
      <c r="D25" s="6" t="s">
        <v>22</v>
      </c>
      <c r="E25" s="6">
        <v>0</v>
      </c>
      <c r="F25" s="6">
        <v>0</v>
      </c>
      <c r="G25" s="6">
        <v>0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/>
      <c r="U25" s="6"/>
      <c r="V25" s="5">
        <f t="shared" si="3"/>
        <v>3</v>
      </c>
    </row>
    <row r="26" spans="1:22" x14ac:dyDescent="0.4">
      <c r="A26" s="12"/>
      <c r="B26" s="76"/>
      <c r="C26" s="80"/>
      <c r="D26" s="6" t="s">
        <v>23</v>
      </c>
      <c r="E26" s="6">
        <v>1</v>
      </c>
      <c r="F26" s="6">
        <v>1</v>
      </c>
      <c r="G26" s="6">
        <v>0</v>
      </c>
      <c r="H26" s="6">
        <v>1</v>
      </c>
      <c r="I26" s="6">
        <v>1</v>
      </c>
      <c r="J26" s="6">
        <v>0</v>
      </c>
      <c r="K26" s="6">
        <v>0</v>
      </c>
      <c r="L26" s="6">
        <v>0</v>
      </c>
      <c r="M26" s="6">
        <v>1</v>
      </c>
      <c r="N26" s="6">
        <v>3</v>
      </c>
      <c r="O26" s="6">
        <v>1</v>
      </c>
      <c r="P26" s="6">
        <v>2</v>
      </c>
      <c r="Q26" s="6">
        <v>0</v>
      </c>
      <c r="R26" s="6">
        <v>0</v>
      </c>
      <c r="S26" s="6">
        <v>1</v>
      </c>
      <c r="T26" s="6">
        <v>2</v>
      </c>
      <c r="U26" s="6"/>
      <c r="V26" s="5">
        <f t="shared" si="3"/>
        <v>14</v>
      </c>
    </row>
    <row r="27" spans="1:22" x14ac:dyDescent="0.4">
      <c r="A27" s="13"/>
      <c r="B27" s="74"/>
      <c r="C27" s="81"/>
      <c r="D27" s="5" t="s">
        <v>24</v>
      </c>
      <c r="E27" s="5">
        <f t="shared" ref="E27:O27" si="10">SUM(E25:E26)</f>
        <v>1</v>
      </c>
      <c r="F27" s="5">
        <f t="shared" si="10"/>
        <v>1</v>
      </c>
      <c r="G27" s="5">
        <f t="shared" si="10"/>
        <v>0</v>
      </c>
      <c r="H27" s="5">
        <f t="shared" si="10"/>
        <v>2</v>
      </c>
      <c r="I27" s="5">
        <f t="shared" si="10"/>
        <v>2</v>
      </c>
      <c r="J27" s="5">
        <f t="shared" si="10"/>
        <v>0</v>
      </c>
      <c r="K27" s="5">
        <f t="shared" si="10"/>
        <v>0</v>
      </c>
      <c r="L27" s="5">
        <f t="shared" si="10"/>
        <v>0</v>
      </c>
      <c r="M27" s="5">
        <f t="shared" si="10"/>
        <v>1</v>
      </c>
      <c r="N27" s="5">
        <f t="shared" si="10"/>
        <v>3</v>
      </c>
      <c r="O27" s="5">
        <f t="shared" si="10"/>
        <v>1</v>
      </c>
      <c r="P27" s="5">
        <f t="shared" ref="P27:U27" si="11">SUM(P25:P26)</f>
        <v>2</v>
      </c>
      <c r="Q27" s="5">
        <f t="shared" ref="Q27:R27" si="12">SUM(Q25:Q26)</f>
        <v>1</v>
      </c>
      <c r="R27" s="5">
        <f t="shared" si="12"/>
        <v>0</v>
      </c>
      <c r="S27" s="5">
        <f t="shared" si="11"/>
        <v>1</v>
      </c>
      <c r="T27" s="5">
        <f t="shared" si="11"/>
        <v>2</v>
      </c>
      <c r="U27" s="5">
        <f t="shared" si="11"/>
        <v>0</v>
      </c>
      <c r="V27" s="5">
        <f t="shared" si="3"/>
        <v>17</v>
      </c>
    </row>
    <row r="28" spans="1:22" x14ac:dyDescent="0.4">
      <c r="A28" s="13"/>
      <c r="B28" s="82" t="s">
        <v>33</v>
      </c>
      <c r="C28" s="83" t="s">
        <v>34</v>
      </c>
      <c r="D28" s="5" t="s">
        <v>22</v>
      </c>
      <c r="E28" s="5">
        <f>SUM(E19,E22,E25)</f>
        <v>114</v>
      </c>
      <c r="F28" s="5">
        <f t="shared" ref="F28:O29" si="13">SUM(F19,F22,F25)</f>
        <v>109</v>
      </c>
      <c r="G28" s="5">
        <f t="shared" si="13"/>
        <v>76</v>
      </c>
      <c r="H28" s="5">
        <f t="shared" si="13"/>
        <v>90</v>
      </c>
      <c r="I28" s="5">
        <f t="shared" si="13"/>
        <v>100</v>
      </c>
      <c r="J28" s="5">
        <f t="shared" si="13"/>
        <v>106</v>
      </c>
      <c r="K28" s="5">
        <f t="shared" si="13"/>
        <v>94</v>
      </c>
      <c r="L28" s="5">
        <f t="shared" si="13"/>
        <v>105</v>
      </c>
      <c r="M28" s="5">
        <f t="shared" si="13"/>
        <v>99</v>
      </c>
      <c r="N28" s="5">
        <f t="shared" si="13"/>
        <v>90</v>
      </c>
      <c r="O28" s="5">
        <f t="shared" si="13"/>
        <v>88</v>
      </c>
      <c r="P28" s="5">
        <f t="shared" ref="P28:U28" si="14">SUM(P19,P22,P25)</f>
        <v>96</v>
      </c>
      <c r="Q28" s="5">
        <f t="shared" ref="Q28:R28" si="15">SUM(Q19,Q22,Q25)</f>
        <v>122</v>
      </c>
      <c r="R28" s="5">
        <f t="shared" si="15"/>
        <v>95</v>
      </c>
      <c r="S28" s="5">
        <f t="shared" si="14"/>
        <v>75</v>
      </c>
      <c r="T28" s="5">
        <f t="shared" si="14"/>
        <v>80</v>
      </c>
      <c r="U28" s="5">
        <f t="shared" si="14"/>
        <v>87</v>
      </c>
      <c r="V28" s="5">
        <f t="shared" si="3"/>
        <v>1626</v>
      </c>
    </row>
    <row r="29" spans="1:22" x14ac:dyDescent="0.4">
      <c r="A29" s="13"/>
      <c r="B29" s="76"/>
      <c r="C29" s="80"/>
      <c r="D29" s="5" t="s">
        <v>23</v>
      </c>
      <c r="E29" s="5">
        <f>SUM(E20,E23,E26)</f>
        <v>119</v>
      </c>
      <c r="F29" s="5">
        <f t="shared" si="13"/>
        <v>114</v>
      </c>
      <c r="G29" s="5">
        <f t="shared" si="13"/>
        <v>83</v>
      </c>
      <c r="H29" s="5">
        <f t="shared" si="13"/>
        <v>111</v>
      </c>
      <c r="I29" s="5">
        <f t="shared" si="13"/>
        <v>97</v>
      </c>
      <c r="J29" s="5">
        <f t="shared" si="13"/>
        <v>117</v>
      </c>
      <c r="K29" s="5">
        <f t="shared" si="13"/>
        <v>127</v>
      </c>
      <c r="L29" s="5">
        <f t="shared" si="13"/>
        <v>127</v>
      </c>
      <c r="M29" s="5">
        <f t="shared" si="13"/>
        <v>123</v>
      </c>
      <c r="N29" s="5">
        <f t="shared" si="13"/>
        <v>105</v>
      </c>
      <c r="O29" s="5">
        <f t="shared" si="13"/>
        <v>101</v>
      </c>
      <c r="P29" s="5">
        <f t="shared" ref="P29:U29" si="16">SUM(P20,P23,P26)</f>
        <v>104</v>
      </c>
      <c r="Q29" s="5">
        <f t="shared" ref="Q29:R29" si="17">SUM(Q20,Q23,Q26)</f>
        <v>110</v>
      </c>
      <c r="R29" s="5">
        <f t="shared" si="17"/>
        <v>109</v>
      </c>
      <c r="S29" s="5">
        <f t="shared" si="16"/>
        <v>95</v>
      </c>
      <c r="T29" s="5">
        <f t="shared" si="16"/>
        <v>87</v>
      </c>
      <c r="U29" s="5">
        <f t="shared" si="16"/>
        <v>79</v>
      </c>
      <c r="V29" s="5">
        <f t="shared" si="3"/>
        <v>1808</v>
      </c>
    </row>
    <row r="30" spans="1:22" x14ac:dyDescent="0.4">
      <c r="A30" s="13"/>
      <c r="B30" s="74"/>
      <c r="C30" s="81"/>
      <c r="D30" s="5" t="s">
        <v>24</v>
      </c>
      <c r="E30" s="5">
        <f t="shared" ref="E30:O30" si="18">SUM(E28:E29)</f>
        <v>233</v>
      </c>
      <c r="F30" s="5">
        <f t="shared" si="18"/>
        <v>223</v>
      </c>
      <c r="G30" s="5">
        <f t="shared" si="18"/>
        <v>159</v>
      </c>
      <c r="H30" s="5">
        <f t="shared" si="18"/>
        <v>201</v>
      </c>
      <c r="I30" s="5">
        <f t="shared" si="18"/>
        <v>197</v>
      </c>
      <c r="J30" s="5">
        <f t="shared" si="18"/>
        <v>223</v>
      </c>
      <c r="K30" s="5">
        <f t="shared" si="18"/>
        <v>221</v>
      </c>
      <c r="L30" s="5">
        <f t="shared" si="18"/>
        <v>232</v>
      </c>
      <c r="M30" s="5">
        <f t="shared" si="18"/>
        <v>222</v>
      </c>
      <c r="N30" s="5">
        <f t="shared" si="18"/>
        <v>195</v>
      </c>
      <c r="O30" s="5">
        <f t="shared" si="18"/>
        <v>189</v>
      </c>
      <c r="P30" s="5">
        <f t="shared" ref="P30:U30" si="19">SUM(P28:P29)</f>
        <v>200</v>
      </c>
      <c r="Q30" s="5">
        <f t="shared" ref="Q30:R30" si="20">SUM(Q28:Q29)</f>
        <v>232</v>
      </c>
      <c r="R30" s="5">
        <f t="shared" si="20"/>
        <v>204</v>
      </c>
      <c r="S30" s="5">
        <f t="shared" si="19"/>
        <v>170</v>
      </c>
      <c r="T30" s="5">
        <f t="shared" si="19"/>
        <v>167</v>
      </c>
      <c r="U30" s="5">
        <f t="shared" si="19"/>
        <v>166</v>
      </c>
      <c r="V30" s="5">
        <f t="shared" si="3"/>
        <v>3434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28"/>
    </row>
    <row r="33" spans="1:22" x14ac:dyDescent="0.4">
      <c r="A33" s="6">
        <v>1</v>
      </c>
      <c r="B33" s="77" t="s">
        <v>37</v>
      </c>
      <c r="C33" s="68"/>
      <c r="D33" s="51"/>
      <c r="E33" s="6">
        <v>289</v>
      </c>
      <c r="F33" s="6">
        <v>267</v>
      </c>
      <c r="G33" s="6">
        <v>206</v>
      </c>
      <c r="H33" s="6">
        <v>253</v>
      </c>
      <c r="I33" s="6">
        <v>218</v>
      </c>
      <c r="J33" s="6">
        <v>293</v>
      </c>
      <c r="K33" s="6">
        <v>283</v>
      </c>
      <c r="L33" s="6">
        <v>292</v>
      </c>
      <c r="M33" s="6">
        <v>274</v>
      </c>
      <c r="N33" s="6">
        <v>247</v>
      </c>
      <c r="O33" s="6">
        <v>231</v>
      </c>
      <c r="P33" s="6">
        <v>229</v>
      </c>
      <c r="Q33" s="6">
        <v>280</v>
      </c>
      <c r="R33" s="6">
        <v>253</v>
      </c>
      <c r="S33" s="6">
        <v>204</v>
      </c>
      <c r="T33" s="6">
        <v>200</v>
      </c>
      <c r="U33" s="6">
        <v>222</v>
      </c>
      <c r="V33" s="5">
        <f>SUM(E33:U33)</f>
        <v>4241</v>
      </c>
    </row>
    <row r="34" spans="1:22" x14ac:dyDescent="0.4">
      <c r="A34" s="6">
        <v>2</v>
      </c>
      <c r="B34" s="77" t="s">
        <v>38</v>
      </c>
      <c r="C34" s="68"/>
      <c r="D34" s="51"/>
      <c r="E34" s="5">
        <v>233</v>
      </c>
      <c r="F34" s="5">
        <v>223</v>
      </c>
      <c r="G34" s="5">
        <v>159</v>
      </c>
      <c r="H34" s="5">
        <v>201</v>
      </c>
      <c r="I34" s="5">
        <v>197</v>
      </c>
      <c r="J34" s="5">
        <v>223</v>
      </c>
      <c r="K34" s="5">
        <v>221</v>
      </c>
      <c r="L34" s="5">
        <v>232</v>
      </c>
      <c r="M34" s="5">
        <v>222</v>
      </c>
      <c r="N34" s="5">
        <v>195</v>
      </c>
      <c r="O34" s="5">
        <v>189</v>
      </c>
      <c r="P34" s="5">
        <v>200</v>
      </c>
      <c r="Q34" s="5">
        <v>232</v>
      </c>
      <c r="R34" s="5">
        <v>204</v>
      </c>
      <c r="S34" s="5">
        <v>170</v>
      </c>
      <c r="T34" s="5">
        <v>167</v>
      </c>
      <c r="U34" s="5">
        <v>166</v>
      </c>
      <c r="V34" s="5">
        <f>SUM(E34:U34)</f>
        <v>3434</v>
      </c>
    </row>
    <row r="35" spans="1:22" x14ac:dyDescent="0.4">
      <c r="A35" s="6">
        <v>3</v>
      </c>
      <c r="B35" s="77" t="s">
        <v>39</v>
      </c>
      <c r="C35" s="68"/>
      <c r="D35" s="51"/>
      <c r="E35" s="6"/>
      <c r="F35" s="6"/>
      <c r="G35" s="6"/>
      <c r="H35" s="6"/>
      <c r="I35" s="6">
        <v>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5">
        <f>SUM(E35:U35)</f>
        <v>1</v>
      </c>
    </row>
    <row r="36" spans="1:22" x14ac:dyDescent="0.4">
      <c r="A36" s="6">
        <v>4</v>
      </c>
      <c r="B36" s="77" t="s">
        <v>40</v>
      </c>
      <c r="C36" s="68"/>
      <c r="D36" s="51"/>
      <c r="E36" s="5">
        <f t="shared" ref="E36:O36" si="21">E33-(E34+E35)</f>
        <v>56</v>
      </c>
      <c r="F36" s="5">
        <f t="shared" si="21"/>
        <v>44</v>
      </c>
      <c r="G36" s="5">
        <f t="shared" si="21"/>
        <v>47</v>
      </c>
      <c r="H36" s="5">
        <f t="shared" si="21"/>
        <v>52</v>
      </c>
      <c r="I36" s="5">
        <f t="shared" si="21"/>
        <v>20</v>
      </c>
      <c r="J36" s="5">
        <f t="shared" si="21"/>
        <v>70</v>
      </c>
      <c r="K36" s="5">
        <f t="shared" si="21"/>
        <v>62</v>
      </c>
      <c r="L36" s="5">
        <f t="shared" si="21"/>
        <v>60</v>
      </c>
      <c r="M36" s="5">
        <f t="shared" si="21"/>
        <v>52</v>
      </c>
      <c r="N36" s="5">
        <f t="shared" si="21"/>
        <v>52</v>
      </c>
      <c r="O36" s="5">
        <f t="shared" si="21"/>
        <v>42</v>
      </c>
      <c r="P36" s="5">
        <f t="shared" ref="P36:U36" si="22">P33-(P34+P35)</f>
        <v>29</v>
      </c>
      <c r="Q36" s="5">
        <f t="shared" ref="Q36:R36" si="23">Q33-(Q34+Q35)</f>
        <v>48</v>
      </c>
      <c r="R36" s="5">
        <f t="shared" si="23"/>
        <v>49</v>
      </c>
      <c r="S36" s="5">
        <f t="shared" si="22"/>
        <v>34</v>
      </c>
      <c r="T36" s="5">
        <f t="shared" si="22"/>
        <v>33</v>
      </c>
      <c r="U36" s="5">
        <f t="shared" si="22"/>
        <v>56</v>
      </c>
      <c r="V36" s="5">
        <f>SUM(E36:U36)</f>
        <v>806</v>
      </c>
    </row>
    <row r="37" spans="1:22" x14ac:dyDescent="0.4">
      <c r="A37" s="55"/>
      <c r="B37" s="68"/>
      <c r="C37" s="68"/>
      <c r="D37" s="68"/>
      <c r="E37" s="55"/>
      <c r="F37" s="73"/>
      <c r="G37" s="73"/>
      <c r="H37" s="73"/>
      <c r="I37" s="92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/>
      <c r="F39" s="6"/>
      <c r="G39" s="6"/>
      <c r="H39" s="6"/>
      <c r="I39" s="6">
        <v>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5">
        <f>SUM(E39:U39)</f>
        <v>3</v>
      </c>
    </row>
    <row r="40" spans="1:22" x14ac:dyDescent="0.4">
      <c r="A40" s="12"/>
      <c r="B40" s="75"/>
      <c r="C40" s="76"/>
      <c r="D40" s="6" t="s">
        <v>23</v>
      </c>
      <c r="E40" s="6"/>
      <c r="F40" s="6"/>
      <c r="G40" s="6"/>
      <c r="H40" s="6"/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">
        <f>SUM(E40:U40)</f>
        <v>1</v>
      </c>
    </row>
    <row r="41" spans="1:22" x14ac:dyDescent="0.4">
      <c r="A41" s="14"/>
      <c r="B41" s="70"/>
      <c r="C41" s="74"/>
      <c r="D41" s="5" t="s">
        <v>24</v>
      </c>
      <c r="E41" s="5">
        <f t="shared" ref="E41:O41" si="24">SUM(E39:E40)</f>
        <v>0</v>
      </c>
      <c r="F41" s="5">
        <f t="shared" si="24"/>
        <v>0</v>
      </c>
      <c r="G41" s="5">
        <f t="shared" si="24"/>
        <v>0</v>
      </c>
      <c r="H41" s="5">
        <f t="shared" si="24"/>
        <v>0</v>
      </c>
      <c r="I41" s="5">
        <f t="shared" si="24"/>
        <v>4</v>
      </c>
      <c r="J41" s="5">
        <f t="shared" si="24"/>
        <v>0</v>
      </c>
      <c r="K41" s="5">
        <f t="shared" si="24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si="24"/>
        <v>0</v>
      </c>
      <c r="P41" s="5">
        <f t="shared" ref="P41:U41" si="25">SUM(P39:P40)</f>
        <v>0</v>
      </c>
      <c r="Q41" s="5">
        <f t="shared" ref="Q41:R41" si="26">SUM(Q39:Q40)</f>
        <v>0</v>
      </c>
      <c r="R41" s="5">
        <f t="shared" si="26"/>
        <v>0</v>
      </c>
      <c r="S41" s="5">
        <f t="shared" si="25"/>
        <v>0</v>
      </c>
      <c r="T41" s="5">
        <f t="shared" si="25"/>
        <v>0</v>
      </c>
      <c r="U41" s="5">
        <f t="shared" si="25"/>
        <v>0</v>
      </c>
      <c r="V41" s="5">
        <f>SUM(E41:U41)</f>
        <v>4</v>
      </c>
    </row>
    <row r="42" spans="1:22" x14ac:dyDescent="0.4">
      <c r="A42" s="69"/>
      <c r="B42" s="70"/>
      <c r="C42" s="70"/>
      <c r="D42" s="74"/>
      <c r="E42" s="55"/>
      <c r="F42" s="68"/>
      <c r="G42" s="68"/>
      <c r="H42" s="68"/>
      <c r="I42" s="51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10</v>
      </c>
      <c r="F45" s="6">
        <v>7</v>
      </c>
      <c r="G45" s="6">
        <v>11</v>
      </c>
      <c r="H45" s="6">
        <v>14</v>
      </c>
      <c r="I45" s="6">
        <v>26</v>
      </c>
      <c r="J45" s="6">
        <v>19</v>
      </c>
      <c r="K45" s="6">
        <v>23</v>
      </c>
      <c r="L45" s="6">
        <v>17</v>
      </c>
      <c r="M45" s="6">
        <v>16</v>
      </c>
      <c r="N45" s="6">
        <v>19</v>
      </c>
      <c r="O45" s="6">
        <v>21</v>
      </c>
      <c r="P45" s="6">
        <v>22</v>
      </c>
      <c r="Q45" s="6">
        <v>23</v>
      </c>
      <c r="R45" s="6">
        <v>21</v>
      </c>
      <c r="S45" s="6">
        <v>12</v>
      </c>
      <c r="T45" s="6">
        <v>14</v>
      </c>
      <c r="U45" s="6">
        <v>11</v>
      </c>
      <c r="V45" s="5">
        <f t="shared" ref="V45:V54" si="27">SUM(E45:U45)</f>
        <v>286</v>
      </c>
    </row>
    <row r="46" spans="1:22" x14ac:dyDescent="0.4">
      <c r="A46" s="11" t="s">
        <v>49</v>
      </c>
      <c r="B46" s="46"/>
      <c r="C46" s="24" t="s">
        <v>103</v>
      </c>
      <c r="D46" s="45"/>
      <c r="E46" s="6">
        <v>60</v>
      </c>
      <c r="F46" s="6">
        <v>38</v>
      </c>
      <c r="G46" s="6">
        <v>30</v>
      </c>
      <c r="H46" s="6">
        <v>47</v>
      </c>
      <c r="I46" s="6">
        <v>76</v>
      </c>
      <c r="J46" s="6">
        <v>69</v>
      </c>
      <c r="K46" s="6">
        <v>78</v>
      </c>
      <c r="L46" s="6">
        <v>61</v>
      </c>
      <c r="M46" s="6">
        <v>45</v>
      </c>
      <c r="N46" s="6">
        <v>44</v>
      </c>
      <c r="O46" s="6">
        <v>74</v>
      </c>
      <c r="P46" s="6">
        <v>70</v>
      </c>
      <c r="Q46" s="6">
        <v>61</v>
      </c>
      <c r="R46" s="6">
        <v>24</v>
      </c>
      <c r="S46" s="6">
        <v>25</v>
      </c>
      <c r="T46" s="6">
        <v>47</v>
      </c>
      <c r="U46" s="6">
        <v>60</v>
      </c>
      <c r="V46" s="5">
        <f t="shared" si="27"/>
        <v>909</v>
      </c>
    </row>
    <row r="47" spans="1:22" x14ac:dyDescent="0.4">
      <c r="A47" s="7"/>
      <c r="B47" s="46"/>
      <c r="C47" s="24" t="s">
        <v>104</v>
      </c>
      <c r="D47" s="45"/>
      <c r="E47" s="6">
        <v>2</v>
      </c>
      <c r="F47" s="6">
        <v>1</v>
      </c>
      <c r="G47" s="6">
        <v>4</v>
      </c>
      <c r="H47" s="6">
        <v>1</v>
      </c>
      <c r="I47" s="6">
        <v>5</v>
      </c>
      <c r="J47" s="6">
        <v>2</v>
      </c>
      <c r="K47" s="6">
        <v>0</v>
      </c>
      <c r="L47" s="6">
        <v>2</v>
      </c>
      <c r="M47" s="6">
        <v>1</v>
      </c>
      <c r="N47" s="6">
        <v>1</v>
      </c>
      <c r="O47" s="6">
        <v>5</v>
      </c>
      <c r="P47" s="6">
        <v>1</v>
      </c>
      <c r="Q47" s="6">
        <v>4</v>
      </c>
      <c r="R47" s="6">
        <v>1</v>
      </c>
      <c r="S47" s="6">
        <v>1</v>
      </c>
      <c r="T47" s="6"/>
      <c r="U47" s="6"/>
      <c r="V47" s="5">
        <f t="shared" si="27"/>
        <v>31</v>
      </c>
    </row>
    <row r="48" spans="1:22" x14ac:dyDescent="0.4">
      <c r="A48" s="7"/>
      <c r="B48" s="46"/>
      <c r="C48" s="24" t="s">
        <v>105</v>
      </c>
      <c r="D48" s="45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2</v>
      </c>
      <c r="L48" s="6">
        <v>1</v>
      </c>
      <c r="M48" s="6">
        <v>2</v>
      </c>
      <c r="N48" s="6">
        <v>0</v>
      </c>
      <c r="O48" s="6">
        <v>0</v>
      </c>
      <c r="P48" s="6">
        <v>2</v>
      </c>
      <c r="Q48" s="6">
        <v>0</v>
      </c>
      <c r="R48" s="6">
        <v>1</v>
      </c>
      <c r="S48" s="6">
        <v>1</v>
      </c>
      <c r="T48" s="6"/>
      <c r="U48" s="6"/>
      <c r="V48" s="5">
        <f t="shared" si="27"/>
        <v>9</v>
      </c>
    </row>
    <row r="49" spans="1:22" x14ac:dyDescent="0.4">
      <c r="A49" s="7"/>
      <c r="B49" s="46"/>
      <c r="C49" s="24" t="s">
        <v>106</v>
      </c>
      <c r="D49" s="45"/>
      <c r="E49" s="6">
        <v>0</v>
      </c>
      <c r="F49" s="6">
        <v>1</v>
      </c>
      <c r="G49" s="6">
        <v>0</v>
      </c>
      <c r="H49" s="6">
        <v>0</v>
      </c>
      <c r="I49" s="6">
        <v>3</v>
      </c>
      <c r="J49" s="6">
        <v>1</v>
      </c>
      <c r="K49" s="6">
        <v>1</v>
      </c>
      <c r="L49" s="6">
        <v>2</v>
      </c>
      <c r="M49" s="6">
        <v>2</v>
      </c>
      <c r="N49" s="6">
        <v>0</v>
      </c>
      <c r="O49" s="6">
        <v>3</v>
      </c>
      <c r="P49" s="6">
        <v>1</v>
      </c>
      <c r="Q49" s="6">
        <v>1</v>
      </c>
      <c r="R49" s="6">
        <v>0</v>
      </c>
      <c r="S49" s="6">
        <v>0</v>
      </c>
      <c r="T49" s="6"/>
      <c r="U49" s="6">
        <v>1</v>
      </c>
      <c r="V49" s="5">
        <f t="shared" si="27"/>
        <v>16</v>
      </c>
    </row>
    <row r="50" spans="1:22" x14ac:dyDescent="0.4">
      <c r="A50" s="7"/>
      <c r="B50" s="46"/>
      <c r="C50" s="24" t="s">
        <v>107</v>
      </c>
      <c r="D50" s="45"/>
      <c r="E50" s="6">
        <v>0</v>
      </c>
      <c r="F50" s="6">
        <v>0</v>
      </c>
      <c r="G50" s="6">
        <v>2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/>
      <c r="U50" s="6">
        <v>2</v>
      </c>
      <c r="V50" s="5">
        <f t="shared" si="27"/>
        <v>7</v>
      </c>
    </row>
    <row r="51" spans="1:22" x14ac:dyDescent="0.4">
      <c r="A51" s="7"/>
      <c r="B51" s="46"/>
      <c r="C51" s="24" t="s">
        <v>108</v>
      </c>
      <c r="D51" s="45"/>
      <c r="E51" s="6">
        <v>0</v>
      </c>
      <c r="F51" s="6">
        <v>0</v>
      </c>
      <c r="G51" s="6">
        <v>1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/>
      <c r="U51" s="6">
        <v>1</v>
      </c>
      <c r="V51" s="5">
        <f t="shared" si="27"/>
        <v>4</v>
      </c>
    </row>
    <row r="52" spans="1:22" ht="13.15" customHeight="1" x14ac:dyDescent="0.4">
      <c r="A52" s="7"/>
      <c r="B52" s="46"/>
      <c r="C52" s="24" t="s">
        <v>109</v>
      </c>
      <c r="D52" s="45"/>
      <c r="E52" s="6">
        <v>0</v>
      </c>
      <c r="F52" s="6">
        <v>0</v>
      </c>
      <c r="G52" s="6">
        <v>0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0</v>
      </c>
      <c r="T52" s="6"/>
      <c r="U52" s="6"/>
      <c r="V52" s="5">
        <f t="shared" si="27"/>
        <v>2</v>
      </c>
    </row>
    <row r="53" spans="1:22" ht="13.15" customHeight="1" x14ac:dyDescent="0.4">
      <c r="A53" s="7"/>
      <c r="B53" s="46"/>
      <c r="C53" s="24" t="s">
        <v>110</v>
      </c>
      <c r="D53" s="47"/>
      <c r="E53" s="6">
        <v>0</v>
      </c>
      <c r="F53" s="6">
        <v>0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/>
      <c r="U53" s="6"/>
      <c r="V53" s="5">
        <f t="shared" si="27"/>
        <v>3</v>
      </c>
    </row>
    <row r="54" spans="1:22" ht="13.15" customHeight="1" x14ac:dyDescent="0.4">
      <c r="A54" s="7"/>
      <c r="B54" s="46"/>
      <c r="C54" s="24" t="s">
        <v>111</v>
      </c>
      <c r="D54" s="45"/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2</v>
      </c>
      <c r="R54" s="6">
        <v>0</v>
      </c>
      <c r="S54" s="6">
        <v>1</v>
      </c>
      <c r="T54" s="6"/>
      <c r="U54" s="6"/>
      <c r="V54" s="5">
        <f t="shared" si="27"/>
        <v>6</v>
      </c>
    </row>
    <row r="55" spans="1:22" x14ac:dyDescent="0.4">
      <c r="A55" s="6" t="s">
        <v>25</v>
      </c>
      <c r="B55" s="52" t="s">
        <v>50</v>
      </c>
      <c r="C55" s="68"/>
      <c r="D55" s="51"/>
      <c r="E55" s="5">
        <f>SUM(E45:E54)</f>
        <v>72</v>
      </c>
      <c r="F55" s="5">
        <f t="shared" ref="F55:V55" si="28">SUM(F45:F54)</f>
        <v>47</v>
      </c>
      <c r="G55" s="5">
        <f t="shared" si="28"/>
        <v>48</v>
      </c>
      <c r="H55" s="5">
        <f t="shared" si="28"/>
        <v>65</v>
      </c>
      <c r="I55" s="5">
        <f t="shared" si="28"/>
        <v>112</v>
      </c>
      <c r="J55" s="5">
        <f t="shared" si="28"/>
        <v>91</v>
      </c>
      <c r="K55" s="5">
        <f t="shared" si="28"/>
        <v>105</v>
      </c>
      <c r="L55" s="5">
        <f t="shared" si="28"/>
        <v>84</v>
      </c>
      <c r="M55" s="5">
        <f t="shared" si="28"/>
        <v>67</v>
      </c>
      <c r="N55" s="5">
        <f t="shared" si="28"/>
        <v>66</v>
      </c>
      <c r="O55" s="5">
        <f t="shared" si="28"/>
        <v>104</v>
      </c>
      <c r="P55" s="5">
        <f t="shared" si="28"/>
        <v>98</v>
      </c>
      <c r="Q55" s="5">
        <f t="shared" ref="Q55:R55" si="29">SUM(Q45:Q54)</f>
        <v>91</v>
      </c>
      <c r="R55" s="5">
        <f t="shared" si="29"/>
        <v>47</v>
      </c>
      <c r="S55" s="5">
        <f t="shared" si="28"/>
        <v>40</v>
      </c>
      <c r="T55" s="5">
        <f t="shared" si="28"/>
        <v>61</v>
      </c>
      <c r="U55" s="5">
        <f t="shared" si="28"/>
        <v>75</v>
      </c>
      <c r="V55" s="5">
        <f t="shared" si="28"/>
        <v>1273</v>
      </c>
    </row>
    <row r="56" spans="1:22" x14ac:dyDescent="0.4">
      <c r="A56" s="69"/>
      <c r="B56" s="70"/>
      <c r="C56" s="70"/>
      <c r="D56" s="70"/>
      <c r="E56" s="70"/>
      <c r="V56" s="5"/>
    </row>
    <row r="57" spans="1:22" x14ac:dyDescent="0.4">
      <c r="A57" s="11" t="s">
        <v>47</v>
      </c>
      <c r="B57" s="17" t="s">
        <v>29</v>
      </c>
      <c r="C57" s="50" t="s">
        <v>51</v>
      </c>
      <c r="D57" s="51"/>
      <c r="E57" s="6">
        <v>14</v>
      </c>
      <c r="F57" s="6">
        <v>8</v>
      </c>
      <c r="G57" s="6">
        <v>11</v>
      </c>
      <c r="H57" s="6">
        <v>13</v>
      </c>
      <c r="I57" s="6">
        <v>6</v>
      </c>
      <c r="J57" s="6">
        <v>10</v>
      </c>
      <c r="K57" s="6">
        <v>10</v>
      </c>
      <c r="L57" s="6">
        <v>5</v>
      </c>
      <c r="M57" s="6">
        <v>10</v>
      </c>
      <c r="N57" s="6">
        <v>10</v>
      </c>
      <c r="O57" s="6">
        <v>3</v>
      </c>
      <c r="P57" s="6">
        <v>8</v>
      </c>
      <c r="Q57" s="6">
        <v>15</v>
      </c>
      <c r="R57" s="6">
        <v>14</v>
      </c>
      <c r="S57" s="6">
        <v>9</v>
      </c>
      <c r="T57" s="6">
        <v>4</v>
      </c>
      <c r="U57" s="6">
        <v>10</v>
      </c>
      <c r="V57" s="5">
        <f t="shared" ref="V57:V66" si="30">SUM(E57:U57)</f>
        <v>160</v>
      </c>
    </row>
    <row r="58" spans="1:22" x14ac:dyDescent="0.4">
      <c r="A58" s="11" t="s">
        <v>49</v>
      </c>
      <c r="B58" s="46"/>
      <c r="C58" s="24" t="s">
        <v>112</v>
      </c>
      <c r="D58" s="45"/>
      <c r="E58" s="6">
        <v>5</v>
      </c>
      <c r="F58" s="6">
        <v>4</v>
      </c>
      <c r="G58" s="6">
        <v>1</v>
      </c>
      <c r="H58" s="6">
        <v>4</v>
      </c>
      <c r="I58" s="6">
        <v>1</v>
      </c>
      <c r="J58" s="6">
        <v>10</v>
      </c>
      <c r="K58" s="6">
        <v>5</v>
      </c>
      <c r="L58" s="6">
        <v>3</v>
      </c>
      <c r="M58" s="6">
        <v>3</v>
      </c>
      <c r="N58" s="6">
        <v>9</v>
      </c>
      <c r="O58" s="6">
        <v>4</v>
      </c>
      <c r="P58" s="6">
        <v>6</v>
      </c>
      <c r="Q58" s="6">
        <v>8</v>
      </c>
      <c r="R58" s="6">
        <v>11</v>
      </c>
      <c r="S58" s="6">
        <v>10</v>
      </c>
      <c r="T58" s="6">
        <v>9</v>
      </c>
      <c r="U58" s="6">
        <v>5</v>
      </c>
      <c r="V58" s="5">
        <f t="shared" si="30"/>
        <v>98</v>
      </c>
    </row>
    <row r="59" spans="1:22" x14ac:dyDescent="0.4">
      <c r="A59" s="7"/>
      <c r="B59" s="46"/>
      <c r="C59" s="24" t="s">
        <v>113</v>
      </c>
      <c r="D59" s="45"/>
      <c r="E59" s="6">
        <v>5</v>
      </c>
      <c r="F59" s="6">
        <v>12</v>
      </c>
      <c r="G59" s="6">
        <v>2</v>
      </c>
      <c r="H59" s="6">
        <v>8</v>
      </c>
      <c r="I59" s="6">
        <v>6</v>
      </c>
      <c r="J59" s="6">
        <v>6</v>
      </c>
      <c r="K59" s="6">
        <v>5</v>
      </c>
      <c r="L59" s="6">
        <v>6</v>
      </c>
      <c r="M59" s="6">
        <v>5</v>
      </c>
      <c r="N59" s="6">
        <v>2</v>
      </c>
      <c r="O59" s="6">
        <v>3</v>
      </c>
      <c r="P59" s="6">
        <v>6</v>
      </c>
      <c r="Q59" s="6">
        <v>5</v>
      </c>
      <c r="R59" s="6">
        <v>7</v>
      </c>
      <c r="S59" s="6">
        <v>15</v>
      </c>
      <c r="T59" s="6">
        <v>6</v>
      </c>
      <c r="U59" s="6">
        <v>8</v>
      </c>
      <c r="V59" s="5">
        <f t="shared" si="30"/>
        <v>107</v>
      </c>
    </row>
    <row r="60" spans="1:22" x14ac:dyDescent="0.4">
      <c r="A60" s="7"/>
      <c r="B60" s="46"/>
      <c r="C60" s="24" t="s">
        <v>114</v>
      </c>
      <c r="D60" s="45"/>
      <c r="E60" s="6">
        <v>2</v>
      </c>
      <c r="F60" s="6">
        <v>0</v>
      </c>
      <c r="G60" s="6">
        <v>1</v>
      </c>
      <c r="H60" s="6">
        <v>1</v>
      </c>
      <c r="I60" s="6">
        <v>3</v>
      </c>
      <c r="J60" s="6">
        <v>2</v>
      </c>
      <c r="K60" s="6">
        <v>2</v>
      </c>
      <c r="L60" s="6">
        <v>2</v>
      </c>
      <c r="M60" s="6">
        <v>0</v>
      </c>
      <c r="N60" s="6">
        <v>0</v>
      </c>
      <c r="O60" s="6">
        <v>1</v>
      </c>
      <c r="P60" s="6">
        <v>1</v>
      </c>
      <c r="Q60" s="6">
        <v>0</v>
      </c>
      <c r="R60" s="6">
        <v>4</v>
      </c>
      <c r="S60" s="6">
        <v>0</v>
      </c>
      <c r="T60" s="6"/>
      <c r="U60" s="6">
        <v>1</v>
      </c>
      <c r="V60" s="5">
        <f t="shared" si="30"/>
        <v>20</v>
      </c>
    </row>
    <row r="61" spans="1:22" x14ac:dyDescent="0.4">
      <c r="A61" s="7"/>
      <c r="B61" s="46"/>
      <c r="C61" s="24" t="s">
        <v>115</v>
      </c>
      <c r="D61" s="45"/>
      <c r="E61" s="6">
        <v>6</v>
      </c>
      <c r="F61" s="6">
        <v>1</v>
      </c>
      <c r="G61" s="6">
        <v>0</v>
      </c>
      <c r="H61" s="6">
        <v>1</v>
      </c>
      <c r="I61" s="6">
        <v>0</v>
      </c>
      <c r="J61" s="6">
        <v>3</v>
      </c>
      <c r="K61" s="6">
        <v>6</v>
      </c>
      <c r="L61" s="6">
        <v>28</v>
      </c>
      <c r="M61" s="6">
        <v>2</v>
      </c>
      <c r="N61" s="6">
        <v>0</v>
      </c>
      <c r="O61" s="6">
        <v>4</v>
      </c>
      <c r="P61" s="6">
        <v>1</v>
      </c>
      <c r="Q61" s="6">
        <v>1</v>
      </c>
      <c r="R61" s="6">
        <v>2</v>
      </c>
      <c r="S61" s="6">
        <v>2</v>
      </c>
      <c r="T61" s="6"/>
      <c r="U61" s="6">
        <v>2</v>
      </c>
      <c r="V61" s="5">
        <f t="shared" si="30"/>
        <v>59</v>
      </c>
    </row>
    <row r="62" spans="1:22" x14ac:dyDescent="0.4">
      <c r="A62" s="7"/>
      <c r="B62" s="46"/>
      <c r="C62" s="24" t="s">
        <v>116</v>
      </c>
      <c r="D62" s="45"/>
      <c r="E62" s="6">
        <v>2</v>
      </c>
      <c r="F62" s="6">
        <v>1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1</v>
      </c>
      <c r="R62" s="6">
        <v>0</v>
      </c>
      <c r="S62" s="6">
        <v>2</v>
      </c>
      <c r="T62" s="6"/>
      <c r="U62" s="6">
        <v>3</v>
      </c>
      <c r="V62" s="5">
        <f t="shared" si="30"/>
        <v>11</v>
      </c>
    </row>
    <row r="63" spans="1:22" ht="13.15" customHeight="1" x14ac:dyDescent="0.4">
      <c r="A63" s="7"/>
      <c r="B63" s="46"/>
      <c r="C63" s="24" t="s">
        <v>117</v>
      </c>
      <c r="D63" s="45"/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2</v>
      </c>
      <c r="K63" s="6">
        <v>2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3</v>
      </c>
      <c r="R63" s="6">
        <v>2</v>
      </c>
      <c r="S63" s="6">
        <v>1</v>
      </c>
      <c r="T63" s="6">
        <v>1</v>
      </c>
      <c r="U63" s="6">
        <v>1</v>
      </c>
      <c r="V63" s="5">
        <f t="shared" si="30"/>
        <v>13</v>
      </c>
    </row>
    <row r="64" spans="1:22" x14ac:dyDescent="0.4">
      <c r="A64" s="7"/>
      <c r="B64" s="46"/>
      <c r="C64" s="24" t="s">
        <v>118</v>
      </c>
      <c r="D64" s="45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/>
      <c r="U64" s="6"/>
      <c r="V64" s="5">
        <f t="shared" si="30"/>
        <v>0</v>
      </c>
    </row>
    <row r="65" spans="1:22" x14ac:dyDescent="0.4">
      <c r="A65" s="7"/>
      <c r="B65" s="46"/>
      <c r="C65" s="24" t="s">
        <v>119</v>
      </c>
      <c r="D65" s="45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6"/>
      <c r="U65" s="6"/>
      <c r="V65" s="5">
        <f t="shared" si="30"/>
        <v>2</v>
      </c>
    </row>
    <row r="66" spans="1:22" x14ac:dyDescent="0.4">
      <c r="A66" s="7"/>
      <c r="B66" s="46"/>
      <c r="C66" s="24" t="s">
        <v>120</v>
      </c>
      <c r="D66" s="45"/>
      <c r="E66" s="6">
        <v>0</v>
      </c>
      <c r="F66" s="6">
        <v>1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0</v>
      </c>
      <c r="S66" s="6">
        <v>0</v>
      </c>
      <c r="T66" s="6"/>
      <c r="U66" s="6"/>
      <c r="V66" s="5">
        <f t="shared" si="30"/>
        <v>3</v>
      </c>
    </row>
    <row r="67" spans="1:22" x14ac:dyDescent="0.4">
      <c r="A67" s="6" t="s">
        <v>25</v>
      </c>
      <c r="B67" s="52" t="s">
        <v>50</v>
      </c>
      <c r="C67" s="68"/>
      <c r="D67" s="51"/>
      <c r="E67" s="5">
        <f t="shared" ref="E67:V67" si="31">SUM(E57:E66)</f>
        <v>34</v>
      </c>
      <c r="F67" s="5">
        <f t="shared" si="31"/>
        <v>27</v>
      </c>
      <c r="G67" s="5">
        <f t="shared" si="31"/>
        <v>16</v>
      </c>
      <c r="H67" s="5">
        <f t="shared" si="31"/>
        <v>28</v>
      </c>
      <c r="I67" s="5">
        <f t="shared" si="31"/>
        <v>16</v>
      </c>
      <c r="J67" s="5">
        <f t="shared" si="31"/>
        <v>35</v>
      </c>
      <c r="K67" s="5">
        <f t="shared" si="31"/>
        <v>30</v>
      </c>
      <c r="L67" s="5">
        <f t="shared" si="31"/>
        <v>44</v>
      </c>
      <c r="M67" s="5">
        <f t="shared" si="31"/>
        <v>20</v>
      </c>
      <c r="N67" s="5">
        <f t="shared" si="31"/>
        <v>22</v>
      </c>
      <c r="O67" s="5">
        <f t="shared" si="31"/>
        <v>15</v>
      </c>
      <c r="P67" s="5">
        <f t="shared" si="31"/>
        <v>22</v>
      </c>
      <c r="Q67" s="5">
        <f t="shared" ref="Q67:R67" si="32">SUM(Q57:Q66)</f>
        <v>34</v>
      </c>
      <c r="R67" s="5">
        <f t="shared" si="32"/>
        <v>41</v>
      </c>
      <c r="S67" s="5">
        <f t="shared" si="31"/>
        <v>39</v>
      </c>
      <c r="T67" s="5">
        <f t="shared" si="31"/>
        <v>20</v>
      </c>
      <c r="U67" s="5">
        <f t="shared" si="31"/>
        <v>30</v>
      </c>
      <c r="V67" s="5">
        <f t="shared" si="31"/>
        <v>473</v>
      </c>
    </row>
    <row r="68" spans="1:22" x14ac:dyDescent="0.4">
      <c r="A68" s="69"/>
      <c r="B68" s="70"/>
      <c r="C68" s="70"/>
      <c r="D68" s="70"/>
      <c r="E68" s="70"/>
    </row>
    <row r="69" spans="1:22" x14ac:dyDescent="0.4">
      <c r="A69" s="11" t="s">
        <v>47</v>
      </c>
      <c r="B69" s="17" t="s">
        <v>31</v>
      </c>
      <c r="C69" s="50" t="s">
        <v>52</v>
      </c>
      <c r="D69" s="51"/>
      <c r="E69" s="6">
        <v>17</v>
      </c>
      <c r="F69" s="6">
        <v>17</v>
      </c>
      <c r="G69" s="6">
        <v>9</v>
      </c>
      <c r="H69" s="6">
        <v>10</v>
      </c>
      <c r="I69" s="6">
        <v>7</v>
      </c>
      <c r="J69" s="6">
        <v>7</v>
      </c>
      <c r="K69" s="6">
        <v>3</v>
      </c>
      <c r="L69" s="6">
        <v>7</v>
      </c>
      <c r="M69" s="6">
        <v>7</v>
      </c>
      <c r="N69" s="6">
        <v>5</v>
      </c>
      <c r="O69" s="6">
        <v>2</v>
      </c>
      <c r="P69" s="6">
        <v>5</v>
      </c>
      <c r="Q69" s="6">
        <v>3</v>
      </c>
      <c r="R69" s="6">
        <v>5</v>
      </c>
      <c r="S69" s="6">
        <v>1</v>
      </c>
      <c r="T69" s="6">
        <v>5</v>
      </c>
      <c r="U69" s="6">
        <v>4</v>
      </c>
      <c r="V69" s="5">
        <f t="shared" ref="V69:V78" si="33">SUM(E69:U69)</f>
        <v>114</v>
      </c>
    </row>
    <row r="70" spans="1:22" x14ac:dyDescent="0.4">
      <c r="A70" s="11" t="s">
        <v>49</v>
      </c>
      <c r="B70" s="46"/>
      <c r="C70" s="24" t="s">
        <v>121</v>
      </c>
      <c r="D70" s="45"/>
      <c r="E70" s="6">
        <v>2</v>
      </c>
      <c r="F70" s="6">
        <v>5</v>
      </c>
      <c r="G70" s="6">
        <v>3</v>
      </c>
      <c r="H70" s="6">
        <v>4</v>
      </c>
      <c r="I70" s="6">
        <v>4</v>
      </c>
      <c r="J70" s="6">
        <v>5</v>
      </c>
      <c r="K70" s="6">
        <v>0</v>
      </c>
      <c r="L70" s="6">
        <v>1</v>
      </c>
      <c r="M70" s="6">
        <v>5</v>
      </c>
      <c r="N70" s="6">
        <v>3</v>
      </c>
      <c r="O70" s="6">
        <v>2</v>
      </c>
      <c r="P70" s="6">
        <v>3</v>
      </c>
      <c r="Q70" s="6">
        <v>0</v>
      </c>
      <c r="R70" s="6">
        <v>0</v>
      </c>
      <c r="S70" s="6">
        <v>2</v>
      </c>
      <c r="T70" s="6">
        <v>2</v>
      </c>
      <c r="U70" s="6">
        <v>7</v>
      </c>
      <c r="V70" s="5">
        <f t="shared" si="33"/>
        <v>48</v>
      </c>
    </row>
    <row r="71" spans="1:22" x14ac:dyDescent="0.4">
      <c r="A71" s="7"/>
      <c r="B71" s="46"/>
      <c r="C71" s="24" t="s">
        <v>122</v>
      </c>
      <c r="D71" s="45"/>
      <c r="E71" s="6">
        <v>4</v>
      </c>
      <c r="F71" s="6">
        <v>15</v>
      </c>
      <c r="G71" s="6">
        <v>8</v>
      </c>
      <c r="H71" s="6">
        <v>4</v>
      </c>
      <c r="I71" s="6">
        <v>3</v>
      </c>
      <c r="J71" s="6">
        <v>3</v>
      </c>
      <c r="K71" s="6">
        <v>4</v>
      </c>
      <c r="L71" s="6">
        <v>7</v>
      </c>
      <c r="M71" s="6">
        <v>3</v>
      </c>
      <c r="N71" s="6">
        <v>3</v>
      </c>
      <c r="O71" s="6">
        <v>0</v>
      </c>
      <c r="P71" s="6">
        <v>4</v>
      </c>
      <c r="Q71" s="6">
        <v>3</v>
      </c>
      <c r="R71" s="6">
        <v>3</v>
      </c>
      <c r="S71" s="6">
        <v>0</v>
      </c>
      <c r="T71" s="6">
        <v>1</v>
      </c>
      <c r="U71" s="6">
        <v>4</v>
      </c>
      <c r="V71" s="5">
        <f t="shared" si="33"/>
        <v>69</v>
      </c>
    </row>
    <row r="72" spans="1:22" x14ac:dyDescent="0.4">
      <c r="A72" s="7"/>
      <c r="B72" s="46"/>
      <c r="C72" s="24" t="s">
        <v>123</v>
      </c>
      <c r="D72" s="45"/>
      <c r="E72" s="6">
        <v>5</v>
      </c>
      <c r="F72" s="6">
        <v>5</v>
      </c>
      <c r="G72" s="6">
        <v>3</v>
      </c>
      <c r="H72" s="6">
        <v>4</v>
      </c>
      <c r="I72" s="6">
        <v>2</v>
      </c>
      <c r="J72" s="6">
        <v>2</v>
      </c>
      <c r="K72" s="6">
        <v>1</v>
      </c>
      <c r="L72" s="6">
        <v>1</v>
      </c>
      <c r="M72" s="6">
        <v>2</v>
      </c>
      <c r="N72" s="6">
        <v>2</v>
      </c>
      <c r="O72" s="6">
        <v>1</v>
      </c>
      <c r="P72" s="6">
        <v>0</v>
      </c>
      <c r="Q72" s="6">
        <v>1</v>
      </c>
      <c r="R72" s="6">
        <v>0</v>
      </c>
      <c r="S72" s="6">
        <v>0</v>
      </c>
      <c r="T72" s="6">
        <v>1</v>
      </c>
      <c r="U72" s="6">
        <v>1</v>
      </c>
      <c r="V72" s="5">
        <f t="shared" si="33"/>
        <v>31</v>
      </c>
    </row>
    <row r="73" spans="1:22" x14ac:dyDescent="0.4">
      <c r="A73" s="7"/>
      <c r="B73" s="46"/>
      <c r="C73" s="24" t="s">
        <v>124</v>
      </c>
      <c r="D73" s="45"/>
      <c r="E73" s="6">
        <v>12</v>
      </c>
      <c r="F73" s="6">
        <v>27</v>
      </c>
      <c r="G73" s="6">
        <v>2</v>
      </c>
      <c r="H73" s="6">
        <v>4</v>
      </c>
      <c r="I73" s="6">
        <v>0</v>
      </c>
      <c r="J73" s="6">
        <v>3</v>
      </c>
      <c r="K73" s="6">
        <v>17</v>
      </c>
      <c r="L73" s="6">
        <v>11</v>
      </c>
      <c r="M73" s="6">
        <v>39</v>
      </c>
      <c r="N73" s="6">
        <v>11</v>
      </c>
      <c r="O73" s="6">
        <v>0</v>
      </c>
      <c r="P73" s="6">
        <v>7</v>
      </c>
      <c r="Q73" s="6">
        <v>10</v>
      </c>
      <c r="R73" s="6">
        <v>0</v>
      </c>
      <c r="S73" s="6">
        <v>0</v>
      </c>
      <c r="T73" s="6">
        <v>1</v>
      </c>
      <c r="U73" s="6">
        <v>3</v>
      </c>
      <c r="V73" s="5">
        <f t="shared" si="33"/>
        <v>147</v>
      </c>
    </row>
    <row r="74" spans="1:22" ht="13.15" customHeight="1" x14ac:dyDescent="0.4">
      <c r="A74" s="7"/>
      <c r="B74" s="46"/>
      <c r="C74" s="24" t="s">
        <v>125</v>
      </c>
      <c r="D74" s="45"/>
      <c r="E74" s="6">
        <v>3</v>
      </c>
      <c r="F74" s="6">
        <v>3</v>
      </c>
      <c r="G74" s="6">
        <v>3</v>
      </c>
      <c r="H74" s="6">
        <v>1</v>
      </c>
      <c r="I74" s="6">
        <v>3</v>
      </c>
      <c r="J74" s="6">
        <v>1</v>
      </c>
      <c r="K74" s="6">
        <v>1</v>
      </c>
      <c r="L74" s="6">
        <v>11</v>
      </c>
      <c r="M74" s="6">
        <v>3</v>
      </c>
      <c r="N74" s="6">
        <v>1</v>
      </c>
      <c r="O74" s="6">
        <v>1</v>
      </c>
      <c r="P74" s="6">
        <v>0</v>
      </c>
      <c r="Q74" s="6">
        <v>0</v>
      </c>
      <c r="R74" s="6">
        <v>0</v>
      </c>
      <c r="S74" s="6">
        <v>0</v>
      </c>
      <c r="T74" s="6"/>
      <c r="U74" s="6">
        <v>3</v>
      </c>
      <c r="V74" s="5">
        <f t="shared" si="33"/>
        <v>34</v>
      </c>
    </row>
    <row r="75" spans="1:22" x14ac:dyDescent="0.4">
      <c r="A75" s="7"/>
      <c r="B75" s="46"/>
      <c r="C75" s="24" t="s">
        <v>126</v>
      </c>
      <c r="D75" s="45"/>
      <c r="E75" s="6">
        <v>1</v>
      </c>
      <c r="F75" s="6">
        <v>1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/>
      <c r="U75" s="6"/>
      <c r="V75" s="5">
        <f t="shared" si="33"/>
        <v>4</v>
      </c>
    </row>
    <row r="76" spans="1:22" x14ac:dyDescent="0.4">
      <c r="A76" s="7"/>
      <c r="B76" s="46"/>
      <c r="C76" s="24" t="s">
        <v>127</v>
      </c>
      <c r="D76" s="45"/>
      <c r="E76" s="6">
        <v>0</v>
      </c>
      <c r="F76" s="6">
        <v>1</v>
      </c>
      <c r="G76" s="6">
        <v>0</v>
      </c>
      <c r="H76" s="6">
        <v>1</v>
      </c>
      <c r="I76" s="6">
        <v>0</v>
      </c>
      <c r="J76" s="6">
        <v>4</v>
      </c>
      <c r="K76" s="6">
        <v>0</v>
      </c>
      <c r="L76" s="6">
        <v>1</v>
      </c>
      <c r="M76" s="6">
        <v>1</v>
      </c>
      <c r="N76" s="6">
        <v>0</v>
      </c>
      <c r="O76" s="6">
        <v>1</v>
      </c>
      <c r="P76" s="6">
        <v>0</v>
      </c>
      <c r="Q76" s="6">
        <v>1</v>
      </c>
      <c r="R76" s="6">
        <v>0</v>
      </c>
      <c r="S76" s="6">
        <v>1</v>
      </c>
      <c r="T76" s="6"/>
      <c r="U76" s="6">
        <v>1</v>
      </c>
      <c r="V76" s="5">
        <f t="shared" si="33"/>
        <v>12</v>
      </c>
    </row>
    <row r="77" spans="1:22" x14ac:dyDescent="0.4">
      <c r="A77" s="7"/>
      <c r="B77" s="46"/>
      <c r="C77" s="24" t="s">
        <v>128</v>
      </c>
      <c r="D77" s="45"/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3</v>
      </c>
      <c r="R77" s="6">
        <v>0</v>
      </c>
      <c r="S77" s="6">
        <v>0</v>
      </c>
      <c r="T77" s="6"/>
      <c r="U77" s="6"/>
      <c r="V77" s="5">
        <f t="shared" si="33"/>
        <v>5</v>
      </c>
    </row>
    <row r="78" spans="1:22" x14ac:dyDescent="0.4">
      <c r="A78" s="7"/>
      <c r="B78" s="46"/>
      <c r="C78" s="24" t="s">
        <v>129</v>
      </c>
      <c r="D78" s="45"/>
      <c r="E78" s="6">
        <v>1</v>
      </c>
      <c r="F78" s="6">
        <v>3</v>
      </c>
      <c r="G78" s="6">
        <v>0</v>
      </c>
      <c r="H78" s="6">
        <v>1</v>
      </c>
      <c r="I78" s="6">
        <v>0</v>
      </c>
      <c r="J78" s="6">
        <v>1</v>
      </c>
      <c r="K78" s="6">
        <v>1</v>
      </c>
      <c r="L78" s="6">
        <v>1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/>
      <c r="U78" s="6">
        <v>1</v>
      </c>
      <c r="V78" s="5">
        <f t="shared" si="33"/>
        <v>10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34">SUM(E69:E78)</f>
        <v>45</v>
      </c>
      <c r="F79" s="5">
        <f t="shared" si="34"/>
        <v>77</v>
      </c>
      <c r="G79" s="5">
        <f t="shared" si="34"/>
        <v>28</v>
      </c>
      <c r="H79" s="5">
        <f t="shared" si="34"/>
        <v>30</v>
      </c>
      <c r="I79" s="5">
        <f t="shared" si="34"/>
        <v>20</v>
      </c>
      <c r="J79" s="5">
        <f t="shared" si="34"/>
        <v>26</v>
      </c>
      <c r="K79" s="5">
        <f t="shared" si="34"/>
        <v>27</v>
      </c>
      <c r="L79" s="5">
        <f t="shared" si="34"/>
        <v>42</v>
      </c>
      <c r="M79" s="5">
        <f t="shared" si="34"/>
        <v>60</v>
      </c>
      <c r="N79" s="5">
        <f t="shared" si="34"/>
        <v>26</v>
      </c>
      <c r="O79" s="5">
        <f t="shared" si="34"/>
        <v>7</v>
      </c>
      <c r="P79" s="5">
        <f t="shared" si="34"/>
        <v>19</v>
      </c>
      <c r="Q79" s="5">
        <f t="shared" ref="Q79:R79" si="35">SUM(Q69:Q78)</f>
        <v>21</v>
      </c>
      <c r="R79" s="5">
        <f t="shared" si="35"/>
        <v>8</v>
      </c>
      <c r="S79" s="5">
        <f t="shared" si="34"/>
        <v>4</v>
      </c>
      <c r="T79" s="5">
        <f t="shared" si="34"/>
        <v>10</v>
      </c>
      <c r="U79" s="5">
        <f t="shared" si="34"/>
        <v>24</v>
      </c>
      <c r="V79" s="5">
        <f t="shared" si="34"/>
        <v>474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33</v>
      </c>
      <c r="C81" s="50" t="s">
        <v>53</v>
      </c>
      <c r="D81" s="51"/>
      <c r="E81" s="6">
        <v>5</v>
      </c>
      <c r="F81" s="6">
        <v>1</v>
      </c>
      <c r="G81" s="6">
        <v>3</v>
      </c>
      <c r="H81" s="6">
        <v>6</v>
      </c>
      <c r="I81" s="6">
        <v>4</v>
      </c>
      <c r="J81" s="6">
        <v>3</v>
      </c>
      <c r="K81" s="6">
        <v>5</v>
      </c>
      <c r="L81" s="6">
        <v>1</v>
      </c>
      <c r="M81" s="6">
        <v>1</v>
      </c>
      <c r="N81" s="6">
        <v>8</v>
      </c>
      <c r="O81" s="6">
        <v>3</v>
      </c>
      <c r="P81" s="6">
        <v>1</v>
      </c>
      <c r="Q81" s="6">
        <v>2</v>
      </c>
      <c r="R81" s="6">
        <v>18</v>
      </c>
      <c r="S81" s="6">
        <v>9</v>
      </c>
      <c r="T81" s="6">
        <v>12</v>
      </c>
      <c r="U81" s="6">
        <v>1</v>
      </c>
      <c r="V81" s="5">
        <f t="shared" ref="V81:V90" si="36">SUM(E81:U81)</f>
        <v>83</v>
      </c>
    </row>
    <row r="82" spans="1:22" x14ac:dyDescent="0.4">
      <c r="A82" s="11" t="s">
        <v>49</v>
      </c>
      <c r="B82" s="46"/>
      <c r="C82" s="24" t="s">
        <v>130</v>
      </c>
      <c r="D82" s="45"/>
      <c r="E82" s="6">
        <v>1</v>
      </c>
      <c r="F82" s="6">
        <v>3</v>
      </c>
      <c r="G82" s="6">
        <v>0</v>
      </c>
      <c r="H82" s="6">
        <v>4</v>
      </c>
      <c r="I82" s="6">
        <v>4</v>
      </c>
      <c r="J82" s="6">
        <v>3</v>
      </c>
      <c r="K82" s="6">
        <v>7</v>
      </c>
      <c r="L82" s="6">
        <v>3</v>
      </c>
      <c r="M82" s="6">
        <v>5</v>
      </c>
      <c r="N82" s="6">
        <v>22</v>
      </c>
      <c r="O82" s="6">
        <v>5</v>
      </c>
      <c r="P82" s="6">
        <v>3</v>
      </c>
      <c r="Q82" s="6">
        <v>3</v>
      </c>
      <c r="R82" s="6">
        <v>39</v>
      </c>
      <c r="S82" s="6">
        <v>43</v>
      </c>
      <c r="T82" s="6">
        <v>31</v>
      </c>
      <c r="U82" s="6"/>
      <c r="V82" s="5">
        <f t="shared" si="36"/>
        <v>176</v>
      </c>
    </row>
    <row r="83" spans="1:22" x14ac:dyDescent="0.4">
      <c r="A83" s="7"/>
      <c r="B83" s="46"/>
      <c r="C83" s="24" t="s">
        <v>131</v>
      </c>
      <c r="D83" s="45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</v>
      </c>
      <c r="K83" s="6">
        <v>3</v>
      </c>
      <c r="L83" s="6">
        <v>0</v>
      </c>
      <c r="M83" s="6">
        <v>1</v>
      </c>
      <c r="N83" s="6">
        <v>1</v>
      </c>
      <c r="O83" s="6">
        <v>2</v>
      </c>
      <c r="P83" s="6">
        <v>1</v>
      </c>
      <c r="Q83" s="6">
        <v>2</v>
      </c>
      <c r="R83" s="6">
        <v>2</v>
      </c>
      <c r="S83" s="6">
        <v>2</v>
      </c>
      <c r="T83" s="6">
        <v>3</v>
      </c>
      <c r="U83" s="6"/>
      <c r="V83" s="5">
        <f t="shared" si="36"/>
        <v>18</v>
      </c>
    </row>
    <row r="84" spans="1:22" x14ac:dyDescent="0.4">
      <c r="A84" s="7"/>
      <c r="B84" s="46"/>
      <c r="C84" s="24" t="s">
        <v>132</v>
      </c>
      <c r="D84" s="45"/>
      <c r="E84" s="6">
        <v>0</v>
      </c>
      <c r="F84" s="6">
        <v>0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6">
        <v>1</v>
      </c>
      <c r="S84" s="6">
        <v>1</v>
      </c>
      <c r="T84" s="6"/>
      <c r="U84" s="6"/>
      <c r="V84" s="5">
        <f t="shared" si="36"/>
        <v>6</v>
      </c>
    </row>
    <row r="85" spans="1:22" ht="13.15" customHeight="1" x14ac:dyDescent="0.4">
      <c r="A85" s="7"/>
      <c r="B85" s="46"/>
      <c r="C85" s="24" t="s">
        <v>133</v>
      </c>
      <c r="D85" s="45"/>
      <c r="E85" s="6">
        <v>2</v>
      </c>
      <c r="F85" s="6">
        <v>1</v>
      </c>
      <c r="G85" s="6">
        <v>0</v>
      </c>
      <c r="H85" s="6">
        <v>1</v>
      </c>
      <c r="I85" s="6">
        <v>1</v>
      </c>
      <c r="J85" s="6">
        <v>0</v>
      </c>
      <c r="K85" s="6">
        <v>1</v>
      </c>
      <c r="L85" s="6">
        <v>1</v>
      </c>
      <c r="M85" s="6">
        <v>0</v>
      </c>
      <c r="N85" s="6">
        <v>2</v>
      </c>
      <c r="O85" s="6">
        <v>3</v>
      </c>
      <c r="P85" s="6">
        <v>1</v>
      </c>
      <c r="Q85" s="6">
        <v>1</v>
      </c>
      <c r="R85" s="6">
        <v>2</v>
      </c>
      <c r="S85" s="6">
        <v>0</v>
      </c>
      <c r="T85" s="6">
        <v>1</v>
      </c>
      <c r="U85" s="6"/>
      <c r="V85" s="5">
        <f t="shared" si="36"/>
        <v>17</v>
      </c>
    </row>
    <row r="86" spans="1:22" x14ac:dyDescent="0.4">
      <c r="A86" s="7"/>
      <c r="B86" s="46"/>
      <c r="C86" s="24" t="s">
        <v>134</v>
      </c>
      <c r="D86" s="45"/>
      <c r="E86" s="6">
        <v>0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2</v>
      </c>
      <c r="T86" s="6"/>
      <c r="U86" s="6"/>
      <c r="V86" s="5">
        <f t="shared" si="36"/>
        <v>3</v>
      </c>
    </row>
    <row r="87" spans="1:22" x14ac:dyDescent="0.4">
      <c r="A87" s="7"/>
      <c r="B87" s="46"/>
      <c r="C87" s="24" t="s">
        <v>135</v>
      </c>
      <c r="D87" s="45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/>
      <c r="U87" s="6"/>
      <c r="V87" s="5">
        <f t="shared" si="36"/>
        <v>2</v>
      </c>
    </row>
    <row r="88" spans="1:22" x14ac:dyDescent="0.4">
      <c r="A88" s="7"/>
      <c r="B88" s="46"/>
      <c r="C88" s="24" t="s">
        <v>136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/>
      <c r="U88" s="6"/>
      <c r="V88" s="5">
        <f t="shared" si="36"/>
        <v>0</v>
      </c>
    </row>
    <row r="89" spans="1:22" x14ac:dyDescent="0.4">
      <c r="A89" s="7"/>
      <c r="B89" s="46"/>
      <c r="C89" s="24" t="s">
        <v>137</v>
      </c>
      <c r="D89" s="45"/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6">
        <v>1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/>
      <c r="U89" s="6"/>
      <c r="V89" s="5">
        <f t="shared" si="36"/>
        <v>3</v>
      </c>
    </row>
    <row r="90" spans="1:22" x14ac:dyDescent="0.4">
      <c r="A90" s="7"/>
      <c r="B90" s="46"/>
      <c r="C90" s="24" t="s">
        <v>138</v>
      </c>
      <c r="D90" s="45"/>
      <c r="E90" s="6">
        <v>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/>
      <c r="U90" s="6"/>
      <c r="V90" s="5">
        <f t="shared" si="36"/>
        <v>3</v>
      </c>
    </row>
    <row r="91" spans="1:22" x14ac:dyDescent="0.4">
      <c r="A91" s="6" t="s">
        <v>25</v>
      </c>
      <c r="B91" s="52" t="s">
        <v>50</v>
      </c>
      <c r="C91" s="68"/>
      <c r="D91" s="51"/>
      <c r="E91" s="5">
        <f t="shared" ref="E91:V91" si="37">SUM(E81:E90)</f>
        <v>9</v>
      </c>
      <c r="F91" s="5">
        <f t="shared" si="37"/>
        <v>5</v>
      </c>
      <c r="G91" s="5">
        <f t="shared" si="37"/>
        <v>4</v>
      </c>
      <c r="H91" s="5">
        <f t="shared" si="37"/>
        <v>14</v>
      </c>
      <c r="I91" s="5">
        <f t="shared" si="37"/>
        <v>10</v>
      </c>
      <c r="J91" s="5">
        <f t="shared" si="37"/>
        <v>7</v>
      </c>
      <c r="K91" s="5">
        <f t="shared" si="37"/>
        <v>18</v>
      </c>
      <c r="L91" s="5">
        <f t="shared" si="37"/>
        <v>7</v>
      </c>
      <c r="M91" s="5">
        <f t="shared" si="37"/>
        <v>7</v>
      </c>
      <c r="N91" s="5">
        <f t="shared" si="37"/>
        <v>33</v>
      </c>
      <c r="O91" s="5">
        <f t="shared" si="37"/>
        <v>15</v>
      </c>
      <c r="P91" s="5">
        <f t="shared" si="37"/>
        <v>6</v>
      </c>
      <c r="Q91" s="5">
        <f t="shared" ref="Q91:R91" si="38">SUM(Q81:Q90)</f>
        <v>8</v>
      </c>
      <c r="R91" s="5">
        <f t="shared" si="38"/>
        <v>63</v>
      </c>
      <c r="S91" s="5">
        <f t="shared" si="37"/>
        <v>57</v>
      </c>
      <c r="T91" s="5">
        <f t="shared" si="37"/>
        <v>47</v>
      </c>
      <c r="U91" s="5">
        <f t="shared" si="37"/>
        <v>1</v>
      </c>
      <c r="V91" s="5">
        <f t="shared" si="37"/>
        <v>311</v>
      </c>
    </row>
    <row r="92" spans="1:22" x14ac:dyDescent="0.4">
      <c r="A92" s="69"/>
      <c r="B92" s="70"/>
      <c r="C92" s="70"/>
      <c r="D92" s="70"/>
      <c r="E92" s="70"/>
    </row>
    <row r="93" spans="1:22" x14ac:dyDescent="0.4">
      <c r="A93" s="11" t="s">
        <v>47</v>
      </c>
      <c r="B93" s="17" t="s">
        <v>54</v>
      </c>
      <c r="C93" s="50" t="s">
        <v>55</v>
      </c>
      <c r="D93" s="51"/>
      <c r="E93" s="6">
        <v>1</v>
      </c>
      <c r="F93" s="6">
        <v>3</v>
      </c>
      <c r="G93" s="6">
        <v>0</v>
      </c>
      <c r="H93" s="6">
        <v>1</v>
      </c>
      <c r="I93" s="6">
        <v>1</v>
      </c>
      <c r="J93" s="6">
        <v>0</v>
      </c>
      <c r="K93" s="6">
        <v>0</v>
      </c>
      <c r="L93" s="6">
        <v>4</v>
      </c>
      <c r="M93" s="6">
        <v>2</v>
      </c>
      <c r="N93" s="6">
        <v>2</v>
      </c>
      <c r="O93" s="6">
        <v>3</v>
      </c>
      <c r="P93" s="6">
        <v>1</v>
      </c>
      <c r="Q93" s="6">
        <v>0</v>
      </c>
      <c r="R93" s="6">
        <v>0</v>
      </c>
      <c r="S93" s="6">
        <v>0</v>
      </c>
      <c r="T93" s="6"/>
      <c r="U93" s="6">
        <v>1</v>
      </c>
      <c r="V93" s="5">
        <f t="shared" ref="V93:V102" si="39">SUM(E93:U93)</f>
        <v>19</v>
      </c>
    </row>
    <row r="94" spans="1:22" x14ac:dyDescent="0.4">
      <c r="A94" s="11" t="s">
        <v>49</v>
      </c>
      <c r="B94" s="46"/>
      <c r="C94" s="24" t="s">
        <v>139</v>
      </c>
      <c r="D94" s="47"/>
      <c r="E94" s="6">
        <v>1</v>
      </c>
      <c r="F94" s="6">
        <v>0</v>
      </c>
      <c r="G94" s="6">
        <v>0</v>
      </c>
      <c r="H94" s="6">
        <v>0</v>
      </c>
      <c r="I94" s="6">
        <v>1</v>
      </c>
      <c r="J94" s="6">
        <v>1</v>
      </c>
      <c r="K94" s="6">
        <v>0</v>
      </c>
      <c r="L94" s="6">
        <v>2</v>
      </c>
      <c r="M94" s="6">
        <v>8</v>
      </c>
      <c r="N94" s="6">
        <v>5</v>
      </c>
      <c r="O94" s="6">
        <v>3</v>
      </c>
      <c r="P94" s="6">
        <v>5</v>
      </c>
      <c r="Q94" s="6">
        <v>5</v>
      </c>
      <c r="R94" s="6">
        <v>2</v>
      </c>
      <c r="S94" s="6">
        <v>2</v>
      </c>
      <c r="T94" s="6">
        <v>1</v>
      </c>
      <c r="U94" s="6"/>
      <c r="V94" s="5">
        <f t="shared" si="39"/>
        <v>36</v>
      </c>
    </row>
    <row r="95" spans="1:22" x14ac:dyDescent="0.4">
      <c r="A95" s="7"/>
      <c r="B95" s="46"/>
      <c r="C95" s="24" t="s">
        <v>140</v>
      </c>
      <c r="D95" s="47"/>
      <c r="E95" s="6">
        <v>0</v>
      </c>
      <c r="F95" s="6">
        <v>1</v>
      </c>
      <c r="G95" s="6">
        <v>0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6">
        <v>2</v>
      </c>
      <c r="O95" s="6">
        <v>1</v>
      </c>
      <c r="P95" s="6">
        <v>1</v>
      </c>
      <c r="Q95" s="6">
        <v>1</v>
      </c>
      <c r="R95" s="6">
        <v>0</v>
      </c>
      <c r="S95" s="6">
        <v>0</v>
      </c>
      <c r="T95" s="6"/>
      <c r="U95" s="6"/>
      <c r="V95" s="5">
        <f t="shared" si="39"/>
        <v>8</v>
      </c>
    </row>
    <row r="96" spans="1:22" ht="13.15" customHeight="1" x14ac:dyDescent="0.4">
      <c r="A96" s="7"/>
      <c r="B96" s="46"/>
      <c r="C96" s="24" t="s">
        <v>141</v>
      </c>
      <c r="D96" s="47"/>
      <c r="E96" s="6">
        <v>1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1</v>
      </c>
      <c r="S96" s="6">
        <v>0</v>
      </c>
      <c r="T96" s="6"/>
      <c r="U96" s="6"/>
      <c r="V96" s="5">
        <f t="shared" si="39"/>
        <v>4</v>
      </c>
    </row>
    <row r="97" spans="1:22" x14ac:dyDescent="0.4">
      <c r="A97" s="7"/>
      <c r="B97" s="46"/>
      <c r="C97" s="24" t="s">
        <v>142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/>
      <c r="V97" s="5">
        <f t="shared" si="39"/>
        <v>1</v>
      </c>
    </row>
    <row r="98" spans="1:22" x14ac:dyDescent="0.4">
      <c r="A98" s="7"/>
      <c r="B98" s="46"/>
      <c r="C98" s="24" t="s">
        <v>143</v>
      </c>
      <c r="D98" s="45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3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/>
      <c r="V98" s="5">
        <f t="shared" si="39"/>
        <v>5</v>
      </c>
    </row>
    <row r="99" spans="1:22" x14ac:dyDescent="0.4">
      <c r="A99" s="7"/>
      <c r="B99" s="46"/>
      <c r="C99" s="24" t="s">
        <v>144</v>
      </c>
      <c r="D99" s="45"/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1</v>
      </c>
      <c r="S99" s="6">
        <v>1</v>
      </c>
      <c r="T99" s="6">
        <v>2</v>
      </c>
      <c r="U99" s="6"/>
      <c r="V99" s="5">
        <f t="shared" si="39"/>
        <v>6</v>
      </c>
    </row>
    <row r="100" spans="1:22" x14ac:dyDescent="0.4">
      <c r="A100" s="7"/>
      <c r="B100" s="46"/>
      <c r="C100" s="24" t="s">
        <v>145</v>
      </c>
      <c r="D100" s="47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6"/>
      <c r="V100" s="5">
        <f t="shared" si="39"/>
        <v>0</v>
      </c>
    </row>
    <row r="101" spans="1:22" x14ac:dyDescent="0.4">
      <c r="A101" s="7"/>
      <c r="B101" s="46"/>
      <c r="C101" s="24" t="s">
        <v>146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/>
      <c r="U101" s="6"/>
      <c r="V101" s="5">
        <f t="shared" si="39"/>
        <v>0</v>
      </c>
    </row>
    <row r="102" spans="1:22" x14ac:dyDescent="0.4">
      <c r="A102" s="7"/>
      <c r="B102" s="46"/>
      <c r="C102" s="24" t="s">
        <v>147</v>
      </c>
      <c r="D102" s="47"/>
      <c r="E102" s="6">
        <v>0</v>
      </c>
      <c r="F102" s="6">
        <v>0</v>
      </c>
      <c r="G102" s="6">
        <v>2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/>
      <c r="V102" s="5">
        <f t="shared" si="39"/>
        <v>2</v>
      </c>
    </row>
    <row r="103" spans="1:22" x14ac:dyDescent="0.4">
      <c r="A103" s="6" t="s">
        <v>25</v>
      </c>
      <c r="B103" s="52" t="s">
        <v>50</v>
      </c>
      <c r="C103" s="68"/>
      <c r="D103" s="51"/>
      <c r="E103" s="5">
        <f t="shared" ref="E103:V103" si="40">SUM(E93:E102)</f>
        <v>3</v>
      </c>
      <c r="F103" s="5">
        <f t="shared" si="40"/>
        <v>5</v>
      </c>
      <c r="G103" s="5">
        <f t="shared" si="40"/>
        <v>2</v>
      </c>
      <c r="H103" s="5">
        <f t="shared" si="40"/>
        <v>3</v>
      </c>
      <c r="I103" s="5">
        <f t="shared" si="40"/>
        <v>2</v>
      </c>
      <c r="J103" s="5">
        <f t="shared" si="40"/>
        <v>1</v>
      </c>
      <c r="K103" s="5">
        <f t="shared" si="40"/>
        <v>0</v>
      </c>
      <c r="L103" s="5">
        <f t="shared" si="40"/>
        <v>9</v>
      </c>
      <c r="M103" s="5">
        <f t="shared" si="40"/>
        <v>13</v>
      </c>
      <c r="N103" s="5">
        <f t="shared" si="40"/>
        <v>9</v>
      </c>
      <c r="O103" s="5">
        <f t="shared" si="40"/>
        <v>7</v>
      </c>
      <c r="P103" s="5">
        <f t="shared" si="40"/>
        <v>8</v>
      </c>
      <c r="Q103" s="5">
        <f t="shared" ref="Q103:R103" si="41">SUM(Q93:Q102)</f>
        <v>7</v>
      </c>
      <c r="R103" s="5">
        <f t="shared" si="41"/>
        <v>4</v>
      </c>
      <c r="S103" s="5">
        <f t="shared" si="40"/>
        <v>3</v>
      </c>
      <c r="T103" s="5">
        <f t="shared" si="40"/>
        <v>4</v>
      </c>
      <c r="U103" s="5">
        <f t="shared" si="40"/>
        <v>1</v>
      </c>
      <c r="V103" s="5">
        <f t="shared" si="40"/>
        <v>81</v>
      </c>
    </row>
    <row r="104" spans="1:22" x14ac:dyDescent="0.4">
      <c r="A104" s="69"/>
      <c r="B104" s="70"/>
      <c r="C104" s="70"/>
      <c r="D104" s="70"/>
      <c r="E104" s="7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x14ac:dyDescent="0.4">
      <c r="A105" s="11" t="s">
        <v>47</v>
      </c>
      <c r="B105" s="17" t="s">
        <v>56</v>
      </c>
      <c r="C105" s="50" t="s">
        <v>57</v>
      </c>
      <c r="D105" s="51"/>
      <c r="E105" s="6">
        <v>0</v>
      </c>
      <c r="F105" s="6">
        <v>0</v>
      </c>
      <c r="G105" s="6">
        <v>0</v>
      </c>
      <c r="H105" s="6">
        <v>2</v>
      </c>
      <c r="I105" s="6">
        <v>0</v>
      </c>
      <c r="J105" s="6">
        <v>0</v>
      </c>
      <c r="K105" s="6">
        <v>1</v>
      </c>
      <c r="L105" s="6">
        <v>1</v>
      </c>
      <c r="M105" s="6">
        <v>3</v>
      </c>
      <c r="N105" s="6">
        <v>1</v>
      </c>
      <c r="O105" s="6">
        <v>0</v>
      </c>
      <c r="P105" s="6">
        <v>0</v>
      </c>
      <c r="Q105" s="6">
        <v>2</v>
      </c>
      <c r="R105" s="6">
        <v>1</v>
      </c>
      <c r="S105" s="6">
        <v>0</v>
      </c>
      <c r="T105" s="6">
        <v>2</v>
      </c>
      <c r="U105" s="6"/>
      <c r="V105" s="5">
        <f t="shared" ref="V105:V107" si="42">SUM(E105:U105)</f>
        <v>13</v>
      </c>
    </row>
    <row r="106" spans="1:22" x14ac:dyDescent="0.4">
      <c r="A106" s="11" t="s">
        <v>49</v>
      </c>
      <c r="B106" s="46"/>
      <c r="C106" s="24" t="s">
        <v>148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1</v>
      </c>
      <c r="Q106" s="6">
        <v>0</v>
      </c>
      <c r="R106" s="6">
        <v>1</v>
      </c>
      <c r="S106" s="6">
        <v>0</v>
      </c>
      <c r="T106" s="6"/>
      <c r="U106" s="6"/>
      <c r="V106" s="5">
        <f t="shared" si="42"/>
        <v>3</v>
      </c>
    </row>
    <row r="107" spans="1:22" ht="13.15" customHeight="1" x14ac:dyDescent="0.4">
      <c r="A107" s="7"/>
      <c r="B107" s="46"/>
      <c r="C107" s="24" t="s">
        <v>149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0</v>
      </c>
      <c r="T107" s="6"/>
      <c r="U107" s="6"/>
      <c r="V107" s="5">
        <f t="shared" si="42"/>
        <v>2</v>
      </c>
    </row>
    <row r="108" spans="1:22" ht="13.15" customHeight="1" x14ac:dyDescent="0.4">
      <c r="A108" s="6" t="s">
        <v>25</v>
      </c>
      <c r="B108" s="52" t="s">
        <v>50</v>
      </c>
      <c r="C108" s="53"/>
      <c r="D108" s="54"/>
      <c r="E108" s="5">
        <f t="shared" ref="E108:V108" si="43">SUM(E105:E107)</f>
        <v>0</v>
      </c>
      <c r="F108" s="5">
        <f t="shared" si="43"/>
        <v>0</v>
      </c>
      <c r="G108" s="5">
        <f t="shared" si="43"/>
        <v>0</v>
      </c>
      <c r="H108" s="5">
        <f t="shared" si="43"/>
        <v>2</v>
      </c>
      <c r="I108" s="5">
        <f t="shared" si="43"/>
        <v>1</v>
      </c>
      <c r="J108" s="5">
        <f t="shared" si="43"/>
        <v>0</v>
      </c>
      <c r="K108" s="5">
        <f t="shared" si="43"/>
        <v>1</v>
      </c>
      <c r="L108" s="5">
        <f t="shared" si="43"/>
        <v>1</v>
      </c>
      <c r="M108" s="5">
        <f t="shared" si="43"/>
        <v>3</v>
      </c>
      <c r="N108" s="5">
        <f t="shared" si="43"/>
        <v>2</v>
      </c>
      <c r="O108" s="5">
        <f t="shared" si="43"/>
        <v>0</v>
      </c>
      <c r="P108" s="5">
        <f t="shared" si="43"/>
        <v>1</v>
      </c>
      <c r="Q108" s="5">
        <f t="shared" si="43"/>
        <v>3</v>
      </c>
      <c r="R108" s="5">
        <f t="shared" si="43"/>
        <v>2</v>
      </c>
      <c r="S108" s="5">
        <f t="shared" si="43"/>
        <v>0</v>
      </c>
      <c r="T108" s="5">
        <f t="shared" si="43"/>
        <v>2</v>
      </c>
      <c r="U108" s="5">
        <f t="shared" si="43"/>
        <v>0</v>
      </c>
      <c r="V108" s="5">
        <f t="shared" si="43"/>
        <v>18</v>
      </c>
    </row>
    <row r="109" spans="1:22" x14ac:dyDescent="0.4">
      <c r="A109" s="55"/>
      <c r="B109" s="56"/>
      <c r="C109" s="56"/>
      <c r="D109" s="56"/>
      <c r="E109" s="5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5"/>
    </row>
    <row r="110" spans="1:22" x14ac:dyDescent="0.4">
      <c r="A110" s="11" t="s">
        <v>47</v>
      </c>
      <c r="B110" s="17" t="s">
        <v>58</v>
      </c>
      <c r="C110" s="50" t="s">
        <v>59</v>
      </c>
      <c r="D110" s="51"/>
      <c r="E110" s="6">
        <v>0</v>
      </c>
      <c r="F110" s="6">
        <v>1</v>
      </c>
      <c r="G110" s="6">
        <v>0</v>
      </c>
      <c r="H110" s="6">
        <v>1</v>
      </c>
      <c r="I110" s="6">
        <v>0</v>
      </c>
      <c r="J110" s="6">
        <v>1</v>
      </c>
      <c r="K110" s="6">
        <v>0</v>
      </c>
      <c r="L110" s="6">
        <v>1</v>
      </c>
      <c r="M110" s="6">
        <v>0</v>
      </c>
      <c r="N110" s="6">
        <v>1</v>
      </c>
      <c r="O110" s="6">
        <v>0</v>
      </c>
      <c r="P110" s="6">
        <v>1</v>
      </c>
      <c r="Q110" s="6">
        <v>0</v>
      </c>
      <c r="R110" s="6">
        <v>0</v>
      </c>
      <c r="S110" s="6">
        <v>1</v>
      </c>
      <c r="T110" s="6"/>
      <c r="U110" s="6">
        <v>1</v>
      </c>
      <c r="V110" s="5">
        <f t="shared" ref="V110:V115" si="44">SUM(E110:U110)</f>
        <v>8</v>
      </c>
    </row>
    <row r="111" spans="1:22" x14ac:dyDescent="0.4">
      <c r="A111" s="11" t="s">
        <v>49</v>
      </c>
      <c r="B111" s="46"/>
      <c r="C111" s="24" t="s">
        <v>150</v>
      </c>
      <c r="D111" s="45"/>
      <c r="E111" s="6">
        <v>1</v>
      </c>
      <c r="F111" s="6">
        <v>0</v>
      </c>
      <c r="G111" s="6">
        <v>0</v>
      </c>
      <c r="H111" s="6">
        <v>0</v>
      </c>
      <c r="I111" s="6">
        <v>0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1</v>
      </c>
      <c r="S111" s="6">
        <v>0</v>
      </c>
      <c r="T111" s="6"/>
      <c r="U111" s="6"/>
      <c r="V111" s="5">
        <f t="shared" si="44"/>
        <v>4</v>
      </c>
    </row>
    <row r="112" spans="1:22" x14ac:dyDescent="0.4">
      <c r="A112" s="7"/>
      <c r="B112" s="46"/>
      <c r="C112" s="24" t="s">
        <v>151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44"/>
        <v>0</v>
      </c>
    </row>
    <row r="113" spans="1:22" x14ac:dyDescent="0.4">
      <c r="A113" s="7"/>
      <c r="B113" s="46"/>
      <c r="C113" s="24" t="s">
        <v>152</v>
      </c>
      <c r="D113" s="45"/>
      <c r="E113" s="6">
        <v>0</v>
      </c>
      <c r="F113" s="6">
        <v>0</v>
      </c>
      <c r="G113" s="6">
        <v>1</v>
      </c>
      <c r="H113" s="6">
        <v>0</v>
      </c>
      <c r="I113" s="6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6"/>
      <c r="V113" s="5">
        <f t="shared" si="44"/>
        <v>2</v>
      </c>
    </row>
    <row r="114" spans="1:22" x14ac:dyDescent="0.4">
      <c r="A114" s="7"/>
      <c r="B114" s="46"/>
      <c r="C114" s="24" t="s">
        <v>153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/>
      <c r="U114" s="6"/>
      <c r="V114" s="5">
        <f t="shared" si="44"/>
        <v>1</v>
      </c>
    </row>
    <row r="115" spans="1:22" x14ac:dyDescent="0.4">
      <c r="A115" s="7"/>
      <c r="B115" s="46"/>
      <c r="C115" s="24" t="s">
        <v>154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6"/>
      <c r="V115" s="5">
        <f t="shared" si="44"/>
        <v>0</v>
      </c>
    </row>
    <row r="116" spans="1:22" x14ac:dyDescent="0.4">
      <c r="A116" s="6" t="s">
        <v>25</v>
      </c>
      <c r="B116" s="52" t="s">
        <v>50</v>
      </c>
      <c r="C116" s="53"/>
      <c r="D116" s="54"/>
      <c r="E116" s="5">
        <f t="shared" ref="E116:V116" si="45">SUM(E110:E115)</f>
        <v>1</v>
      </c>
      <c r="F116" s="5">
        <f t="shared" si="45"/>
        <v>1</v>
      </c>
      <c r="G116" s="5">
        <f t="shared" si="45"/>
        <v>1</v>
      </c>
      <c r="H116" s="5">
        <f t="shared" si="45"/>
        <v>1</v>
      </c>
      <c r="I116" s="5">
        <f t="shared" si="45"/>
        <v>1</v>
      </c>
      <c r="J116" s="5">
        <f t="shared" si="45"/>
        <v>2</v>
      </c>
      <c r="K116" s="5">
        <f t="shared" si="45"/>
        <v>0</v>
      </c>
      <c r="L116" s="5">
        <f t="shared" si="45"/>
        <v>2</v>
      </c>
      <c r="M116" s="5">
        <f t="shared" si="45"/>
        <v>0</v>
      </c>
      <c r="N116" s="5">
        <f t="shared" si="45"/>
        <v>1</v>
      </c>
      <c r="O116" s="5">
        <f t="shared" si="45"/>
        <v>0</v>
      </c>
      <c r="P116" s="5">
        <f t="shared" si="45"/>
        <v>2</v>
      </c>
      <c r="Q116" s="5">
        <f t="shared" si="45"/>
        <v>0</v>
      </c>
      <c r="R116" s="5">
        <f t="shared" si="45"/>
        <v>1</v>
      </c>
      <c r="S116" s="5">
        <f t="shared" si="45"/>
        <v>1</v>
      </c>
      <c r="T116" s="5">
        <f t="shared" si="45"/>
        <v>0</v>
      </c>
      <c r="U116" s="5">
        <f t="shared" si="45"/>
        <v>1</v>
      </c>
      <c r="V116" s="5">
        <f t="shared" si="45"/>
        <v>15</v>
      </c>
    </row>
    <row r="117" spans="1:22" x14ac:dyDescent="0.4">
      <c r="A117" s="55"/>
      <c r="B117" s="56"/>
      <c r="C117" s="56"/>
      <c r="D117" s="56"/>
      <c r="E117" s="5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 x14ac:dyDescent="0.4">
      <c r="A118" s="11" t="s">
        <v>47</v>
      </c>
      <c r="B118" s="17" t="s">
        <v>60</v>
      </c>
      <c r="C118" s="50" t="s">
        <v>61</v>
      </c>
      <c r="D118" s="51"/>
      <c r="E118" s="6">
        <v>1</v>
      </c>
      <c r="F118" s="6">
        <v>1</v>
      </c>
      <c r="G118" s="6">
        <v>0</v>
      </c>
      <c r="H118" s="6">
        <v>2</v>
      </c>
      <c r="I118" s="6">
        <v>0</v>
      </c>
      <c r="J118" s="6">
        <v>4</v>
      </c>
      <c r="K118" s="6">
        <v>0</v>
      </c>
      <c r="L118" s="6">
        <v>1</v>
      </c>
      <c r="M118" s="6">
        <v>0</v>
      </c>
      <c r="N118" s="6">
        <v>1</v>
      </c>
      <c r="O118" s="6">
        <v>2</v>
      </c>
      <c r="P118" s="6">
        <v>1</v>
      </c>
      <c r="Q118" s="6">
        <v>1</v>
      </c>
      <c r="R118" s="6">
        <v>0</v>
      </c>
      <c r="S118" s="6">
        <v>1</v>
      </c>
      <c r="T118" s="6"/>
      <c r="U118" s="6">
        <v>2</v>
      </c>
      <c r="V118" s="5">
        <f t="shared" ref="V118:V127" si="46">SUM(E118:U118)</f>
        <v>17</v>
      </c>
    </row>
    <row r="119" spans="1:22" ht="13.15" customHeight="1" x14ac:dyDescent="0.4">
      <c r="A119" s="11" t="s">
        <v>49</v>
      </c>
      <c r="B119" s="46"/>
      <c r="C119" s="24" t="s">
        <v>155</v>
      </c>
      <c r="D119" s="45"/>
      <c r="E119" s="6">
        <v>0</v>
      </c>
      <c r="F119" s="6">
        <v>0</v>
      </c>
      <c r="G119" s="6">
        <v>3</v>
      </c>
      <c r="H119" s="6">
        <v>0</v>
      </c>
      <c r="I119" s="6">
        <v>0</v>
      </c>
      <c r="J119" s="6">
        <v>10</v>
      </c>
      <c r="K119" s="6">
        <v>8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1</v>
      </c>
      <c r="U119" s="6"/>
      <c r="V119" s="5">
        <f t="shared" si="46"/>
        <v>23</v>
      </c>
    </row>
    <row r="120" spans="1:22" x14ac:dyDescent="0.4">
      <c r="A120" s="7"/>
      <c r="B120" s="46"/>
      <c r="C120" s="24" t="s">
        <v>156</v>
      </c>
      <c r="D120" s="45"/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/>
      <c r="U120" s="6"/>
      <c r="V120" s="5">
        <f t="shared" si="46"/>
        <v>3</v>
      </c>
    </row>
    <row r="121" spans="1:22" x14ac:dyDescent="0.4">
      <c r="A121" s="7"/>
      <c r="B121" s="46"/>
      <c r="C121" s="24" t="s">
        <v>157</v>
      </c>
      <c r="D121" s="45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/>
      <c r="V121" s="5">
        <f t="shared" si="46"/>
        <v>1</v>
      </c>
    </row>
    <row r="122" spans="1:22" x14ac:dyDescent="0.4">
      <c r="A122" s="7"/>
      <c r="B122" s="46"/>
      <c r="C122" s="24" t="s">
        <v>158</v>
      </c>
      <c r="D122" s="45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/>
      <c r="U122" s="6"/>
      <c r="V122" s="5">
        <f t="shared" si="46"/>
        <v>0</v>
      </c>
    </row>
    <row r="123" spans="1:22" x14ac:dyDescent="0.4">
      <c r="A123" s="7"/>
      <c r="B123" s="46"/>
      <c r="C123" s="24" t="s">
        <v>159</v>
      </c>
      <c r="D123" s="45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1</v>
      </c>
      <c r="P123" s="6">
        <v>0</v>
      </c>
      <c r="Q123" s="6">
        <v>0</v>
      </c>
      <c r="R123" s="6">
        <v>0</v>
      </c>
      <c r="S123" s="6">
        <v>0</v>
      </c>
      <c r="T123" s="6"/>
      <c r="U123" s="6"/>
      <c r="V123" s="5">
        <f t="shared" si="46"/>
        <v>1</v>
      </c>
    </row>
    <row r="124" spans="1:22" x14ac:dyDescent="0.4">
      <c r="A124" s="7"/>
      <c r="B124" s="46"/>
      <c r="C124" s="24" t="s">
        <v>160</v>
      </c>
      <c r="D124" s="45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/>
      <c r="U124" s="6"/>
      <c r="V124" s="5">
        <f t="shared" si="46"/>
        <v>0</v>
      </c>
    </row>
    <row r="125" spans="1:22" x14ac:dyDescent="0.4">
      <c r="A125" s="7"/>
      <c r="B125" s="46"/>
      <c r="C125" s="24" t="s">
        <v>161</v>
      </c>
      <c r="D125" s="45"/>
      <c r="E125" s="6">
        <v>0</v>
      </c>
      <c r="F125" s="6">
        <v>0</v>
      </c>
      <c r="G125" s="6">
        <v>0</v>
      </c>
      <c r="H125" s="6">
        <v>0</v>
      </c>
      <c r="I125" s="6">
        <v>2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/>
      <c r="U125" s="6"/>
      <c r="V125" s="5">
        <f t="shared" si="46"/>
        <v>2</v>
      </c>
    </row>
    <row r="126" spans="1:22" x14ac:dyDescent="0.4">
      <c r="A126" s="7"/>
      <c r="B126" s="46"/>
      <c r="C126" s="24" t="s">
        <v>162</v>
      </c>
      <c r="D126" s="45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/>
      <c r="U126" s="6"/>
      <c r="V126" s="5">
        <f t="shared" si="46"/>
        <v>0</v>
      </c>
    </row>
    <row r="127" spans="1:22" x14ac:dyDescent="0.4">
      <c r="A127" s="7"/>
      <c r="B127" s="46"/>
      <c r="C127" s="24" t="s">
        <v>163</v>
      </c>
      <c r="D127" s="45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1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/>
      <c r="U127" s="6"/>
      <c r="V127" s="5">
        <f t="shared" si="46"/>
        <v>1</v>
      </c>
    </row>
    <row r="128" spans="1:22" x14ac:dyDescent="0.4">
      <c r="A128" s="6" t="s">
        <v>25</v>
      </c>
      <c r="B128" s="52" t="s">
        <v>50</v>
      </c>
      <c r="C128" s="53"/>
      <c r="D128" s="54"/>
      <c r="E128" s="5">
        <f t="shared" ref="E128:V128" si="47">SUM(E118:E127)</f>
        <v>1</v>
      </c>
      <c r="F128" s="5">
        <f t="shared" si="47"/>
        <v>3</v>
      </c>
      <c r="G128" s="5">
        <f t="shared" si="47"/>
        <v>3</v>
      </c>
      <c r="H128" s="5">
        <f t="shared" si="47"/>
        <v>2</v>
      </c>
      <c r="I128" s="5">
        <f t="shared" si="47"/>
        <v>2</v>
      </c>
      <c r="J128" s="5">
        <f t="shared" si="47"/>
        <v>16</v>
      </c>
      <c r="K128" s="5">
        <f t="shared" si="47"/>
        <v>8</v>
      </c>
      <c r="L128" s="5">
        <f t="shared" si="47"/>
        <v>1</v>
      </c>
      <c r="M128" s="5">
        <f t="shared" si="47"/>
        <v>0</v>
      </c>
      <c r="N128" s="5">
        <f t="shared" si="47"/>
        <v>1</v>
      </c>
      <c r="O128" s="5">
        <f t="shared" si="47"/>
        <v>3</v>
      </c>
      <c r="P128" s="5">
        <f t="shared" si="47"/>
        <v>1</v>
      </c>
      <c r="Q128" s="5">
        <f t="shared" ref="Q128:R128" si="48">SUM(Q118:Q127)</f>
        <v>2</v>
      </c>
      <c r="R128" s="5">
        <f t="shared" si="48"/>
        <v>1</v>
      </c>
      <c r="S128" s="5">
        <f t="shared" si="47"/>
        <v>1</v>
      </c>
      <c r="T128" s="5">
        <f t="shared" si="47"/>
        <v>1</v>
      </c>
      <c r="U128" s="5">
        <f t="shared" si="47"/>
        <v>2</v>
      </c>
      <c r="V128" s="5">
        <f t="shared" si="47"/>
        <v>48</v>
      </c>
    </row>
    <row r="129" spans="1:22" x14ac:dyDescent="0.4">
      <c r="A129" s="55"/>
      <c r="B129" s="56"/>
      <c r="C129" s="56"/>
      <c r="D129" s="56"/>
      <c r="E129" s="5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3.15" customHeight="1" x14ac:dyDescent="0.4">
      <c r="A130" s="11" t="s">
        <v>47</v>
      </c>
      <c r="B130" s="17" t="s">
        <v>62</v>
      </c>
      <c r="C130" s="50" t="s">
        <v>63</v>
      </c>
      <c r="D130" s="5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5">
        <f t="shared" ref="V130:V133" si="49">SUM(E130:U130)</f>
        <v>0</v>
      </c>
    </row>
    <row r="131" spans="1:22" x14ac:dyDescent="0.4">
      <c r="A131" s="11" t="s">
        <v>49</v>
      </c>
      <c r="B131" s="46"/>
      <c r="C131" s="24" t="s">
        <v>164</v>
      </c>
      <c r="D131" s="4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5">
        <f t="shared" si="49"/>
        <v>0</v>
      </c>
    </row>
    <row r="132" spans="1:22" x14ac:dyDescent="0.4">
      <c r="A132" s="7"/>
      <c r="B132" s="46"/>
      <c r="C132" s="24" t="s">
        <v>165</v>
      </c>
      <c r="D132" s="4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5">
        <f t="shared" si="49"/>
        <v>0</v>
      </c>
    </row>
    <row r="133" spans="1:22" x14ac:dyDescent="0.4">
      <c r="A133" s="7"/>
      <c r="B133" s="46"/>
      <c r="C133" s="24" t="s">
        <v>166</v>
      </c>
      <c r="D133" s="4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5">
        <f t="shared" si="49"/>
        <v>0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0">SUM(E130:E133)</f>
        <v>0</v>
      </c>
      <c r="F134" s="5">
        <f t="shared" si="50"/>
        <v>0</v>
      </c>
      <c r="G134" s="5">
        <f t="shared" si="50"/>
        <v>0</v>
      </c>
      <c r="H134" s="5">
        <f t="shared" si="50"/>
        <v>0</v>
      </c>
      <c r="I134" s="5">
        <f t="shared" si="50"/>
        <v>0</v>
      </c>
      <c r="J134" s="5">
        <f t="shared" si="50"/>
        <v>0</v>
      </c>
      <c r="K134" s="5">
        <f t="shared" si="50"/>
        <v>0</v>
      </c>
      <c r="L134" s="5">
        <f t="shared" si="50"/>
        <v>0</v>
      </c>
      <c r="M134" s="5">
        <f t="shared" si="50"/>
        <v>0</v>
      </c>
      <c r="N134" s="5">
        <f t="shared" si="50"/>
        <v>0</v>
      </c>
      <c r="O134" s="5">
        <f t="shared" si="50"/>
        <v>0</v>
      </c>
      <c r="P134" s="5">
        <f t="shared" si="50"/>
        <v>0</v>
      </c>
      <c r="Q134" s="5">
        <f t="shared" si="50"/>
        <v>0</v>
      </c>
      <c r="R134" s="5">
        <f t="shared" si="50"/>
        <v>0</v>
      </c>
      <c r="S134" s="5">
        <f t="shared" si="50"/>
        <v>0</v>
      </c>
      <c r="T134" s="5">
        <f t="shared" si="50"/>
        <v>0</v>
      </c>
      <c r="U134" s="5">
        <f t="shared" si="50"/>
        <v>0</v>
      </c>
      <c r="V134" s="5">
        <f t="shared" si="50"/>
        <v>0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5"/>
    </row>
    <row r="136" spans="1:22" x14ac:dyDescent="0.4">
      <c r="A136" s="11" t="s">
        <v>47</v>
      </c>
      <c r="B136" s="44" t="s">
        <v>64</v>
      </c>
      <c r="C136" s="63" t="s">
        <v>65</v>
      </c>
      <c r="D136" s="64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2</v>
      </c>
      <c r="R136" s="6">
        <v>0</v>
      </c>
      <c r="S136" s="6">
        <v>0</v>
      </c>
      <c r="T136" s="6"/>
      <c r="U136" s="6"/>
      <c r="V136" s="5">
        <f t="shared" ref="V136:V143" si="51">SUM(E136:U136)</f>
        <v>2</v>
      </c>
    </row>
    <row r="137" spans="1:22" x14ac:dyDescent="0.4">
      <c r="A137" s="48" t="s">
        <v>49</v>
      </c>
      <c r="B137" s="46"/>
      <c r="C137" s="24" t="s">
        <v>167</v>
      </c>
      <c r="D137" s="45"/>
      <c r="E137" s="49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2</v>
      </c>
      <c r="R137" s="6">
        <v>0</v>
      </c>
      <c r="S137" s="6">
        <v>0</v>
      </c>
      <c r="T137" s="6"/>
      <c r="U137" s="6"/>
      <c r="V137" s="5">
        <f t="shared" si="51"/>
        <v>3</v>
      </c>
    </row>
    <row r="138" spans="1:22" x14ac:dyDescent="0.4">
      <c r="A138" s="7"/>
      <c r="B138" s="46"/>
      <c r="C138" s="24" t="s">
        <v>168</v>
      </c>
      <c r="D138" s="45"/>
      <c r="E138" s="49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>
        <v>1</v>
      </c>
      <c r="V138" s="5">
        <f t="shared" si="51"/>
        <v>1</v>
      </c>
    </row>
    <row r="139" spans="1:22" x14ac:dyDescent="0.4">
      <c r="A139" s="7"/>
      <c r="B139" s="46"/>
      <c r="C139" s="24" t="s">
        <v>169</v>
      </c>
      <c r="D139" s="45"/>
      <c r="E139" s="49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/>
      <c r="V139" s="5">
        <f t="shared" si="51"/>
        <v>0</v>
      </c>
    </row>
    <row r="140" spans="1:22" x14ac:dyDescent="0.4">
      <c r="A140" s="7"/>
      <c r="B140" s="46"/>
      <c r="C140" s="24" t="s">
        <v>170</v>
      </c>
      <c r="D140" s="45"/>
      <c r="E140" s="49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/>
      <c r="V140" s="5">
        <f t="shared" si="51"/>
        <v>0</v>
      </c>
    </row>
    <row r="141" spans="1:22" x14ac:dyDescent="0.4">
      <c r="A141" s="7"/>
      <c r="B141" s="46"/>
      <c r="C141" s="24" t="s">
        <v>171</v>
      </c>
      <c r="D141" s="45"/>
      <c r="E141" s="49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5">
        <f t="shared" si="51"/>
        <v>0</v>
      </c>
    </row>
    <row r="142" spans="1:22" x14ac:dyDescent="0.4">
      <c r="A142" s="7"/>
      <c r="B142" s="46"/>
      <c r="C142" s="24" t="s">
        <v>172</v>
      </c>
      <c r="D142" s="45"/>
      <c r="E142" s="49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/>
      <c r="V142" s="5">
        <f t="shared" si="51"/>
        <v>0</v>
      </c>
    </row>
    <row r="143" spans="1:22" x14ac:dyDescent="0.4">
      <c r="A143" s="7"/>
      <c r="B143" s="46"/>
      <c r="C143" s="24" t="s">
        <v>173</v>
      </c>
      <c r="D143" s="45"/>
      <c r="E143" s="49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5">
        <f t="shared" si="51"/>
        <v>0</v>
      </c>
    </row>
    <row r="144" spans="1:22" x14ac:dyDescent="0.4">
      <c r="A144" s="6" t="s">
        <v>25</v>
      </c>
      <c r="B144" s="65" t="s">
        <v>50</v>
      </c>
      <c r="C144" s="66"/>
      <c r="D144" s="67"/>
      <c r="E144" s="5">
        <f t="shared" ref="E144:V144" si="52">SUM(E136:E143)</f>
        <v>0</v>
      </c>
      <c r="F144" s="5">
        <f t="shared" si="52"/>
        <v>0</v>
      </c>
      <c r="G144" s="5">
        <f t="shared" si="52"/>
        <v>0</v>
      </c>
      <c r="H144" s="5">
        <f t="shared" si="52"/>
        <v>1</v>
      </c>
      <c r="I144" s="5">
        <f t="shared" si="52"/>
        <v>0</v>
      </c>
      <c r="J144" s="5">
        <f t="shared" si="52"/>
        <v>0</v>
      </c>
      <c r="K144" s="5">
        <f t="shared" si="52"/>
        <v>0</v>
      </c>
      <c r="L144" s="5">
        <f t="shared" si="52"/>
        <v>0</v>
      </c>
      <c r="M144" s="5">
        <f t="shared" si="52"/>
        <v>0</v>
      </c>
      <c r="N144" s="5">
        <f t="shared" si="52"/>
        <v>0</v>
      </c>
      <c r="O144" s="5">
        <f t="shared" si="52"/>
        <v>0</v>
      </c>
      <c r="P144" s="5">
        <f t="shared" si="52"/>
        <v>0</v>
      </c>
      <c r="Q144" s="5">
        <f t="shared" si="52"/>
        <v>4</v>
      </c>
      <c r="R144" s="5">
        <f t="shared" si="52"/>
        <v>0</v>
      </c>
      <c r="S144" s="5">
        <f t="shared" si="52"/>
        <v>0</v>
      </c>
      <c r="T144" s="5">
        <f t="shared" si="52"/>
        <v>0</v>
      </c>
      <c r="U144" s="5">
        <f t="shared" si="52"/>
        <v>1</v>
      </c>
      <c r="V144" s="5">
        <f t="shared" si="52"/>
        <v>6</v>
      </c>
    </row>
    <row r="145" spans="1:22" x14ac:dyDescent="0.4">
      <c r="A145" s="55"/>
      <c r="B145" s="56"/>
      <c r="C145" s="56"/>
      <c r="D145" s="56"/>
      <c r="E145" s="5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ht="13.15" customHeight="1" x14ac:dyDescent="0.4">
      <c r="A146" s="11" t="s">
        <v>47</v>
      </c>
      <c r="B146" s="17" t="s">
        <v>66</v>
      </c>
      <c r="C146" s="50" t="s">
        <v>67</v>
      </c>
      <c r="D146" s="51"/>
      <c r="E146" s="6">
        <v>1</v>
      </c>
      <c r="F146" s="6">
        <v>0</v>
      </c>
      <c r="G146" s="6">
        <v>0</v>
      </c>
      <c r="H146" s="6">
        <v>0</v>
      </c>
      <c r="I146" s="6">
        <v>1</v>
      </c>
      <c r="J146" s="6">
        <v>0</v>
      </c>
      <c r="K146" s="6">
        <v>0</v>
      </c>
      <c r="L146" s="6">
        <v>2</v>
      </c>
      <c r="M146" s="6">
        <v>0</v>
      </c>
      <c r="N146" s="6">
        <v>1</v>
      </c>
      <c r="O146" s="6">
        <v>0</v>
      </c>
      <c r="P146" s="6">
        <v>0</v>
      </c>
      <c r="Q146" s="6">
        <v>1</v>
      </c>
      <c r="R146" s="6">
        <v>1</v>
      </c>
      <c r="S146" s="6">
        <v>0</v>
      </c>
      <c r="T146" s="6"/>
      <c r="U146" s="6"/>
      <c r="V146" s="5">
        <f t="shared" ref="V146:V147" si="53">SUM(E146:U146)</f>
        <v>7</v>
      </c>
    </row>
    <row r="147" spans="1:22" x14ac:dyDescent="0.4">
      <c r="A147" s="11" t="s">
        <v>49</v>
      </c>
      <c r="B147" s="46"/>
      <c r="C147" s="24" t="s">
        <v>174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/>
      <c r="U147" s="6"/>
      <c r="V147" s="5">
        <f t="shared" si="53"/>
        <v>1</v>
      </c>
    </row>
    <row r="148" spans="1:22" x14ac:dyDescent="0.4">
      <c r="A148" s="6" t="s">
        <v>25</v>
      </c>
      <c r="B148" s="52" t="s">
        <v>50</v>
      </c>
      <c r="C148" s="53"/>
      <c r="D148" s="54"/>
      <c r="E148" s="5">
        <f t="shared" ref="E148:V148" si="54">SUM(E146:E147)</f>
        <v>1</v>
      </c>
      <c r="F148" s="5">
        <f t="shared" si="54"/>
        <v>0</v>
      </c>
      <c r="G148" s="5">
        <f t="shared" si="54"/>
        <v>0</v>
      </c>
      <c r="H148" s="5">
        <f t="shared" si="54"/>
        <v>0</v>
      </c>
      <c r="I148" s="5">
        <f t="shared" si="54"/>
        <v>1</v>
      </c>
      <c r="J148" s="5">
        <f t="shared" si="54"/>
        <v>1</v>
      </c>
      <c r="K148" s="5">
        <f t="shared" si="54"/>
        <v>0</v>
      </c>
      <c r="L148" s="5">
        <f t="shared" si="54"/>
        <v>2</v>
      </c>
      <c r="M148" s="5">
        <f t="shared" si="54"/>
        <v>0</v>
      </c>
      <c r="N148" s="5">
        <f t="shared" si="54"/>
        <v>1</v>
      </c>
      <c r="O148" s="5">
        <f t="shared" si="54"/>
        <v>0</v>
      </c>
      <c r="P148" s="5">
        <f t="shared" si="54"/>
        <v>0</v>
      </c>
      <c r="Q148" s="5">
        <f t="shared" si="54"/>
        <v>1</v>
      </c>
      <c r="R148" s="5">
        <f t="shared" si="54"/>
        <v>1</v>
      </c>
      <c r="S148" s="5">
        <f t="shared" si="54"/>
        <v>0</v>
      </c>
      <c r="T148" s="5">
        <f t="shared" si="54"/>
        <v>0</v>
      </c>
      <c r="U148" s="5">
        <f t="shared" si="54"/>
        <v>0</v>
      </c>
      <c r="V148" s="5">
        <f t="shared" si="54"/>
        <v>8</v>
      </c>
    </row>
    <row r="149" spans="1:22" ht="13.15" customHeight="1" x14ac:dyDescent="0.4">
      <c r="A149" s="55"/>
      <c r="B149" s="56"/>
      <c r="C149" s="56"/>
      <c r="D149" s="56"/>
      <c r="E149" s="5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x14ac:dyDescent="0.4">
      <c r="A150" s="11" t="s">
        <v>47</v>
      </c>
      <c r="B150" s="17" t="s">
        <v>68</v>
      </c>
      <c r="C150" s="50" t="s">
        <v>69</v>
      </c>
      <c r="D150" s="51"/>
      <c r="E150" s="6">
        <v>0</v>
      </c>
      <c r="F150" s="6">
        <v>1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7</v>
      </c>
      <c r="M150" s="6">
        <v>2</v>
      </c>
      <c r="N150" s="6">
        <v>0</v>
      </c>
      <c r="O150" s="6">
        <v>2</v>
      </c>
      <c r="P150" s="6">
        <v>0</v>
      </c>
      <c r="Q150" s="6">
        <v>0</v>
      </c>
      <c r="R150" s="6">
        <v>0</v>
      </c>
      <c r="S150" s="6">
        <v>0</v>
      </c>
      <c r="T150" s="6">
        <v>1</v>
      </c>
      <c r="U150" s="6">
        <v>2</v>
      </c>
      <c r="V150" s="5">
        <f t="shared" ref="V150:V159" si="55">SUM(E150:U150)</f>
        <v>16</v>
      </c>
    </row>
    <row r="151" spans="1:22" x14ac:dyDescent="0.4">
      <c r="A151" s="11" t="s">
        <v>49</v>
      </c>
      <c r="B151" s="46"/>
      <c r="C151" s="24" t="s">
        <v>175</v>
      </c>
      <c r="D151" s="45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3</v>
      </c>
      <c r="M151" s="6">
        <v>2</v>
      </c>
      <c r="N151" s="6">
        <v>1</v>
      </c>
      <c r="O151" s="6">
        <v>4</v>
      </c>
      <c r="P151" s="6">
        <v>3</v>
      </c>
      <c r="Q151" s="6">
        <v>0</v>
      </c>
      <c r="R151" s="6">
        <v>0</v>
      </c>
      <c r="S151" s="6">
        <v>1</v>
      </c>
      <c r="T151" s="6"/>
      <c r="U151" s="6"/>
      <c r="V151" s="5">
        <f t="shared" si="55"/>
        <v>14</v>
      </c>
    </row>
    <row r="152" spans="1:22" x14ac:dyDescent="0.4">
      <c r="A152" s="7"/>
      <c r="B152" s="46"/>
      <c r="C152" s="24" t="s">
        <v>176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1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/>
      <c r="U152" s="6"/>
      <c r="V152" s="5">
        <f t="shared" si="55"/>
        <v>2</v>
      </c>
    </row>
    <row r="153" spans="1:22" x14ac:dyDescent="0.4">
      <c r="A153" s="7"/>
      <c r="B153" s="46"/>
      <c r="C153" s="24" t="s">
        <v>177</v>
      </c>
      <c r="D153" s="45"/>
      <c r="E153" s="6">
        <v>2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2</v>
      </c>
      <c r="M153" s="6">
        <v>1</v>
      </c>
      <c r="N153" s="6">
        <v>0</v>
      </c>
      <c r="O153" s="6">
        <v>0</v>
      </c>
      <c r="P153" s="6">
        <v>2</v>
      </c>
      <c r="Q153" s="6">
        <v>0</v>
      </c>
      <c r="R153" s="6">
        <v>0</v>
      </c>
      <c r="S153" s="6">
        <v>0</v>
      </c>
      <c r="T153" s="6"/>
      <c r="U153" s="6"/>
      <c r="V153" s="5">
        <f t="shared" si="55"/>
        <v>8</v>
      </c>
    </row>
    <row r="154" spans="1:22" x14ac:dyDescent="0.4">
      <c r="A154" s="7"/>
      <c r="B154" s="46"/>
      <c r="C154" s="24" t="s">
        <v>178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1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/>
      <c r="U154" s="6"/>
      <c r="V154" s="5">
        <f t="shared" si="55"/>
        <v>4</v>
      </c>
    </row>
    <row r="155" spans="1:22" x14ac:dyDescent="0.4">
      <c r="A155" s="7"/>
      <c r="B155" s="46"/>
      <c r="C155" s="24" t="s">
        <v>179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/>
      <c r="U155" s="6"/>
      <c r="V155" s="5">
        <f t="shared" si="55"/>
        <v>1</v>
      </c>
    </row>
    <row r="156" spans="1:22" x14ac:dyDescent="0.4">
      <c r="A156" s="7"/>
      <c r="B156" s="46"/>
      <c r="C156" s="24" t="s">
        <v>180</v>
      </c>
      <c r="D156" s="45"/>
      <c r="E156" s="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/>
      <c r="U156" s="6"/>
      <c r="V156" s="5">
        <f t="shared" si="55"/>
        <v>2</v>
      </c>
    </row>
    <row r="157" spans="1:22" x14ac:dyDescent="0.4">
      <c r="A157" s="7"/>
      <c r="B157" s="46"/>
      <c r="C157" s="24" t="s">
        <v>181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/>
      <c r="U157" s="6"/>
      <c r="V157" s="5">
        <f t="shared" si="55"/>
        <v>2</v>
      </c>
    </row>
    <row r="158" spans="1:22" x14ac:dyDescent="0.4">
      <c r="A158" s="7"/>
      <c r="B158" s="46"/>
      <c r="C158" s="24" t="s">
        <v>182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5">
        <f t="shared" si="55"/>
        <v>0</v>
      </c>
    </row>
    <row r="159" spans="1:22" x14ac:dyDescent="0.4">
      <c r="A159" s="7"/>
      <c r="B159" s="46"/>
      <c r="C159" s="24" t="s">
        <v>183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6"/>
      <c r="V159" s="5">
        <f t="shared" si="55"/>
        <v>0</v>
      </c>
    </row>
    <row r="160" spans="1:22" ht="13.15" customHeight="1" x14ac:dyDescent="0.4">
      <c r="A160" s="6" t="s">
        <v>25</v>
      </c>
      <c r="B160" s="52" t="s">
        <v>50</v>
      </c>
      <c r="C160" s="53"/>
      <c r="D160" s="54"/>
      <c r="E160" s="5">
        <f t="shared" ref="E160:V160" si="56">SUM(E150:E159)</f>
        <v>3</v>
      </c>
      <c r="F160" s="5">
        <f t="shared" si="56"/>
        <v>2</v>
      </c>
      <c r="G160" s="5">
        <f t="shared" si="56"/>
        <v>0</v>
      </c>
      <c r="H160" s="5">
        <f t="shared" si="56"/>
        <v>1</v>
      </c>
      <c r="I160" s="5">
        <f t="shared" si="56"/>
        <v>0</v>
      </c>
      <c r="J160" s="5">
        <f t="shared" si="56"/>
        <v>1</v>
      </c>
      <c r="K160" s="5">
        <f t="shared" si="56"/>
        <v>0</v>
      </c>
      <c r="L160" s="5">
        <f t="shared" si="56"/>
        <v>14</v>
      </c>
      <c r="M160" s="5">
        <f t="shared" si="56"/>
        <v>8</v>
      </c>
      <c r="N160" s="5">
        <f t="shared" si="56"/>
        <v>4</v>
      </c>
      <c r="O160" s="5">
        <f t="shared" si="56"/>
        <v>6</v>
      </c>
      <c r="P160" s="5">
        <f t="shared" si="56"/>
        <v>5</v>
      </c>
      <c r="Q160" s="5">
        <f t="shared" ref="Q160:R160" si="57">SUM(Q150:Q159)</f>
        <v>0</v>
      </c>
      <c r="R160" s="5">
        <f t="shared" si="57"/>
        <v>1</v>
      </c>
      <c r="S160" s="5">
        <f t="shared" si="56"/>
        <v>1</v>
      </c>
      <c r="T160" s="5">
        <f t="shared" si="56"/>
        <v>1</v>
      </c>
      <c r="U160" s="5">
        <f t="shared" si="56"/>
        <v>2</v>
      </c>
      <c r="V160" s="5">
        <f t="shared" si="56"/>
        <v>49</v>
      </c>
    </row>
    <row r="161" spans="1:22" x14ac:dyDescent="0.4">
      <c r="A161" s="55"/>
      <c r="B161" s="56"/>
      <c r="C161" s="56"/>
      <c r="D161" s="56"/>
      <c r="E161" s="57"/>
      <c r="F161" s="18"/>
      <c r="G161" s="18"/>
      <c r="H161" s="18"/>
      <c r="I161" s="18"/>
      <c r="J161" s="18"/>
      <c r="K161" s="18"/>
      <c r="L161" s="18"/>
      <c r="M161" s="18"/>
      <c r="N161" s="18"/>
      <c r="V161" s="5"/>
    </row>
    <row r="162" spans="1:22" x14ac:dyDescent="0.4">
      <c r="A162" s="11" t="s">
        <v>47</v>
      </c>
      <c r="B162" s="17" t="s">
        <v>70</v>
      </c>
      <c r="C162" s="50" t="s">
        <v>71</v>
      </c>
      <c r="D162" s="51"/>
      <c r="E162" s="6">
        <v>1</v>
      </c>
      <c r="F162" s="6">
        <v>0</v>
      </c>
      <c r="G162" s="6">
        <v>3</v>
      </c>
      <c r="H162" s="6">
        <v>2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6"/>
      <c r="V162" s="5">
        <f t="shared" ref="V162:V171" si="58">SUM(E162:U162)</f>
        <v>6</v>
      </c>
    </row>
    <row r="163" spans="1:22" x14ac:dyDescent="0.4">
      <c r="A163" s="11" t="s">
        <v>49</v>
      </c>
      <c r="B163" s="46"/>
      <c r="C163" s="24" t="s">
        <v>184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1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1</v>
      </c>
      <c r="S163" s="6">
        <v>0</v>
      </c>
      <c r="T163" s="6"/>
      <c r="U163" s="6"/>
      <c r="V163" s="5">
        <f t="shared" si="58"/>
        <v>2</v>
      </c>
    </row>
    <row r="164" spans="1:22" x14ac:dyDescent="0.4">
      <c r="A164" s="7"/>
      <c r="B164" s="46"/>
      <c r="C164" s="24" t="s">
        <v>185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6"/>
      <c r="U164" s="6"/>
      <c r="V164" s="5">
        <f t="shared" si="58"/>
        <v>1</v>
      </c>
    </row>
    <row r="165" spans="1:22" x14ac:dyDescent="0.4">
      <c r="A165" s="7"/>
      <c r="B165" s="46"/>
      <c r="C165" s="24" t="s">
        <v>186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/>
      <c r="V165" s="5">
        <f t="shared" si="58"/>
        <v>0</v>
      </c>
    </row>
    <row r="166" spans="1:22" x14ac:dyDescent="0.4">
      <c r="A166" s="7"/>
      <c r="B166" s="46"/>
      <c r="C166" s="24" t="s">
        <v>187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/>
      <c r="U166" s="6"/>
      <c r="V166" s="5">
        <f t="shared" si="58"/>
        <v>0</v>
      </c>
    </row>
    <row r="167" spans="1:22" x14ac:dyDescent="0.4">
      <c r="A167" s="7"/>
      <c r="B167" s="46"/>
      <c r="C167" s="24" t="s">
        <v>188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/>
      <c r="V167" s="5">
        <f t="shared" si="58"/>
        <v>0</v>
      </c>
    </row>
    <row r="168" spans="1:22" x14ac:dyDescent="0.4">
      <c r="A168" s="7"/>
      <c r="B168" s="46"/>
      <c r="C168" s="24" t="s">
        <v>189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/>
      <c r="V168" s="5">
        <f t="shared" si="58"/>
        <v>0</v>
      </c>
    </row>
    <row r="169" spans="1:22" ht="13.15" customHeight="1" x14ac:dyDescent="0.4">
      <c r="A169" s="7"/>
      <c r="B169" s="46"/>
      <c r="C169" s="24" t="s">
        <v>190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/>
      <c r="V169" s="5">
        <f t="shared" si="58"/>
        <v>0</v>
      </c>
    </row>
    <row r="170" spans="1:22" ht="13.15" customHeight="1" x14ac:dyDescent="0.4">
      <c r="A170" s="7"/>
      <c r="B170" s="46"/>
      <c r="C170" s="24" t="s">
        <v>191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/>
      <c r="V170" s="5">
        <f t="shared" si="58"/>
        <v>0</v>
      </c>
    </row>
    <row r="171" spans="1:22" ht="13.15" customHeight="1" x14ac:dyDescent="0.4">
      <c r="A171" s="7"/>
      <c r="B171" s="46"/>
      <c r="C171" s="24" t="s">
        <v>192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/>
      <c r="U171" s="6"/>
      <c r="V171" s="5">
        <f t="shared" si="58"/>
        <v>0</v>
      </c>
    </row>
    <row r="172" spans="1:22" x14ac:dyDescent="0.4">
      <c r="A172" s="6" t="s">
        <v>25</v>
      </c>
      <c r="B172" s="52" t="s">
        <v>50</v>
      </c>
      <c r="C172" s="53"/>
      <c r="D172" s="54"/>
      <c r="E172" s="5">
        <f t="shared" ref="E172:V172" si="59">SUM(E162:E171)</f>
        <v>1</v>
      </c>
      <c r="F172" s="5">
        <f t="shared" si="59"/>
        <v>0</v>
      </c>
      <c r="G172" s="5">
        <f t="shared" si="59"/>
        <v>3</v>
      </c>
      <c r="H172" s="5">
        <f t="shared" si="59"/>
        <v>2</v>
      </c>
      <c r="I172" s="5">
        <f t="shared" si="59"/>
        <v>0</v>
      </c>
      <c r="J172" s="5">
        <f t="shared" si="59"/>
        <v>1</v>
      </c>
      <c r="K172" s="5">
        <f t="shared" si="59"/>
        <v>0</v>
      </c>
      <c r="L172" s="5">
        <f t="shared" si="59"/>
        <v>0</v>
      </c>
      <c r="M172" s="5">
        <f t="shared" si="59"/>
        <v>0</v>
      </c>
      <c r="N172" s="5">
        <f t="shared" si="59"/>
        <v>0</v>
      </c>
      <c r="O172" s="5">
        <f t="shared" si="59"/>
        <v>1</v>
      </c>
      <c r="P172" s="5">
        <f t="shared" si="59"/>
        <v>0</v>
      </c>
      <c r="Q172" s="5">
        <f t="shared" ref="Q172:R172" si="60">SUM(Q162:Q171)</f>
        <v>0</v>
      </c>
      <c r="R172" s="5">
        <f t="shared" si="60"/>
        <v>1</v>
      </c>
      <c r="S172" s="5">
        <f t="shared" si="59"/>
        <v>0</v>
      </c>
      <c r="T172" s="5">
        <f t="shared" si="59"/>
        <v>0</v>
      </c>
      <c r="U172" s="5">
        <f t="shared" si="59"/>
        <v>0</v>
      </c>
      <c r="V172" s="5">
        <f t="shared" si="59"/>
        <v>9</v>
      </c>
    </row>
    <row r="173" spans="1:22" x14ac:dyDescent="0.4">
      <c r="A173" s="55"/>
      <c r="B173" s="56"/>
      <c r="C173" s="56"/>
      <c r="D173" s="56"/>
      <c r="E173" s="5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x14ac:dyDescent="0.4">
      <c r="A174" s="11" t="s">
        <v>47</v>
      </c>
      <c r="B174" s="17" t="s">
        <v>72</v>
      </c>
      <c r="C174" s="50" t="s">
        <v>73</v>
      </c>
      <c r="D174" s="51"/>
      <c r="E174" s="6">
        <v>8</v>
      </c>
      <c r="F174" s="6">
        <v>2</v>
      </c>
      <c r="G174" s="6">
        <v>12</v>
      </c>
      <c r="H174" s="6">
        <v>7</v>
      </c>
      <c r="I174" s="6">
        <v>2</v>
      </c>
      <c r="J174" s="6">
        <v>1</v>
      </c>
      <c r="K174" s="6">
        <v>2</v>
      </c>
      <c r="L174" s="6">
        <v>1</v>
      </c>
      <c r="M174" s="6">
        <v>3</v>
      </c>
      <c r="N174" s="6">
        <v>0</v>
      </c>
      <c r="O174" s="6">
        <v>2</v>
      </c>
      <c r="P174" s="6">
        <v>2</v>
      </c>
      <c r="Q174" s="6">
        <v>8</v>
      </c>
      <c r="R174" s="6">
        <v>0</v>
      </c>
      <c r="S174" s="6">
        <v>0</v>
      </c>
      <c r="T174" s="6">
        <v>1</v>
      </c>
      <c r="U174" s="6">
        <v>1</v>
      </c>
      <c r="V174" s="5">
        <f t="shared" ref="V174:V183" si="61">SUM(E174:U174)</f>
        <v>52</v>
      </c>
    </row>
    <row r="175" spans="1:22" x14ac:dyDescent="0.4">
      <c r="A175" s="11" t="s">
        <v>49</v>
      </c>
      <c r="B175" s="46"/>
      <c r="C175" s="24" t="s">
        <v>193</v>
      </c>
      <c r="D175" s="45"/>
      <c r="E175" s="6">
        <v>3</v>
      </c>
      <c r="F175" s="6">
        <v>2</v>
      </c>
      <c r="G175" s="6">
        <v>5</v>
      </c>
      <c r="H175" s="6">
        <v>1</v>
      </c>
      <c r="I175" s="6">
        <v>4</v>
      </c>
      <c r="J175" s="6">
        <v>2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1</v>
      </c>
      <c r="Q175" s="6">
        <v>13</v>
      </c>
      <c r="R175" s="6">
        <v>2</v>
      </c>
      <c r="S175" s="6">
        <v>0</v>
      </c>
      <c r="T175" s="6">
        <v>1</v>
      </c>
      <c r="U175" s="6">
        <v>1</v>
      </c>
      <c r="V175" s="5">
        <f t="shared" si="61"/>
        <v>36</v>
      </c>
    </row>
    <row r="176" spans="1:22" x14ac:dyDescent="0.4">
      <c r="A176" s="7"/>
      <c r="B176" s="46"/>
      <c r="C176" s="24" t="s">
        <v>194</v>
      </c>
      <c r="D176" s="45"/>
      <c r="E176" s="6">
        <v>9</v>
      </c>
      <c r="F176" s="6">
        <v>5</v>
      </c>
      <c r="G176" s="6">
        <v>10</v>
      </c>
      <c r="H176" s="6">
        <v>9</v>
      </c>
      <c r="I176" s="6">
        <v>4</v>
      </c>
      <c r="J176" s="6">
        <v>0</v>
      </c>
      <c r="K176" s="6">
        <v>1</v>
      </c>
      <c r="L176" s="6">
        <v>0</v>
      </c>
      <c r="M176" s="6">
        <v>1</v>
      </c>
      <c r="N176" s="6">
        <v>1</v>
      </c>
      <c r="O176" s="6">
        <v>2</v>
      </c>
      <c r="P176" s="6">
        <v>6</v>
      </c>
      <c r="Q176" s="6">
        <v>10</v>
      </c>
      <c r="R176" s="6">
        <v>1</v>
      </c>
      <c r="S176" s="6">
        <v>3</v>
      </c>
      <c r="T176" s="6"/>
      <c r="U176" s="6">
        <v>3</v>
      </c>
      <c r="V176" s="5">
        <f t="shared" si="61"/>
        <v>65</v>
      </c>
    </row>
    <row r="177" spans="1:22" x14ac:dyDescent="0.4">
      <c r="A177" s="7"/>
      <c r="B177" s="46"/>
      <c r="C177" s="24" t="s">
        <v>195</v>
      </c>
      <c r="D177" s="45"/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1</v>
      </c>
      <c r="K177" s="6">
        <v>0</v>
      </c>
      <c r="L177" s="6">
        <v>0</v>
      </c>
      <c r="M177" s="6">
        <v>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1</v>
      </c>
      <c r="U177" s="6"/>
      <c r="V177" s="5">
        <f t="shared" si="61"/>
        <v>4</v>
      </c>
    </row>
    <row r="178" spans="1:22" x14ac:dyDescent="0.4">
      <c r="A178" s="7"/>
      <c r="B178" s="46"/>
      <c r="C178" s="24" t="s">
        <v>196</v>
      </c>
      <c r="D178" s="45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6">
        <v>0</v>
      </c>
      <c r="T178" s="6"/>
      <c r="U178" s="6"/>
      <c r="V178" s="5">
        <f t="shared" si="61"/>
        <v>1</v>
      </c>
    </row>
    <row r="179" spans="1:22" x14ac:dyDescent="0.4">
      <c r="A179" s="7"/>
      <c r="B179" s="46"/>
      <c r="C179" s="24" t="s">
        <v>197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2</v>
      </c>
      <c r="R179" s="6">
        <v>0</v>
      </c>
      <c r="S179" s="6">
        <v>0</v>
      </c>
      <c r="T179" s="6"/>
      <c r="U179" s="6"/>
      <c r="V179" s="5">
        <f t="shared" si="61"/>
        <v>3</v>
      </c>
    </row>
    <row r="180" spans="1:22" ht="13.15" customHeight="1" x14ac:dyDescent="0.4">
      <c r="A180" s="7"/>
      <c r="B180" s="46"/>
      <c r="C180" s="24" t="s">
        <v>198</v>
      </c>
      <c r="D180" s="45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1</v>
      </c>
      <c r="R180" s="6">
        <v>0</v>
      </c>
      <c r="S180" s="6">
        <v>0</v>
      </c>
      <c r="T180" s="6"/>
      <c r="U180" s="6"/>
      <c r="V180" s="5">
        <f t="shared" si="61"/>
        <v>1</v>
      </c>
    </row>
    <row r="181" spans="1:22" x14ac:dyDescent="0.4">
      <c r="A181" s="7"/>
      <c r="B181" s="46"/>
      <c r="C181" s="24" t="s">
        <v>199</v>
      </c>
      <c r="D181" s="45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2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</v>
      </c>
      <c r="U181" s="6"/>
      <c r="V181" s="5">
        <f t="shared" si="61"/>
        <v>4</v>
      </c>
    </row>
    <row r="182" spans="1:22" x14ac:dyDescent="0.4">
      <c r="A182" s="7"/>
      <c r="B182" s="46"/>
      <c r="C182" s="24" t="s">
        <v>200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6"/>
      <c r="V182" s="5">
        <f t="shared" si="61"/>
        <v>0</v>
      </c>
    </row>
    <row r="183" spans="1:22" x14ac:dyDescent="0.4">
      <c r="A183" s="7"/>
      <c r="B183" s="46"/>
      <c r="C183" s="24" t="s">
        <v>201</v>
      </c>
      <c r="D183" s="45"/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1</v>
      </c>
      <c r="R183" s="6">
        <v>0</v>
      </c>
      <c r="S183" s="6">
        <v>0</v>
      </c>
      <c r="T183" s="6"/>
      <c r="U183" s="6"/>
      <c r="V183" s="5">
        <f t="shared" si="61"/>
        <v>3</v>
      </c>
    </row>
    <row r="184" spans="1:22" x14ac:dyDescent="0.4">
      <c r="A184" s="6" t="s">
        <v>25</v>
      </c>
      <c r="B184" s="52" t="s">
        <v>50</v>
      </c>
      <c r="C184" s="53"/>
      <c r="D184" s="54"/>
      <c r="E184" s="5">
        <f t="shared" ref="E184:V184" si="62">SUM(E174:E183)</f>
        <v>20</v>
      </c>
      <c r="F184" s="5">
        <f t="shared" si="62"/>
        <v>10</v>
      </c>
      <c r="G184" s="5">
        <f t="shared" si="62"/>
        <v>28</v>
      </c>
      <c r="H184" s="5">
        <f t="shared" si="62"/>
        <v>18</v>
      </c>
      <c r="I184" s="5">
        <f t="shared" si="62"/>
        <v>10</v>
      </c>
      <c r="J184" s="5">
        <f t="shared" si="62"/>
        <v>6</v>
      </c>
      <c r="K184" s="5">
        <f t="shared" si="62"/>
        <v>3</v>
      </c>
      <c r="L184" s="5">
        <f t="shared" si="62"/>
        <v>2</v>
      </c>
      <c r="M184" s="5">
        <f t="shared" si="62"/>
        <v>5</v>
      </c>
      <c r="N184" s="5">
        <f t="shared" si="62"/>
        <v>2</v>
      </c>
      <c r="O184" s="5">
        <f t="shared" si="62"/>
        <v>5</v>
      </c>
      <c r="P184" s="5">
        <f t="shared" si="62"/>
        <v>9</v>
      </c>
      <c r="Q184" s="5">
        <f t="shared" ref="Q184:R184" si="63">SUM(Q174:Q183)</f>
        <v>36</v>
      </c>
      <c r="R184" s="5">
        <f t="shared" si="63"/>
        <v>3</v>
      </c>
      <c r="S184" s="5">
        <f t="shared" si="62"/>
        <v>3</v>
      </c>
      <c r="T184" s="5">
        <f t="shared" si="62"/>
        <v>4</v>
      </c>
      <c r="U184" s="5">
        <f t="shared" si="62"/>
        <v>5</v>
      </c>
      <c r="V184" s="5">
        <f t="shared" si="62"/>
        <v>169</v>
      </c>
    </row>
    <row r="185" spans="1:22" x14ac:dyDescent="0.4">
      <c r="A185" s="55"/>
      <c r="B185" s="56"/>
      <c r="C185" s="56"/>
      <c r="D185" s="56"/>
      <c r="E185" s="5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 x14ac:dyDescent="0.4">
      <c r="A186" s="11" t="s">
        <v>47</v>
      </c>
      <c r="B186" s="17" t="s">
        <v>74</v>
      </c>
      <c r="C186" s="50" t="s">
        <v>75</v>
      </c>
      <c r="D186" s="51"/>
      <c r="E186" s="6">
        <v>1</v>
      </c>
      <c r="F186" s="6">
        <v>0</v>
      </c>
      <c r="G186" s="6">
        <v>0</v>
      </c>
      <c r="H186" s="6">
        <v>2</v>
      </c>
      <c r="I186" s="6">
        <v>0</v>
      </c>
      <c r="J186" s="6">
        <v>1</v>
      </c>
      <c r="K186" s="6">
        <v>1</v>
      </c>
      <c r="L186" s="6">
        <v>0</v>
      </c>
      <c r="M186" s="6">
        <v>0</v>
      </c>
      <c r="N186" s="6">
        <v>1</v>
      </c>
      <c r="O186" s="6">
        <v>2</v>
      </c>
      <c r="P186" s="6">
        <v>3</v>
      </c>
      <c r="Q186" s="6">
        <v>1</v>
      </c>
      <c r="R186" s="6">
        <v>0</v>
      </c>
      <c r="S186" s="6">
        <v>1</v>
      </c>
      <c r="T186" s="6">
        <v>1</v>
      </c>
      <c r="U186" s="6"/>
      <c r="V186" s="5">
        <f t="shared" ref="V186:V189" si="64">SUM(E186:U186)</f>
        <v>14</v>
      </c>
    </row>
    <row r="187" spans="1:22" x14ac:dyDescent="0.4">
      <c r="A187" s="11" t="s">
        <v>49</v>
      </c>
      <c r="B187" s="46"/>
      <c r="C187" s="24" t="s">
        <v>202</v>
      </c>
      <c r="D187" s="45"/>
      <c r="E187" s="6">
        <v>1</v>
      </c>
      <c r="F187" s="6">
        <v>0</v>
      </c>
      <c r="G187" s="6">
        <v>0</v>
      </c>
      <c r="H187" s="6">
        <v>3</v>
      </c>
      <c r="I187" s="6">
        <v>0</v>
      </c>
      <c r="J187" s="6">
        <v>1</v>
      </c>
      <c r="K187" s="6">
        <v>0</v>
      </c>
      <c r="L187" s="6">
        <v>0</v>
      </c>
      <c r="M187" s="6">
        <v>0</v>
      </c>
      <c r="N187" s="6">
        <v>1</v>
      </c>
      <c r="O187" s="6">
        <v>1</v>
      </c>
      <c r="P187" s="6">
        <v>1</v>
      </c>
      <c r="Q187" s="6">
        <v>0</v>
      </c>
      <c r="R187" s="6">
        <v>1</v>
      </c>
      <c r="S187" s="6">
        <v>0</v>
      </c>
      <c r="T187" s="6">
        <v>1</v>
      </c>
      <c r="U187" s="6"/>
      <c r="V187" s="5">
        <f t="shared" si="64"/>
        <v>10</v>
      </c>
    </row>
    <row r="188" spans="1:22" x14ac:dyDescent="0.4">
      <c r="A188" s="7"/>
      <c r="B188" s="46"/>
      <c r="C188" s="24" t="s">
        <v>203</v>
      </c>
      <c r="D188" s="45"/>
      <c r="E188" s="6">
        <v>1</v>
      </c>
      <c r="F188" s="6">
        <v>0</v>
      </c>
      <c r="G188" s="6">
        <v>0</v>
      </c>
      <c r="H188" s="6">
        <v>2</v>
      </c>
      <c r="I188" s="6">
        <v>0</v>
      </c>
      <c r="J188" s="6">
        <v>1</v>
      </c>
      <c r="K188" s="6">
        <v>1</v>
      </c>
      <c r="L188" s="6">
        <v>2</v>
      </c>
      <c r="M188" s="6">
        <v>1</v>
      </c>
      <c r="N188" s="6">
        <v>0</v>
      </c>
      <c r="O188" s="6">
        <v>1</v>
      </c>
      <c r="P188" s="6">
        <v>0</v>
      </c>
      <c r="Q188" s="6">
        <v>0</v>
      </c>
      <c r="R188" s="6">
        <v>0</v>
      </c>
      <c r="S188" s="6">
        <v>0</v>
      </c>
      <c r="T188" s="6"/>
      <c r="U188" s="6"/>
      <c r="V188" s="5">
        <f t="shared" si="64"/>
        <v>9</v>
      </c>
    </row>
    <row r="189" spans="1:22" x14ac:dyDescent="0.4">
      <c r="A189" s="7"/>
      <c r="B189" s="46"/>
      <c r="C189" s="24" t="s">
        <v>204</v>
      </c>
      <c r="D189" s="4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/>
      <c r="U189" s="6"/>
      <c r="V189" s="5">
        <f t="shared" si="64"/>
        <v>1</v>
      </c>
    </row>
    <row r="190" spans="1:22" x14ac:dyDescent="0.4">
      <c r="A190" s="6" t="s">
        <v>25</v>
      </c>
      <c r="B190" s="52" t="s">
        <v>50</v>
      </c>
      <c r="C190" s="53"/>
      <c r="D190" s="54"/>
      <c r="E190" s="5">
        <f t="shared" ref="E190:V190" si="65">SUM(E186:E189)</f>
        <v>3</v>
      </c>
      <c r="F190" s="5">
        <f t="shared" si="65"/>
        <v>0</v>
      </c>
      <c r="G190" s="5">
        <f t="shared" si="65"/>
        <v>0</v>
      </c>
      <c r="H190" s="5">
        <f t="shared" si="65"/>
        <v>7</v>
      </c>
      <c r="I190" s="5">
        <f t="shared" si="65"/>
        <v>0</v>
      </c>
      <c r="J190" s="5">
        <f t="shared" si="65"/>
        <v>4</v>
      </c>
      <c r="K190" s="5">
        <f t="shared" si="65"/>
        <v>2</v>
      </c>
      <c r="L190" s="5">
        <f t="shared" si="65"/>
        <v>2</v>
      </c>
      <c r="M190" s="5">
        <f t="shared" si="65"/>
        <v>1</v>
      </c>
      <c r="N190" s="5">
        <f t="shared" si="65"/>
        <v>2</v>
      </c>
      <c r="O190" s="5">
        <f t="shared" si="65"/>
        <v>4</v>
      </c>
      <c r="P190" s="5">
        <f t="shared" si="65"/>
        <v>4</v>
      </c>
      <c r="Q190" s="5">
        <f t="shared" si="65"/>
        <v>1</v>
      </c>
      <c r="R190" s="5">
        <f t="shared" si="65"/>
        <v>1</v>
      </c>
      <c r="S190" s="5">
        <f t="shared" si="65"/>
        <v>1</v>
      </c>
      <c r="T190" s="5">
        <f t="shared" si="65"/>
        <v>2</v>
      </c>
      <c r="U190" s="5">
        <f t="shared" si="65"/>
        <v>0</v>
      </c>
      <c r="V190" s="5">
        <f t="shared" si="65"/>
        <v>34</v>
      </c>
    </row>
    <row r="191" spans="1:22" x14ac:dyDescent="0.4">
      <c r="A191" s="55"/>
      <c r="B191" s="56"/>
      <c r="C191" s="56"/>
      <c r="D191" s="56"/>
      <c r="E191" s="5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 x14ac:dyDescent="0.4">
      <c r="A192" s="11" t="s">
        <v>47</v>
      </c>
      <c r="B192" s="17" t="s">
        <v>76</v>
      </c>
      <c r="C192" s="50" t="s">
        <v>77</v>
      </c>
      <c r="D192" s="51"/>
      <c r="E192" s="6">
        <v>0</v>
      </c>
      <c r="F192" s="6">
        <v>1</v>
      </c>
      <c r="G192" s="6">
        <v>0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/>
      <c r="U192" s="6"/>
      <c r="V192" s="5">
        <f t="shared" ref="V192:V196" si="66">SUM(E192:U192)</f>
        <v>3</v>
      </c>
    </row>
    <row r="193" spans="1:22" x14ac:dyDescent="0.4">
      <c r="A193" s="11" t="s">
        <v>49</v>
      </c>
      <c r="B193" s="46"/>
      <c r="C193" s="24" t="s">
        <v>205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/>
      <c r="U193" s="6"/>
      <c r="V193" s="5">
        <f t="shared" si="66"/>
        <v>0</v>
      </c>
    </row>
    <row r="194" spans="1:22" x14ac:dyDescent="0.4">
      <c r="A194" s="7"/>
      <c r="B194" s="46"/>
      <c r="C194" s="24" t="s">
        <v>206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/>
      <c r="U194" s="6"/>
      <c r="V194" s="5">
        <f t="shared" si="66"/>
        <v>0</v>
      </c>
    </row>
    <row r="195" spans="1:22" x14ac:dyDescent="0.4">
      <c r="A195" s="7"/>
      <c r="B195" s="46"/>
      <c r="C195" s="24" t="s">
        <v>207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/>
      <c r="U195" s="6"/>
      <c r="V195" s="5">
        <f t="shared" si="66"/>
        <v>0</v>
      </c>
    </row>
    <row r="196" spans="1:22" ht="13.15" customHeight="1" x14ac:dyDescent="0.4">
      <c r="A196" s="7"/>
      <c r="B196" s="46"/>
      <c r="C196" s="24" t="s">
        <v>208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/>
      <c r="U196" s="6"/>
      <c r="V196" s="5">
        <f t="shared" si="66"/>
        <v>0</v>
      </c>
    </row>
    <row r="197" spans="1:22" x14ac:dyDescent="0.4">
      <c r="A197" s="6" t="s">
        <v>25</v>
      </c>
      <c r="B197" s="52" t="s">
        <v>50</v>
      </c>
      <c r="C197" s="53"/>
      <c r="D197" s="54"/>
      <c r="E197" s="5">
        <f t="shared" ref="E197:V197" si="67">SUM(E192:E196)</f>
        <v>0</v>
      </c>
      <c r="F197" s="5">
        <f t="shared" si="67"/>
        <v>1</v>
      </c>
      <c r="G197" s="5">
        <f t="shared" si="67"/>
        <v>0</v>
      </c>
      <c r="H197" s="5">
        <f t="shared" si="67"/>
        <v>0</v>
      </c>
      <c r="I197" s="5">
        <f t="shared" si="67"/>
        <v>0</v>
      </c>
      <c r="J197" s="5">
        <f t="shared" si="67"/>
        <v>1</v>
      </c>
      <c r="K197" s="5">
        <f t="shared" si="67"/>
        <v>0</v>
      </c>
      <c r="L197" s="5">
        <f t="shared" si="67"/>
        <v>0</v>
      </c>
      <c r="M197" s="5">
        <f t="shared" si="67"/>
        <v>0</v>
      </c>
      <c r="N197" s="5">
        <f t="shared" si="67"/>
        <v>0</v>
      </c>
      <c r="O197" s="5">
        <f t="shared" si="67"/>
        <v>0</v>
      </c>
      <c r="P197" s="5">
        <f t="shared" si="67"/>
        <v>0</v>
      </c>
      <c r="Q197" s="5">
        <f t="shared" si="67"/>
        <v>1</v>
      </c>
      <c r="R197" s="5">
        <f t="shared" si="67"/>
        <v>0</v>
      </c>
      <c r="S197" s="5">
        <f t="shared" si="67"/>
        <v>0</v>
      </c>
      <c r="T197" s="5">
        <f t="shared" si="67"/>
        <v>0</v>
      </c>
      <c r="U197" s="5">
        <f t="shared" si="67"/>
        <v>0</v>
      </c>
      <c r="V197" s="5">
        <f t="shared" si="67"/>
        <v>3</v>
      </c>
    </row>
    <row r="198" spans="1:22" x14ac:dyDescent="0.4">
      <c r="A198" s="55"/>
      <c r="B198" s="56"/>
      <c r="C198" s="56"/>
      <c r="D198" s="56"/>
      <c r="E198" s="5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 x14ac:dyDescent="0.4">
      <c r="A199" s="11" t="s">
        <v>47</v>
      </c>
      <c r="B199" s="17" t="s">
        <v>78</v>
      </c>
      <c r="C199" s="50" t="s">
        <v>79</v>
      </c>
      <c r="D199" s="51"/>
      <c r="E199" s="6">
        <v>0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1</v>
      </c>
      <c r="M199" s="6">
        <v>0</v>
      </c>
      <c r="N199" s="6">
        <v>3</v>
      </c>
      <c r="O199" s="6">
        <v>1</v>
      </c>
      <c r="P199" s="6">
        <v>0</v>
      </c>
      <c r="Q199" s="6">
        <v>1</v>
      </c>
      <c r="R199" s="6">
        <v>1</v>
      </c>
      <c r="S199" s="6">
        <v>2</v>
      </c>
      <c r="T199" s="6"/>
      <c r="U199" s="6"/>
      <c r="V199" s="5">
        <f t="shared" ref="V199:V208" si="68">SUM(E199:U199)</f>
        <v>11</v>
      </c>
    </row>
    <row r="200" spans="1:22" x14ac:dyDescent="0.4">
      <c r="A200" s="11" t="s">
        <v>49</v>
      </c>
      <c r="B200" s="46"/>
      <c r="C200" s="24" t="s">
        <v>209</v>
      </c>
      <c r="D200" s="45"/>
      <c r="E200" s="6">
        <v>0</v>
      </c>
      <c r="F200" s="6">
        <v>0</v>
      </c>
      <c r="G200" s="6">
        <v>0</v>
      </c>
      <c r="H200" s="6">
        <v>0</v>
      </c>
      <c r="I200" s="6">
        <v>3</v>
      </c>
      <c r="J200" s="6">
        <v>0</v>
      </c>
      <c r="K200" s="6">
        <v>2</v>
      </c>
      <c r="L200" s="6">
        <v>1</v>
      </c>
      <c r="M200" s="6">
        <v>1</v>
      </c>
      <c r="N200" s="6">
        <v>0</v>
      </c>
      <c r="O200" s="6">
        <v>1</v>
      </c>
      <c r="P200" s="6">
        <v>0</v>
      </c>
      <c r="Q200" s="6">
        <v>0</v>
      </c>
      <c r="R200" s="6">
        <v>0</v>
      </c>
      <c r="S200" s="6">
        <v>2</v>
      </c>
      <c r="T200" s="6"/>
      <c r="U200" s="6">
        <v>1</v>
      </c>
      <c r="V200" s="5">
        <f t="shared" si="68"/>
        <v>11</v>
      </c>
    </row>
    <row r="201" spans="1:22" x14ac:dyDescent="0.4">
      <c r="A201" s="7"/>
      <c r="B201" s="46"/>
      <c r="C201" s="24" t="s">
        <v>210</v>
      </c>
      <c r="D201" s="45"/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2</v>
      </c>
      <c r="N201" s="6">
        <v>1</v>
      </c>
      <c r="O201" s="6">
        <v>2</v>
      </c>
      <c r="P201" s="6">
        <v>0</v>
      </c>
      <c r="Q201" s="6">
        <v>1</v>
      </c>
      <c r="R201" s="6">
        <v>0</v>
      </c>
      <c r="S201" s="6">
        <v>0</v>
      </c>
      <c r="T201" s="6"/>
      <c r="U201" s="6"/>
      <c r="V201" s="5">
        <f t="shared" si="68"/>
        <v>6</v>
      </c>
    </row>
    <row r="202" spans="1:22" ht="13.15" customHeight="1" x14ac:dyDescent="0.4">
      <c r="A202" s="7"/>
      <c r="B202" s="46"/>
      <c r="C202" s="24" t="s">
        <v>211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6"/>
      <c r="V202" s="5">
        <f t="shared" si="68"/>
        <v>0</v>
      </c>
    </row>
    <row r="203" spans="1:22" x14ac:dyDescent="0.4">
      <c r="A203" s="7"/>
      <c r="B203" s="46"/>
      <c r="C203" s="24" t="s">
        <v>212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1</v>
      </c>
      <c r="P203" s="6">
        <v>1</v>
      </c>
      <c r="Q203" s="6">
        <v>1</v>
      </c>
      <c r="R203" s="6">
        <v>0</v>
      </c>
      <c r="S203" s="6">
        <v>0</v>
      </c>
      <c r="T203" s="6"/>
      <c r="U203" s="6"/>
      <c r="V203" s="5">
        <f t="shared" si="68"/>
        <v>3</v>
      </c>
    </row>
    <row r="204" spans="1:22" ht="12.75" customHeight="1" x14ac:dyDescent="0.4">
      <c r="A204" s="7"/>
      <c r="B204" s="46"/>
      <c r="C204" s="24" t="s">
        <v>213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/>
      <c r="U204" s="6"/>
      <c r="V204" s="5">
        <f t="shared" si="68"/>
        <v>1</v>
      </c>
    </row>
    <row r="205" spans="1:22" x14ac:dyDescent="0.4">
      <c r="A205" s="7"/>
      <c r="B205" s="46"/>
      <c r="C205" s="24" t="s">
        <v>214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/>
      <c r="U205" s="6"/>
      <c r="V205" s="5">
        <f t="shared" si="68"/>
        <v>0</v>
      </c>
    </row>
    <row r="206" spans="1:22" x14ac:dyDescent="0.4">
      <c r="A206" s="7"/>
      <c r="B206" s="46"/>
      <c r="C206" s="24" t="s">
        <v>215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1</v>
      </c>
      <c r="N206" s="6">
        <v>0</v>
      </c>
      <c r="O206" s="6">
        <v>0</v>
      </c>
      <c r="P206" s="6">
        <v>1</v>
      </c>
      <c r="Q206" s="6">
        <v>0</v>
      </c>
      <c r="R206" s="6">
        <v>0</v>
      </c>
      <c r="S206" s="6">
        <v>0</v>
      </c>
      <c r="T206" s="6"/>
      <c r="U206" s="6"/>
      <c r="V206" s="5">
        <f t="shared" si="68"/>
        <v>2</v>
      </c>
    </row>
    <row r="207" spans="1:22" x14ac:dyDescent="0.4">
      <c r="A207" s="7"/>
      <c r="B207" s="46"/>
      <c r="C207" s="24" t="s">
        <v>216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/>
      <c r="U207" s="6">
        <v>1</v>
      </c>
      <c r="V207" s="5">
        <f t="shared" si="68"/>
        <v>2</v>
      </c>
    </row>
    <row r="208" spans="1:22" x14ac:dyDescent="0.4">
      <c r="A208" s="7"/>
      <c r="B208" s="46"/>
      <c r="C208" s="24" t="s">
        <v>217</v>
      </c>
      <c r="D208" s="45"/>
      <c r="E208" s="6">
        <v>1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/>
      <c r="U208" s="6"/>
      <c r="V208" s="5">
        <f t="shared" si="68"/>
        <v>1</v>
      </c>
    </row>
    <row r="209" spans="1:22" ht="12.75" customHeight="1" x14ac:dyDescent="0.4">
      <c r="A209" s="6" t="s">
        <v>25</v>
      </c>
      <c r="B209" s="52" t="s">
        <v>50</v>
      </c>
      <c r="C209" s="53"/>
      <c r="D209" s="54"/>
      <c r="E209" s="5">
        <f t="shared" ref="E209:V209" si="69">SUM(E199:E208)</f>
        <v>1</v>
      </c>
      <c r="F209" s="5">
        <f t="shared" si="69"/>
        <v>1</v>
      </c>
      <c r="G209" s="5">
        <f t="shared" si="69"/>
        <v>0</v>
      </c>
      <c r="H209" s="5">
        <f t="shared" si="69"/>
        <v>0</v>
      </c>
      <c r="I209" s="5">
        <f t="shared" si="69"/>
        <v>3</v>
      </c>
      <c r="J209" s="5">
        <f t="shared" si="69"/>
        <v>0</v>
      </c>
      <c r="K209" s="5">
        <f t="shared" si="69"/>
        <v>3</v>
      </c>
      <c r="L209" s="5">
        <f t="shared" si="69"/>
        <v>2</v>
      </c>
      <c r="M209" s="5">
        <f t="shared" si="69"/>
        <v>4</v>
      </c>
      <c r="N209" s="5">
        <f t="shared" si="69"/>
        <v>4</v>
      </c>
      <c r="O209" s="5">
        <f t="shared" si="69"/>
        <v>5</v>
      </c>
      <c r="P209" s="5">
        <f t="shared" si="69"/>
        <v>2</v>
      </c>
      <c r="Q209" s="5">
        <f t="shared" ref="Q209:R209" si="70">SUM(Q199:Q208)</f>
        <v>3</v>
      </c>
      <c r="R209" s="5">
        <f t="shared" si="70"/>
        <v>2</v>
      </c>
      <c r="S209" s="5">
        <f t="shared" si="69"/>
        <v>5</v>
      </c>
      <c r="T209" s="5">
        <f t="shared" si="69"/>
        <v>0</v>
      </c>
      <c r="U209" s="5">
        <f t="shared" si="69"/>
        <v>2</v>
      </c>
      <c r="V209" s="5">
        <f t="shared" si="69"/>
        <v>37</v>
      </c>
    </row>
    <row r="210" spans="1:22" x14ac:dyDescent="0.4">
      <c r="A210" s="55"/>
      <c r="B210" s="56"/>
      <c r="C210" s="56"/>
      <c r="D210" s="56"/>
      <c r="E210" s="57"/>
    </row>
    <row r="211" spans="1:22" x14ac:dyDescent="0.4">
      <c r="A211" s="11" t="s">
        <v>47</v>
      </c>
      <c r="B211" s="17" t="s">
        <v>80</v>
      </c>
      <c r="C211" s="50" t="s">
        <v>81</v>
      </c>
      <c r="D211" s="51"/>
      <c r="E211" s="6">
        <v>0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/>
      <c r="U211" s="6"/>
      <c r="V211" s="5">
        <f t="shared" ref="V211:V214" si="71">SUM(E211:U211)</f>
        <v>2</v>
      </c>
    </row>
    <row r="212" spans="1:22" x14ac:dyDescent="0.4">
      <c r="A212" s="11" t="s">
        <v>49</v>
      </c>
      <c r="B212" s="46"/>
      <c r="C212" s="24" t="s">
        <v>218</v>
      </c>
      <c r="D212" s="45"/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/>
      <c r="U212" s="6"/>
      <c r="V212" s="5">
        <f t="shared" si="71"/>
        <v>1</v>
      </c>
    </row>
    <row r="213" spans="1:22" x14ac:dyDescent="0.4">
      <c r="A213" s="7"/>
      <c r="B213" s="46"/>
      <c r="C213" s="24" t="s">
        <v>219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6"/>
      <c r="V213" s="5">
        <f t="shared" si="71"/>
        <v>0</v>
      </c>
    </row>
    <row r="214" spans="1:22" x14ac:dyDescent="0.4">
      <c r="A214" s="7"/>
      <c r="B214" s="46"/>
      <c r="C214" s="24" t="s">
        <v>220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1</v>
      </c>
      <c r="R214" s="6">
        <v>0</v>
      </c>
      <c r="S214" s="6">
        <v>0</v>
      </c>
      <c r="T214" s="6"/>
      <c r="U214" s="6"/>
      <c r="V214" s="5">
        <f t="shared" si="71"/>
        <v>1</v>
      </c>
    </row>
    <row r="215" spans="1:22" x14ac:dyDescent="0.4">
      <c r="A215" s="6" t="s">
        <v>25</v>
      </c>
      <c r="B215" s="52" t="s">
        <v>50</v>
      </c>
      <c r="C215" s="53"/>
      <c r="D215" s="54"/>
      <c r="E215" s="5">
        <f t="shared" ref="E215:V215" si="72">SUM(E211:E214)</f>
        <v>0</v>
      </c>
      <c r="F215" s="5">
        <f t="shared" si="72"/>
        <v>1</v>
      </c>
      <c r="G215" s="5">
        <f t="shared" si="72"/>
        <v>0</v>
      </c>
      <c r="H215" s="5">
        <f t="shared" si="72"/>
        <v>0</v>
      </c>
      <c r="I215" s="5">
        <f t="shared" si="72"/>
        <v>0</v>
      </c>
      <c r="J215" s="5">
        <f t="shared" si="72"/>
        <v>0</v>
      </c>
      <c r="K215" s="5">
        <f t="shared" si="72"/>
        <v>1</v>
      </c>
      <c r="L215" s="5">
        <f t="shared" si="72"/>
        <v>1</v>
      </c>
      <c r="M215" s="5">
        <f t="shared" si="72"/>
        <v>0</v>
      </c>
      <c r="N215" s="5">
        <f t="shared" si="72"/>
        <v>0</v>
      </c>
      <c r="O215" s="5">
        <f t="shared" si="72"/>
        <v>0</v>
      </c>
      <c r="P215" s="5">
        <f t="shared" si="72"/>
        <v>0</v>
      </c>
      <c r="Q215" s="5">
        <f t="shared" si="72"/>
        <v>1</v>
      </c>
      <c r="R215" s="5">
        <f t="shared" si="72"/>
        <v>0</v>
      </c>
      <c r="S215" s="5">
        <f t="shared" si="72"/>
        <v>0</v>
      </c>
      <c r="T215" s="5">
        <f t="shared" si="72"/>
        <v>0</v>
      </c>
      <c r="U215" s="5">
        <f t="shared" si="72"/>
        <v>0</v>
      </c>
      <c r="V215" s="5">
        <f t="shared" si="72"/>
        <v>4</v>
      </c>
    </row>
    <row r="217" spans="1:22" x14ac:dyDescent="0.4">
      <c r="A217" s="16" t="s">
        <v>82</v>
      </c>
      <c r="B217" s="60" t="s">
        <v>83</v>
      </c>
      <c r="C217" s="61"/>
      <c r="D217" s="62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15"/>
      <c r="S217" s="15"/>
      <c r="T217" s="15"/>
      <c r="U217" s="15"/>
      <c r="V217" s="5"/>
    </row>
    <row r="218" spans="1:22" x14ac:dyDescent="0.4">
      <c r="A218" s="16"/>
      <c r="B218" s="19" t="s">
        <v>84</v>
      </c>
      <c r="C218" s="58" t="s">
        <v>85</v>
      </c>
      <c r="D218" s="59"/>
      <c r="E218" s="6">
        <f t="shared" ref="E218:U218" si="73">E55+E67+E79+E91+E103+E108+E116+E128+E134+E144+E148+E160+E172+E184+E190+E197+E209+E215</f>
        <v>194</v>
      </c>
      <c r="F218" s="6">
        <f t="shared" si="73"/>
        <v>180</v>
      </c>
      <c r="G218" s="6">
        <f t="shared" si="73"/>
        <v>133</v>
      </c>
      <c r="H218" s="6">
        <f t="shared" si="73"/>
        <v>174</v>
      </c>
      <c r="I218" s="6">
        <f t="shared" si="73"/>
        <v>178</v>
      </c>
      <c r="J218" s="6">
        <f t="shared" si="73"/>
        <v>192</v>
      </c>
      <c r="K218" s="6">
        <f t="shared" si="73"/>
        <v>198</v>
      </c>
      <c r="L218" s="6">
        <f t="shared" si="73"/>
        <v>213</v>
      </c>
      <c r="M218" s="6">
        <f t="shared" si="73"/>
        <v>188</v>
      </c>
      <c r="N218" s="6">
        <f t="shared" si="73"/>
        <v>173</v>
      </c>
      <c r="O218" s="6">
        <f t="shared" si="73"/>
        <v>172</v>
      </c>
      <c r="P218" s="6">
        <f t="shared" si="73"/>
        <v>177</v>
      </c>
      <c r="Q218" s="6">
        <f t="shared" si="73"/>
        <v>213</v>
      </c>
      <c r="R218" s="6">
        <f t="shared" si="73"/>
        <v>176</v>
      </c>
      <c r="S218" s="6">
        <f t="shared" si="73"/>
        <v>155</v>
      </c>
      <c r="T218" s="6">
        <f t="shared" si="73"/>
        <v>152</v>
      </c>
      <c r="U218" s="6">
        <f t="shared" si="73"/>
        <v>144</v>
      </c>
      <c r="V218" s="5">
        <f>SUM(E218:U218)</f>
        <v>3012</v>
      </c>
    </row>
    <row r="219" spans="1:22" x14ac:dyDescent="0.4">
      <c r="A219" s="13"/>
      <c r="B219" s="19" t="s">
        <v>86</v>
      </c>
      <c r="C219" s="58" t="s">
        <v>87</v>
      </c>
      <c r="D219" s="59"/>
      <c r="E219" s="6">
        <v>39</v>
      </c>
      <c r="F219" s="6">
        <v>43</v>
      </c>
      <c r="G219" s="6">
        <v>26</v>
      </c>
      <c r="H219" s="6">
        <v>27</v>
      </c>
      <c r="I219" s="6">
        <v>19</v>
      </c>
      <c r="J219" s="6">
        <v>31</v>
      </c>
      <c r="K219" s="6">
        <v>23</v>
      </c>
      <c r="L219" s="6">
        <v>19</v>
      </c>
      <c r="M219" s="6">
        <v>34</v>
      </c>
      <c r="N219" s="6">
        <v>22</v>
      </c>
      <c r="O219" s="6">
        <v>17</v>
      </c>
      <c r="P219" s="6">
        <v>23</v>
      </c>
      <c r="Q219" s="6">
        <v>19</v>
      </c>
      <c r="R219" s="6">
        <v>28</v>
      </c>
      <c r="S219" s="6">
        <v>15</v>
      </c>
      <c r="T219" s="6">
        <v>15</v>
      </c>
      <c r="U219" s="6">
        <v>22</v>
      </c>
      <c r="V219" s="5">
        <f>SUM(E219:U219)</f>
        <v>422</v>
      </c>
    </row>
    <row r="220" spans="1:22" x14ac:dyDescent="0.4">
      <c r="A220" s="14"/>
      <c r="B220" s="19" t="s">
        <v>88</v>
      </c>
      <c r="C220" s="58" t="s">
        <v>89</v>
      </c>
      <c r="D220" s="59"/>
      <c r="E220" s="5">
        <f>SUM(E218:E219)</f>
        <v>233</v>
      </c>
      <c r="F220" s="5">
        <f t="shared" ref="F220:O220" si="74">SUM(F218:F219)</f>
        <v>223</v>
      </c>
      <c r="G220" s="5">
        <f t="shared" si="74"/>
        <v>159</v>
      </c>
      <c r="H220" s="5">
        <f t="shared" si="74"/>
        <v>201</v>
      </c>
      <c r="I220" s="5">
        <f t="shared" si="74"/>
        <v>197</v>
      </c>
      <c r="J220" s="5">
        <f t="shared" si="74"/>
        <v>223</v>
      </c>
      <c r="K220" s="5">
        <f t="shared" si="74"/>
        <v>221</v>
      </c>
      <c r="L220" s="5">
        <f t="shared" si="74"/>
        <v>232</v>
      </c>
      <c r="M220" s="5">
        <f t="shared" si="74"/>
        <v>222</v>
      </c>
      <c r="N220" s="5">
        <f t="shared" si="74"/>
        <v>195</v>
      </c>
      <c r="O220" s="5">
        <f t="shared" si="74"/>
        <v>189</v>
      </c>
      <c r="P220" s="5">
        <f t="shared" ref="P220:U220" si="75">SUM(P218:P219)</f>
        <v>200</v>
      </c>
      <c r="Q220" s="5">
        <f t="shared" ref="Q220:R220" si="76">SUM(Q218:Q219)</f>
        <v>232</v>
      </c>
      <c r="R220" s="5">
        <f t="shared" si="76"/>
        <v>204</v>
      </c>
      <c r="S220" s="5">
        <f t="shared" si="75"/>
        <v>170</v>
      </c>
      <c r="T220" s="5">
        <f t="shared" si="75"/>
        <v>167</v>
      </c>
      <c r="U220" s="5">
        <f t="shared" si="75"/>
        <v>166</v>
      </c>
      <c r="V220" s="5">
        <f>SUM(E220:U220)</f>
        <v>3434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U12"/>
    <mergeCell ref="V12: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219:D219"/>
    <mergeCell ref="C220:D220"/>
    <mergeCell ref="B209:D209"/>
    <mergeCell ref="A210:E210"/>
    <mergeCell ref="C211:D211"/>
    <mergeCell ref="B215:D215"/>
    <mergeCell ref="B217:D217"/>
    <mergeCell ref="C218:D218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</mergeCells>
  <phoneticPr fontId="8" type="noConversion"/>
  <conditionalFormatting sqref="E14:U15">
    <cfRule type="containsBlanks" dxfId="116" priority="22">
      <formula>LEN(TRIM(E14))=0</formula>
    </cfRule>
  </conditionalFormatting>
  <conditionalFormatting sqref="E19:U20">
    <cfRule type="containsBlanks" dxfId="115" priority="25">
      <formula>LEN(TRIM(E19))=0</formula>
    </cfRule>
  </conditionalFormatting>
  <conditionalFormatting sqref="E22:U23 E25:U26 E35:U35 E39:U40 E33:U33">
    <cfRule type="containsBlanks" dxfId="114" priority="26">
      <formula>LEN(TRIM(E22))=0</formula>
    </cfRule>
  </conditionalFormatting>
  <conditionalFormatting sqref="E30:U30">
    <cfRule type="expression" dxfId="113" priority="27">
      <formula>E30&lt;&gt;E47</formula>
    </cfRule>
    <cfRule type="expression" dxfId="112" priority="28">
      <formula>E30&lt;&gt;E34</formula>
    </cfRule>
  </conditionalFormatting>
  <conditionalFormatting sqref="E34:U34">
    <cfRule type="expression" dxfId="111" priority="23">
      <formula>E30&lt;&gt;E34</formula>
    </cfRule>
    <cfRule type="expression" dxfId="110" priority="24">
      <formula>E30=E34</formula>
    </cfRule>
    <cfRule type="expression" dxfId="109" priority="29">
      <formula>E34&lt;&gt;E30</formula>
    </cfRule>
    <cfRule type="expression" dxfId="108" priority="31">
      <formula>E34&lt;&gt;E64</formula>
    </cfRule>
  </conditionalFormatting>
  <conditionalFormatting sqref="E45:U54">
    <cfRule type="containsBlanks" dxfId="107" priority="21">
      <formula>LEN(TRIM(E45))=0</formula>
    </cfRule>
  </conditionalFormatting>
  <conditionalFormatting sqref="E57:U66">
    <cfRule type="containsBlanks" dxfId="106" priority="20">
      <formula>LEN(TRIM(E57))=0</formula>
    </cfRule>
  </conditionalFormatting>
  <conditionalFormatting sqref="E69:U78">
    <cfRule type="containsBlanks" dxfId="105" priority="19">
      <formula>LEN(TRIM(E69))=0</formula>
    </cfRule>
  </conditionalFormatting>
  <conditionalFormatting sqref="E81:U90">
    <cfRule type="containsBlanks" dxfId="104" priority="18">
      <formula>LEN(TRIM(E81))=0</formula>
    </cfRule>
  </conditionalFormatting>
  <conditionalFormatting sqref="E93:U102">
    <cfRule type="containsBlanks" dxfId="103" priority="17">
      <formula>LEN(TRIM(E93))=0</formula>
    </cfRule>
  </conditionalFormatting>
  <conditionalFormatting sqref="E105:U107">
    <cfRule type="containsBlanks" dxfId="102" priority="16">
      <formula>LEN(TRIM(E105))=0</formula>
    </cfRule>
  </conditionalFormatting>
  <conditionalFormatting sqref="E110:U115">
    <cfRule type="containsBlanks" dxfId="101" priority="2">
      <formula>LEN(TRIM(E110))=0</formula>
    </cfRule>
  </conditionalFormatting>
  <conditionalFormatting sqref="E118:U127">
    <cfRule type="containsBlanks" dxfId="100" priority="15">
      <formula>LEN(TRIM(E118))=0</formula>
    </cfRule>
  </conditionalFormatting>
  <conditionalFormatting sqref="E130:U133">
    <cfRule type="containsBlanks" dxfId="99" priority="14">
      <formula>LEN(TRIM(E130))=0</formula>
    </cfRule>
  </conditionalFormatting>
  <conditionalFormatting sqref="E136:U143">
    <cfRule type="containsBlanks" dxfId="98" priority="4">
      <formula>LEN(TRIM(E136))=0</formula>
    </cfRule>
  </conditionalFormatting>
  <conditionalFormatting sqref="E146:U147">
    <cfRule type="containsBlanks" dxfId="97" priority="13">
      <formula>LEN(TRIM(E146))=0</formula>
    </cfRule>
  </conditionalFormatting>
  <conditionalFormatting sqref="E150:U159">
    <cfRule type="containsBlanks" dxfId="96" priority="12">
      <formula>LEN(TRIM(E150))=0</formula>
    </cfRule>
  </conditionalFormatting>
  <conditionalFormatting sqref="E162:U171">
    <cfRule type="containsBlanks" dxfId="95" priority="11">
      <formula>LEN(TRIM(E162))=0</formula>
    </cfRule>
  </conditionalFormatting>
  <conditionalFormatting sqref="E174:U183">
    <cfRule type="containsBlanks" dxfId="94" priority="10">
      <formula>LEN(TRIM(E174))=0</formula>
    </cfRule>
  </conditionalFormatting>
  <conditionalFormatting sqref="E186:U189">
    <cfRule type="containsBlanks" dxfId="93" priority="9">
      <formula>LEN(TRIM(E186))=0</formula>
    </cfRule>
  </conditionalFormatting>
  <conditionalFormatting sqref="E192:U196">
    <cfRule type="containsBlanks" dxfId="92" priority="8">
      <formula>LEN(TRIM(E192))=0</formula>
    </cfRule>
  </conditionalFormatting>
  <conditionalFormatting sqref="E199:U208">
    <cfRule type="containsBlanks" dxfId="91" priority="7">
      <formula>LEN(TRIM(E199))=0</formula>
    </cfRule>
  </conditionalFormatting>
  <conditionalFormatting sqref="E211:U214">
    <cfRule type="containsBlanks" dxfId="90" priority="5">
      <formula>LEN(TRIM(E211))=0</formula>
    </cfRule>
  </conditionalFormatting>
  <conditionalFormatting sqref="E218:U219">
    <cfRule type="containsBlanks" dxfId="89" priority="3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O220"/>
  <sheetViews>
    <sheetView topLeftCell="D13" zoomScaleNormal="100" workbookViewId="0">
      <pane ySplit="1" topLeftCell="A215" activePane="bottomLeft" state="frozen"/>
      <selection activeCell="A13" sqref="A13"/>
      <selection pane="bottomLeft" activeCell="O172" sqref="O172"/>
    </sheetView>
  </sheetViews>
  <sheetFormatPr defaultRowHeight="13.15" x14ac:dyDescent="0.4"/>
  <cols>
    <col min="3" max="3" width="67.140625" bestFit="1" customWidth="1"/>
    <col min="4" max="4" width="5.85546875" bestFit="1" customWidth="1"/>
    <col min="15" max="15" width="13.28515625" customWidth="1"/>
  </cols>
  <sheetData>
    <row r="2" spans="1:15" x14ac:dyDescent="0.4">
      <c r="C2" s="43" t="s">
        <v>91</v>
      </c>
      <c r="D2" s="43" t="s">
        <v>98</v>
      </c>
    </row>
    <row r="3" spans="1:15" x14ac:dyDescent="0.4">
      <c r="C3" s="43" t="s">
        <v>92</v>
      </c>
      <c r="D3" s="43" t="s">
        <v>93</v>
      </c>
    </row>
    <row r="4" spans="1:15" x14ac:dyDescent="0.4">
      <c r="C4" s="43" t="s">
        <v>94</v>
      </c>
      <c r="D4" s="43" t="s">
        <v>95</v>
      </c>
    </row>
    <row r="5" spans="1:15" x14ac:dyDescent="0.4">
      <c r="C5" s="43"/>
      <c r="D5" s="43"/>
    </row>
    <row r="6" spans="1:15" x14ac:dyDescent="0.4">
      <c r="C6" s="43"/>
      <c r="D6" s="43"/>
    </row>
    <row r="7" spans="1:15" x14ac:dyDescent="0.4">
      <c r="C7" s="43"/>
      <c r="D7" s="43"/>
    </row>
    <row r="8" spans="1:15" x14ac:dyDescent="0.4">
      <c r="C8" s="43"/>
      <c r="D8" s="43"/>
    </row>
    <row r="9" spans="1:15" x14ac:dyDescent="0.4">
      <c r="C9" s="43" t="s">
        <v>96</v>
      </c>
      <c r="D9" s="43" t="s">
        <v>100</v>
      </c>
    </row>
    <row r="11" spans="1:1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4">
      <c r="A12" s="5" t="s">
        <v>0</v>
      </c>
      <c r="B12" s="60" t="s">
        <v>1</v>
      </c>
      <c r="C12" s="68"/>
      <c r="D12" s="51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6" t="s">
        <v>90</v>
      </c>
    </row>
    <row r="13" spans="1:15" x14ac:dyDescent="0.4">
      <c r="A13" s="6" t="s">
        <v>2</v>
      </c>
      <c r="B13" s="77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87"/>
    </row>
    <row r="14" spans="1:15" x14ac:dyDescent="0.4">
      <c r="A14" s="7"/>
      <c r="B14" s="88" t="s">
        <v>21</v>
      </c>
      <c r="C14" s="64"/>
      <c r="D14" s="6" t="s">
        <v>22</v>
      </c>
      <c r="E14" s="6">
        <v>151</v>
      </c>
      <c r="F14" s="6">
        <v>137</v>
      </c>
      <c r="G14" s="6">
        <v>145</v>
      </c>
      <c r="H14" s="6">
        <v>145</v>
      </c>
      <c r="I14" s="6">
        <v>147</v>
      </c>
      <c r="J14" s="6">
        <v>141</v>
      </c>
      <c r="K14" s="6">
        <v>124</v>
      </c>
      <c r="L14" s="6">
        <v>133</v>
      </c>
      <c r="M14" s="6">
        <v>123</v>
      </c>
      <c r="N14" s="6">
        <v>90</v>
      </c>
      <c r="O14" s="5">
        <f>SUM(E14:N14)</f>
        <v>1336</v>
      </c>
    </row>
    <row r="15" spans="1:15" x14ac:dyDescent="0.4">
      <c r="A15" s="7"/>
      <c r="B15" s="89"/>
      <c r="C15" s="76"/>
      <c r="D15" s="6" t="s">
        <v>23</v>
      </c>
      <c r="E15" s="6">
        <v>144</v>
      </c>
      <c r="F15" s="6">
        <v>156</v>
      </c>
      <c r="G15" s="6">
        <v>151</v>
      </c>
      <c r="H15" s="6">
        <v>150</v>
      </c>
      <c r="I15" s="6">
        <v>145</v>
      </c>
      <c r="J15" s="6">
        <v>145</v>
      </c>
      <c r="K15" s="6">
        <v>136</v>
      </c>
      <c r="L15" s="6">
        <v>127</v>
      </c>
      <c r="M15" s="6">
        <v>125</v>
      </c>
      <c r="N15" s="6">
        <v>96</v>
      </c>
      <c r="O15" s="5">
        <f>SUM(E15:N15)</f>
        <v>1375</v>
      </c>
    </row>
    <row r="16" spans="1:15" x14ac:dyDescent="0.4">
      <c r="A16" s="8"/>
      <c r="B16" s="90"/>
      <c r="C16" s="74"/>
      <c r="D16" s="5" t="s">
        <v>24</v>
      </c>
      <c r="E16" s="5">
        <f t="shared" ref="E16:N16" si="0">SUM(E14:E15)</f>
        <v>295</v>
      </c>
      <c r="F16" s="5">
        <f t="shared" si="0"/>
        <v>293</v>
      </c>
      <c r="G16" s="5">
        <f t="shared" si="0"/>
        <v>296</v>
      </c>
      <c r="H16" s="5">
        <f t="shared" si="0"/>
        <v>295</v>
      </c>
      <c r="I16" s="5">
        <f t="shared" si="0"/>
        <v>292</v>
      </c>
      <c r="J16" s="5">
        <f t="shared" si="0"/>
        <v>286</v>
      </c>
      <c r="K16" s="5">
        <f t="shared" si="0"/>
        <v>260</v>
      </c>
      <c r="L16" s="5">
        <f t="shared" ref="L16" si="1">SUM(L14:L15)</f>
        <v>260</v>
      </c>
      <c r="M16" s="5">
        <f t="shared" si="0"/>
        <v>248</v>
      </c>
      <c r="N16" s="5">
        <f t="shared" si="0"/>
        <v>186</v>
      </c>
      <c r="O16" s="5">
        <f>SUM(E16:N16)</f>
        <v>2711</v>
      </c>
    </row>
    <row r="17" spans="1:15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6"/>
      <c r="O17" s="28"/>
    </row>
    <row r="18" spans="1:15" x14ac:dyDescent="0.4">
      <c r="A18" s="11" t="s">
        <v>25</v>
      </c>
      <c r="B18" s="77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6"/>
      <c r="O18" s="28"/>
    </row>
    <row r="19" spans="1:15" x14ac:dyDescent="0.4">
      <c r="A19" s="11"/>
      <c r="B19" s="78" t="s">
        <v>27</v>
      </c>
      <c r="C19" s="79" t="s">
        <v>28</v>
      </c>
      <c r="D19" s="6" t="s">
        <v>22</v>
      </c>
      <c r="E19" s="6">
        <v>122</v>
      </c>
      <c r="F19" s="6">
        <v>119</v>
      </c>
      <c r="G19" s="6">
        <v>129</v>
      </c>
      <c r="H19" s="6">
        <v>118</v>
      </c>
      <c r="I19" s="6">
        <v>122</v>
      </c>
      <c r="J19" s="6">
        <v>114</v>
      </c>
      <c r="K19" s="6">
        <v>103</v>
      </c>
      <c r="L19" s="6">
        <v>114</v>
      </c>
      <c r="M19" s="6">
        <v>101</v>
      </c>
      <c r="N19" s="6">
        <v>76</v>
      </c>
      <c r="O19" s="5">
        <f t="shared" ref="O19:O30" si="2">SUM(E19:N19)</f>
        <v>1118</v>
      </c>
    </row>
    <row r="20" spans="1:15" x14ac:dyDescent="0.4">
      <c r="A20" s="12"/>
      <c r="B20" s="76"/>
      <c r="C20" s="80"/>
      <c r="D20" s="6" t="s">
        <v>23</v>
      </c>
      <c r="E20" s="6">
        <v>126</v>
      </c>
      <c r="F20" s="6">
        <v>131</v>
      </c>
      <c r="G20" s="6">
        <v>138</v>
      </c>
      <c r="H20" s="6">
        <v>134</v>
      </c>
      <c r="I20" s="6">
        <v>117</v>
      </c>
      <c r="J20" s="6">
        <v>128</v>
      </c>
      <c r="K20" s="6">
        <v>118</v>
      </c>
      <c r="L20" s="6">
        <v>115</v>
      </c>
      <c r="M20" s="6">
        <v>110</v>
      </c>
      <c r="N20" s="6">
        <v>86</v>
      </c>
      <c r="O20" s="5">
        <f t="shared" si="2"/>
        <v>1203</v>
      </c>
    </row>
    <row r="21" spans="1:15" x14ac:dyDescent="0.4">
      <c r="A21" s="13"/>
      <c r="B21" s="74"/>
      <c r="C21" s="81"/>
      <c r="D21" s="5" t="s">
        <v>24</v>
      </c>
      <c r="E21" s="5">
        <f t="shared" ref="E21:N21" si="3">SUM(E19:E20)</f>
        <v>248</v>
      </c>
      <c r="F21" s="5">
        <f t="shared" si="3"/>
        <v>250</v>
      </c>
      <c r="G21" s="5">
        <f t="shared" si="3"/>
        <v>267</v>
      </c>
      <c r="H21" s="5">
        <f t="shared" si="3"/>
        <v>252</v>
      </c>
      <c r="I21" s="5">
        <f t="shared" si="3"/>
        <v>239</v>
      </c>
      <c r="J21" s="5">
        <f t="shared" si="3"/>
        <v>242</v>
      </c>
      <c r="K21" s="5">
        <f t="shared" si="3"/>
        <v>221</v>
      </c>
      <c r="L21" s="5">
        <f t="shared" ref="L21" si="4">SUM(L19:L20)</f>
        <v>229</v>
      </c>
      <c r="M21" s="5">
        <f t="shared" si="3"/>
        <v>211</v>
      </c>
      <c r="N21" s="5">
        <f t="shared" si="3"/>
        <v>162</v>
      </c>
      <c r="O21" s="5">
        <f t="shared" si="2"/>
        <v>2321</v>
      </c>
    </row>
    <row r="22" spans="1:15" x14ac:dyDescent="0.4">
      <c r="A22" s="12"/>
      <c r="B22" s="78" t="s">
        <v>29</v>
      </c>
      <c r="C22" s="79" t="s">
        <v>30</v>
      </c>
      <c r="D22" s="6" t="s">
        <v>22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5">
        <f t="shared" si="2"/>
        <v>1</v>
      </c>
    </row>
    <row r="23" spans="1:15" x14ac:dyDescent="0.4">
      <c r="A23" s="12"/>
      <c r="B23" s="76"/>
      <c r="C23" s="80"/>
      <c r="D23" s="6" t="s">
        <v>23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5">
        <f t="shared" si="2"/>
        <v>1</v>
      </c>
    </row>
    <row r="24" spans="1:15" x14ac:dyDescent="0.4">
      <c r="A24" s="13"/>
      <c r="B24" s="74"/>
      <c r="C24" s="81"/>
      <c r="D24" s="5" t="s">
        <v>24</v>
      </c>
      <c r="E24" s="5">
        <f t="shared" ref="E24:N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ref="L24" si="6">SUM(L22:L23)</f>
        <v>2</v>
      </c>
      <c r="M24" s="5">
        <f t="shared" si="5"/>
        <v>0</v>
      </c>
      <c r="N24" s="5">
        <f t="shared" si="5"/>
        <v>0</v>
      </c>
      <c r="O24" s="5">
        <f t="shared" si="2"/>
        <v>2</v>
      </c>
    </row>
    <row r="25" spans="1:15" x14ac:dyDescent="0.4">
      <c r="A25" s="12"/>
      <c r="B25" s="78" t="s">
        <v>31</v>
      </c>
      <c r="C25" s="79" t="s">
        <v>32</v>
      </c>
      <c r="D25" s="6" t="s">
        <v>22</v>
      </c>
      <c r="E25" s="6">
        <v>0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0</v>
      </c>
      <c r="O25" s="5">
        <f t="shared" si="2"/>
        <v>2</v>
      </c>
    </row>
    <row r="26" spans="1:15" x14ac:dyDescent="0.4">
      <c r="A26" s="12"/>
      <c r="B26" s="76"/>
      <c r="C26" s="80"/>
      <c r="D26" s="6" t="s">
        <v>23</v>
      </c>
      <c r="E26" s="6">
        <v>0</v>
      </c>
      <c r="F26" s="6">
        <v>2</v>
      </c>
      <c r="G26" s="6">
        <v>0</v>
      </c>
      <c r="H26" s="6">
        <v>0</v>
      </c>
      <c r="I26" s="6">
        <v>0</v>
      </c>
      <c r="J26" s="6">
        <v>1</v>
      </c>
      <c r="K26" s="6">
        <v>0</v>
      </c>
      <c r="L26" s="6">
        <v>2</v>
      </c>
      <c r="M26" s="6">
        <v>1</v>
      </c>
      <c r="N26" s="6">
        <v>0</v>
      </c>
      <c r="O26" s="5">
        <f t="shared" si="2"/>
        <v>6</v>
      </c>
    </row>
    <row r="27" spans="1:15" x14ac:dyDescent="0.4">
      <c r="A27" s="13"/>
      <c r="B27" s="74"/>
      <c r="C27" s="81"/>
      <c r="D27" s="5" t="s">
        <v>24</v>
      </c>
      <c r="E27" s="5">
        <f t="shared" ref="E27:N27" si="7">SUM(E25:E26)</f>
        <v>0</v>
      </c>
      <c r="F27" s="5">
        <f t="shared" si="7"/>
        <v>2</v>
      </c>
      <c r="G27" s="5">
        <f t="shared" si="7"/>
        <v>1</v>
      </c>
      <c r="H27" s="5">
        <f t="shared" si="7"/>
        <v>0</v>
      </c>
      <c r="I27" s="5">
        <f t="shared" si="7"/>
        <v>0</v>
      </c>
      <c r="J27" s="5">
        <f t="shared" si="7"/>
        <v>1</v>
      </c>
      <c r="K27" s="5">
        <f t="shared" si="7"/>
        <v>0</v>
      </c>
      <c r="L27" s="5">
        <f t="shared" ref="L27" si="8">SUM(L25:L26)</f>
        <v>3</v>
      </c>
      <c r="M27" s="5">
        <f t="shared" si="7"/>
        <v>1</v>
      </c>
      <c r="N27" s="5">
        <f t="shared" si="7"/>
        <v>0</v>
      </c>
      <c r="O27" s="5">
        <f t="shared" si="2"/>
        <v>8</v>
      </c>
    </row>
    <row r="28" spans="1:15" x14ac:dyDescent="0.4">
      <c r="A28" s="13"/>
      <c r="B28" s="82" t="s">
        <v>33</v>
      </c>
      <c r="C28" s="83" t="s">
        <v>34</v>
      </c>
      <c r="D28" s="5" t="s">
        <v>22</v>
      </c>
      <c r="E28" s="5">
        <f>SUM(E19,E22,E25)</f>
        <v>122</v>
      </c>
      <c r="F28" s="5">
        <f t="shared" ref="F28:N29" si="9">SUM(F19,F22,F25)</f>
        <v>119</v>
      </c>
      <c r="G28" s="5">
        <f t="shared" si="9"/>
        <v>130</v>
      </c>
      <c r="H28" s="5">
        <f t="shared" si="9"/>
        <v>118</v>
      </c>
      <c r="I28" s="5">
        <f t="shared" si="9"/>
        <v>122</v>
      </c>
      <c r="J28" s="5">
        <f t="shared" si="9"/>
        <v>114</v>
      </c>
      <c r="K28" s="5">
        <f t="shared" si="9"/>
        <v>103</v>
      </c>
      <c r="L28" s="5">
        <f t="shared" ref="L28" si="10">SUM(L19,L22,L25)</f>
        <v>116</v>
      </c>
      <c r="M28" s="5">
        <f t="shared" si="9"/>
        <v>101</v>
      </c>
      <c r="N28" s="5">
        <f t="shared" si="9"/>
        <v>76</v>
      </c>
      <c r="O28" s="5">
        <f t="shared" si="2"/>
        <v>1121</v>
      </c>
    </row>
    <row r="29" spans="1:15" x14ac:dyDescent="0.4">
      <c r="A29" s="13"/>
      <c r="B29" s="76"/>
      <c r="C29" s="80"/>
      <c r="D29" s="5" t="s">
        <v>23</v>
      </c>
      <c r="E29" s="5">
        <f>SUM(E20,E23,E26)</f>
        <v>126</v>
      </c>
      <c r="F29" s="5">
        <f t="shared" si="9"/>
        <v>133</v>
      </c>
      <c r="G29" s="5">
        <f t="shared" si="9"/>
        <v>138</v>
      </c>
      <c r="H29" s="5">
        <f t="shared" si="9"/>
        <v>134</v>
      </c>
      <c r="I29" s="5">
        <f t="shared" si="9"/>
        <v>117</v>
      </c>
      <c r="J29" s="5">
        <f t="shared" si="9"/>
        <v>129</v>
      </c>
      <c r="K29" s="5">
        <f t="shared" si="9"/>
        <v>118</v>
      </c>
      <c r="L29" s="5">
        <f t="shared" ref="L29" si="11">SUM(L20,L23,L26)</f>
        <v>118</v>
      </c>
      <c r="M29" s="5">
        <f t="shared" si="9"/>
        <v>111</v>
      </c>
      <c r="N29" s="5">
        <f t="shared" si="9"/>
        <v>86</v>
      </c>
      <c r="O29" s="5">
        <f t="shared" si="2"/>
        <v>1210</v>
      </c>
    </row>
    <row r="30" spans="1:15" x14ac:dyDescent="0.4">
      <c r="A30" s="13"/>
      <c r="B30" s="74"/>
      <c r="C30" s="81"/>
      <c r="D30" s="5" t="s">
        <v>24</v>
      </c>
      <c r="E30" s="5">
        <f t="shared" ref="E30" si="12">SUM(E28:E29)</f>
        <v>248</v>
      </c>
      <c r="F30" s="5">
        <f t="shared" ref="F30:N30" si="13">SUM(F28:F29)</f>
        <v>252</v>
      </c>
      <c r="G30" s="5">
        <f t="shared" si="13"/>
        <v>268</v>
      </c>
      <c r="H30" s="5">
        <f t="shared" si="13"/>
        <v>252</v>
      </c>
      <c r="I30" s="5">
        <f t="shared" si="13"/>
        <v>239</v>
      </c>
      <c r="J30" s="5">
        <f t="shared" si="13"/>
        <v>243</v>
      </c>
      <c r="K30" s="5">
        <f t="shared" si="13"/>
        <v>221</v>
      </c>
      <c r="L30" s="5">
        <f t="shared" ref="L30" si="14">SUM(L28:L29)</f>
        <v>234</v>
      </c>
      <c r="M30" s="5">
        <f t="shared" si="13"/>
        <v>212</v>
      </c>
      <c r="N30" s="5">
        <f t="shared" si="13"/>
        <v>162</v>
      </c>
      <c r="O30" s="5">
        <f t="shared" si="2"/>
        <v>2331</v>
      </c>
    </row>
    <row r="31" spans="1:15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6"/>
      <c r="O31" s="28"/>
    </row>
    <row r="32" spans="1:15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</row>
    <row r="33" spans="1:15" x14ac:dyDescent="0.4">
      <c r="A33" s="6">
        <v>1</v>
      </c>
      <c r="B33" s="77" t="s">
        <v>37</v>
      </c>
      <c r="C33" s="68"/>
      <c r="D33" s="51"/>
      <c r="E33" s="6">
        <v>301</v>
      </c>
      <c r="F33" s="6">
        <v>299</v>
      </c>
      <c r="G33" s="6">
        <v>302</v>
      </c>
      <c r="H33" s="6">
        <v>302</v>
      </c>
      <c r="I33" s="6">
        <v>298</v>
      </c>
      <c r="J33" s="6">
        <v>292</v>
      </c>
      <c r="K33" s="6">
        <v>266</v>
      </c>
      <c r="L33" s="6">
        <v>267</v>
      </c>
      <c r="M33" s="6">
        <v>253</v>
      </c>
      <c r="N33" s="6">
        <v>190</v>
      </c>
      <c r="O33" s="5">
        <f>SUM(E33:N33)</f>
        <v>2770</v>
      </c>
    </row>
    <row r="34" spans="1:15" x14ac:dyDescent="0.4">
      <c r="A34" s="6">
        <v>2</v>
      </c>
      <c r="B34" s="77" t="s">
        <v>38</v>
      </c>
      <c r="C34" s="68"/>
      <c r="D34" s="51"/>
      <c r="E34" s="5">
        <v>248</v>
      </c>
      <c r="F34" s="5">
        <v>252</v>
      </c>
      <c r="G34" s="5">
        <v>268</v>
      </c>
      <c r="H34" s="5">
        <v>252</v>
      </c>
      <c r="I34" s="5">
        <v>239</v>
      </c>
      <c r="J34" s="5">
        <v>243</v>
      </c>
      <c r="K34" s="5">
        <v>221</v>
      </c>
      <c r="L34" s="5">
        <v>234</v>
      </c>
      <c r="M34" s="5">
        <v>212</v>
      </c>
      <c r="N34" s="5">
        <v>162</v>
      </c>
      <c r="O34" s="5">
        <f>SUM(E34:N34)</f>
        <v>2331</v>
      </c>
    </row>
    <row r="35" spans="1:15" x14ac:dyDescent="0.4">
      <c r="A35" s="6">
        <v>3</v>
      </c>
      <c r="B35" s="77" t="s">
        <v>39</v>
      </c>
      <c r="C35" s="68"/>
      <c r="D35" s="51"/>
      <c r="E35" s="6"/>
      <c r="F35" s="6"/>
      <c r="G35" s="6"/>
      <c r="H35" s="6"/>
      <c r="I35" s="6"/>
      <c r="J35" s="6">
        <v>1</v>
      </c>
      <c r="K35" s="6"/>
      <c r="L35" s="6"/>
      <c r="M35" s="6">
        <v>31</v>
      </c>
      <c r="N35" s="6"/>
      <c r="O35" s="5">
        <f>SUM(E35:N35)</f>
        <v>32</v>
      </c>
    </row>
    <row r="36" spans="1:15" x14ac:dyDescent="0.4">
      <c r="A36" s="6">
        <v>4</v>
      </c>
      <c r="B36" s="77" t="s">
        <v>40</v>
      </c>
      <c r="C36" s="68"/>
      <c r="D36" s="51"/>
      <c r="E36" s="5">
        <f t="shared" ref="E36:N36" si="15">E33-(E34+E35)</f>
        <v>53</v>
      </c>
      <c r="F36" s="5">
        <f t="shared" si="15"/>
        <v>47</v>
      </c>
      <c r="G36" s="5">
        <f t="shared" si="15"/>
        <v>34</v>
      </c>
      <c r="H36" s="5">
        <f t="shared" si="15"/>
        <v>50</v>
      </c>
      <c r="I36" s="5">
        <f t="shared" si="15"/>
        <v>59</v>
      </c>
      <c r="J36" s="5">
        <f t="shared" si="15"/>
        <v>48</v>
      </c>
      <c r="K36" s="5">
        <f t="shared" si="15"/>
        <v>45</v>
      </c>
      <c r="L36" s="5">
        <f t="shared" ref="L36" si="16">L33-(L34+L35)</f>
        <v>33</v>
      </c>
      <c r="M36" s="5">
        <f t="shared" si="15"/>
        <v>10</v>
      </c>
      <c r="N36" s="5">
        <f t="shared" si="15"/>
        <v>28</v>
      </c>
      <c r="O36" s="5">
        <f>SUM(E36:N36)</f>
        <v>407</v>
      </c>
    </row>
    <row r="37" spans="1:15" x14ac:dyDescent="0.4">
      <c r="A37" s="55"/>
      <c r="B37" s="68"/>
      <c r="C37" s="68"/>
      <c r="D37" s="68"/>
      <c r="E37" s="55"/>
      <c r="F37" s="73"/>
      <c r="G37" s="73"/>
      <c r="H37" s="73"/>
      <c r="I37" s="92"/>
      <c r="J37" s="6"/>
      <c r="K37" s="6"/>
      <c r="L37" s="6"/>
      <c r="M37" s="6"/>
      <c r="N37" s="6"/>
      <c r="O37" s="28"/>
    </row>
    <row r="38" spans="1:15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5"/>
      <c r="O38" s="28"/>
    </row>
    <row r="39" spans="1:15" x14ac:dyDescent="0.4">
      <c r="A39" s="11"/>
      <c r="B39" s="71" t="s">
        <v>43</v>
      </c>
      <c r="C39" s="64"/>
      <c r="D39" s="6" t="s">
        <v>22</v>
      </c>
      <c r="E39" s="6">
        <v>2</v>
      </c>
      <c r="F39" s="6">
        <v>1</v>
      </c>
      <c r="G39" s="6"/>
      <c r="H39" s="6"/>
      <c r="I39" s="6"/>
      <c r="J39" s="6"/>
      <c r="K39" s="6"/>
      <c r="L39" s="6"/>
      <c r="M39" s="6"/>
      <c r="N39" s="6"/>
      <c r="O39" s="5">
        <f>SUM(E39:N39)</f>
        <v>3</v>
      </c>
    </row>
    <row r="40" spans="1:15" x14ac:dyDescent="0.4">
      <c r="A40" s="12"/>
      <c r="B40" s="75"/>
      <c r="C40" s="76"/>
      <c r="D40" s="6" t="s">
        <v>23</v>
      </c>
      <c r="E40" s="6"/>
      <c r="F40" s="6"/>
      <c r="G40" s="6"/>
      <c r="H40" s="6"/>
      <c r="I40" s="6">
        <v>1</v>
      </c>
      <c r="J40" s="6">
        <v>1</v>
      </c>
      <c r="K40" s="6"/>
      <c r="L40" s="6"/>
      <c r="M40" s="6"/>
      <c r="N40" s="6"/>
      <c r="O40" s="5">
        <f>SUM(E40:N40)</f>
        <v>2</v>
      </c>
    </row>
    <row r="41" spans="1:15" x14ac:dyDescent="0.4">
      <c r="A41" s="14"/>
      <c r="B41" s="70"/>
      <c r="C41" s="74"/>
      <c r="D41" s="5" t="s">
        <v>24</v>
      </c>
      <c r="E41" s="5">
        <f t="shared" ref="E41:N41" si="17">SUM(E39:E40)</f>
        <v>2</v>
      </c>
      <c r="F41" s="5">
        <f t="shared" si="17"/>
        <v>1</v>
      </c>
      <c r="G41" s="5">
        <f t="shared" si="17"/>
        <v>0</v>
      </c>
      <c r="H41" s="5">
        <f t="shared" si="17"/>
        <v>0</v>
      </c>
      <c r="I41" s="5">
        <f t="shared" si="17"/>
        <v>1</v>
      </c>
      <c r="J41" s="5">
        <f t="shared" si="17"/>
        <v>1</v>
      </c>
      <c r="K41" s="5">
        <f t="shared" si="17"/>
        <v>0</v>
      </c>
      <c r="L41" s="5">
        <f t="shared" ref="L41" si="18">SUM(L39:L40)</f>
        <v>0</v>
      </c>
      <c r="M41" s="5">
        <f t="shared" si="17"/>
        <v>0</v>
      </c>
      <c r="N41" s="5">
        <f t="shared" si="17"/>
        <v>0</v>
      </c>
      <c r="O41" s="5">
        <f>SUM(E41:N41)</f>
        <v>5</v>
      </c>
    </row>
    <row r="42" spans="1:15" x14ac:dyDescent="0.4">
      <c r="A42" s="69"/>
      <c r="B42" s="70"/>
      <c r="C42" s="70"/>
      <c r="D42" s="74"/>
      <c r="E42" s="55"/>
      <c r="F42" s="68"/>
      <c r="G42" s="68"/>
      <c r="H42" s="68"/>
      <c r="I42" s="51"/>
      <c r="J42" s="6"/>
      <c r="K42" s="6"/>
      <c r="L42" s="6"/>
      <c r="M42" s="6"/>
      <c r="N42" s="6"/>
      <c r="O42" s="5"/>
    </row>
    <row r="43" spans="1:15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6"/>
      <c r="O44" s="5"/>
    </row>
    <row r="45" spans="1:15" x14ac:dyDescent="0.4">
      <c r="A45" s="11" t="s">
        <v>47</v>
      </c>
      <c r="B45" s="17" t="s">
        <v>27</v>
      </c>
      <c r="C45" s="50" t="s">
        <v>48</v>
      </c>
      <c r="D45" s="51"/>
      <c r="E45" s="6">
        <v>9</v>
      </c>
      <c r="F45" s="6">
        <v>15</v>
      </c>
      <c r="G45" s="6">
        <v>12</v>
      </c>
      <c r="H45" s="6">
        <v>17</v>
      </c>
      <c r="I45" s="6">
        <v>26</v>
      </c>
      <c r="J45" s="6">
        <v>38</v>
      </c>
      <c r="K45" s="6">
        <v>33</v>
      </c>
      <c r="L45" s="6">
        <v>31</v>
      </c>
      <c r="M45" s="6">
        <v>31</v>
      </c>
      <c r="N45" s="6">
        <v>19</v>
      </c>
      <c r="O45" s="5">
        <f t="shared" ref="O45:O54" si="19">SUM(E45:N45)</f>
        <v>231</v>
      </c>
    </row>
    <row r="46" spans="1:15" x14ac:dyDescent="0.4">
      <c r="A46" s="11" t="s">
        <v>49</v>
      </c>
      <c r="B46" s="46"/>
      <c r="C46" s="24" t="s">
        <v>103</v>
      </c>
      <c r="D46" s="45"/>
      <c r="E46" s="6">
        <v>23</v>
      </c>
      <c r="F46" s="6">
        <v>34</v>
      </c>
      <c r="G46" s="6">
        <v>62</v>
      </c>
      <c r="H46" s="6">
        <v>44</v>
      </c>
      <c r="I46" s="6">
        <v>71</v>
      </c>
      <c r="J46" s="6">
        <v>78</v>
      </c>
      <c r="K46" s="6">
        <v>74</v>
      </c>
      <c r="L46" s="6">
        <v>94</v>
      </c>
      <c r="M46" s="6">
        <v>76</v>
      </c>
      <c r="N46" s="6">
        <v>53</v>
      </c>
      <c r="O46" s="5">
        <f t="shared" si="19"/>
        <v>609</v>
      </c>
    </row>
    <row r="47" spans="1:15" x14ac:dyDescent="0.4">
      <c r="A47" s="7"/>
      <c r="B47" s="46"/>
      <c r="C47" s="24" t="s">
        <v>104</v>
      </c>
      <c r="D47" s="45"/>
      <c r="E47" s="6">
        <v>5</v>
      </c>
      <c r="F47" s="6">
        <v>2</v>
      </c>
      <c r="G47" s="6">
        <v>5</v>
      </c>
      <c r="H47" s="6">
        <v>3</v>
      </c>
      <c r="I47" s="6">
        <v>4</v>
      </c>
      <c r="J47" s="6">
        <v>4</v>
      </c>
      <c r="K47" s="6">
        <v>1</v>
      </c>
      <c r="L47" s="6">
        <v>2</v>
      </c>
      <c r="M47" s="6">
        <v>3</v>
      </c>
      <c r="N47" s="6">
        <v>0</v>
      </c>
      <c r="O47" s="5">
        <f t="shared" si="19"/>
        <v>29</v>
      </c>
    </row>
    <row r="48" spans="1:15" x14ac:dyDescent="0.4">
      <c r="A48" s="7"/>
      <c r="B48" s="46"/>
      <c r="C48" s="24" t="s">
        <v>105</v>
      </c>
      <c r="D48" s="45"/>
      <c r="E48" s="6">
        <v>1</v>
      </c>
      <c r="F48" s="6">
        <v>0</v>
      </c>
      <c r="G48" s="6">
        <v>0</v>
      </c>
      <c r="H48" s="6">
        <v>1</v>
      </c>
      <c r="I48" s="6">
        <v>1</v>
      </c>
      <c r="J48" s="6">
        <v>0</v>
      </c>
      <c r="K48" s="6">
        <v>1</v>
      </c>
      <c r="L48" s="6">
        <v>2</v>
      </c>
      <c r="M48" s="6">
        <v>1</v>
      </c>
      <c r="N48" s="6">
        <v>0</v>
      </c>
      <c r="O48" s="5">
        <f t="shared" si="19"/>
        <v>7</v>
      </c>
    </row>
    <row r="49" spans="1:15" x14ac:dyDescent="0.4">
      <c r="A49" s="7"/>
      <c r="B49" s="46"/>
      <c r="C49" s="24" t="s">
        <v>106</v>
      </c>
      <c r="D49" s="45"/>
      <c r="E49" s="6">
        <v>0</v>
      </c>
      <c r="F49" s="6">
        <v>1</v>
      </c>
      <c r="G49" s="6">
        <v>0</v>
      </c>
      <c r="H49" s="6">
        <v>0</v>
      </c>
      <c r="I49" s="6">
        <v>1</v>
      </c>
      <c r="J49" s="6">
        <v>1</v>
      </c>
      <c r="K49" s="6">
        <v>0</v>
      </c>
      <c r="L49" s="6">
        <v>0</v>
      </c>
      <c r="M49" s="6">
        <v>1</v>
      </c>
      <c r="N49" s="6">
        <v>1</v>
      </c>
      <c r="O49" s="5">
        <f t="shared" si="19"/>
        <v>5</v>
      </c>
    </row>
    <row r="50" spans="1:15" x14ac:dyDescent="0.4">
      <c r="A50" s="7"/>
      <c r="B50" s="46"/>
      <c r="C50" s="24" t="s">
        <v>107</v>
      </c>
      <c r="D50" s="45"/>
      <c r="E50" s="6">
        <v>1</v>
      </c>
      <c r="F50" s="6">
        <v>1</v>
      </c>
      <c r="G50" s="6">
        <v>0</v>
      </c>
      <c r="H50" s="6">
        <v>0</v>
      </c>
      <c r="I50" s="6">
        <v>2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5">
        <f t="shared" si="19"/>
        <v>5</v>
      </c>
    </row>
    <row r="51" spans="1:15" x14ac:dyDescent="0.4">
      <c r="A51" s="7"/>
      <c r="B51" s="46"/>
      <c r="C51" s="24" t="s">
        <v>108</v>
      </c>
      <c r="D51" s="45"/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5">
        <f t="shared" si="19"/>
        <v>2</v>
      </c>
    </row>
    <row r="52" spans="1:15" ht="13.15" customHeight="1" x14ac:dyDescent="0.4">
      <c r="A52" s="7"/>
      <c r="B52" s="46"/>
      <c r="C52" s="24" t="s">
        <v>109</v>
      </c>
      <c r="D52" s="45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0</v>
      </c>
      <c r="N52" s="6">
        <v>0</v>
      </c>
      <c r="O52" s="5">
        <f t="shared" si="19"/>
        <v>1</v>
      </c>
    </row>
    <row r="53" spans="1:15" ht="13.15" customHeight="1" x14ac:dyDescent="0.4">
      <c r="A53" s="7"/>
      <c r="B53" s="46"/>
      <c r="C53" s="24" t="s">
        <v>110</v>
      </c>
      <c r="D53" s="47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5">
        <f t="shared" si="19"/>
        <v>0</v>
      </c>
    </row>
    <row r="54" spans="1:15" ht="13.15" customHeight="1" x14ac:dyDescent="0.4">
      <c r="A54" s="7"/>
      <c r="B54" s="46"/>
      <c r="C54" s="24" t="s">
        <v>111</v>
      </c>
      <c r="D54" s="45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5">
        <f t="shared" si="19"/>
        <v>2</v>
      </c>
    </row>
    <row r="55" spans="1:15" x14ac:dyDescent="0.4">
      <c r="A55" s="6" t="s">
        <v>25</v>
      </c>
      <c r="B55" s="52" t="s">
        <v>50</v>
      </c>
      <c r="C55" s="68"/>
      <c r="D55" s="51"/>
      <c r="E55" s="5">
        <f>SUM(E45:E54)</f>
        <v>40</v>
      </c>
      <c r="F55" s="5">
        <f t="shared" ref="F55:O55" si="20">SUM(F45:F54)</f>
        <v>53</v>
      </c>
      <c r="G55" s="5">
        <f t="shared" si="20"/>
        <v>79</v>
      </c>
      <c r="H55" s="5">
        <f t="shared" si="20"/>
        <v>65</v>
      </c>
      <c r="I55" s="5">
        <f t="shared" si="20"/>
        <v>105</v>
      </c>
      <c r="J55" s="5">
        <f t="shared" si="20"/>
        <v>122</v>
      </c>
      <c r="K55" s="5">
        <f t="shared" si="20"/>
        <v>110</v>
      </c>
      <c r="L55" s="5">
        <f t="shared" ref="L55" si="21">SUM(L45:L54)</f>
        <v>131</v>
      </c>
      <c r="M55" s="5">
        <f t="shared" si="20"/>
        <v>112</v>
      </c>
      <c r="N55" s="5">
        <f t="shared" si="20"/>
        <v>74</v>
      </c>
      <c r="O55" s="5">
        <f t="shared" si="20"/>
        <v>891</v>
      </c>
    </row>
    <row r="56" spans="1:15" x14ac:dyDescent="0.4">
      <c r="A56" s="69"/>
      <c r="B56" s="70"/>
      <c r="C56" s="70"/>
      <c r="D56" s="70"/>
      <c r="E56" s="70"/>
      <c r="O56" s="5"/>
    </row>
    <row r="57" spans="1:15" x14ac:dyDescent="0.4">
      <c r="A57" s="11" t="s">
        <v>47</v>
      </c>
      <c r="B57" s="17" t="s">
        <v>29</v>
      </c>
      <c r="C57" s="50" t="s">
        <v>51</v>
      </c>
      <c r="D57" s="51"/>
      <c r="E57" s="6">
        <v>18</v>
      </c>
      <c r="F57" s="6">
        <v>24</v>
      </c>
      <c r="G57" s="6">
        <v>12</v>
      </c>
      <c r="H57" s="6">
        <v>14</v>
      </c>
      <c r="I57" s="6">
        <v>13</v>
      </c>
      <c r="J57" s="6">
        <v>13</v>
      </c>
      <c r="K57" s="6">
        <v>6</v>
      </c>
      <c r="L57" s="6">
        <v>8</v>
      </c>
      <c r="M57" s="6">
        <v>4</v>
      </c>
      <c r="N57" s="6">
        <v>9</v>
      </c>
      <c r="O57" s="5">
        <f t="shared" ref="O57:O66" si="22">SUM(E57:N57)</f>
        <v>121</v>
      </c>
    </row>
    <row r="58" spans="1:15" x14ac:dyDescent="0.4">
      <c r="A58" s="11" t="s">
        <v>49</v>
      </c>
      <c r="B58" s="46"/>
      <c r="C58" s="24" t="s">
        <v>112</v>
      </c>
      <c r="D58" s="45"/>
      <c r="E58" s="6">
        <v>10</v>
      </c>
      <c r="F58" s="6">
        <v>2</v>
      </c>
      <c r="G58" s="6">
        <v>4</v>
      </c>
      <c r="H58" s="6">
        <v>9</v>
      </c>
      <c r="I58" s="6">
        <v>8</v>
      </c>
      <c r="J58" s="6">
        <v>3</v>
      </c>
      <c r="K58" s="6">
        <v>4</v>
      </c>
      <c r="L58" s="6">
        <v>5</v>
      </c>
      <c r="M58" s="6">
        <v>4</v>
      </c>
      <c r="N58" s="6">
        <v>5</v>
      </c>
      <c r="O58" s="5">
        <f t="shared" si="22"/>
        <v>54</v>
      </c>
    </row>
    <row r="59" spans="1:15" x14ac:dyDescent="0.4">
      <c r="A59" s="7"/>
      <c r="B59" s="46"/>
      <c r="C59" s="24" t="s">
        <v>113</v>
      </c>
      <c r="D59" s="45"/>
      <c r="E59" s="6">
        <v>4</v>
      </c>
      <c r="F59" s="6">
        <v>5</v>
      </c>
      <c r="G59" s="6">
        <v>5</v>
      </c>
      <c r="H59" s="6">
        <v>14</v>
      </c>
      <c r="I59" s="6">
        <v>11</v>
      </c>
      <c r="J59" s="6">
        <v>4</v>
      </c>
      <c r="K59" s="6">
        <v>3</v>
      </c>
      <c r="L59" s="6">
        <v>6</v>
      </c>
      <c r="M59" s="6">
        <v>4</v>
      </c>
      <c r="N59" s="6">
        <v>9</v>
      </c>
      <c r="O59" s="5">
        <f t="shared" si="22"/>
        <v>65</v>
      </c>
    </row>
    <row r="60" spans="1:15" x14ac:dyDescent="0.4">
      <c r="A60" s="7"/>
      <c r="B60" s="46"/>
      <c r="C60" s="24" t="s">
        <v>114</v>
      </c>
      <c r="D60" s="45"/>
      <c r="E60" s="6">
        <v>0</v>
      </c>
      <c r="F60" s="6">
        <v>1</v>
      </c>
      <c r="G60" s="6">
        <v>2</v>
      </c>
      <c r="H60" s="6">
        <v>0</v>
      </c>
      <c r="I60" s="6">
        <v>3</v>
      </c>
      <c r="J60" s="6">
        <v>2</v>
      </c>
      <c r="K60" s="6">
        <v>1</v>
      </c>
      <c r="L60" s="6">
        <v>1</v>
      </c>
      <c r="M60" s="6">
        <v>0</v>
      </c>
      <c r="N60" s="6">
        <v>1</v>
      </c>
      <c r="O60" s="5">
        <f t="shared" si="22"/>
        <v>11</v>
      </c>
    </row>
    <row r="61" spans="1:15" x14ac:dyDescent="0.4">
      <c r="A61" s="7"/>
      <c r="B61" s="46"/>
      <c r="C61" s="24" t="s">
        <v>115</v>
      </c>
      <c r="D61" s="45"/>
      <c r="E61" s="6">
        <v>4</v>
      </c>
      <c r="F61" s="6">
        <v>2</v>
      </c>
      <c r="G61" s="6">
        <v>3</v>
      </c>
      <c r="H61" s="6">
        <v>2</v>
      </c>
      <c r="I61" s="6">
        <v>6</v>
      </c>
      <c r="J61" s="6">
        <v>4</v>
      </c>
      <c r="K61" s="6">
        <v>17</v>
      </c>
      <c r="L61" s="6">
        <v>1</v>
      </c>
      <c r="M61" s="6">
        <v>20</v>
      </c>
      <c r="N61" s="6">
        <v>2</v>
      </c>
      <c r="O61" s="5">
        <f t="shared" si="22"/>
        <v>61</v>
      </c>
    </row>
    <row r="62" spans="1:15" x14ac:dyDescent="0.4">
      <c r="A62" s="7"/>
      <c r="B62" s="46"/>
      <c r="C62" s="24" t="s">
        <v>116</v>
      </c>
      <c r="D62" s="45"/>
      <c r="E62" s="6">
        <v>2</v>
      </c>
      <c r="F62" s="6">
        <v>1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2</v>
      </c>
      <c r="M62" s="6">
        <v>0</v>
      </c>
      <c r="N62" s="6">
        <v>0</v>
      </c>
      <c r="O62" s="5">
        <f t="shared" si="22"/>
        <v>6</v>
      </c>
    </row>
    <row r="63" spans="1:15" ht="13.15" customHeight="1" x14ac:dyDescent="0.4">
      <c r="A63" s="7"/>
      <c r="B63" s="46"/>
      <c r="C63" s="24" t="s">
        <v>117</v>
      </c>
      <c r="D63" s="45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0</v>
      </c>
      <c r="O63" s="5">
        <f t="shared" si="22"/>
        <v>1</v>
      </c>
    </row>
    <row r="64" spans="1:15" x14ac:dyDescent="0.4">
      <c r="A64" s="7"/>
      <c r="B64" s="46"/>
      <c r="C64" s="24" t="s">
        <v>118</v>
      </c>
      <c r="D64" s="45"/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1</v>
      </c>
      <c r="O64" s="5">
        <f t="shared" si="22"/>
        <v>3</v>
      </c>
    </row>
    <row r="65" spans="1:15" x14ac:dyDescent="0.4">
      <c r="A65" s="7"/>
      <c r="B65" s="46"/>
      <c r="C65" s="24" t="s">
        <v>119</v>
      </c>
      <c r="D65" s="45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5">
        <f t="shared" si="22"/>
        <v>2</v>
      </c>
    </row>
    <row r="66" spans="1:15" x14ac:dyDescent="0.4">
      <c r="A66" s="7"/>
      <c r="B66" s="46"/>
      <c r="C66" s="24" t="s">
        <v>120</v>
      </c>
      <c r="D66" s="45"/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2</v>
      </c>
      <c r="L66" s="6">
        <v>2</v>
      </c>
      <c r="M66" s="6">
        <v>1</v>
      </c>
      <c r="N66" s="6">
        <v>1</v>
      </c>
      <c r="O66" s="5">
        <f t="shared" si="22"/>
        <v>7</v>
      </c>
    </row>
    <row r="67" spans="1:15" x14ac:dyDescent="0.4">
      <c r="A67" s="6" t="s">
        <v>25</v>
      </c>
      <c r="B67" s="52" t="s">
        <v>50</v>
      </c>
      <c r="C67" s="68"/>
      <c r="D67" s="51"/>
      <c r="E67" s="5">
        <f t="shared" ref="E67:O67" si="23">SUM(E57:E66)</f>
        <v>39</v>
      </c>
      <c r="F67" s="5">
        <f t="shared" si="23"/>
        <v>35</v>
      </c>
      <c r="G67" s="5">
        <f t="shared" si="23"/>
        <v>27</v>
      </c>
      <c r="H67" s="5">
        <f t="shared" si="23"/>
        <v>40</v>
      </c>
      <c r="I67" s="5">
        <f t="shared" si="23"/>
        <v>42</v>
      </c>
      <c r="J67" s="5">
        <f t="shared" si="23"/>
        <v>27</v>
      </c>
      <c r="K67" s="5">
        <f t="shared" si="23"/>
        <v>33</v>
      </c>
      <c r="L67" s="5">
        <f t="shared" ref="L67" si="24">SUM(L57:L66)</f>
        <v>26</v>
      </c>
      <c r="M67" s="5">
        <f t="shared" si="23"/>
        <v>33</v>
      </c>
      <c r="N67" s="5">
        <f t="shared" si="23"/>
        <v>29</v>
      </c>
      <c r="O67" s="5">
        <f t="shared" si="23"/>
        <v>331</v>
      </c>
    </row>
    <row r="68" spans="1:15" x14ac:dyDescent="0.4">
      <c r="A68" s="69"/>
      <c r="B68" s="70"/>
      <c r="C68" s="70"/>
      <c r="D68" s="70"/>
      <c r="E68" s="70"/>
    </row>
    <row r="69" spans="1:15" x14ac:dyDescent="0.4">
      <c r="A69" s="11" t="s">
        <v>47</v>
      </c>
      <c r="B69" s="17" t="s">
        <v>31</v>
      </c>
      <c r="C69" s="50" t="s">
        <v>52</v>
      </c>
      <c r="D69" s="51"/>
      <c r="E69" s="6">
        <v>8</v>
      </c>
      <c r="F69" s="6">
        <v>7</v>
      </c>
      <c r="G69" s="6">
        <v>8</v>
      </c>
      <c r="H69" s="6">
        <v>5</v>
      </c>
      <c r="I69" s="6">
        <v>5</v>
      </c>
      <c r="J69" s="6">
        <v>5</v>
      </c>
      <c r="K69" s="6">
        <v>1</v>
      </c>
      <c r="L69" s="6">
        <v>1</v>
      </c>
      <c r="M69" s="6">
        <v>7</v>
      </c>
      <c r="N69" s="6">
        <v>6</v>
      </c>
      <c r="O69" s="5">
        <f t="shared" ref="O69:O78" si="25">SUM(E69:N69)</f>
        <v>53</v>
      </c>
    </row>
    <row r="70" spans="1:15" x14ac:dyDescent="0.4">
      <c r="A70" s="11" t="s">
        <v>49</v>
      </c>
      <c r="B70" s="46"/>
      <c r="C70" s="24" t="s">
        <v>121</v>
      </c>
      <c r="D70" s="45"/>
      <c r="E70" s="6">
        <v>1</v>
      </c>
      <c r="F70" s="6">
        <v>3</v>
      </c>
      <c r="G70" s="6">
        <v>0</v>
      </c>
      <c r="H70" s="6">
        <v>3</v>
      </c>
      <c r="I70" s="6">
        <v>1</v>
      </c>
      <c r="J70" s="6">
        <v>3</v>
      </c>
      <c r="K70" s="6">
        <v>2</v>
      </c>
      <c r="L70" s="6">
        <v>3</v>
      </c>
      <c r="M70" s="6">
        <v>3</v>
      </c>
      <c r="N70" s="6">
        <v>1</v>
      </c>
      <c r="O70" s="5">
        <f t="shared" si="25"/>
        <v>20</v>
      </c>
    </row>
    <row r="71" spans="1:15" x14ac:dyDescent="0.4">
      <c r="A71" s="7"/>
      <c r="B71" s="46"/>
      <c r="C71" s="24" t="s">
        <v>122</v>
      </c>
      <c r="D71" s="45"/>
      <c r="E71" s="6">
        <v>6</v>
      </c>
      <c r="F71" s="6">
        <v>5</v>
      </c>
      <c r="G71" s="6">
        <v>3</v>
      </c>
      <c r="H71" s="6">
        <v>10</v>
      </c>
      <c r="I71" s="6">
        <v>0</v>
      </c>
      <c r="J71" s="6">
        <v>2</v>
      </c>
      <c r="K71" s="6">
        <v>2</v>
      </c>
      <c r="L71" s="6">
        <v>4</v>
      </c>
      <c r="M71" s="6">
        <v>1</v>
      </c>
      <c r="N71" s="6">
        <v>3</v>
      </c>
      <c r="O71" s="5">
        <f t="shared" si="25"/>
        <v>36</v>
      </c>
    </row>
    <row r="72" spans="1:15" x14ac:dyDescent="0.4">
      <c r="A72" s="7"/>
      <c r="B72" s="46"/>
      <c r="C72" s="24" t="s">
        <v>123</v>
      </c>
      <c r="D72" s="45"/>
      <c r="E72" s="6">
        <v>2</v>
      </c>
      <c r="F72" s="6">
        <v>0</v>
      </c>
      <c r="G72" s="6">
        <v>1</v>
      </c>
      <c r="H72" s="6">
        <v>0</v>
      </c>
      <c r="I72" s="6">
        <v>0</v>
      </c>
      <c r="J72" s="6">
        <v>1</v>
      </c>
      <c r="K72" s="6">
        <v>1</v>
      </c>
      <c r="L72" s="6">
        <v>1</v>
      </c>
      <c r="M72" s="6">
        <v>0</v>
      </c>
      <c r="N72" s="6">
        <v>1</v>
      </c>
      <c r="O72" s="5">
        <f t="shared" si="25"/>
        <v>7</v>
      </c>
    </row>
    <row r="73" spans="1:15" x14ac:dyDescent="0.4">
      <c r="A73" s="7"/>
      <c r="B73" s="46"/>
      <c r="C73" s="24" t="s">
        <v>124</v>
      </c>
      <c r="D73" s="45"/>
      <c r="E73" s="6">
        <v>2</v>
      </c>
      <c r="F73" s="6">
        <v>1</v>
      </c>
      <c r="G73" s="6">
        <v>2</v>
      </c>
      <c r="H73" s="6">
        <v>1</v>
      </c>
      <c r="I73" s="6">
        <v>3</v>
      </c>
      <c r="J73" s="6">
        <v>4</v>
      </c>
      <c r="K73" s="6">
        <v>4</v>
      </c>
      <c r="L73" s="6">
        <v>2</v>
      </c>
      <c r="M73" s="6">
        <v>0</v>
      </c>
      <c r="N73" s="6">
        <v>1</v>
      </c>
      <c r="O73" s="5">
        <f t="shared" si="25"/>
        <v>20</v>
      </c>
    </row>
    <row r="74" spans="1:15" ht="13.15" customHeight="1" x14ac:dyDescent="0.4">
      <c r="A74" s="7"/>
      <c r="B74" s="46"/>
      <c r="C74" s="24" t="s">
        <v>125</v>
      </c>
      <c r="D74" s="45"/>
      <c r="E74" s="6">
        <v>1</v>
      </c>
      <c r="F74" s="6">
        <v>0</v>
      </c>
      <c r="G74" s="6">
        <v>3</v>
      </c>
      <c r="H74" s="6">
        <v>2</v>
      </c>
      <c r="I74" s="6">
        <v>0</v>
      </c>
      <c r="J74" s="6">
        <v>1</v>
      </c>
      <c r="K74" s="6">
        <v>1</v>
      </c>
      <c r="L74" s="6">
        <v>0</v>
      </c>
      <c r="M74" s="6">
        <v>2</v>
      </c>
      <c r="N74" s="6">
        <v>0</v>
      </c>
      <c r="O74" s="5">
        <f t="shared" si="25"/>
        <v>10</v>
      </c>
    </row>
    <row r="75" spans="1:15" x14ac:dyDescent="0.4">
      <c r="A75" s="7"/>
      <c r="B75" s="46"/>
      <c r="C75" s="24" t="s">
        <v>126</v>
      </c>
      <c r="D75" s="45"/>
      <c r="E75" s="6">
        <v>1</v>
      </c>
      <c r="F75" s="6">
        <v>0</v>
      </c>
      <c r="G75" s="6">
        <v>0</v>
      </c>
      <c r="H75" s="6">
        <v>1</v>
      </c>
      <c r="I75" s="6">
        <v>0</v>
      </c>
      <c r="J75" s="6">
        <v>1</v>
      </c>
      <c r="K75" s="6">
        <v>1</v>
      </c>
      <c r="L75" s="6">
        <v>0</v>
      </c>
      <c r="M75" s="6">
        <v>0</v>
      </c>
      <c r="N75" s="6">
        <v>0</v>
      </c>
      <c r="O75" s="5">
        <f t="shared" si="25"/>
        <v>4</v>
      </c>
    </row>
    <row r="76" spans="1:15" x14ac:dyDescent="0.4">
      <c r="A76" s="7"/>
      <c r="B76" s="46"/>
      <c r="C76" s="24" t="s">
        <v>127</v>
      </c>
      <c r="D76" s="45"/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5">
        <f t="shared" si="25"/>
        <v>2</v>
      </c>
    </row>
    <row r="77" spans="1:15" x14ac:dyDescent="0.4">
      <c r="A77" s="7"/>
      <c r="B77" s="46"/>
      <c r="C77" s="24" t="s">
        <v>128</v>
      </c>
      <c r="D77" s="45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5">
        <f t="shared" si="25"/>
        <v>0</v>
      </c>
    </row>
    <row r="78" spans="1:15" x14ac:dyDescent="0.4">
      <c r="A78" s="7"/>
      <c r="B78" s="46"/>
      <c r="C78" s="24" t="s">
        <v>129</v>
      </c>
      <c r="D78" s="45"/>
      <c r="E78" s="6">
        <v>0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5">
        <f t="shared" si="25"/>
        <v>2</v>
      </c>
    </row>
    <row r="79" spans="1:15" x14ac:dyDescent="0.4">
      <c r="A79" s="6" t="s">
        <v>25</v>
      </c>
      <c r="B79" s="52" t="s">
        <v>50</v>
      </c>
      <c r="C79" s="68"/>
      <c r="D79" s="51"/>
      <c r="E79" s="5">
        <f t="shared" ref="E79:O79" si="26">SUM(E69:E78)</f>
        <v>21</v>
      </c>
      <c r="F79" s="5">
        <f t="shared" si="26"/>
        <v>17</v>
      </c>
      <c r="G79" s="5">
        <f t="shared" si="26"/>
        <v>18</v>
      </c>
      <c r="H79" s="5">
        <f t="shared" si="26"/>
        <v>22</v>
      </c>
      <c r="I79" s="5">
        <f t="shared" si="26"/>
        <v>10</v>
      </c>
      <c r="J79" s="5">
        <f t="shared" si="26"/>
        <v>18</v>
      </c>
      <c r="K79" s="5">
        <f t="shared" si="26"/>
        <v>12</v>
      </c>
      <c r="L79" s="5">
        <f t="shared" ref="L79" si="27">SUM(L69:L78)</f>
        <v>11</v>
      </c>
      <c r="M79" s="5">
        <f t="shared" si="26"/>
        <v>13</v>
      </c>
      <c r="N79" s="5">
        <f t="shared" si="26"/>
        <v>12</v>
      </c>
      <c r="O79" s="5">
        <f t="shared" si="26"/>
        <v>154</v>
      </c>
    </row>
    <row r="80" spans="1:15" x14ac:dyDescent="0.4">
      <c r="A80" s="69"/>
      <c r="B80" s="70"/>
      <c r="C80" s="70"/>
      <c r="D80" s="70"/>
      <c r="E80" s="70"/>
    </row>
    <row r="81" spans="1:15" x14ac:dyDescent="0.4">
      <c r="A81" s="11" t="s">
        <v>47</v>
      </c>
      <c r="B81" s="17" t="s">
        <v>33</v>
      </c>
      <c r="C81" s="50" t="s">
        <v>53</v>
      </c>
      <c r="D81" s="51"/>
      <c r="E81" s="6">
        <v>13</v>
      </c>
      <c r="F81" s="6">
        <v>4</v>
      </c>
      <c r="G81" s="6">
        <v>13</v>
      </c>
      <c r="H81" s="6">
        <v>9</v>
      </c>
      <c r="I81" s="6">
        <v>8</v>
      </c>
      <c r="J81" s="6">
        <v>3</v>
      </c>
      <c r="K81" s="6">
        <v>3</v>
      </c>
      <c r="L81" s="6">
        <v>3</v>
      </c>
      <c r="M81" s="6">
        <v>1</v>
      </c>
      <c r="N81" s="6">
        <v>6</v>
      </c>
      <c r="O81" s="5">
        <f t="shared" ref="O81:O90" si="28">SUM(E81:N81)</f>
        <v>63</v>
      </c>
    </row>
    <row r="82" spans="1:15" x14ac:dyDescent="0.4">
      <c r="A82" s="11" t="s">
        <v>49</v>
      </c>
      <c r="B82" s="46"/>
      <c r="C82" s="24" t="s">
        <v>130</v>
      </c>
      <c r="D82" s="45"/>
      <c r="E82" s="6">
        <v>6</v>
      </c>
      <c r="F82" s="6">
        <v>12</v>
      </c>
      <c r="G82" s="6">
        <v>9</v>
      </c>
      <c r="H82" s="6">
        <v>18</v>
      </c>
      <c r="I82" s="6">
        <v>10</v>
      </c>
      <c r="J82" s="6">
        <v>3</v>
      </c>
      <c r="K82" s="6">
        <v>7</v>
      </c>
      <c r="L82" s="6">
        <v>6</v>
      </c>
      <c r="M82" s="6">
        <v>3</v>
      </c>
      <c r="N82" s="6">
        <v>8</v>
      </c>
      <c r="O82" s="5">
        <f t="shared" si="28"/>
        <v>82</v>
      </c>
    </row>
    <row r="83" spans="1:15" x14ac:dyDescent="0.4">
      <c r="A83" s="7"/>
      <c r="B83" s="46"/>
      <c r="C83" s="24" t="s">
        <v>131</v>
      </c>
      <c r="D83" s="45"/>
      <c r="E83" s="6">
        <v>13</v>
      </c>
      <c r="F83" s="6">
        <v>5</v>
      </c>
      <c r="G83" s="6">
        <v>3</v>
      </c>
      <c r="H83" s="6">
        <v>1</v>
      </c>
      <c r="I83" s="6">
        <v>8</v>
      </c>
      <c r="J83" s="6">
        <v>1</v>
      </c>
      <c r="K83" s="6">
        <v>1</v>
      </c>
      <c r="L83" s="6">
        <v>3</v>
      </c>
      <c r="M83" s="6">
        <v>0</v>
      </c>
      <c r="N83" s="6">
        <v>2</v>
      </c>
      <c r="O83" s="5">
        <f t="shared" si="28"/>
        <v>37</v>
      </c>
    </row>
    <row r="84" spans="1:15" x14ac:dyDescent="0.4">
      <c r="A84" s="7"/>
      <c r="B84" s="46"/>
      <c r="C84" s="24" t="s">
        <v>132</v>
      </c>
      <c r="D84" s="45"/>
      <c r="E84" s="6">
        <v>1</v>
      </c>
      <c r="F84" s="6">
        <v>1</v>
      </c>
      <c r="G84" s="6">
        <v>1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5">
        <f t="shared" si="28"/>
        <v>4</v>
      </c>
    </row>
    <row r="85" spans="1:15" ht="13.15" customHeight="1" x14ac:dyDescent="0.4">
      <c r="A85" s="7"/>
      <c r="B85" s="46"/>
      <c r="C85" s="24" t="s">
        <v>133</v>
      </c>
      <c r="D85" s="45"/>
      <c r="E85" s="6">
        <v>1</v>
      </c>
      <c r="F85" s="6">
        <v>0</v>
      </c>
      <c r="G85" s="6">
        <v>2</v>
      </c>
      <c r="H85" s="6">
        <v>1</v>
      </c>
      <c r="I85" s="6">
        <v>1</v>
      </c>
      <c r="J85" s="6">
        <v>0</v>
      </c>
      <c r="K85" s="6">
        <v>2</v>
      </c>
      <c r="L85" s="6">
        <v>0</v>
      </c>
      <c r="M85" s="6">
        <v>0</v>
      </c>
      <c r="N85" s="6">
        <v>0</v>
      </c>
      <c r="O85" s="5">
        <f t="shared" si="28"/>
        <v>7</v>
      </c>
    </row>
    <row r="86" spans="1:15" x14ac:dyDescent="0.4">
      <c r="A86" s="7"/>
      <c r="B86" s="46"/>
      <c r="C86" s="24" t="s">
        <v>134</v>
      </c>
      <c r="D86" s="45"/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5">
        <f t="shared" si="28"/>
        <v>1</v>
      </c>
    </row>
    <row r="87" spans="1:15" x14ac:dyDescent="0.4">
      <c r="A87" s="7"/>
      <c r="B87" s="46"/>
      <c r="C87" s="24" t="s">
        <v>135</v>
      </c>
      <c r="D87" s="45"/>
      <c r="E87" s="6">
        <v>0</v>
      </c>
      <c r="F87" s="6">
        <v>0</v>
      </c>
      <c r="G87" s="6">
        <v>1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5">
        <f t="shared" si="28"/>
        <v>2</v>
      </c>
    </row>
    <row r="88" spans="1:15" x14ac:dyDescent="0.4">
      <c r="A88" s="7"/>
      <c r="B88" s="46"/>
      <c r="C88" s="24" t="s">
        <v>136</v>
      </c>
      <c r="D88" s="45"/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5">
        <f t="shared" si="28"/>
        <v>1</v>
      </c>
    </row>
    <row r="89" spans="1:15" x14ac:dyDescent="0.4">
      <c r="A89" s="7"/>
      <c r="B89" s="46"/>
      <c r="C89" s="24" t="s">
        <v>137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5">
        <f t="shared" si="28"/>
        <v>0</v>
      </c>
    </row>
    <row r="90" spans="1:15" x14ac:dyDescent="0.4">
      <c r="A90" s="7"/>
      <c r="B90" s="46"/>
      <c r="C90" s="24" t="s">
        <v>138</v>
      </c>
      <c r="D90" s="45"/>
      <c r="E90" s="6">
        <v>1</v>
      </c>
      <c r="F90" s="6">
        <v>0</v>
      </c>
      <c r="G90" s="6">
        <v>0</v>
      </c>
      <c r="H90" s="6">
        <v>1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5">
        <f t="shared" si="28"/>
        <v>3</v>
      </c>
    </row>
    <row r="91" spans="1:15" x14ac:dyDescent="0.4">
      <c r="A91" s="6" t="s">
        <v>25</v>
      </c>
      <c r="B91" s="52" t="s">
        <v>50</v>
      </c>
      <c r="C91" s="68"/>
      <c r="D91" s="51"/>
      <c r="E91" s="5">
        <f t="shared" ref="E91:O91" si="29">SUM(E81:E90)</f>
        <v>35</v>
      </c>
      <c r="F91" s="5">
        <f t="shared" si="29"/>
        <v>23</v>
      </c>
      <c r="G91" s="5">
        <f t="shared" si="29"/>
        <v>29</v>
      </c>
      <c r="H91" s="5">
        <f t="shared" si="29"/>
        <v>30</v>
      </c>
      <c r="I91" s="5">
        <f t="shared" si="29"/>
        <v>30</v>
      </c>
      <c r="J91" s="5">
        <f t="shared" si="29"/>
        <v>8</v>
      </c>
      <c r="K91" s="5">
        <f t="shared" si="29"/>
        <v>13</v>
      </c>
      <c r="L91" s="5">
        <f t="shared" ref="L91" si="30">SUM(L81:L90)</f>
        <v>12</v>
      </c>
      <c r="M91" s="5">
        <f t="shared" si="29"/>
        <v>4</v>
      </c>
      <c r="N91" s="5">
        <f t="shared" si="29"/>
        <v>16</v>
      </c>
      <c r="O91" s="5">
        <f t="shared" si="29"/>
        <v>200</v>
      </c>
    </row>
    <row r="92" spans="1:15" x14ac:dyDescent="0.4">
      <c r="A92" s="69"/>
      <c r="B92" s="70"/>
      <c r="C92" s="70"/>
      <c r="D92" s="70"/>
      <c r="E92" s="70"/>
    </row>
    <row r="93" spans="1:15" x14ac:dyDescent="0.4">
      <c r="A93" s="11" t="s">
        <v>47</v>
      </c>
      <c r="B93" s="17" t="s">
        <v>54</v>
      </c>
      <c r="C93" s="50" t="s">
        <v>55</v>
      </c>
      <c r="D93" s="51"/>
      <c r="E93" s="6">
        <v>4</v>
      </c>
      <c r="F93" s="6">
        <v>2</v>
      </c>
      <c r="G93" s="6">
        <v>2</v>
      </c>
      <c r="H93" s="6">
        <v>12</v>
      </c>
      <c r="I93" s="6">
        <v>2</v>
      </c>
      <c r="J93" s="6">
        <v>1</v>
      </c>
      <c r="K93" s="6">
        <v>0</v>
      </c>
      <c r="L93" s="6">
        <v>1</v>
      </c>
      <c r="M93" s="6">
        <v>4</v>
      </c>
      <c r="N93" s="6">
        <v>0</v>
      </c>
      <c r="O93" s="5">
        <f t="shared" ref="O93:O102" si="31">SUM(E93:N93)</f>
        <v>28</v>
      </c>
    </row>
    <row r="94" spans="1:15" x14ac:dyDescent="0.4">
      <c r="A94" s="11" t="s">
        <v>49</v>
      </c>
      <c r="B94" s="46"/>
      <c r="C94" s="24" t="s">
        <v>139</v>
      </c>
      <c r="D94" s="47"/>
      <c r="E94" s="6">
        <v>1</v>
      </c>
      <c r="F94" s="6">
        <v>1</v>
      </c>
      <c r="G94" s="6">
        <v>1</v>
      </c>
      <c r="H94" s="6">
        <v>7</v>
      </c>
      <c r="I94" s="6">
        <v>2</v>
      </c>
      <c r="J94" s="6">
        <v>0</v>
      </c>
      <c r="K94" s="6">
        <v>1</v>
      </c>
      <c r="L94" s="6">
        <v>2</v>
      </c>
      <c r="M94" s="6">
        <v>1</v>
      </c>
      <c r="N94" s="6">
        <v>1</v>
      </c>
      <c r="O94" s="5">
        <f t="shared" si="31"/>
        <v>17</v>
      </c>
    </row>
    <row r="95" spans="1:15" x14ac:dyDescent="0.4">
      <c r="A95" s="7"/>
      <c r="B95" s="46"/>
      <c r="C95" s="24" t="s">
        <v>140</v>
      </c>
      <c r="D95" s="47"/>
      <c r="E95" s="6">
        <v>0</v>
      </c>
      <c r="F95" s="6">
        <v>0</v>
      </c>
      <c r="G95" s="6">
        <v>0</v>
      </c>
      <c r="H95" s="6">
        <v>2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5">
        <f t="shared" si="31"/>
        <v>3</v>
      </c>
    </row>
    <row r="96" spans="1:15" ht="13.15" customHeight="1" x14ac:dyDescent="0.4">
      <c r="A96" s="7"/>
      <c r="B96" s="46"/>
      <c r="C96" s="24" t="s">
        <v>141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5">
        <f t="shared" si="31"/>
        <v>1</v>
      </c>
    </row>
    <row r="97" spans="1:15" x14ac:dyDescent="0.4">
      <c r="A97" s="7"/>
      <c r="B97" s="46"/>
      <c r="C97" s="24" t="s">
        <v>142</v>
      </c>
      <c r="D97" s="47"/>
      <c r="E97" s="6">
        <v>2</v>
      </c>
      <c r="F97" s="6">
        <v>1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5">
        <f t="shared" si="31"/>
        <v>4</v>
      </c>
    </row>
    <row r="98" spans="1:15" x14ac:dyDescent="0.4">
      <c r="A98" s="7"/>
      <c r="B98" s="46"/>
      <c r="C98" s="24" t="s">
        <v>143</v>
      </c>
      <c r="D98" s="45"/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5">
        <f t="shared" si="31"/>
        <v>1</v>
      </c>
    </row>
    <row r="99" spans="1:15" x14ac:dyDescent="0.4">
      <c r="A99" s="7"/>
      <c r="B99" s="46"/>
      <c r="C99" s="24" t="s">
        <v>144</v>
      </c>
      <c r="D99" s="45"/>
      <c r="E99" s="6">
        <v>1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5">
        <f t="shared" si="31"/>
        <v>3</v>
      </c>
    </row>
    <row r="100" spans="1:15" x14ac:dyDescent="0.4">
      <c r="A100" s="7"/>
      <c r="B100" s="46"/>
      <c r="C100" s="24" t="s">
        <v>145</v>
      </c>
      <c r="D100" s="47"/>
      <c r="E100" s="6">
        <v>0</v>
      </c>
      <c r="F100" s="6">
        <v>2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5">
        <f t="shared" si="31"/>
        <v>2</v>
      </c>
    </row>
    <row r="101" spans="1:15" x14ac:dyDescent="0.4">
      <c r="A101" s="7"/>
      <c r="B101" s="46"/>
      <c r="C101" s="24" t="s">
        <v>146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5">
        <f t="shared" si="31"/>
        <v>0</v>
      </c>
    </row>
    <row r="102" spans="1:15" x14ac:dyDescent="0.4">
      <c r="A102" s="7"/>
      <c r="B102" s="46"/>
      <c r="C102" s="24" t="s">
        <v>147</v>
      </c>
      <c r="D102" s="47"/>
      <c r="E102" s="6">
        <v>0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5">
        <f t="shared" si="31"/>
        <v>3</v>
      </c>
    </row>
    <row r="103" spans="1:15" x14ac:dyDescent="0.4">
      <c r="A103" s="6" t="s">
        <v>25</v>
      </c>
      <c r="B103" s="52" t="s">
        <v>50</v>
      </c>
      <c r="C103" s="68"/>
      <c r="D103" s="51"/>
      <c r="E103" s="5">
        <f t="shared" ref="E103:O103" si="32">SUM(E93:E102)</f>
        <v>9</v>
      </c>
      <c r="F103" s="5">
        <f t="shared" si="32"/>
        <v>10</v>
      </c>
      <c r="G103" s="5">
        <f t="shared" si="32"/>
        <v>3</v>
      </c>
      <c r="H103" s="5">
        <f t="shared" si="32"/>
        <v>22</v>
      </c>
      <c r="I103" s="5">
        <f t="shared" si="32"/>
        <v>5</v>
      </c>
      <c r="J103" s="5">
        <f t="shared" si="32"/>
        <v>2</v>
      </c>
      <c r="K103" s="5">
        <f t="shared" si="32"/>
        <v>1</v>
      </c>
      <c r="L103" s="5">
        <f t="shared" ref="L103" si="33">SUM(L93:L102)</f>
        <v>4</v>
      </c>
      <c r="M103" s="5">
        <f t="shared" si="32"/>
        <v>5</v>
      </c>
      <c r="N103" s="5">
        <f t="shared" si="32"/>
        <v>1</v>
      </c>
      <c r="O103" s="5">
        <f t="shared" si="32"/>
        <v>62</v>
      </c>
    </row>
    <row r="104" spans="1:15" x14ac:dyDescent="0.4">
      <c r="A104" s="69"/>
      <c r="B104" s="70"/>
      <c r="C104" s="70"/>
      <c r="D104" s="70"/>
      <c r="E104" s="70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x14ac:dyDescent="0.4">
      <c r="A105" s="11" t="s">
        <v>47</v>
      </c>
      <c r="B105" s="17" t="s">
        <v>56</v>
      </c>
      <c r="C105" s="50" t="s">
        <v>57</v>
      </c>
      <c r="D105" s="51"/>
      <c r="E105" s="6">
        <v>3</v>
      </c>
      <c r="F105" s="6">
        <v>2</v>
      </c>
      <c r="G105" s="6">
        <v>1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5">
        <f t="shared" ref="O105:O107" si="34">SUM(E105:N105)</f>
        <v>7</v>
      </c>
    </row>
    <row r="106" spans="1:15" x14ac:dyDescent="0.4">
      <c r="A106" s="11" t="s">
        <v>49</v>
      </c>
      <c r="B106" s="46"/>
      <c r="C106" s="24" t="s">
        <v>148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5">
        <f t="shared" si="34"/>
        <v>0</v>
      </c>
    </row>
    <row r="107" spans="1:15" ht="13.15" customHeight="1" x14ac:dyDescent="0.4">
      <c r="A107" s="7"/>
      <c r="B107" s="46"/>
      <c r="C107" s="24" t="s">
        <v>149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1</v>
      </c>
      <c r="M107" s="6">
        <v>0</v>
      </c>
      <c r="N107" s="6">
        <v>0</v>
      </c>
      <c r="O107" s="5">
        <f t="shared" si="34"/>
        <v>1</v>
      </c>
    </row>
    <row r="108" spans="1:15" ht="13.15" customHeight="1" x14ac:dyDescent="0.4">
      <c r="A108" s="6" t="s">
        <v>25</v>
      </c>
      <c r="B108" s="52" t="s">
        <v>50</v>
      </c>
      <c r="C108" s="53"/>
      <c r="D108" s="54"/>
      <c r="E108" s="5">
        <f t="shared" ref="E108:O108" si="35">SUM(E105:E107)</f>
        <v>3</v>
      </c>
      <c r="F108" s="5">
        <f t="shared" si="35"/>
        <v>2</v>
      </c>
      <c r="G108" s="5">
        <f t="shared" si="35"/>
        <v>1</v>
      </c>
      <c r="H108" s="5">
        <f t="shared" si="35"/>
        <v>0</v>
      </c>
      <c r="I108" s="5">
        <f t="shared" si="35"/>
        <v>0</v>
      </c>
      <c r="J108" s="5">
        <f t="shared" si="35"/>
        <v>1</v>
      </c>
      <c r="K108" s="5">
        <f t="shared" si="35"/>
        <v>0</v>
      </c>
      <c r="L108" s="5">
        <f t="shared" si="35"/>
        <v>1</v>
      </c>
      <c r="M108" s="5">
        <f t="shared" si="35"/>
        <v>0</v>
      </c>
      <c r="N108" s="5">
        <f t="shared" si="35"/>
        <v>0</v>
      </c>
      <c r="O108" s="5">
        <f t="shared" si="35"/>
        <v>8</v>
      </c>
    </row>
    <row r="109" spans="1:15" x14ac:dyDescent="0.4">
      <c r="A109" s="55"/>
      <c r="B109" s="56"/>
      <c r="C109" s="56"/>
      <c r="D109" s="56"/>
      <c r="E109" s="57"/>
      <c r="F109" s="18"/>
      <c r="G109" s="18"/>
      <c r="H109" s="18"/>
      <c r="I109" s="18"/>
      <c r="J109" s="18"/>
      <c r="K109" s="18"/>
      <c r="L109" s="18"/>
      <c r="M109" s="18"/>
      <c r="N109" s="18"/>
      <c r="O109" s="5"/>
    </row>
    <row r="110" spans="1:15" x14ac:dyDescent="0.4">
      <c r="A110" s="11" t="s">
        <v>47</v>
      </c>
      <c r="B110" s="17" t="s">
        <v>58</v>
      </c>
      <c r="C110" s="50" t="s">
        <v>59</v>
      </c>
      <c r="D110" s="51"/>
      <c r="E110" s="6">
        <v>1</v>
      </c>
      <c r="F110" s="6">
        <v>0</v>
      </c>
      <c r="G110" s="6">
        <v>1</v>
      </c>
      <c r="H110" s="6">
        <v>1</v>
      </c>
      <c r="I110" s="6">
        <v>0</v>
      </c>
      <c r="J110" s="6">
        <v>1</v>
      </c>
      <c r="K110" s="6">
        <v>1</v>
      </c>
      <c r="L110" s="6">
        <v>1</v>
      </c>
      <c r="M110" s="6">
        <v>0</v>
      </c>
      <c r="N110" s="6">
        <v>0</v>
      </c>
      <c r="O110" s="5">
        <f t="shared" ref="O110:O115" si="36">SUM(E110:N110)</f>
        <v>6</v>
      </c>
    </row>
    <row r="111" spans="1:15" x14ac:dyDescent="0.4">
      <c r="A111" s="11" t="s">
        <v>49</v>
      </c>
      <c r="B111" s="46"/>
      <c r="C111" s="24" t="s">
        <v>150</v>
      </c>
      <c r="D111" s="45"/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>
        <v>0</v>
      </c>
      <c r="O111" s="5">
        <f t="shared" si="36"/>
        <v>3</v>
      </c>
    </row>
    <row r="112" spans="1:15" x14ac:dyDescent="0.4">
      <c r="A112" s="7"/>
      <c r="B112" s="46"/>
      <c r="C112" s="24" t="s">
        <v>151</v>
      </c>
      <c r="D112" s="45"/>
      <c r="E112" s="6">
        <v>0</v>
      </c>
      <c r="F112" s="6">
        <v>1</v>
      </c>
      <c r="G112" s="6">
        <v>2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0</v>
      </c>
      <c r="N112" s="6">
        <v>0</v>
      </c>
      <c r="O112" s="5">
        <f t="shared" si="36"/>
        <v>4</v>
      </c>
    </row>
    <row r="113" spans="1:15" x14ac:dyDescent="0.4">
      <c r="A113" s="7"/>
      <c r="B113" s="46"/>
      <c r="C113" s="24" t="s">
        <v>152</v>
      </c>
      <c r="D113" s="45"/>
      <c r="E113" s="6">
        <v>0</v>
      </c>
      <c r="F113" s="6">
        <v>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5">
        <f t="shared" si="36"/>
        <v>1</v>
      </c>
    </row>
    <row r="114" spans="1:15" x14ac:dyDescent="0.4">
      <c r="A114" s="7"/>
      <c r="B114" s="46"/>
      <c r="C114" s="24" t="s">
        <v>153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5">
        <f t="shared" si="36"/>
        <v>0</v>
      </c>
    </row>
    <row r="115" spans="1:15" x14ac:dyDescent="0.4">
      <c r="A115" s="7"/>
      <c r="B115" s="46"/>
      <c r="C115" s="24" t="s">
        <v>154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5">
        <f t="shared" si="36"/>
        <v>0</v>
      </c>
    </row>
    <row r="116" spans="1:15" x14ac:dyDescent="0.4">
      <c r="A116" s="6" t="s">
        <v>25</v>
      </c>
      <c r="B116" s="52" t="s">
        <v>50</v>
      </c>
      <c r="C116" s="53"/>
      <c r="D116" s="54"/>
      <c r="E116" s="5">
        <f t="shared" ref="E116:O116" si="37">SUM(E110:E115)</f>
        <v>2</v>
      </c>
      <c r="F116" s="5">
        <f t="shared" si="37"/>
        <v>2</v>
      </c>
      <c r="G116" s="5">
        <f t="shared" si="37"/>
        <v>4</v>
      </c>
      <c r="H116" s="5">
        <f t="shared" si="37"/>
        <v>1</v>
      </c>
      <c r="I116" s="5">
        <f t="shared" si="37"/>
        <v>0</v>
      </c>
      <c r="J116" s="5">
        <f t="shared" si="37"/>
        <v>1</v>
      </c>
      <c r="K116" s="5">
        <f t="shared" si="37"/>
        <v>2</v>
      </c>
      <c r="L116" s="5">
        <f t="shared" si="37"/>
        <v>2</v>
      </c>
      <c r="M116" s="5">
        <f t="shared" si="37"/>
        <v>0</v>
      </c>
      <c r="N116" s="5">
        <f t="shared" si="37"/>
        <v>0</v>
      </c>
      <c r="O116" s="5">
        <f t="shared" si="37"/>
        <v>14</v>
      </c>
    </row>
    <row r="117" spans="1:15" x14ac:dyDescent="0.4">
      <c r="A117" s="55"/>
      <c r="B117" s="56"/>
      <c r="C117" s="56"/>
      <c r="D117" s="56"/>
      <c r="E117" s="57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x14ac:dyDescent="0.4">
      <c r="A118" s="11" t="s">
        <v>47</v>
      </c>
      <c r="B118" s="17" t="s">
        <v>60</v>
      </c>
      <c r="C118" s="50" t="s">
        <v>61</v>
      </c>
      <c r="D118" s="51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1</v>
      </c>
      <c r="M118" s="6">
        <v>0</v>
      </c>
      <c r="N118" s="6">
        <v>0</v>
      </c>
      <c r="O118" s="5">
        <f t="shared" ref="O118:O127" si="38">SUM(E118:N118)</f>
        <v>3</v>
      </c>
    </row>
    <row r="119" spans="1:15" ht="13.15" customHeight="1" x14ac:dyDescent="0.4">
      <c r="A119" s="11" t="s">
        <v>49</v>
      </c>
      <c r="B119" s="46"/>
      <c r="C119" s="24" t="s">
        <v>155</v>
      </c>
      <c r="D119" s="45"/>
      <c r="E119" s="6">
        <v>3</v>
      </c>
      <c r="F119" s="6">
        <v>1</v>
      </c>
      <c r="G119" s="6">
        <v>5</v>
      </c>
      <c r="H119" s="6">
        <v>0</v>
      </c>
      <c r="I119" s="6">
        <v>1</v>
      </c>
      <c r="J119" s="6">
        <v>1</v>
      </c>
      <c r="K119" s="6">
        <v>2</v>
      </c>
      <c r="L119" s="6">
        <v>0</v>
      </c>
      <c r="M119" s="6">
        <v>0</v>
      </c>
      <c r="N119" s="6">
        <v>0</v>
      </c>
      <c r="O119" s="5">
        <f t="shared" si="38"/>
        <v>13</v>
      </c>
    </row>
    <row r="120" spans="1:15" x14ac:dyDescent="0.4">
      <c r="A120" s="7"/>
      <c r="B120" s="46"/>
      <c r="C120" s="24" t="s">
        <v>156</v>
      </c>
      <c r="D120" s="45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5">
        <f t="shared" si="38"/>
        <v>0</v>
      </c>
    </row>
    <row r="121" spans="1:15" x14ac:dyDescent="0.4">
      <c r="A121" s="7"/>
      <c r="B121" s="46"/>
      <c r="C121" s="24" t="s">
        <v>157</v>
      </c>
      <c r="D121" s="45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5">
        <f t="shared" si="38"/>
        <v>2</v>
      </c>
    </row>
    <row r="122" spans="1:15" x14ac:dyDescent="0.4">
      <c r="A122" s="7"/>
      <c r="B122" s="46"/>
      <c r="C122" s="24" t="s">
        <v>158</v>
      </c>
      <c r="D122" s="45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5">
        <f t="shared" si="38"/>
        <v>0</v>
      </c>
    </row>
    <row r="123" spans="1:15" x14ac:dyDescent="0.4">
      <c r="A123" s="7"/>
      <c r="B123" s="46"/>
      <c r="C123" s="24" t="s">
        <v>159</v>
      </c>
      <c r="D123" s="45"/>
      <c r="E123" s="6">
        <v>0</v>
      </c>
      <c r="F123" s="6">
        <v>1</v>
      </c>
      <c r="G123" s="6">
        <v>1</v>
      </c>
      <c r="H123" s="6">
        <v>0</v>
      </c>
      <c r="I123" s="6">
        <v>3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5">
        <f t="shared" si="38"/>
        <v>5</v>
      </c>
    </row>
    <row r="124" spans="1:15" x14ac:dyDescent="0.4">
      <c r="A124" s="7"/>
      <c r="B124" s="46"/>
      <c r="C124" s="24" t="s">
        <v>160</v>
      </c>
      <c r="D124" s="45"/>
      <c r="E124" s="6">
        <v>0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5">
        <f t="shared" si="38"/>
        <v>1</v>
      </c>
    </row>
    <row r="125" spans="1:15" x14ac:dyDescent="0.4">
      <c r="A125" s="7"/>
      <c r="B125" s="46"/>
      <c r="C125" s="24" t="s">
        <v>161</v>
      </c>
      <c r="D125" s="45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5">
        <f t="shared" si="38"/>
        <v>0</v>
      </c>
    </row>
    <row r="126" spans="1:15" x14ac:dyDescent="0.4">
      <c r="A126" s="7"/>
      <c r="B126" s="46"/>
      <c r="C126" s="24" t="s">
        <v>162</v>
      </c>
      <c r="D126" s="45"/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5">
        <f t="shared" si="38"/>
        <v>1</v>
      </c>
    </row>
    <row r="127" spans="1:15" x14ac:dyDescent="0.4">
      <c r="A127" s="7"/>
      <c r="B127" s="46"/>
      <c r="C127" s="24" t="s">
        <v>163</v>
      </c>
      <c r="D127" s="45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5">
        <f t="shared" si="38"/>
        <v>0</v>
      </c>
    </row>
    <row r="128" spans="1:15" x14ac:dyDescent="0.4">
      <c r="A128" s="6" t="s">
        <v>25</v>
      </c>
      <c r="B128" s="52" t="s">
        <v>50</v>
      </c>
      <c r="C128" s="53"/>
      <c r="D128" s="54"/>
      <c r="E128" s="5">
        <f t="shared" ref="E128:O128" si="39">SUM(E118:E127)</f>
        <v>4</v>
      </c>
      <c r="F128" s="5">
        <f t="shared" si="39"/>
        <v>4</v>
      </c>
      <c r="G128" s="5">
        <f t="shared" si="39"/>
        <v>7</v>
      </c>
      <c r="H128" s="5">
        <f t="shared" si="39"/>
        <v>0</v>
      </c>
      <c r="I128" s="5">
        <f t="shared" si="39"/>
        <v>4</v>
      </c>
      <c r="J128" s="5">
        <f t="shared" si="39"/>
        <v>2</v>
      </c>
      <c r="K128" s="5">
        <f t="shared" si="39"/>
        <v>3</v>
      </c>
      <c r="L128" s="5">
        <f t="shared" ref="L128" si="40">SUM(L118:L127)</f>
        <v>1</v>
      </c>
      <c r="M128" s="5">
        <f t="shared" si="39"/>
        <v>0</v>
      </c>
      <c r="N128" s="5">
        <f t="shared" si="39"/>
        <v>0</v>
      </c>
      <c r="O128" s="5">
        <f t="shared" si="39"/>
        <v>25</v>
      </c>
    </row>
    <row r="129" spans="1:15" x14ac:dyDescent="0.4">
      <c r="A129" s="55"/>
      <c r="B129" s="56"/>
      <c r="C129" s="56"/>
      <c r="D129" s="56"/>
      <c r="E129" s="57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3.15" customHeight="1" x14ac:dyDescent="0.4">
      <c r="A130" s="11" t="s">
        <v>47</v>
      </c>
      <c r="B130" s="17" t="s">
        <v>62</v>
      </c>
      <c r="C130" s="50" t="s">
        <v>63</v>
      </c>
      <c r="D130" s="51"/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5">
        <f t="shared" ref="O130:O133" si="41">SUM(E130:N130)</f>
        <v>1</v>
      </c>
    </row>
    <row r="131" spans="1:15" x14ac:dyDescent="0.4">
      <c r="A131" s="11" t="s">
        <v>49</v>
      </c>
      <c r="B131" s="46"/>
      <c r="C131" s="24" t="s">
        <v>164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5">
        <f t="shared" si="41"/>
        <v>0</v>
      </c>
    </row>
    <row r="132" spans="1:15" x14ac:dyDescent="0.4">
      <c r="A132" s="7"/>
      <c r="B132" s="46"/>
      <c r="C132" s="24" t="s">
        <v>165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5">
        <f t="shared" si="41"/>
        <v>0</v>
      </c>
    </row>
    <row r="133" spans="1:15" x14ac:dyDescent="0.4">
      <c r="A133" s="7"/>
      <c r="B133" s="46"/>
      <c r="C133" s="24" t="s">
        <v>166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5">
        <f t="shared" si="41"/>
        <v>0</v>
      </c>
    </row>
    <row r="134" spans="1:15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O134" si="42">SUM(E130:E133)</f>
        <v>0</v>
      </c>
      <c r="F134" s="5">
        <f t="shared" si="42"/>
        <v>0</v>
      </c>
      <c r="G134" s="5">
        <f t="shared" si="42"/>
        <v>0</v>
      </c>
      <c r="H134" s="5">
        <f t="shared" si="42"/>
        <v>1</v>
      </c>
      <c r="I134" s="5">
        <f t="shared" si="42"/>
        <v>0</v>
      </c>
      <c r="J134" s="5">
        <f t="shared" si="42"/>
        <v>0</v>
      </c>
      <c r="K134" s="5">
        <f t="shared" si="42"/>
        <v>0</v>
      </c>
      <c r="L134" s="5">
        <f t="shared" si="42"/>
        <v>0</v>
      </c>
      <c r="M134" s="5">
        <f t="shared" si="42"/>
        <v>0</v>
      </c>
      <c r="N134" s="5">
        <f t="shared" si="42"/>
        <v>0</v>
      </c>
      <c r="O134" s="5">
        <f t="shared" si="42"/>
        <v>1</v>
      </c>
    </row>
    <row r="135" spans="1:15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5"/>
    </row>
    <row r="136" spans="1:15" x14ac:dyDescent="0.4">
      <c r="A136" s="11" t="s">
        <v>47</v>
      </c>
      <c r="B136" s="44" t="s">
        <v>64</v>
      </c>
      <c r="C136" s="63" t="s">
        <v>65</v>
      </c>
      <c r="D136" s="64"/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0</v>
      </c>
      <c r="O136" s="5">
        <f t="shared" ref="O136:O143" si="43">SUM(E136:N136)</f>
        <v>2</v>
      </c>
    </row>
    <row r="137" spans="1:15" x14ac:dyDescent="0.4">
      <c r="A137" s="48" t="s">
        <v>49</v>
      </c>
      <c r="B137" s="46"/>
      <c r="C137" s="24" t="s">
        <v>167</v>
      </c>
      <c r="D137" s="45"/>
      <c r="E137" s="49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5">
        <f t="shared" si="43"/>
        <v>0</v>
      </c>
    </row>
    <row r="138" spans="1:15" x14ac:dyDescent="0.4">
      <c r="A138" s="7"/>
      <c r="B138" s="46"/>
      <c r="C138" s="24" t="s">
        <v>168</v>
      </c>
      <c r="D138" s="45"/>
      <c r="E138" s="49">
        <v>0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5">
        <f t="shared" si="43"/>
        <v>1</v>
      </c>
    </row>
    <row r="139" spans="1:15" x14ac:dyDescent="0.4">
      <c r="A139" s="7"/>
      <c r="B139" s="46"/>
      <c r="C139" s="24" t="s">
        <v>169</v>
      </c>
      <c r="D139" s="45"/>
      <c r="E139" s="49">
        <v>0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5">
        <f t="shared" si="43"/>
        <v>1</v>
      </c>
    </row>
    <row r="140" spans="1:15" x14ac:dyDescent="0.4">
      <c r="A140" s="7"/>
      <c r="B140" s="46"/>
      <c r="C140" s="24" t="s">
        <v>170</v>
      </c>
      <c r="D140" s="45"/>
      <c r="E140" s="49">
        <v>0</v>
      </c>
      <c r="F140" s="6">
        <v>1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5">
        <f t="shared" si="43"/>
        <v>1</v>
      </c>
    </row>
    <row r="141" spans="1:15" x14ac:dyDescent="0.4">
      <c r="A141" s="7"/>
      <c r="B141" s="46"/>
      <c r="C141" s="24" t="s">
        <v>171</v>
      </c>
      <c r="D141" s="45"/>
      <c r="E141" s="49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5">
        <f t="shared" si="43"/>
        <v>0</v>
      </c>
    </row>
    <row r="142" spans="1:15" x14ac:dyDescent="0.4">
      <c r="A142" s="7"/>
      <c r="B142" s="46"/>
      <c r="C142" s="24" t="s">
        <v>172</v>
      </c>
      <c r="D142" s="45"/>
      <c r="E142" s="49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5">
        <f t="shared" si="43"/>
        <v>0</v>
      </c>
    </row>
    <row r="143" spans="1:15" x14ac:dyDescent="0.4">
      <c r="A143" s="7"/>
      <c r="B143" s="46"/>
      <c r="C143" s="24" t="s">
        <v>173</v>
      </c>
      <c r="D143" s="45"/>
      <c r="E143" s="49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5">
        <f t="shared" si="43"/>
        <v>0</v>
      </c>
    </row>
    <row r="144" spans="1:15" x14ac:dyDescent="0.4">
      <c r="A144" s="6" t="s">
        <v>25</v>
      </c>
      <c r="B144" s="65" t="s">
        <v>50</v>
      </c>
      <c r="C144" s="66"/>
      <c r="D144" s="67"/>
      <c r="E144" s="5">
        <f t="shared" ref="E144:O144" si="44">SUM(E136:E143)</f>
        <v>0</v>
      </c>
      <c r="F144" s="5">
        <f t="shared" si="44"/>
        <v>3</v>
      </c>
      <c r="G144" s="5">
        <f t="shared" si="44"/>
        <v>0</v>
      </c>
      <c r="H144" s="5">
        <f t="shared" si="44"/>
        <v>0</v>
      </c>
      <c r="I144" s="5">
        <f t="shared" si="44"/>
        <v>1</v>
      </c>
      <c r="J144" s="5">
        <f t="shared" si="44"/>
        <v>1</v>
      </c>
      <c r="K144" s="5">
        <f t="shared" si="44"/>
        <v>0</v>
      </c>
      <c r="L144" s="5">
        <f t="shared" si="44"/>
        <v>0</v>
      </c>
      <c r="M144" s="5">
        <f t="shared" si="44"/>
        <v>0</v>
      </c>
      <c r="N144" s="5">
        <f t="shared" si="44"/>
        <v>0</v>
      </c>
      <c r="O144" s="5">
        <f t="shared" si="44"/>
        <v>5</v>
      </c>
    </row>
    <row r="145" spans="1:15" x14ac:dyDescent="0.4">
      <c r="A145" s="55"/>
      <c r="B145" s="56"/>
      <c r="C145" s="56"/>
      <c r="D145" s="56"/>
      <c r="E145" s="57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3.15" customHeight="1" x14ac:dyDescent="0.4">
      <c r="A146" s="11" t="s">
        <v>47</v>
      </c>
      <c r="B146" s="17" t="s">
        <v>66</v>
      </c>
      <c r="C146" s="50" t="s">
        <v>67</v>
      </c>
      <c r="D146" s="51"/>
      <c r="E146" s="6">
        <v>1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5">
        <f t="shared" ref="O146:O147" si="45">SUM(E146:N146)</f>
        <v>3</v>
      </c>
    </row>
    <row r="147" spans="1:15" x14ac:dyDescent="0.4">
      <c r="A147" s="11" t="s">
        <v>49</v>
      </c>
      <c r="B147" s="46"/>
      <c r="C147" s="24" t="s">
        <v>174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5">
        <f t="shared" si="45"/>
        <v>0</v>
      </c>
    </row>
    <row r="148" spans="1:15" x14ac:dyDescent="0.4">
      <c r="A148" s="6" t="s">
        <v>25</v>
      </c>
      <c r="B148" s="52" t="s">
        <v>50</v>
      </c>
      <c r="C148" s="53"/>
      <c r="D148" s="54"/>
      <c r="E148" s="5">
        <f t="shared" ref="E148:O148" si="46">SUM(E146:E147)</f>
        <v>1</v>
      </c>
      <c r="F148" s="5">
        <f t="shared" si="46"/>
        <v>1</v>
      </c>
      <c r="G148" s="5">
        <f t="shared" si="46"/>
        <v>0</v>
      </c>
      <c r="H148" s="5">
        <f t="shared" si="46"/>
        <v>0</v>
      </c>
      <c r="I148" s="5">
        <f t="shared" si="46"/>
        <v>0</v>
      </c>
      <c r="J148" s="5">
        <f t="shared" si="46"/>
        <v>0</v>
      </c>
      <c r="K148" s="5">
        <f t="shared" si="46"/>
        <v>0</v>
      </c>
      <c r="L148" s="5">
        <f t="shared" si="46"/>
        <v>0</v>
      </c>
      <c r="M148" s="5">
        <f t="shared" si="46"/>
        <v>1</v>
      </c>
      <c r="N148" s="5">
        <f t="shared" si="46"/>
        <v>0</v>
      </c>
      <c r="O148" s="5">
        <f t="shared" si="46"/>
        <v>3</v>
      </c>
    </row>
    <row r="149" spans="1:15" ht="13.15" customHeight="1" x14ac:dyDescent="0.4">
      <c r="A149" s="55"/>
      <c r="B149" s="56"/>
      <c r="C149" s="56"/>
      <c r="D149" s="56"/>
      <c r="E149" s="57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x14ac:dyDescent="0.4">
      <c r="A150" s="11" t="s">
        <v>47</v>
      </c>
      <c r="B150" s="17" t="s">
        <v>68</v>
      </c>
      <c r="C150" s="50" t="s">
        <v>69</v>
      </c>
      <c r="D150" s="51"/>
      <c r="E150" s="6">
        <v>1</v>
      </c>
      <c r="F150" s="6">
        <v>2</v>
      </c>
      <c r="G150" s="6">
        <v>3</v>
      </c>
      <c r="H150" s="6">
        <v>2</v>
      </c>
      <c r="I150" s="6">
        <v>2</v>
      </c>
      <c r="J150" s="6">
        <v>2</v>
      </c>
      <c r="K150" s="6">
        <v>3</v>
      </c>
      <c r="L150" s="6">
        <v>1</v>
      </c>
      <c r="M150" s="6">
        <v>1</v>
      </c>
      <c r="N150" s="6">
        <v>1</v>
      </c>
      <c r="O150" s="5">
        <f t="shared" ref="O150:O159" si="47">SUM(E150:N150)</f>
        <v>18</v>
      </c>
    </row>
    <row r="151" spans="1:15" x14ac:dyDescent="0.4">
      <c r="A151" s="11" t="s">
        <v>49</v>
      </c>
      <c r="B151" s="46"/>
      <c r="C151" s="24" t="s">
        <v>175</v>
      </c>
      <c r="D151" s="45"/>
      <c r="E151" s="6">
        <v>3</v>
      </c>
      <c r="F151" s="6">
        <v>7</v>
      </c>
      <c r="G151" s="6">
        <v>9</v>
      </c>
      <c r="H151" s="6">
        <v>2</v>
      </c>
      <c r="I151" s="6">
        <v>6</v>
      </c>
      <c r="J151" s="6">
        <v>3</v>
      </c>
      <c r="K151" s="6">
        <v>2</v>
      </c>
      <c r="L151" s="6">
        <v>1</v>
      </c>
      <c r="M151" s="6">
        <v>0</v>
      </c>
      <c r="N151" s="6">
        <v>1</v>
      </c>
      <c r="O151" s="5">
        <f t="shared" si="47"/>
        <v>34</v>
      </c>
    </row>
    <row r="152" spans="1:15" x14ac:dyDescent="0.4">
      <c r="A152" s="7"/>
      <c r="B152" s="46"/>
      <c r="C152" s="24" t="s">
        <v>176</v>
      </c>
      <c r="D152" s="45"/>
      <c r="E152" s="6">
        <v>0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</v>
      </c>
      <c r="N152" s="6">
        <v>0</v>
      </c>
      <c r="O152" s="5">
        <f t="shared" si="47"/>
        <v>2</v>
      </c>
    </row>
    <row r="153" spans="1:15" x14ac:dyDescent="0.4">
      <c r="A153" s="7"/>
      <c r="B153" s="46"/>
      <c r="C153" s="24" t="s">
        <v>177</v>
      </c>
      <c r="D153" s="45"/>
      <c r="E153" s="6">
        <v>0</v>
      </c>
      <c r="F153" s="6">
        <v>0</v>
      </c>
      <c r="G153" s="6">
        <v>2</v>
      </c>
      <c r="H153" s="6">
        <v>0</v>
      </c>
      <c r="I153" s="6">
        <v>1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5">
        <f t="shared" si="47"/>
        <v>4</v>
      </c>
    </row>
    <row r="154" spans="1:15" x14ac:dyDescent="0.4">
      <c r="A154" s="7"/>
      <c r="B154" s="46"/>
      <c r="C154" s="24" t="s">
        <v>178</v>
      </c>
      <c r="D154" s="45"/>
      <c r="E154" s="6">
        <v>0</v>
      </c>
      <c r="F154" s="6">
        <v>2</v>
      </c>
      <c r="G154" s="6">
        <v>2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5">
        <f t="shared" si="47"/>
        <v>5</v>
      </c>
    </row>
    <row r="155" spans="1:15" x14ac:dyDescent="0.4">
      <c r="A155" s="7"/>
      <c r="B155" s="46"/>
      <c r="C155" s="24" t="s">
        <v>179</v>
      </c>
      <c r="D155" s="45"/>
      <c r="E155" s="6">
        <v>0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5">
        <f t="shared" si="47"/>
        <v>1</v>
      </c>
    </row>
    <row r="156" spans="1:15" x14ac:dyDescent="0.4">
      <c r="A156" s="7"/>
      <c r="B156" s="46"/>
      <c r="C156" s="24" t="s">
        <v>180</v>
      </c>
      <c r="D156" s="45"/>
      <c r="E156" s="6">
        <v>0</v>
      </c>
      <c r="F156" s="6">
        <v>2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5">
        <f t="shared" si="47"/>
        <v>3</v>
      </c>
    </row>
    <row r="157" spans="1:15" x14ac:dyDescent="0.4">
      <c r="A157" s="7"/>
      <c r="B157" s="46"/>
      <c r="C157" s="24" t="s">
        <v>181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5">
        <f t="shared" si="47"/>
        <v>0</v>
      </c>
    </row>
    <row r="158" spans="1:15" x14ac:dyDescent="0.4">
      <c r="A158" s="7"/>
      <c r="B158" s="46"/>
      <c r="C158" s="24" t="s">
        <v>182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5">
        <f t="shared" si="47"/>
        <v>1</v>
      </c>
    </row>
    <row r="159" spans="1:15" x14ac:dyDescent="0.4">
      <c r="A159" s="7"/>
      <c r="B159" s="46"/>
      <c r="C159" s="24" t="s">
        <v>183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5">
        <f t="shared" si="47"/>
        <v>0</v>
      </c>
    </row>
    <row r="160" spans="1:15" ht="13.15" customHeight="1" x14ac:dyDescent="0.4">
      <c r="A160" s="6" t="s">
        <v>25</v>
      </c>
      <c r="B160" s="52" t="s">
        <v>50</v>
      </c>
      <c r="C160" s="53"/>
      <c r="D160" s="54"/>
      <c r="E160" s="5">
        <f t="shared" ref="E160:O160" si="48">SUM(E150:E159)</f>
        <v>4</v>
      </c>
      <c r="F160" s="5">
        <f t="shared" si="48"/>
        <v>13</v>
      </c>
      <c r="G160" s="5">
        <f t="shared" si="48"/>
        <v>17</v>
      </c>
      <c r="H160" s="5">
        <f t="shared" si="48"/>
        <v>6</v>
      </c>
      <c r="I160" s="5">
        <f t="shared" si="48"/>
        <v>9</v>
      </c>
      <c r="J160" s="5">
        <f t="shared" si="48"/>
        <v>6</v>
      </c>
      <c r="K160" s="5">
        <f t="shared" si="48"/>
        <v>5</v>
      </c>
      <c r="L160" s="5">
        <f t="shared" ref="L160" si="49">SUM(L150:L159)</f>
        <v>3</v>
      </c>
      <c r="M160" s="5">
        <f t="shared" si="48"/>
        <v>3</v>
      </c>
      <c r="N160" s="5">
        <f t="shared" si="48"/>
        <v>2</v>
      </c>
      <c r="O160" s="5">
        <f t="shared" si="48"/>
        <v>68</v>
      </c>
    </row>
    <row r="161" spans="1:15" x14ac:dyDescent="0.4">
      <c r="A161" s="55"/>
      <c r="B161" s="56"/>
      <c r="C161" s="56"/>
      <c r="D161" s="56"/>
      <c r="E161" s="57"/>
      <c r="F161" s="18"/>
      <c r="G161" s="18"/>
      <c r="H161" s="18"/>
      <c r="I161" s="18"/>
      <c r="J161" s="18"/>
      <c r="K161" s="18"/>
      <c r="L161" s="18"/>
      <c r="M161" s="18"/>
      <c r="N161" s="18"/>
      <c r="O161" s="5"/>
    </row>
    <row r="162" spans="1:15" x14ac:dyDescent="0.4">
      <c r="A162" s="11" t="s">
        <v>47</v>
      </c>
      <c r="B162" s="17" t="s">
        <v>70</v>
      </c>
      <c r="C162" s="50" t="s">
        <v>71</v>
      </c>
      <c r="D162" s="51"/>
      <c r="E162" s="6">
        <v>0</v>
      </c>
      <c r="F162" s="6">
        <v>0</v>
      </c>
      <c r="G162" s="6">
        <v>0</v>
      </c>
      <c r="H162" s="6">
        <v>1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5">
        <f t="shared" ref="O162:O171" si="50">SUM(E162:N162)</f>
        <v>1</v>
      </c>
    </row>
    <row r="163" spans="1:15" x14ac:dyDescent="0.4">
      <c r="A163" s="11" t="s">
        <v>49</v>
      </c>
      <c r="B163" s="46"/>
      <c r="C163" s="24" t="s">
        <v>184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5">
        <f t="shared" si="50"/>
        <v>0</v>
      </c>
    </row>
    <row r="164" spans="1:15" x14ac:dyDescent="0.4">
      <c r="A164" s="7"/>
      <c r="B164" s="46"/>
      <c r="C164" s="24" t="s">
        <v>185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5">
        <f t="shared" si="50"/>
        <v>0</v>
      </c>
    </row>
    <row r="165" spans="1:15" x14ac:dyDescent="0.4">
      <c r="A165" s="7"/>
      <c r="B165" s="46"/>
      <c r="C165" s="24" t="s">
        <v>186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5">
        <f t="shared" si="50"/>
        <v>0</v>
      </c>
    </row>
    <row r="166" spans="1:15" x14ac:dyDescent="0.4">
      <c r="A166" s="7"/>
      <c r="B166" s="46"/>
      <c r="C166" s="24" t="s">
        <v>187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5">
        <f t="shared" si="50"/>
        <v>0</v>
      </c>
    </row>
    <row r="167" spans="1:15" x14ac:dyDescent="0.4">
      <c r="A167" s="7"/>
      <c r="B167" s="46"/>
      <c r="C167" s="24" t="s">
        <v>188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5">
        <f t="shared" si="50"/>
        <v>0</v>
      </c>
    </row>
    <row r="168" spans="1:15" x14ac:dyDescent="0.4">
      <c r="A168" s="7"/>
      <c r="B168" s="46"/>
      <c r="C168" s="24" t="s">
        <v>189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5">
        <f t="shared" si="50"/>
        <v>0</v>
      </c>
    </row>
    <row r="169" spans="1:15" ht="13.15" customHeight="1" x14ac:dyDescent="0.4">
      <c r="A169" s="7"/>
      <c r="B169" s="46"/>
      <c r="C169" s="24" t="s">
        <v>190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5">
        <f t="shared" si="50"/>
        <v>0</v>
      </c>
    </row>
    <row r="170" spans="1:15" ht="13.15" customHeight="1" x14ac:dyDescent="0.4">
      <c r="A170" s="7"/>
      <c r="B170" s="46"/>
      <c r="C170" s="24" t="s">
        <v>191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5">
        <f t="shared" si="50"/>
        <v>0</v>
      </c>
    </row>
    <row r="171" spans="1:15" ht="13.15" customHeight="1" x14ac:dyDescent="0.4">
      <c r="A171" s="7"/>
      <c r="B171" s="46"/>
      <c r="C171" s="24" t="s">
        <v>192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5">
        <f t="shared" si="50"/>
        <v>0</v>
      </c>
    </row>
    <row r="172" spans="1:15" x14ac:dyDescent="0.4">
      <c r="A172" s="6" t="s">
        <v>25</v>
      </c>
      <c r="B172" s="52" t="s">
        <v>50</v>
      </c>
      <c r="C172" s="53"/>
      <c r="D172" s="54"/>
      <c r="E172" s="5">
        <f t="shared" ref="E172:N172" si="51">SUM(E162:E171)</f>
        <v>0</v>
      </c>
      <c r="F172" s="5">
        <f t="shared" si="51"/>
        <v>0</v>
      </c>
      <c r="G172" s="5">
        <f t="shared" si="51"/>
        <v>0</v>
      </c>
      <c r="H172" s="5">
        <f t="shared" si="51"/>
        <v>1</v>
      </c>
      <c r="I172" s="5">
        <f t="shared" si="51"/>
        <v>0</v>
      </c>
      <c r="J172" s="5">
        <f t="shared" si="51"/>
        <v>0</v>
      </c>
      <c r="K172" s="5">
        <f t="shared" si="51"/>
        <v>0</v>
      </c>
      <c r="L172" s="5">
        <f t="shared" si="51"/>
        <v>0</v>
      </c>
      <c r="M172" s="5">
        <f t="shared" si="51"/>
        <v>0</v>
      </c>
      <c r="N172" s="5">
        <f t="shared" si="51"/>
        <v>0</v>
      </c>
      <c r="O172" s="5">
        <f t="shared" ref="E172:O172" si="52">SUM(O162:O171)</f>
        <v>1</v>
      </c>
    </row>
    <row r="173" spans="1:15" x14ac:dyDescent="0.4">
      <c r="A173" s="55"/>
      <c r="B173" s="56"/>
      <c r="C173" s="56"/>
      <c r="D173" s="56"/>
      <c r="E173" s="57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x14ac:dyDescent="0.4">
      <c r="A174" s="11" t="s">
        <v>47</v>
      </c>
      <c r="B174" s="17" t="s">
        <v>72</v>
      </c>
      <c r="C174" s="50" t="s">
        <v>73</v>
      </c>
      <c r="D174" s="51"/>
      <c r="E174" s="6">
        <v>0</v>
      </c>
      <c r="F174" s="6">
        <v>5</v>
      </c>
      <c r="G174" s="6">
        <v>1</v>
      </c>
      <c r="H174" s="6">
        <v>0</v>
      </c>
      <c r="I174" s="6">
        <v>1</v>
      </c>
      <c r="J174" s="6">
        <v>4</v>
      </c>
      <c r="K174" s="6">
        <v>2</v>
      </c>
      <c r="L174" s="6">
        <v>1</v>
      </c>
      <c r="M174" s="6">
        <v>0</v>
      </c>
      <c r="N174" s="6">
        <v>1</v>
      </c>
      <c r="O174" s="5">
        <f t="shared" ref="O174:O183" si="53">SUM(E174:N174)</f>
        <v>15</v>
      </c>
    </row>
    <row r="175" spans="1:15" x14ac:dyDescent="0.4">
      <c r="A175" s="11" t="s">
        <v>49</v>
      </c>
      <c r="B175" s="46"/>
      <c r="C175" s="24" t="s">
        <v>193</v>
      </c>
      <c r="D175" s="45"/>
      <c r="E175" s="6">
        <v>1</v>
      </c>
      <c r="F175" s="6">
        <v>1</v>
      </c>
      <c r="G175" s="6">
        <v>1</v>
      </c>
      <c r="H175" s="6">
        <v>1</v>
      </c>
      <c r="I175" s="6">
        <v>2</v>
      </c>
      <c r="J175" s="6">
        <v>1</v>
      </c>
      <c r="K175" s="6">
        <v>0</v>
      </c>
      <c r="L175" s="6">
        <v>3</v>
      </c>
      <c r="M175" s="6">
        <v>0</v>
      </c>
      <c r="N175" s="6">
        <v>2</v>
      </c>
      <c r="O175" s="5">
        <f t="shared" si="53"/>
        <v>12</v>
      </c>
    </row>
    <row r="176" spans="1:15" x14ac:dyDescent="0.4">
      <c r="A176" s="7"/>
      <c r="B176" s="46"/>
      <c r="C176" s="24" t="s">
        <v>194</v>
      </c>
      <c r="D176" s="45"/>
      <c r="E176" s="6">
        <v>2</v>
      </c>
      <c r="F176" s="6">
        <v>0</v>
      </c>
      <c r="G176" s="6">
        <v>3</v>
      </c>
      <c r="H176" s="6">
        <v>0</v>
      </c>
      <c r="I176" s="6">
        <v>2</v>
      </c>
      <c r="J176" s="6">
        <v>6</v>
      </c>
      <c r="K176" s="6">
        <v>8</v>
      </c>
      <c r="L176" s="6">
        <v>4</v>
      </c>
      <c r="M176" s="6">
        <v>2</v>
      </c>
      <c r="N176" s="6">
        <v>1</v>
      </c>
      <c r="O176" s="5">
        <f t="shared" si="53"/>
        <v>28</v>
      </c>
    </row>
    <row r="177" spans="1:15" x14ac:dyDescent="0.4">
      <c r="A177" s="7"/>
      <c r="B177" s="46"/>
      <c r="C177" s="24" t="s">
        <v>195</v>
      </c>
      <c r="D177" s="45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5">
        <f t="shared" si="53"/>
        <v>2</v>
      </c>
    </row>
    <row r="178" spans="1:15" x14ac:dyDescent="0.4">
      <c r="A178" s="7"/>
      <c r="B178" s="46"/>
      <c r="C178" s="24" t="s">
        <v>196</v>
      </c>
      <c r="D178" s="45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>
        <v>0</v>
      </c>
      <c r="O178" s="5">
        <f t="shared" si="53"/>
        <v>1</v>
      </c>
    </row>
    <row r="179" spans="1:15" x14ac:dyDescent="0.4">
      <c r="A179" s="7"/>
      <c r="B179" s="46"/>
      <c r="C179" s="24" t="s">
        <v>197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5">
        <f t="shared" si="53"/>
        <v>0</v>
      </c>
    </row>
    <row r="180" spans="1:15" ht="13.15" customHeight="1" x14ac:dyDescent="0.4">
      <c r="A180" s="7"/>
      <c r="B180" s="46"/>
      <c r="C180" s="24" t="s">
        <v>198</v>
      </c>
      <c r="D180" s="45"/>
      <c r="E180" s="6">
        <v>0</v>
      </c>
      <c r="F180" s="6">
        <v>1</v>
      </c>
      <c r="G180" s="6">
        <v>2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5">
        <f t="shared" si="53"/>
        <v>3</v>
      </c>
    </row>
    <row r="181" spans="1:15" x14ac:dyDescent="0.4">
      <c r="A181" s="7"/>
      <c r="B181" s="46"/>
      <c r="C181" s="24" t="s">
        <v>199</v>
      </c>
      <c r="D181" s="45"/>
      <c r="E181" s="6">
        <v>1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1</v>
      </c>
      <c r="M181" s="6">
        <v>0</v>
      </c>
      <c r="N181" s="6">
        <v>0</v>
      </c>
      <c r="O181" s="5">
        <f t="shared" si="53"/>
        <v>4</v>
      </c>
    </row>
    <row r="182" spans="1:15" x14ac:dyDescent="0.4">
      <c r="A182" s="7"/>
      <c r="B182" s="46"/>
      <c r="C182" s="24" t="s">
        <v>200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5">
        <f t="shared" si="53"/>
        <v>0</v>
      </c>
    </row>
    <row r="183" spans="1:15" x14ac:dyDescent="0.4">
      <c r="A183" s="7"/>
      <c r="B183" s="46"/>
      <c r="C183" s="24" t="s">
        <v>201</v>
      </c>
      <c r="D183" s="45"/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1</v>
      </c>
      <c r="M183" s="6">
        <v>0</v>
      </c>
      <c r="N183" s="6">
        <v>0</v>
      </c>
      <c r="O183" s="5">
        <f t="shared" si="53"/>
        <v>3</v>
      </c>
    </row>
    <row r="184" spans="1:15" x14ac:dyDescent="0.4">
      <c r="A184" s="6" t="s">
        <v>25</v>
      </c>
      <c r="B184" s="52" t="s">
        <v>50</v>
      </c>
      <c r="C184" s="53"/>
      <c r="D184" s="54"/>
      <c r="E184" s="5">
        <f t="shared" ref="E184:O184" si="54">SUM(E174:E183)</f>
        <v>4</v>
      </c>
      <c r="F184" s="5">
        <f t="shared" si="54"/>
        <v>9</v>
      </c>
      <c r="G184" s="5">
        <f t="shared" si="54"/>
        <v>8</v>
      </c>
      <c r="H184" s="5">
        <f t="shared" si="54"/>
        <v>1</v>
      </c>
      <c r="I184" s="5">
        <f t="shared" si="54"/>
        <v>5</v>
      </c>
      <c r="J184" s="5">
        <f t="shared" si="54"/>
        <v>12</v>
      </c>
      <c r="K184" s="5">
        <f t="shared" si="54"/>
        <v>13</v>
      </c>
      <c r="L184" s="5">
        <f t="shared" ref="L184" si="55">SUM(L174:L183)</f>
        <v>10</v>
      </c>
      <c r="M184" s="5">
        <f t="shared" si="54"/>
        <v>2</v>
      </c>
      <c r="N184" s="5">
        <f t="shared" si="54"/>
        <v>4</v>
      </c>
      <c r="O184" s="5">
        <f t="shared" si="54"/>
        <v>68</v>
      </c>
    </row>
    <row r="185" spans="1:15" x14ac:dyDescent="0.4">
      <c r="A185" s="55"/>
      <c r="B185" s="56"/>
      <c r="C185" s="56"/>
      <c r="D185" s="56"/>
      <c r="E185" s="57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x14ac:dyDescent="0.4">
      <c r="A186" s="11" t="s">
        <v>47</v>
      </c>
      <c r="B186" s="17" t="s">
        <v>74</v>
      </c>
      <c r="C186" s="50" t="s">
        <v>75</v>
      </c>
      <c r="D186" s="51"/>
      <c r="E186" s="6">
        <v>5</v>
      </c>
      <c r="F186" s="6">
        <v>0</v>
      </c>
      <c r="G186" s="6">
        <v>0</v>
      </c>
      <c r="H186" s="6">
        <v>2</v>
      </c>
      <c r="I186" s="6">
        <v>2</v>
      </c>
      <c r="J186" s="6">
        <v>0</v>
      </c>
      <c r="K186" s="6">
        <v>0</v>
      </c>
      <c r="L186" s="6">
        <v>0</v>
      </c>
      <c r="M186" s="6">
        <v>0</v>
      </c>
      <c r="N186" s="6">
        <v>2</v>
      </c>
      <c r="O186" s="5">
        <f t="shared" ref="O186:O189" si="56">SUM(E186:N186)</f>
        <v>11</v>
      </c>
    </row>
    <row r="187" spans="1:15" x14ac:dyDescent="0.4">
      <c r="A187" s="11" t="s">
        <v>49</v>
      </c>
      <c r="B187" s="46"/>
      <c r="C187" s="24" t="s">
        <v>202</v>
      </c>
      <c r="D187" s="45"/>
      <c r="E187" s="6">
        <v>4</v>
      </c>
      <c r="F187" s="6">
        <v>1</v>
      </c>
      <c r="G187" s="6">
        <v>0</v>
      </c>
      <c r="H187" s="6">
        <v>0</v>
      </c>
      <c r="I187" s="6">
        <v>0</v>
      </c>
      <c r="J187" s="6">
        <v>1</v>
      </c>
      <c r="K187" s="6">
        <v>0</v>
      </c>
      <c r="L187" s="6">
        <v>1</v>
      </c>
      <c r="M187" s="6">
        <v>0</v>
      </c>
      <c r="N187" s="6">
        <v>0</v>
      </c>
      <c r="O187" s="5">
        <f t="shared" si="56"/>
        <v>7</v>
      </c>
    </row>
    <row r="188" spans="1:15" x14ac:dyDescent="0.4">
      <c r="A188" s="7"/>
      <c r="B188" s="46"/>
      <c r="C188" s="24" t="s">
        <v>203</v>
      </c>
      <c r="D188" s="45"/>
      <c r="E188" s="6">
        <v>6</v>
      </c>
      <c r="F188" s="6">
        <v>2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2</v>
      </c>
      <c r="M188" s="6">
        <v>0</v>
      </c>
      <c r="N188" s="6">
        <v>0</v>
      </c>
      <c r="O188" s="5">
        <f t="shared" si="56"/>
        <v>10</v>
      </c>
    </row>
    <row r="189" spans="1:15" x14ac:dyDescent="0.4">
      <c r="A189" s="7"/>
      <c r="B189" s="46"/>
      <c r="C189" s="24" t="s">
        <v>204</v>
      </c>
      <c r="D189" s="45"/>
      <c r="E189" s="6">
        <v>2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5">
        <f t="shared" si="56"/>
        <v>2</v>
      </c>
    </row>
    <row r="190" spans="1:15" x14ac:dyDescent="0.4">
      <c r="A190" s="6" t="s">
        <v>25</v>
      </c>
      <c r="B190" s="52" t="s">
        <v>50</v>
      </c>
      <c r="C190" s="53"/>
      <c r="D190" s="54"/>
      <c r="E190" s="5">
        <f t="shared" ref="E190:O190" si="57">SUM(E186:E189)</f>
        <v>17</v>
      </c>
      <c r="F190" s="5">
        <f t="shared" si="57"/>
        <v>3</v>
      </c>
      <c r="G190" s="5">
        <f t="shared" si="57"/>
        <v>0</v>
      </c>
      <c r="H190" s="5">
        <f t="shared" si="57"/>
        <v>2</v>
      </c>
      <c r="I190" s="5">
        <f t="shared" si="57"/>
        <v>2</v>
      </c>
      <c r="J190" s="5">
        <f t="shared" si="57"/>
        <v>1</v>
      </c>
      <c r="K190" s="5">
        <f t="shared" si="57"/>
        <v>0</v>
      </c>
      <c r="L190" s="5">
        <f t="shared" si="57"/>
        <v>3</v>
      </c>
      <c r="M190" s="5">
        <f t="shared" si="57"/>
        <v>0</v>
      </c>
      <c r="N190" s="5">
        <f t="shared" si="57"/>
        <v>2</v>
      </c>
      <c r="O190" s="5">
        <f t="shared" si="57"/>
        <v>30</v>
      </c>
    </row>
    <row r="191" spans="1:15" x14ac:dyDescent="0.4">
      <c r="A191" s="55"/>
      <c r="B191" s="56"/>
      <c r="C191" s="56"/>
      <c r="D191" s="56"/>
      <c r="E191" s="57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spans="1:15" x14ac:dyDescent="0.4">
      <c r="A192" s="11" t="s">
        <v>47</v>
      </c>
      <c r="B192" s="17" t="s">
        <v>76</v>
      </c>
      <c r="C192" s="50" t="s">
        <v>77</v>
      </c>
      <c r="D192" s="51"/>
      <c r="E192" s="6">
        <v>1</v>
      </c>
      <c r="F192" s="6">
        <v>0</v>
      </c>
      <c r="G192" s="6">
        <v>1</v>
      </c>
      <c r="H192" s="6">
        <v>1</v>
      </c>
      <c r="I192" s="6">
        <v>0</v>
      </c>
      <c r="J192" s="6">
        <v>0</v>
      </c>
      <c r="K192" s="6">
        <v>0</v>
      </c>
      <c r="L192" s="6">
        <v>0</v>
      </c>
      <c r="M192" s="6">
        <v>1</v>
      </c>
      <c r="N192" s="6">
        <v>0</v>
      </c>
      <c r="O192" s="5">
        <f t="shared" ref="O192:O196" si="58">SUM(E192:N192)</f>
        <v>4</v>
      </c>
    </row>
    <row r="193" spans="1:15" x14ac:dyDescent="0.4">
      <c r="A193" s="11" t="s">
        <v>49</v>
      </c>
      <c r="B193" s="46"/>
      <c r="C193" s="24" t="s">
        <v>205</v>
      </c>
      <c r="D193" s="45"/>
      <c r="E193" s="6">
        <v>3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5">
        <f t="shared" si="58"/>
        <v>3</v>
      </c>
    </row>
    <row r="194" spans="1:15" x14ac:dyDescent="0.4">
      <c r="A194" s="7"/>
      <c r="B194" s="46"/>
      <c r="C194" s="24" t="s">
        <v>206</v>
      </c>
      <c r="D194" s="45"/>
      <c r="E194" s="6">
        <v>1</v>
      </c>
      <c r="F194" s="6">
        <v>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5">
        <f t="shared" si="58"/>
        <v>2</v>
      </c>
    </row>
    <row r="195" spans="1:15" x14ac:dyDescent="0.4">
      <c r="A195" s="7"/>
      <c r="B195" s="46"/>
      <c r="C195" s="24" t="s">
        <v>207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5">
        <f t="shared" si="58"/>
        <v>0</v>
      </c>
    </row>
    <row r="196" spans="1:15" ht="13.15" customHeight="1" x14ac:dyDescent="0.4">
      <c r="A196" s="7"/>
      <c r="B196" s="46"/>
      <c r="C196" s="24" t="s">
        <v>208</v>
      </c>
      <c r="D196" s="45"/>
      <c r="E196" s="6">
        <v>0</v>
      </c>
      <c r="F196" s="6">
        <v>0</v>
      </c>
      <c r="G196" s="6">
        <v>1</v>
      </c>
      <c r="H196" s="6">
        <v>2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5">
        <f t="shared" si="58"/>
        <v>3</v>
      </c>
    </row>
    <row r="197" spans="1:15" x14ac:dyDescent="0.4">
      <c r="A197" s="6" t="s">
        <v>25</v>
      </c>
      <c r="B197" s="52" t="s">
        <v>50</v>
      </c>
      <c r="C197" s="53"/>
      <c r="D197" s="54"/>
      <c r="E197" s="5">
        <f t="shared" ref="E197:O197" si="59">SUM(E192:E196)</f>
        <v>5</v>
      </c>
      <c r="F197" s="5">
        <f t="shared" si="59"/>
        <v>1</v>
      </c>
      <c r="G197" s="5">
        <f t="shared" si="59"/>
        <v>2</v>
      </c>
      <c r="H197" s="5">
        <f t="shared" si="59"/>
        <v>3</v>
      </c>
      <c r="I197" s="5">
        <f t="shared" si="59"/>
        <v>0</v>
      </c>
      <c r="J197" s="5">
        <f t="shared" si="59"/>
        <v>0</v>
      </c>
      <c r="K197" s="5">
        <f t="shared" si="59"/>
        <v>0</v>
      </c>
      <c r="L197" s="5">
        <f t="shared" si="59"/>
        <v>0</v>
      </c>
      <c r="M197" s="5">
        <f t="shared" si="59"/>
        <v>1</v>
      </c>
      <c r="N197" s="5">
        <f t="shared" si="59"/>
        <v>0</v>
      </c>
      <c r="O197" s="5">
        <f t="shared" si="59"/>
        <v>12</v>
      </c>
    </row>
    <row r="198" spans="1:15" x14ac:dyDescent="0.4">
      <c r="A198" s="55"/>
      <c r="B198" s="56"/>
      <c r="C198" s="56"/>
      <c r="D198" s="56"/>
      <c r="E198" s="57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 x14ac:dyDescent="0.4">
      <c r="A199" s="11" t="s">
        <v>47</v>
      </c>
      <c r="B199" s="17" t="s">
        <v>78</v>
      </c>
      <c r="C199" s="50" t="s">
        <v>79</v>
      </c>
      <c r="D199" s="51"/>
      <c r="E199" s="6">
        <v>0</v>
      </c>
      <c r="F199" s="6">
        <v>6</v>
      </c>
      <c r="G199" s="6">
        <v>4</v>
      </c>
      <c r="H199" s="6">
        <v>1</v>
      </c>
      <c r="I199" s="6">
        <v>1</v>
      </c>
      <c r="J199" s="6">
        <v>0</v>
      </c>
      <c r="K199" s="6">
        <v>1</v>
      </c>
      <c r="L199" s="6">
        <v>0</v>
      </c>
      <c r="M199" s="6">
        <v>1</v>
      </c>
      <c r="N199" s="6">
        <v>0</v>
      </c>
      <c r="O199" s="5">
        <f t="shared" ref="O199:O208" si="60">SUM(E199:N199)</f>
        <v>14</v>
      </c>
    </row>
    <row r="200" spans="1:15" x14ac:dyDescent="0.4">
      <c r="A200" s="11" t="s">
        <v>49</v>
      </c>
      <c r="B200" s="46"/>
      <c r="C200" s="24" t="s">
        <v>209</v>
      </c>
      <c r="D200" s="45"/>
      <c r="E200" s="6">
        <v>1</v>
      </c>
      <c r="F200" s="6">
        <v>7</v>
      </c>
      <c r="G200" s="6">
        <v>3</v>
      </c>
      <c r="H200" s="6">
        <v>4</v>
      </c>
      <c r="I200" s="6">
        <v>0</v>
      </c>
      <c r="J200" s="6">
        <v>3</v>
      </c>
      <c r="K200" s="6">
        <v>3</v>
      </c>
      <c r="L200" s="6">
        <v>1</v>
      </c>
      <c r="M200" s="6">
        <v>1</v>
      </c>
      <c r="N200" s="6">
        <v>0</v>
      </c>
      <c r="O200" s="5">
        <f t="shared" si="60"/>
        <v>23</v>
      </c>
    </row>
    <row r="201" spans="1:15" x14ac:dyDescent="0.4">
      <c r="A201" s="7"/>
      <c r="B201" s="46"/>
      <c r="C201" s="24" t="s">
        <v>210</v>
      </c>
      <c r="D201" s="45"/>
      <c r="E201" s="6">
        <v>8</v>
      </c>
      <c r="F201" s="6">
        <v>23</v>
      </c>
      <c r="G201" s="6">
        <v>7</v>
      </c>
      <c r="H201" s="6">
        <v>5</v>
      </c>
      <c r="I201" s="6">
        <v>0</v>
      </c>
      <c r="J201" s="6">
        <v>4</v>
      </c>
      <c r="K201" s="6">
        <v>0</v>
      </c>
      <c r="L201" s="6">
        <v>1</v>
      </c>
      <c r="M201" s="6">
        <v>5</v>
      </c>
      <c r="N201" s="6">
        <v>3</v>
      </c>
      <c r="O201" s="5">
        <f t="shared" si="60"/>
        <v>56</v>
      </c>
    </row>
    <row r="202" spans="1:15" ht="13.15" customHeight="1" x14ac:dyDescent="0.4">
      <c r="A202" s="7"/>
      <c r="B202" s="46"/>
      <c r="C202" s="24" t="s">
        <v>211</v>
      </c>
      <c r="D202" s="45"/>
      <c r="E202" s="6">
        <v>0</v>
      </c>
      <c r="F202" s="6">
        <v>1</v>
      </c>
      <c r="G202" s="6">
        <v>0</v>
      </c>
      <c r="H202" s="6">
        <v>0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0</v>
      </c>
      <c r="O202" s="5">
        <f t="shared" si="60"/>
        <v>3</v>
      </c>
    </row>
    <row r="203" spans="1:15" x14ac:dyDescent="0.4">
      <c r="A203" s="7"/>
      <c r="B203" s="46"/>
      <c r="C203" s="24" t="s">
        <v>212</v>
      </c>
      <c r="D203" s="45"/>
      <c r="E203" s="6">
        <v>0</v>
      </c>
      <c r="F203" s="6">
        <v>0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5">
        <f t="shared" si="60"/>
        <v>1</v>
      </c>
    </row>
    <row r="204" spans="1:15" ht="12.75" customHeight="1" x14ac:dyDescent="0.4">
      <c r="A204" s="7"/>
      <c r="B204" s="46"/>
      <c r="C204" s="24" t="s">
        <v>213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5">
        <f t="shared" si="60"/>
        <v>0</v>
      </c>
    </row>
    <row r="205" spans="1:15" x14ac:dyDescent="0.4">
      <c r="A205" s="7"/>
      <c r="B205" s="46"/>
      <c r="C205" s="24" t="s">
        <v>214</v>
      </c>
      <c r="D205" s="45"/>
      <c r="E205" s="6">
        <v>0</v>
      </c>
      <c r="F205" s="6">
        <v>2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5">
        <f t="shared" si="60"/>
        <v>2</v>
      </c>
    </row>
    <row r="206" spans="1:15" x14ac:dyDescent="0.4">
      <c r="A206" s="7"/>
      <c r="B206" s="46"/>
      <c r="C206" s="24" t="s">
        <v>215</v>
      </c>
      <c r="D206" s="45"/>
      <c r="E206" s="6">
        <v>0</v>
      </c>
      <c r="F206" s="6">
        <v>2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5">
        <f t="shared" si="60"/>
        <v>2</v>
      </c>
    </row>
    <row r="207" spans="1:15" x14ac:dyDescent="0.4">
      <c r="A207" s="7"/>
      <c r="B207" s="46"/>
      <c r="C207" s="24" t="s">
        <v>216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1</v>
      </c>
      <c r="K207" s="6">
        <v>0</v>
      </c>
      <c r="L207" s="6">
        <v>0</v>
      </c>
      <c r="M207" s="6">
        <v>0</v>
      </c>
      <c r="N207" s="6">
        <v>0</v>
      </c>
      <c r="O207" s="5">
        <f t="shared" si="60"/>
        <v>1</v>
      </c>
    </row>
    <row r="208" spans="1:15" x14ac:dyDescent="0.4">
      <c r="A208" s="7"/>
      <c r="B208" s="46"/>
      <c r="C208" s="24" t="s">
        <v>217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5">
        <f t="shared" si="60"/>
        <v>1</v>
      </c>
    </row>
    <row r="209" spans="1:15" ht="12.75" customHeight="1" x14ac:dyDescent="0.4">
      <c r="A209" s="6" t="s">
        <v>25</v>
      </c>
      <c r="B209" s="52" t="s">
        <v>50</v>
      </c>
      <c r="C209" s="53"/>
      <c r="D209" s="54"/>
      <c r="E209" s="5">
        <f t="shared" ref="E209:O209" si="61">SUM(E199:E208)</f>
        <v>9</v>
      </c>
      <c r="F209" s="5">
        <f t="shared" si="61"/>
        <v>41</v>
      </c>
      <c r="G209" s="5">
        <f t="shared" si="61"/>
        <v>14</v>
      </c>
      <c r="H209" s="5">
        <f t="shared" si="61"/>
        <v>11</v>
      </c>
      <c r="I209" s="5">
        <f t="shared" si="61"/>
        <v>2</v>
      </c>
      <c r="J209" s="5">
        <f t="shared" si="61"/>
        <v>10</v>
      </c>
      <c r="K209" s="5">
        <f t="shared" si="61"/>
        <v>4</v>
      </c>
      <c r="L209" s="5">
        <f t="shared" ref="L209" si="62">SUM(L199:L208)</f>
        <v>2</v>
      </c>
      <c r="M209" s="5">
        <f t="shared" si="61"/>
        <v>7</v>
      </c>
      <c r="N209" s="5">
        <f t="shared" si="61"/>
        <v>3</v>
      </c>
      <c r="O209" s="5">
        <f t="shared" si="61"/>
        <v>103</v>
      </c>
    </row>
    <row r="210" spans="1:15" x14ac:dyDescent="0.4">
      <c r="A210" s="55"/>
      <c r="B210" s="56"/>
      <c r="C210" s="56"/>
      <c r="D210" s="56"/>
      <c r="E210" s="57"/>
    </row>
    <row r="211" spans="1:15" x14ac:dyDescent="0.4">
      <c r="A211" s="11" t="s">
        <v>47</v>
      </c>
      <c r="B211" s="17" t="s">
        <v>80</v>
      </c>
      <c r="C211" s="50" t="s">
        <v>81</v>
      </c>
      <c r="D211" s="51"/>
      <c r="E211" s="6">
        <v>0</v>
      </c>
      <c r="F211" s="6">
        <v>2</v>
      </c>
      <c r="G211" s="6">
        <v>0</v>
      </c>
      <c r="H211" s="6">
        <v>0</v>
      </c>
      <c r="I211" s="6">
        <v>2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5">
        <f t="shared" ref="O211:O214" si="63">SUM(E211:N211)</f>
        <v>4</v>
      </c>
    </row>
    <row r="212" spans="1:15" x14ac:dyDescent="0.4">
      <c r="A212" s="11" t="s">
        <v>49</v>
      </c>
      <c r="B212" s="46"/>
      <c r="C212" s="24" t="s">
        <v>218</v>
      </c>
      <c r="D212" s="45"/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5">
        <f t="shared" si="63"/>
        <v>0</v>
      </c>
    </row>
    <row r="213" spans="1:15" x14ac:dyDescent="0.4">
      <c r="A213" s="7"/>
      <c r="B213" s="46"/>
      <c r="C213" s="24" t="s">
        <v>219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5">
        <f t="shared" si="63"/>
        <v>0</v>
      </c>
    </row>
    <row r="214" spans="1:15" x14ac:dyDescent="0.4">
      <c r="A214" s="7"/>
      <c r="B214" s="46"/>
      <c r="C214" s="24" t="s">
        <v>220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5">
        <f t="shared" si="63"/>
        <v>0</v>
      </c>
    </row>
    <row r="215" spans="1:15" x14ac:dyDescent="0.4">
      <c r="A215" s="6" t="s">
        <v>25</v>
      </c>
      <c r="B215" s="52" t="s">
        <v>50</v>
      </c>
      <c r="C215" s="53"/>
      <c r="D215" s="54"/>
      <c r="E215" s="5">
        <f t="shared" ref="E215:O215" si="64">SUM(E211:E214)</f>
        <v>0</v>
      </c>
      <c r="F215" s="5">
        <f t="shared" si="64"/>
        <v>2</v>
      </c>
      <c r="G215" s="5">
        <f t="shared" si="64"/>
        <v>0</v>
      </c>
      <c r="H215" s="5">
        <f t="shared" si="64"/>
        <v>0</v>
      </c>
      <c r="I215" s="5">
        <f t="shared" si="64"/>
        <v>2</v>
      </c>
      <c r="J215" s="5">
        <f t="shared" si="64"/>
        <v>0</v>
      </c>
      <c r="K215" s="5">
        <f t="shared" si="64"/>
        <v>0</v>
      </c>
      <c r="L215" s="5">
        <f t="shared" si="64"/>
        <v>0</v>
      </c>
      <c r="M215" s="5">
        <f t="shared" si="64"/>
        <v>0</v>
      </c>
      <c r="N215" s="5">
        <f t="shared" si="64"/>
        <v>0</v>
      </c>
      <c r="O215" s="5">
        <f t="shared" si="64"/>
        <v>4</v>
      </c>
    </row>
    <row r="217" spans="1:15" x14ac:dyDescent="0.4">
      <c r="A217" s="16" t="s">
        <v>82</v>
      </c>
      <c r="B217" s="60" t="s">
        <v>83</v>
      </c>
      <c r="C217" s="61"/>
      <c r="D217" s="6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4">
      <c r="A218" s="16"/>
      <c r="B218" s="19" t="s">
        <v>84</v>
      </c>
      <c r="C218" s="58" t="s">
        <v>85</v>
      </c>
      <c r="D218" s="59"/>
      <c r="E218" s="6">
        <f t="shared" ref="E218:N218" si="65">E55+E67+E79+E91+E103+E108+E116+E128+E134+E144+E148+E160+E172+E184+E190+E197+E209+E215</f>
        <v>193</v>
      </c>
      <c r="F218" s="6">
        <f t="shared" si="65"/>
        <v>219</v>
      </c>
      <c r="G218" s="6">
        <f t="shared" si="65"/>
        <v>209</v>
      </c>
      <c r="H218" s="6">
        <f t="shared" si="65"/>
        <v>205</v>
      </c>
      <c r="I218" s="6">
        <f t="shared" si="65"/>
        <v>217</v>
      </c>
      <c r="J218" s="6">
        <f t="shared" si="65"/>
        <v>211</v>
      </c>
      <c r="K218" s="6">
        <f t="shared" si="65"/>
        <v>196</v>
      </c>
      <c r="L218" s="6">
        <f t="shared" si="65"/>
        <v>206</v>
      </c>
      <c r="M218" s="6">
        <f t="shared" si="65"/>
        <v>181</v>
      </c>
      <c r="N218" s="6">
        <f t="shared" si="65"/>
        <v>143</v>
      </c>
      <c r="O218" s="5">
        <f>SUM(E218:N218)</f>
        <v>1980</v>
      </c>
    </row>
    <row r="219" spans="1:15" x14ac:dyDescent="0.4">
      <c r="A219" s="13"/>
      <c r="B219" s="19" t="s">
        <v>86</v>
      </c>
      <c r="C219" s="58" t="s">
        <v>87</v>
      </c>
      <c r="D219" s="59"/>
      <c r="E219" s="6">
        <v>55</v>
      </c>
      <c r="F219" s="6">
        <v>33</v>
      </c>
      <c r="G219" s="6">
        <v>59</v>
      </c>
      <c r="H219" s="6">
        <v>47</v>
      </c>
      <c r="I219" s="6">
        <v>22</v>
      </c>
      <c r="J219" s="6">
        <v>32</v>
      </c>
      <c r="K219" s="6">
        <v>25</v>
      </c>
      <c r="L219" s="6">
        <v>28</v>
      </c>
      <c r="M219" s="6">
        <v>31</v>
      </c>
      <c r="N219" s="6">
        <v>19</v>
      </c>
      <c r="O219" s="5">
        <f>SUM(E219:N219)</f>
        <v>351</v>
      </c>
    </row>
    <row r="220" spans="1:15" x14ac:dyDescent="0.4">
      <c r="A220" s="14"/>
      <c r="B220" s="19" t="s">
        <v>88</v>
      </c>
      <c r="C220" s="58" t="s">
        <v>89</v>
      </c>
      <c r="D220" s="59"/>
      <c r="E220" s="5">
        <f>SUM(E218:E219)</f>
        <v>248</v>
      </c>
      <c r="F220" s="5">
        <f t="shared" ref="F220:N220" si="66">SUM(F218:F219)</f>
        <v>252</v>
      </c>
      <c r="G220" s="5">
        <f t="shared" si="66"/>
        <v>268</v>
      </c>
      <c r="H220" s="5">
        <f t="shared" si="66"/>
        <v>252</v>
      </c>
      <c r="I220" s="5">
        <f t="shared" si="66"/>
        <v>239</v>
      </c>
      <c r="J220" s="5">
        <f t="shared" si="66"/>
        <v>243</v>
      </c>
      <c r="K220" s="5">
        <f t="shared" si="66"/>
        <v>221</v>
      </c>
      <c r="L220" s="5">
        <f t="shared" ref="L220" si="67">SUM(L218:L219)</f>
        <v>234</v>
      </c>
      <c r="M220" s="5">
        <f t="shared" si="66"/>
        <v>212</v>
      </c>
      <c r="N220" s="5">
        <f t="shared" si="66"/>
        <v>162</v>
      </c>
      <c r="O220" s="5">
        <f>SUM(E220:N220)</f>
        <v>2331</v>
      </c>
    </row>
  </sheetData>
  <mergeCells count="86"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C220:D220"/>
    <mergeCell ref="A210:E210"/>
    <mergeCell ref="C211:D211"/>
    <mergeCell ref="B215:D215"/>
    <mergeCell ref="B217:D217"/>
    <mergeCell ref="C218:D218"/>
    <mergeCell ref="C219:D219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I37"/>
    <mergeCell ref="B38:D38"/>
    <mergeCell ref="B39:C41"/>
    <mergeCell ref="A42:D42"/>
    <mergeCell ref="E42:I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N12"/>
    <mergeCell ref="O12:O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N15">
    <cfRule type="containsBlanks" dxfId="88" priority="20">
      <formula>LEN(TRIM(E14))=0</formula>
    </cfRule>
  </conditionalFormatting>
  <conditionalFormatting sqref="E19:N20">
    <cfRule type="containsBlanks" dxfId="87" priority="23">
      <formula>LEN(TRIM(E19))=0</formula>
    </cfRule>
  </conditionalFormatting>
  <conditionalFormatting sqref="E22:N23 E25:N26 E33:N33 E35:N35 E39:N40">
    <cfRule type="containsBlanks" dxfId="86" priority="24">
      <formula>LEN(TRIM(E22))=0</formula>
    </cfRule>
  </conditionalFormatting>
  <conditionalFormatting sqref="E30:N30">
    <cfRule type="expression" dxfId="85" priority="25">
      <formula>E30&lt;&gt;E47</formula>
    </cfRule>
    <cfRule type="expression" dxfId="84" priority="26">
      <formula>E30&lt;&gt;E34</formula>
    </cfRule>
  </conditionalFormatting>
  <conditionalFormatting sqref="E34:N34">
    <cfRule type="expression" dxfId="83" priority="21">
      <formula>E30&lt;&gt;E34</formula>
    </cfRule>
    <cfRule type="expression" dxfId="82" priority="22">
      <formula>E30=E34</formula>
    </cfRule>
    <cfRule type="expression" dxfId="81" priority="27">
      <formula>E34&lt;&gt;E30</formula>
    </cfRule>
    <cfRule type="expression" dxfId="80" priority="29">
      <formula>E34&lt;&gt;E64</formula>
    </cfRule>
  </conditionalFormatting>
  <conditionalFormatting sqref="E45:N54">
    <cfRule type="containsBlanks" dxfId="79" priority="19">
      <formula>LEN(TRIM(E45))=0</formula>
    </cfRule>
  </conditionalFormatting>
  <conditionalFormatting sqref="E57:N66">
    <cfRule type="containsBlanks" dxfId="78" priority="18">
      <formula>LEN(TRIM(E57))=0</formula>
    </cfRule>
  </conditionalFormatting>
  <conditionalFormatting sqref="E69:N78">
    <cfRule type="containsBlanks" dxfId="77" priority="17">
      <formula>LEN(TRIM(E69))=0</formula>
    </cfRule>
  </conditionalFormatting>
  <conditionalFormatting sqref="E81:N90">
    <cfRule type="containsBlanks" dxfId="76" priority="16">
      <formula>LEN(TRIM(E81))=0</formula>
    </cfRule>
  </conditionalFormatting>
  <conditionalFormatting sqref="E93:N102">
    <cfRule type="containsBlanks" dxfId="75" priority="15">
      <formula>LEN(TRIM(E93))=0</formula>
    </cfRule>
  </conditionalFormatting>
  <conditionalFormatting sqref="E105:N107">
    <cfRule type="containsBlanks" dxfId="74" priority="14">
      <formula>LEN(TRIM(E105))=0</formula>
    </cfRule>
  </conditionalFormatting>
  <conditionalFormatting sqref="E110:N115">
    <cfRule type="containsBlanks" dxfId="73" priority="1">
      <formula>LEN(TRIM(E110))=0</formula>
    </cfRule>
  </conditionalFormatting>
  <conditionalFormatting sqref="E118:N127">
    <cfRule type="containsBlanks" dxfId="72" priority="13">
      <formula>LEN(TRIM(E118))=0</formula>
    </cfRule>
  </conditionalFormatting>
  <conditionalFormatting sqref="E130:N133">
    <cfRule type="containsBlanks" dxfId="71" priority="12">
      <formula>LEN(TRIM(E130))=0</formula>
    </cfRule>
  </conditionalFormatting>
  <conditionalFormatting sqref="E136:N143">
    <cfRule type="containsBlanks" dxfId="70" priority="3">
      <formula>LEN(TRIM(E136))=0</formula>
    </cfRule>
  </conditionalFormatting>
  <conditionalFormatting sqref="E146:N147">
    <cfRule type="containsBlanks" dxfId="69" priority="11">
      <formula>LEN(TRIM(E146))=0</formula>
    </cfRule>
  </conditionalFormatting>
  <conditionalFormatting sqref="E150:N159">
    <cfRule type="containsBlanks" dxfId="68" priority="10">
      <formula>LEN(TRIM(E150))=0</formula>
    </cfRule>
  </conditionalFormatting>
  <conditionalFormatting sqref="E162:N171">
    <cfRule type="containsBlanks" dxfId="67" priority="9">
      <formula>LEN(TRIM(E162))=0</formula>
    </cfRule>
  </conditionalFormatting>
  <conditionalFormatting sqref="E174:N183">
    <cfRule type="containsBlanks" dxfId="66" priority="8">
      <formula>LEN(TRIM(E174))=0</formula>
    </cfRule>
  </conditionalFormatting>
  <conditionalFormatting sqref="E186:N189">
    <cfRule type="containsBlanks" dxfId="65" priority="7">
      <formula>LEN(TRIM(E186))=0</formula>
    </cfRule>
  </conditionalFormatting>
  <conditionalFormatting sqref="E192:N196">
    <cfRule type="containsBlanks" dxfId="64" priority="6">
      <formula>LEN(TRIM(E192))=0</formula>
    </cfRule>
  </conditionalFormatting>
  <conditionalFormatting sqref="E199:N208">
    <cfRule type="containsBlanks" dxfId="63" priority="5">
      <formula>LEN(TRIM(E199))=0</formula>
    </cfRule>
  </conditionalFormatting>
  <conditionalFormatting sqref="E211:N214">
    <cfRule type="containsBlanks" dxfId="62" priority="4">
      <formula>LEN(TRIM(E211))=0</formula>
    </cfRule>
  </conditionalFormatting>
  <conditionalFormatting sqref="E218:N219">
    <cfRule type="containsBlanks" dxfId="61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V220"/>
  <sheetViews>
    <sheetView topLeftCell="D13" zoomScale="85" zoomScaleNormal="85" workbookViewId="0">
      <pane ySplit="1" topLeftCell="A212" activePane="bottomLeft" state="frozen"/>
      <selection activeCell="A13" sqref="A13"/>
      <selection pane="bottomLeft" activeCell="Y219" sqref="Y219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101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U11" s="1"/>
    </row>
    <row r="12" spans="1:22" x14ac:dyDescent="0.4">
      <c r="A12" s="5" t="s">
        <v>0</v>
      </c>
      <c r="B12" s="60" t="s">
        <v>1</v>
      </c>
      <c r="C12" s="68"/>
      <c r="D12" s="51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6" t="s">
        <v>90</v>
      </c>
    </row>
    <row r="13" spans="1:22" x14ac:dyDescent="0.4">
      <c r="A13" s="6" t="s">
        <v>2</v>
      </c>
      <c r="B13" s="77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87"/>
    </row>
    <row r="14" spans="1:22" x14ac:dyDescent="0.4">
      <c r="A14" s="7"/>
      <c r="B14" s="88" t="s">
        <v>21</v>
      </c>
      <c r="C14" s="64"/>
      <c r="D14" s="6" t="s">
        <v>22</v>
      </c>
      <c r="E14" s="6">
        <v>137</v>
      </c>
      <c r="F14" s="6">
        <v>134</v>
      </c>
      <c r="G14" s="6">
        <v>136</v>
      </c>
      <c r="H14" s="6">
        <v>139</v>
      </c>
      <c r="I14" s="6">
        <v>135</v>
      </c>
      <c r="J14" s="6">
        <v>127</v>
      </c>
      <c r="K14" s="6">
        <v>116</v>
      </c>
      <c r="L14" s="6">
        <v>120</v>
      </c>
      <c r="M14" s="6">
        <v>127</v>
      </c>
      <c r="N14" s="6">
        <v>141</v>
      </c>
      <c r="O14" s="6">
        <v>123</v>
      </c>
      <c r="P14" s="6">
        <v>119</v>
      </c>
      <c r="Q14" s="6">
        <v>129</v>
      </c>
      <c r="R14" s="6">
        <v>137</v>
      </c>
      <c r="S14" s="6">
        <v>155</v>
      </c>
      <c r="T14" s="6">
        <v>140</v>
      </c>
      <c r="U14" s="6">
        <v>135</v>
      </c>
      <c r="V14" s="5">
        <f>SUM(E14:U14)</f>
        <v>2250</v>
      </c>
    </row>
    <row r="15" spans="1:22" x14ac:dyDescent="0.4">
      <c r="A15" s="7"/>
      <c r="B15" s="89"/>
      <c r="C15" s="76"/>
      <c r="D15" s="6" t="s">
        <v>23</v>
      </c>
      <c r="E15" s="6">
        <v>142</v>
      </c>
      <c r="F15" s="6">
        <v>134</v>
      </c>
      <c r="G15" s="6">
        <v>136</v>
      </c>
      <c r="H15" s="6">
        <v>141</v>
      </c>
      <c r="I15" s="6">
        <v>157</v>
      </c>
      <c r="J15" s="6">
        <v>150</v>
      </c>
      <c r="K15" s="6">
        <v>139</v>
      </c>
      <c r="L15" s="6">
        <v>139</v>
      </c>
      <c r="M15" s="6">
        <v>123</v>
      </c>
      <c r="N15" s="6">
        <v>133</v>
      </c>
      <c r="O15" s="6">
        <v>118</v>
      </c>
      <c r="P15" s="6">
        <v>121</v>
      </c>
      <c r="Q15" s="6">
        <v>152</v>
      </c>
      <c r="R15" s="6">
        <v>162</v>
      </c>
      <c r="S15" s="6">
        <v>140</v>
      </c>
      <c r="T15" s="6">
        <v>143</v>
      </c>
      <c r="U15" s="6">
        <v>147</v>
      </c>
      <c r="V15" s="5">
        <f>SUM(E15:U15)</f>
        <v>2377</v>
      </c>
    </row>
    <row r="16" spans="1:22" x14ac:dyDescent="0.4">
      <c r="A16" s="8"/>
      <c r="B16" s="90"/>
      <c r="C16" s="74"/>
      <c r="D16" s="5" t="s">
        <v>24</v>
      </c>
      <c r="E16" s="5">
        <f t="shared" ref="E16:U16" si="0">SUM(E14:E15)</f>
        <v>279</v>
      </c>
      <c r="F16" s="5">
        <f t="shared" si="0"/>
        <v>268</v>
      </c>
      <c r="G16" s="5">
        <f t="shared" si="0"/>
        <v>272</v>
      </c>
      <c r="H16" s="5">
        <f t="shared" si="0"/>
        <v>280</v>
      </c>
      <c r="I16" s="5">
        <f t="shared" si="0"/>
        <v>292</v>
      </c>
      <c r="J16" s="5">
        <f t="shared" si="0"/>
        <v>277</v>
      </c>
      <c r="K16" s="5">
        <f t="shared" si="0"/>
        <v>255</v>
      </c>
      <c r="L16" s="5">
        <f t="shared" ref="L16:T16" si="1">SUM(L14:L15)</f>
        <v>259</v>
      </c>
      <c r="M16" s="5">
        <f t="shared" si="1"/>
        <v>250</v>
      </c>
      <c r="N16" s="5">
        <f t="shared" si="1"/>
        <v>274</v>
      </c>
      <c r="O16" s="5">
        <f t="shared" ref="O16:Q16" si="2">SUM(O14:O15)</f>
        <v>241</v>
      </c>
      <c r="P16" s="5">
        <f t="shared" si="2"/>
        <v>240</v>
      </c>
      <c r="Q16" s="5">
        <f t="shared" si="2"/>
        <v>281</v>
      </c>
      <c r="R16" s="5">
        <f t="shared" si="1"/>
        <v>299</v>
      </c>
      <c r="S16" s="5">
        <f t="shared" si="1"/>
        <v>295</v>
      </c>
      <c r="T16" s="5">
        <f t="shared" si="1"/>
        <v>283</v>
      </c>
      <c r="U16" s="5">
        <f t="shared" si="0"/>
        <v>282</v>
      </c>
      <c r="V16" s="5">
        <f>SUM(E16:U16)</f>
        <v>4627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6"/>
      <c r="V17" s="28"/>
    </row>
    <row r="18" spans="1:22" x14ac:dyDescent="0.4">
      <c r="A18" s="11" t="s">
        <v>25</v>
      </c>
      <c r="B18" s="77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6"/>
      <c r="V18" s="28"/>
    </row>
    <row r="19" spans="1:22" x14ac:dyDescent="0.4">
      <c r="A19" s="11"/>
      <c r="B19" s="78" t="s">
        <v>27</v>
      </c>
      <c r="C19" s="79" t="s">
        <v>28</v>
      </c>
      <c r="D19" s="6" t="s">
        <v>22</v>
      </c>
      <c r="E19" s="6">
        <v>95</v>
      </c>
      <c r="F19" s="6">
        <v>96</v>
      </c>
      <c r="G19" s="6">
        <v>107</v>
      </c>
      <c r="H19" s="6">
        <v>105</v>
      </c>
      <c r="I19" s="6">
        <v>93</v>
      </c>
      <c r="J19" s="6">
        <v>96</v>
      </c>
      <c r="K19" s="6">
        <v>83</v>
      </c>
      <c r="L19" s="6">
        <v>93</v>
      </c>
      <c r="M19" s="6">
        <v>98</v>
      </c>
      <c r="N19" s="6">
        <v>117</v>
      </c>
      <c r="O19" s="6">
        <v>89</v>
      </c>
      <c r="P19" s="6">
        <v>96</v>
      </c>
      <c r="Q19" s="6">
        <v>106</v>
      </c>
      <c r="R19" s="6">
        <v>97</v>
      </c>
      <c r="S19" s="6">
        <v>123</v>
      </c>
      <c r="T19" s="6">
        <v>100</v>
      </c>
      <c r="U19" s="6">
        <v>97</v>
      </c>
      <c r="V19" s="5">
        <f t="shared" ref="V19:V30" si="3">SUM(E19:U19)</f>
        <v>1691</v>
      </c>
    </row>
    <row r="20" spans="1:22" x14ac:dyDescent="0.4">
      <c r="A20" s="12"/>
      <c r="B20" s="76"/>
      <c r="C20" s="80"/>
      <c r="D20" s="6" t="s">
        <v>23</v>
      </c>
      <c r="E20" s="6">
        <v>112</v>
      </c>
      <c r="F20" s="6">
        <v>102</v>
      </c>
      <c r="G20" s="6">
        <v>109</v>
      </c>
      <c r="H20" s="6">
        <v>115</v>
      </c>
      <c r="I20" s="6">
        <v>121</v>
      </c>
      <c r="J20" s="6">
        <v>124</v>
      </c>
      <c r="K20" s="6">
        <v>109</v>
      </c>
      <c r="L20" s="6">
        <v>112</v>
      </c>
      <c r="M20" s="6">
        <v>104</v>
      </c>
      <c r="N20" s="6">
        <v>120</v>
      </c>
      <c r="O20" s="6">
        <v>91</v>
      </c>
      <c r="P20" s="6">
        <v>112</v>
      </c>
      <c r="Q20" s="6">
        <v>128</v>
      </c>
      <c r="R20" s="6">
        <v>127</v>
      </c>
      <c r="S20" s="6">
        <v>114</v>
      </c>
      <c r="T20" s="6">
        <v>117</v>
      </c>
      <c r="U20" s="6">
        <v>120</v>
      </c>
      <c r="V20" s="5">
        <f t="shared" si="3"/>
        <v>1937</v>
      </c>
    </row>
    <row r="21" spans="1:22" x14ac:dyDescent="0.4">
      <c r="A21" s="13"/>
      <c r="B21" s="74"/>
      <c r="C21" s="81"/>
      <c r="D21" s="5" t="s">
        <v>24</v>
      </c>
      <c r="E21" s="5">
        <f t="shared" ref="E21:U21" si="4">SUM(E19:E20)</f>
        <v>207</v>
      </c>
      <c r="F21" s="5">
        <f t="shared" si="4"/>
        <v>198</v>
      </c>
      <c r="G21" s="5">
        <f t="shared" si="4"/>
        <v>216</v>
      </c>
      <c r="H21" s="5">
        <f t="shared" si="4"/>
        <v>220</v>
      </c>
      <c r="I21" s="5">
        <f t="shared" si="4"/>
        <v>214</v>
      </c>
      <c r="J21" s="5">
        <f t="shared" si="4"/>
        <v>220</v>
      </c>
      <c r="K21" s="5">
        <f t="shared" si="4"/>
        <v>192</v>
      </c>
      <c r="L21" s="5">
        <f t="shared" ref="L21:T21" si="5">SUM(L19:L20)</f>
        <v>205</v>
      </c>
      <c r="M21" s="5">
        <f t="shared" si="5"/>
        <v>202</v>
      </c>
      <c r="N21" s="5">
        <f t="shared" si="5"/>
        <v>237</v>
      </c>
      <c r="O21" s="5">
        <f t="shared" ref="O21:Q21" si="6">SUM(O19:O20)</f>
        <v>180</v>
      </c>
      <c r="P21" s="5">
        <f t="shared" si="6"/>
        <v>208</v>
      </c>
      <c r="Q21" s="5">
        <f t="shared" si="6"/>
        <v>234</v>
      </c>
      <c r="R21" s="5">
        <f t="shared" si="5"/>
        <v>224</v>
      </c>
      <c r="S21" s="5">
        <f t="shared" si="5"/>
        <v>237</v>
      </c>
      <c r="T21" s="5">
        <f t="shared" si="5"/>
        <v>217</v>
      </c>
      <c r="U21" s="5">
        <f t="shared" si="4"/>
        <v>217</v>
      </c>
      <c r="V21" s="5">
        <f t="shared" si="3"/>
        <v>3628</v>
      </c>
    </row>
    <row r="22" spans="1:22" x14ac:dyDescent="0.4">
      <c r="A22" s="12"/>
      <c r="B22" s="78" t="s">
        <v>29</v>
      </c>
      <c r="C22" s="79" t="s">
        <v>30</v>
      </c>
      <c r="D22" s="6" t="s">
        <v>22</v>
      </c>
      <c r="E22" s="6"/>
      <c r="F22" s="6">
        <v>1</v>
      </c>
      <c r="G22" s="6"/>
      <c r="H22" s="6">
        <v>2</v>
      </c>
      <c r="I22" s="6">
        <v>1</v>
      </c>
      <c r="J22" s="6"/>
      <c r="K22" s="6">
        <v>2</v>
      </c>
      <c r="L22" s="6"/>
      <c r="M22" s="6"/>
      <c r="N22" s="6"/>
      <c r="O22" s="6"/>
      <c r="P22" s="6"/>
      <c r="Q22" s="6"/>
      <c r="R22" s="6"/>
      <c r="S22" s="6"/>
      <c r="T22" s="6">
        <v>1</v>
      </c>
      <c r="U22" s="6"/>
      <c r="V22" s="5">
        <f t="shared" si="3"/>
        <v>7</v>
      </c>
    </row>
    <row r="23" spans="1:22" x14ac:dyDescent="0.4">
      <c r="A23" s="12"/>
      <c r="B23" s="76"/>
      <c r="C23" s="80"/>
      <c r="D23" s="6" t="s">
        <v>23</v>
      </c>
      <c r="E23" s="6"/>
      <c r="F23" s="6">
        <v>1</v>
      </c>
      <c r="G23" s="6"/>
      <c r="H23" s="6"/>
      <c r="I23" s="6"/>
      <c r="J23" s="6"/>
      <c r="K23" s="6">
        <v>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5">
        <f t="shared" si="3"/>
        <v>2</v>
      </c>
    </row>
    <row r="24" spans="1:22" x14ac:dyDescent="0.4">
      <c r="A24" s="13"/>
      <c r="B24" s="74"/>
      <c r="C24" s="81"/>
      <c r="D24" s="5" t="s">
        <v>24</v>
      </c>
      <c r="E24" s="5">
        <f t="shared" ref="E24:U24" si="7">SUM(E22:E23)</f>
        <v>0</v>
      </c>
      <c r="F24" s="5">
        <f t="shared" si="7"/>
        <v>2</v>
      </c>
      <c r="G24" s="5">
        <f t="shared" si="7"/>
        <v>0</v>
      </c>
      <c r="H24" s="5">
        <f t="shared" si="7"/>
        <v>2</v>
      </c>
      <c r="I24" s="5">
        <f t="shared" si="7"/>
        <v>1</v>
      </c>
      <c r="J24" s="5">
        <f t="shared" si="7"/>
        <v>0</v>
      </c>
      <c r="K24" s="5">
        <f t="shared" si="7"/>
        <v>3</v>
      </c>
      <c r="L24" s="5">
        <f t="shared" ref="L24:T24" si="8">SUM(L22:L23)</f>
        <v>0</v>
      </c>
      <c r="M24" s="5">
        <f t="shared" si="8"/>
        <v>0</v>
      </c>
      <c r="N24" s="5">
        <f t="shared" si="8"/>
        <v>0</v>
      </c>
      <c r="O24" s="5">
        <f t="shared" ref="O24:Q24" si="9">SUM(O22:O23)</f>
        <v>0</v>
      </c>
      <c r="P24" s="5">
        <f t="shared" si="9"/>
        <v>0</v>
      </c>
      <c r="Q24" s="5">
        <f t="shared" si="9"/>
        <v>0</v>
      </c>
      <c r="R24" s="5">
        <f t="shared" si="8"/>
        <v>0</v>
      </c>
      <c r="S24" s="5">
        <f t="shared" si="8"/>
        <v>0</v>
      </c>
      <c r="T24" s="5">
        <f t="shared" si="8"/>
        <v>1</v>
      </c>
      <c r="U24" s="5">
        <f t="shared" si="7"/>
        <v>0</v>
      </c>
      <c r="V24" s="5">
        <f t="shared" si="3"/>
        <v>9</v>
      </c>
    </row>
    <row r="25" spans="1:22" x14ac:dyDescent="0.4">
      <c r="A25" s="12"/>
      <c r="B25" s="78" t="s">
        <v>31</v>
      </c>
      <c r="C25" s="79" t="s">
        <v>32</v>
      </c>
      <c r="D25" s="6" t="s">
        <v>22</v>
      </c>
      <c r="E25" s="6"/>
      <c r="F25" s="6">
        <v>2</v>
      </c>
      <c r="G25" s="6"/>
      <c r="H25" s="6"/>
      <c r="I25" s="6">
        <v>2</v>
      </c>
      <c r="J25" s="6"/>
      <c r="K25" s="6"/>
      <c r="L25" s="6"/>
      <c r="M25" s="6"/>
      <c r="N25" s="6"/>
      <c r="O25" s="6"/>
      <c r="P25" s="6">
        <v>1</v>
      </c>
      <c r="Q25" s="6"/>
      <c r="R25" s="6">
        <v>1</v>
      </c>
      <c r="S25" s="6">
        <v>2</v>
      </c>
      <c r="T25" s="6">
        <v>1</v>
      </c>
      <c r="U25" s="6">
        <v>2</v>
      </c>
      <c r="V25" s="5">
        <f t="shared" si="3"/>
        <v>11</v>
      </c>
    </row>
    <row r="26" spans="1:22" x14ac:dyDescent="0.4">
      <c r="A26" s="12"/>
      <c r="B26" s="76"/>
      <c r="C26" s="80"/>
      <c r="D26" s="6" t="s">
        <v>23</v>
      </c>
      <c r="E26" s="6"/>
      <c r="F26" s="6">
        <v>2</v>
      </c>
      <c r="G26" s="6"/>
      <c r="H26" s="6">
        <v>1</v>
      </c>
      <c r="I26" s="6">
        <v>3</v>
      </c>
      <c r="J26" s="6">
        <v>1</v>
      </c>
      <c r="K26" s="6">
        <v>2</v>
      </c>
      <c r="L26" s="6"/>
      <c r="M26" s="6">
        <v>1</v>
      </c>
      <c r="N26" s="6"/>
      <c r="O26" s="6"/>
      <c r="P26" s="6"/>
      <c r="Q26" s="6"/>
      <c r="R26" s="6"/>
      <c r="S26" s="6">
        <v>1</v>
      </c>
      <c r="T26" s="6">
        <v>5</v>
      </c>
      <c r="U26" s="6">
        <v>1</v>
      </c>
      <c r="V26" s="5">
        <f t="shared" si="3"/>
        <v>17</v>
      </c>
    </row>
    <row r="27" spans="1:22" x14ac:dyDescent="0.4">
      <c r="A27" s="13"/>
      <c r="B27" s="74"/>
      <c r="C27" s="81"/>
      <c r="D27" s="5" t="s">
        <v>24</v>
      </c>
      <c r="E27" s="5">
        <f t="shared" ref="E27:U27" si="10">SUM(E25:E26)</f>
        <v>0</v>
      </c>
      <c r="F27" s="5">
        <f t="shared" si="10"/>
        <v>4</v>
      </c>
      <c r="G27" s="5">
        <f t="shared" si="10"/>
        <v>0</v>
      </c>
      <c r="H27" s="5">
        <f t="shared" si="10"/>
        <v>1</v>
      </c>
      <c r="I27" s="5">
        <f t="shared" si="10"/>
        <v>5</v>
      </c>
      <c r="J27" s="5">
        <f t="shared" si="10"/>
        <v>1</v>
      </c>
      <c r="K27" s="5">
        <f t="shared" si="10"/>
        <v>2</v>
      </c>
      <c r="L27" s="5">
        <f t="shared" ref="L27:T27" si="11">SUM(L25:L26)</f>
        <v>0</v>
      </c>
      <c r="M27" s="5">
        <f t="shared" si="11"/>
        <v>1</v>
      </c>
      <c r="N27" s="5">
        <f t="shared" si="11"/>
        <v>0</v>
      </c>
      <c r="O27" s="5">
        <f t="shared" ref="O27:Q27" si="12">SUM(O25:O26)</f>
        <v>0</v>
      </c>
      <c r="P27" s="5">
        <f t="shared" si="12"/>
        <v>1</v>
      </c>
      <c r="Q27" s="5">
        <f t="shared" si="12"/>
        <v>0</v>
      </c>
      <c r="R27" s="5">
        <f t="shared" si="11"/>
        <v>1</v>
      </c>
      <c r="S27" s="5">
        <f t="shared" si="11"/>
        <v>3</v>
      </c>
      <c r="T27" s="5">
        <f t="shared" si="11"/>
        <v>6</v>
      </c>
      <c r="U27" s="5">
        <f t="shared" si="10"/>
        <v>3</v>
      </c>
      <c r="V27" s="5">
        <f t="shared" si="3"/>
        <v>28</v>
      </c>
    </row>
    <row r="28" spans="1:22" x14ac:dyDescent="0.4">
      <c r="A28" s="13"/>
      <c r="B28" s="82" t="s">
        <v>33</v>
      </c>
      <c r="C28" s="83" t="s">
        <v>34</v>
      </c>
      <c r="D28" s="5" t="s">
        <v>22</v>
      </c>
      <c r="E28" s="5">
        <f>SUM(E19,E22,E25)</f>
        <v>95</v>
      </c>
      <c r="F28" s="5">
        <f t="shared" ref="F28:U29" si="13">SUM(F19,F22,F25)</f>
        <v>99</v>
      </c>
      <c r="G28" s="5">
        <f t="shared" si="13"/>
        <v>107</v>
      </c>
      <c r="H28" s="5">
        <f t="shared" si="13"/>
        <v>107</v>
      </c>
      <c r="I28" s="5">
        <f t="shared" si="13"/>
        <v>96</v>
      </c>
      <c r="J28" s="5">
        <f t="shared" si="13"/>
        <v>96</v>
      </c>
      <c r="K28" s="5">
        <f t="shared" si="13"/>
        <v>85</v>
      </c>
      <c r="L28" s="5">
        <f t="shared" ref="L28:T28" si="14">SUM(L19,L22,L25)</f>
        <v>93</v>
      </c>
      <c r="M28" s="5">
        <f t="shared" si="14"/>
        <v>98</v>
      </c>
      <c r="N28" s="5">
        <f t="shared" si="14"/>
        <v>117</v>
      </c>
      <c r="O28" s="5">
        <f t="shared" ref="O28:Q28" si="15">SUM(O19,O22,O25)</f>
        <v>89</v>
      </c>
      <c r="P28" s="5">
        <f t="shared" si="15"/>
        <v>97</v>
      </c>
      <c r="Q28" s="5">
        <f t="shared" si="15"/>
        <v>106</v>
      </c>
      <c r="R28" s="5">
        <f t="shared" si="14"/>
        <v>98</v>
      </c>
      <c r="S28" s="5">
        <f t="shared" si="14"/>
        <v>125</v>
      </c>
      <c r="T28" s="5">
        <f t="shared" si="14"/>
        <v>102</v>
      </c>
      <c r="U28" s="5">
        <f t="shared" si="13"/>
        <v>99</v>
      </c>
      <c r="V28" s="5">
        <f t="shared" si="3"/>
        <v>1709</v>
      </c>
    </row>
    <row r="29" spans="1:22" x14ac:dyDescent="0.4">
      <c r="A29" s="13"/>
      <c r="B29" s="76"/>
      <c r="C29" s="80"/>
      <c r="D29" s="5" t="s">
        <v>23</v>
      </c>
      <c r="E29" s="5">
        <f>SUM(E20,E23,E26)</f>
        <v>112</v>
      </c>
      <c r="F29" s="5">
        <f t="shared" si="13"/>
        <v>105</v>
      </c>
      <c r="G29" s="5">
        <f t="shared" si="13"/>
        <v>109</v>
      </c>
      <c r="H29" s="5">
        <f t="shared" si="13"/>
        <v>116</v>
      </c>
      <c r="I29" s="5">
        <f t="shared" si="13"/>
        <v>124</v>
      </c>
      <c r="J29" s="5">
        <f t="shared" si="13"/>
        <v>125</v>
      </c>
      <c r="K29" s="5">
        <f t="shared" si="13"/>
        <v>112</v>
      </c>
      <c r="L29" s="5">
        <f t="shared" ref="L29:T29" si="16">SUM(L20,L23,L26)</f>
        <v>112</v>
      </c>
      <c r="M29" s="5">
        <f t="shared" si="16"/>
        <v>105</v>
      </c>
      <c r="N29" s="5">
        <f t="shared" si="16"/>
        <v>120</v>
      </c>
      <c r="O29" s="5">
        <f t="shared" ref="O29:Q29" si="17">SUM(O20,O23,O26)</f>
        <v>91</v>
      </c>
      <c r="P29" s="5">
        <f t="shared" si="17"/>
        <v>112</v>
      </c>
      <c r="Q29" s="5">
        <f t="shared" si="17"/>
        <v>128</v>
      </c>
      <c r="R29" s="5">
        <f t="shared" si="16"/>
        <v>127</v>
      </c>
      <c r="S29" s="5">
        <f t="shared" si="16"/>
        <v>115</v>
      </c>
      <c r="T29" s="5">
        <f t="shared" si="16"/>
        <v>122</v>
      </c>
      <c r="U29" s="5">
        <f t="shared" si="13"/>
        <v>121</v>
      </c>
      <c r="V29" s="5">
        <f t="shared" si="3"/>
        <v>1956</v>
      </c>
    </row>
    <row r="30" spans="1:22" x14ac:dyDescent="0.4">
      <c r="A30" s="13"/>
      <c r="B30" s="74"/>
      <c r="C30" s="81"/>
      <c r="D30" s="5" t="s">
        <v>24</v>
      </c>
      <c r="E30" s="5">
        <f t="shared" ref="E30" si="18">SUM(E28:E29)</f>
        <v>207</v>
      </c>
      <c r="F30" s="5">
        <f t="shared" ref="F30:U30" si="19">SUM(F28:F29)</f>
        <v>204</v>
      </c>
      <c r="G30" s="5">
        <f t="shared" si="19"/>
        <v>216</v>
      </c>
      <c r="H30" s="5">
        <f t="shared" si="19"/>
        <v>223</v>
      </c>
      <c r="I30" s="5">
        <f t="shared" si="19"/>
        <v>220</v>
      </c>
      <c r="J30" s="5">
        <f t="shared" si="19"/>
        <v>221</v>
      </c>
      <c r="K30" s="5">
        <f t="shared" si="19"/>
        <v>197</v>
      </c>
      <c r="L30" s="5">
        <f t="shared" ref="L30:T30" si="20">SUM(L28:L29)</f>
        <v>205</v>
      </c>
      <c r="M30" s="5">
        <f t="shared" si="20"/>
        <v>203</v>
      </c>
      <c r="N30" s="5">
        <f t="shared" si="20"/>
        <v>237</v>
      </c>
      <c r="O30" s="5">
        <f t="shared" ref="O30:Q30" si="21">SUM(O28:O29)</f>
        <v>180</v>
      </c>
      <c r="P30" s="5">
        <f t="shared" si="21"/>
        <v>209</v>
      </c>
      <c r="Q30" s="5">
        <f t="shared" si="21"/>
        <v>234</v>
      </c>
      <c r="R30" s="5">
        <f t="shared" si="20"/>
        <v>225</v>
      </c>
      <c r="S30" s="5">
        <f t="shared" si="20"/>
        <v>240</v>
      </c>
      <c r="T30" s="5">
        <f t="shared" si="20"/>
        <v>224</v>
      </c>
      <c r="U30" s="5">
        <f t="shared" si="19"/>
        <v>220</v>
      </c>
      <c r="V30" s="5">
        <f t="shared" si="3"/>
        <v>3665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6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5"/>
      <c r="V32" s="28"/>
    </row>
    <row r="33" spans="1:22" x14ac:dyDescent="0.4">
      <c r="A33" s="6">
        <v>1</v>
      </c>
      <c r="B33" s="77" t="s">
        <v>37</v>
      </c>
      <c r="C33" s="68"/>
      <c r="D33" s="51"/>
      <c r="E33" s="6">
        <v>282</v>
      </c>
      <c r="F33" s="6">
        <v>273</v>
      </c>
      <c r="G33" s="6">
        <v>279</v>
      </c>
      <c r="H33" s="6">
        <v>287</v>
      </c>
      <c r="I33" s="6">
        <v>296</v>
      </c>
      <c r="J33" s="6">
        <v>282</v>
      </c>
      <c r="K33" s="6">
        <v>260</v>
      </c>
      <c r="L33" s="6">
        <v>264</v>
      </c>
      <c r="M33" s="6">
        <v>255</v>
      </c>
      <c r="N33" s="6">
        <v>281</v>
      </c>
      <c r="O33" s="6">
        <v>245</v>
      </c>
      <c r="P33" s="6">
        <v>244</v>
      </c>
      <c r="Q33" s="6">
        <v>287</v>
      </c>
      <c r="R33" s="6">
        <v>307</v>
      </c>
      <c r="S33" s="6">
        <v>300</v>
      </c>
      <c r="T33" s="6">
        <v>289</v>
      </c>
      <c r="U33" s="6">
        <v>288</v>
      </c>
      <c r="V33" s="5">
        <f>SUM(E33:U33)</f>
        <v>4719</v>
      </c>
    </row>
    <row r="34" spans="1:22" x14ac:dyDescent="0.4">
      <c r="A34" s="6">
        <v>2</v>
      </c>
      <c r="B34" s="77" t="s">
        <v>38</v>
      </c>
      <c r="C34" s="68"/>
      <c r="D34" s="51"/>
      <c r="E34" s="5">
        <v>207</v>
      </c>
      <c r="F34" s="5">
        <v>204</v>
      </c>
      <c r="G34" s="5">
        <v>216</v>
      </c>
      <c r="H34" s="5">
        <v>223</v>
      </c>
      <c r="I34" s="5">
        <v>220</v>
      </c>
      <c r="J34" s="5">
        <v>221</v>
      </c>
      <c r="K34" s="5">
        <v>197</v>
      </c>
      <c r="L34" s="5">
        <v>205</v>
      </c>
      <c r="M34" s="5">
        <v>203</v>
      </c>
      <c r="N34" s="5">
        <v>237</v>
      </c>
      <c r="O34" s="5">
        <v>180</v>
      </c>
      <c r="P34" s="5">
        <v>209</v>
      </c>
      <c r="Q34" s="5">
        <v>234</v>
      </c>
      <c r="R34" s="5">
        <v>225</v>
      </c>
      <c r="S34" s="5">
        <v>240</v>
      </c>
      <c r="T34" s="5">
        <v>224</v>
      </c>
      <c r="U34" s="5">
        <v>220</v>
      </c>
      <c r="V34" s="5">
        <f>SUM(E34:U34)</f>
        <v>3665</v>
      </c>
    </row>
    <row r="35" spans="1:22" x14ac:dyDescent="0.4">
      <c r="A35" s="6">
        <v>3</v>
      </c>
      <c r="B35" s="77" t="s">
        <v>39</v>
      </c>
      <c r="C35" s="68"/>
      <c r="D35" s="51"/>
      <c r="E35" s="6"/>
      <c r="F35" s="6"/>
      <c r="G35" s="6"/>
      <c r="H35" s="6"/>
      <c r="I35" s="6"/>
      <c r="J35" s="6"/>
      <c r="K35" s="6"/>
      <c r="L35" s="6">
        <v>1</v>
      </c>
      <c r="M35" s="6"/>
      <c r="N35" s="6"/>
      <c r="O35" s="6">
        <v>2</v>
      </c>
      <c r="P35" s="6">
        <v>1</v>
      </c>
      <c r="Q35" s="6"/>
      <c r="R35" s="6"/>
      <c r="S35" s="6">
        <v>1</v>
      </c>
      <c r="T35" s="6"/>
      <c r="U35" s="6">
        <v>1</v>
      </c>
      <c r="V35" s="5">
        <f>SUM(E35:U35)</f>
        <v>6</v>
      </c>
    </row>
    <row r="36" spans="1:22" x14ac:dyDescent="0.4">
      <c r="A36" s="6">
        <v>4</v>
      </c>
      <c r="B36" s="77" t="s">
        <v>40</v>
      </c>
      <c r="C36" s="68"/>
      <c r="D36" s="51"/>
      <c r="E36" s="5">
        <f t="shared" ref="E36:U36" si="22">E33-(E34+E35)</f>
        <v>75</v>
      </c>
      <c r="F36" s="5">
        <f t="shared" si="22"/>
        <v>69</v>
      </c>
      <c r="G36" s="5">
        <f t="shared" si="22"/>
        <v>63</v>
      </c>
      <c r="H36" s="5">
        <f t="shared" si="22"/>
        <v>64</v>
      </c>
      <c r="I36" s="5">
        <f t="shared" si="22"/>
        <v>76</v>
      </c>
      <c r="J36" s="5">
        <f t="shared" si="22"/>
        <v>61</v>
      </c>
      <c r="K36" s="5">
        <f t="shared" si="22"/>
        <v>63</v>
      </c>
      <c r="L36" s="5">
        <f t="shared" ref="L36:T36" si="23">L33-(L34+L35)</f>
        <v>58</v>
      </c>
      <c r="M36" s="5">
        <f t="shared" si="23"/>
        <v>52</v>
      </c>
      <c r="N36" s="5">
        <f t="shared" si="23"/>
        <v>44</v>
      </c>
      <c r="O36" s="5">
        <f t="shared" ref="O36:Q36" si="24">O33-(O34+O35)</f>
        <v>63</v>
      </c>
      <c r="P36" s="5">
        <f t="shared" si="24"/>
        <v>34</v>
      </c>
      <c r="Q36" s="5">
        <f t="shared" si="24"/>
        <v>53</v>
      </c>
      <c r="R36" s="5">
        <f t="shared" si="23"/>
        <v>82</v>
      </c>
      <c r="S36" s="5">
        <f t="shared" si="23"/>
        <v>59</v>
      </c>
      <c r="T36" s="5">
        <f t="shared" si="23"/>
        <v>65</v>
      </c>
      <c r="U36" s="5">
        <f t="shared" si="22"/>
        <v>67</v>
      </c>
      <c r="V36" s="5">
        <f>SUM(E36:U36)</f>
        <v>1048</v>
      </c>
    </row>
    <row r="37" spans="1:22" x14ac:dyDescent="0.4">
      <c r="A37" s="55"/>
      <c r="B37" s="68"/>
      <c r="C37" s="68"/>
      <c r="D37" s="68"/>
      <c r="E37" s="55"/>
      <c r="F37" s="73"/>
      <c r="G37" s="73"/>
      <c r="H37" s="73"/>
      <c r="I37" s="92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/>
      <c r="F39" s="6"/>
      <c r="G39" s="6">
        <v>1</v>
      </c>
      <c r="H39" s="6">
        <v>1</v>
      </c>
      <c r="I39" s="6">
        <v>1</v>
      </c>
      <c r="J39" s="6"/>
      <c r="K39" s="6"/>
      <c r="L39" s="6">
        <v>1</v>
      </c>
      <c r="M39" s="6"/>
      <c r="N39" s="6">
        <v>1</v>
      </c>
      <c r="O39" s="6">
        <v>4</v>
      </c>
      <c r="P39" s="6"/>
      <c r="Q39" s="6"/>
      <c r="R39" s="6">
        <v>1</v>
      </c>
      <c r="S39" s="6"/>
      <c r="T39" s="6"/>
      <c r="U39" s="6">
        <v>1</v>
      </c>
      <c r="V39" s="5">
        <f>SUM(E39:U39)</f>
        <v>11</v>
      </c>
    </row>
    <row r="40" spans="1:22" x14ac:dyDescent="0.4">
      <c r="A40" s="12"/>
      <c r="B40" s="75"/>
      <c r="C40" s="76"/>
      <c r="D40" s="6" t="s">
        <v>23</v>
      </c>
      <c r="E40" s="6"/>
      <c r="F40" s="6"/>
      <c r="G40" s="6"/>
      <c r="H40" s="6"/>
      <c r="I40" s="6"/>
      <c r="J40" s="6"/>
      <c r="K40" s="6"/>
      <c r="L40" s="6">
        <v>5</v>
      </c>
      <c r="M40" s="6"/>
      <c r="N40" s="6">
        <v>1</v>
      </c>
      <c r="O40" s="6">
        <v>3</v>
      </c>
      <c r="P40" s="6"/>
      <c r="Q40" s="6"/>
      <c r="R40" s="6"/>
      <c r="S40" s="6"/>
      <c r="T40" s="6"/>
      <c r="U40" s="6"/>
      <c r="V40" s="5">
        <f>SUM(E40:U40)</f>
        <v>9</v>
      </c>
    </row>
    <row r="41" spans="1:22" x14ac:dyDescent="0.4">
      <c r="A41" s="14"/>
      <c r="B41" s="70"/>
      <c r="C41" s="74"/>
      <c r="D41" s="5" t="s">
        <v>24</v>
      </c>
      <c r="E41" s="5">
        <f t="shared" ref="E41:U41" si="25">SUM(E39:E40)</f>
        <v>0</v>
      </c>
      <c r="F41" s="5">
        <f t="shared" si="25"/>
        <v>0</v>
      </c>
      <c r="G41" s="5">
        <f t="shared" si="25"/>
        <v>1</v>
      </c>
      <c r="H41" s="5">
        <f t="shared" si="25"/>
        <v>1</v>
      </c>
      <c r="I41" s="5">
        <f t="shared" si="25"/>
        <v>1</v>
      </c>
      <c r="J41" s="5">
        <f t="shared" si="25"/>
        <v>0</v>
      </c>
      <c r="K41" s="5">
        <f t="shared" si="25"/>
        <v>0</v>
      </c>
      <c r="L41" s="5">
        <f t="shared" ref="L41:T41" si="26">SUM(L39:L40)</f>
        <v>6</v>
      </c>
      <c r="M41" s="5">
        <f t="shared" si="26"/>
        <v>0</v>
      </c>
      <c r="N41" s="5">
        <f t="shared" si="26"/>
        <v>2</v>
      </c>
      <c r="O41" s="5">
        <f t="shared" ref="O41:Q41" si="27">SUM(O39:O40)</f>
        <v>7</v>
      </c>
      <c r="P41" s="5">
        <f t="shared" si="27"/>
        <v>0</v>
      </c>
      <c r="Q41" s="5">
        <f t="shared" si="27"/>
        <v>0</v>
      </c>
      <c r="R41" s="5">
        <f t="shared" si="26"/>
        <v>1</v>
      </c>
      <c r="S41" s="5">
        <f t="shared" si="26"/>
        <v>0</v>
      </c>
      <c r="T41" s="5">
        <f t="shared" si="26"/>
        <v>0</v>
      </c>
      <c r="U41" s="5">
        <f t="shared" si="25"/>
        <v>1</v>
      </c>
      <c r="V41" s="5">
        <f>SUM(E41:U41)</f>
        <v>20</v>
      </c>
    </row>
    <row r="42" spans="1:22" x14ac:dyDescent="0.4">
      <c r="A42" s="69"/>
      <c r="B42" s="70"/>
      <c r="C42" s="70"/>
      <c r="D42" s="74"/>
      <c r="E42" s="55"/>
      <c r="F42" s="68"/>
      <c r="G42" s="68"/>
      <c r="H42" s="68"/>
      <c r="I42" s="51"/>
      <c r="J42" s="6"/>
      <c r="K42" s="6"/>
      <c r="L42" s="6"/>
      <c r="M42" s="6"/>
      <c r="N42" s="10"/>
      <c r="O42" s="6"/>
      <c r="P42" s="10"/>
      <c r="Q42" s="6"/>
      <c r="R42" s="6"/>
      <c r="S42" s="10"/>
      <c r="T42" s="6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15"/>
      <c r="T43" s="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10"/>
      <c r="T44" s="6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9</v>
      </c>
      <c r="F45" s="6">
        <v>2</v>
      </c>
      <c r="G45" s="6">
        <v>7</v>
      </c>
      <c r="H45" s="6">
        <v>9</v>
      </c>
      <c r="I45" s="6">
        <v>3</v>
      </c>
      <c r="J45" s="6">
        <v>8</v>
      </c>
      <c r="K45" s="6">
        <v>0</v>
      </c>
      <c r="L45" s="6">
        <v>10</v>
      </c>
      <c r="M45" s="6">
        <v>11</v>
      </c>
      <c r="N45" s="6">
        <v>10</v>
      </c>
      <c r="O45" s="6">
        <v>5</v>
      </c>
      <c r="P45" s="6">
        <v>9</v>
      </c>
      <c r="Q45" s="6">
        <v>3</v>
      </c>
      <c r="R45" s="6">
        <v>7</v>
      </c>
      <c r="S45" s="6">
        <v>11</v>
      </c>
      <c r="T45" s="6">
        <v>4</v>
      </c>
      <c r="U45" s="6">
        <v>1</v>
      </c>
      <c r="V45" s="5">
        <f t="shared" ref="V45:V54" si="28">SUM(E45:U45)</f>
        <v>109</v>
      </c>
    </row>
    <row r="46" spans="1:22" x14ac:dyDescent="0.4">
      <c r="A46" s="11" t="s">
        <v>49</v>
      </c>
      <c r="B46" s="46"/>
      <c r="C46" s="24" t="s">
        <v>103</v>
      </c>
      <c r="D46" s="45"/>
      <c r="E46" s="6">
        <v>13</v>
      </c>
      <c r="F46" s="6">
        <v>8</v>
      </c>
      <c r="G46" s="6">
        <v>9</v>
      </c>
      <c r="H46" s="6">
        <v>14</v>
      </c>
      <c r="I46" s="6">
        <v>8</v>
      </c>
      <c r="J46" s="6">
        <v>9</v>
      </c>
      <c r="K46" s="6">
        <v>6</v>
      </c>
      <c r="L46" s="6">
        <v>8</v>
      </c>
      <c r="M46" s="6">
        <v>24</v>
      </c>
      <c r="N46" s="6">
        <v>28</v>
      </c>
      <c r="O46" s="6">
        <v>18</v>
      </c>
      <c r="P46" s="6">
        <v>13</v>
      </c>
      <c r="Q46" s="6">
        <v>3</v>
      </c>
      <c r="R46" s="6">
        <v>14</v>
      </c>
      <c r="S46" s="6">
        <v>10</v>
      </c>
      <c r="T46" s="6">
        <v>7</v>
      </c>
      <c r="U46" s="6">
        <v>11</v>
      </c>
      <c r="V46" s="5">
        <f t="shared" si="28"/>
        <v>203</v>
      </c>
    </row>
    <row r="47" spans="1:22" x14ac:dyDescent="0.4">
      <c r="A47" s="7"/>
      <c r="B47" s="46"/>
      <c r="C47" s="24" t="s">
        <v>104</v>
      </c>
      <c r="D47" s="45"/>
      <c r="E47" s="6">
        <v>1</v>
      </c>
      <c r="F47" s="6">
        <v>4</v>
      </c>
      <c r="G47" s="6">
        <v>1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2</v>
      </c>
      <c r="N47" s="6">
        <v>0</v>
      </c>
      <c r="O47" s="6">
        <v>1</v>
      </c>
      <c r="P47" s="6">
        <v>3</v>
      </c>
      <c r="Q47" s="6">
        <v>1</v>
      </c>
      <c r="R47" s="6">
        <v>2</v>
      </c>
      <c r="S47" s="6">
        <v>0</v>
      </c>
      <c r="T47" s="6">
        <v>1</v>
      </c>
      <c r="U47" s="6">
        <v>1</v>
      </c>
      <c r="V47" s="5">
        <f t="shared" si="28"/>
        <v>18</v>
      </c>
    </row>
    <row r="48" spans="1:22" x14ac:dyDescent="0.4">
      <c r="A48" s="7"/>
      <c r="B48" s="46"/>
      <c r="C48" s="24" t="s">
        <v>105</v>
      </c>
      <c r="D48" s="45"/>
      <c r="E48" s="6">
        <v>0</v>
      </c>
      <c r="F48" s="6">
        <v>0</v>
      </c>
      <c r="G48" s="6">
        <v>2</v>
      </c>
      <c r="H48" s="6">
        <v>0</v>
      </c>
      <c r="I48" s="6">
        <v>0</v>
      </c>
      <c r="J48" s="6">
        <v>2</v>
      </c>
      <c r="K48" s="6">
        <v>1</v>
      </c>
      <c r="L48" s="6">
        <v>1</v>
      </c>
      <c r="M48" s="6">
        <v>0</v>
      </c>
      <c r="N48" s="6">
        <v>2</v>
      </c>
      <c r="O48" s="6">
        <v>0</v>
      </c>
      <c r="P48" s="6">
        <v>0</v>
      </c>
      <c r="Q48" s="6">
        <v>0</v>
      </c>
      <c r="R48" s="6">
        <v>1</v>
      </c>
      <c r="S48" s="6">
        <v>0</v>
      </c>
      <c r="T48" s="6">
        <v>1</v>
      </c>
      <c r="U48" s="6">
        <v>2</v>
      </c>
      <c r="V48" s="5">
        <f t="shared" si="28"/>
        <v>12</v>
      </c>
    </row>
    <row r="49" spans="1:22" x14ac:dyDescent="0.4">
      <c r="A49" s="7"/>
      <c r="B49" s="46"/>
      <c r="C49" s="24" t="s">
        <v>106</v>
      </c>
      <c r="D49" s="45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0</v>
      </c>
      <c r="O49" s="6">
        <v>1</v>
      </c>
      <c r="P49" s="6">
        <v>1</v>
      </c>
      <c r="Q49" s="6">
        <v>0</v>
      </c>
      <c r="R49" s="6">
        <v>0</v>
      </c>
      <c r="S49" s="6">
        <v>0</v>
      </c>
      <c r="T49" s="6"/>
      <c r="U49" s="6">
        <v>1</v>
      </c>
      <c r="V49" s="5">
        <f t="shared" si="28"/>
        <v>4</v>
      </c>
    </row>
    <row r="50" spans="1:22" x14ac:dyDescent="0.4">
      <c r="A50" s="7"/>
      <c r="B50" s="46"/>
      <c r="C50" s="24" t="s">
        <v>107</v>
      </c>
      <c r="D50" s="45"/>
      <c r="E50" s="6">
        <v>0</v>
      </c>
      <c r="F50" s="6">
        <v>0</v>
      </c>
      <c r="G50" s="6">
        <v>0</v>
      </c>
      <c r="H50" s="6">
        <v>2</v>
      </c>
      <c r="I50" s="6">
        <v>1</v>
      </c>
      <c r="J50" s="6">
        <v>1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2</v>
      </c>
      <c r="Q50" s="6">
        <v>0</v>
      </c>
      <c r="R50" s="6">
        <v>0</v>
      </c>
      <c r="S50" s="6">
        <v>0</v>
      </c>
      <c r="T50" s="6"/>
      <c r="U50" s="6"/>
      <c r="V50" s="5">
        <f t="shared" si="28"/>
        <v>7</v>
      </c>
    </row>
    <row r="51" spans="1:22" x14ac:dyDescent="0.4">
      <c r="A51" s="7"/>
      <c r="B51" s="46"/>
      <c r="C51" s="24" t="s">
        <v>108</v>
      </c>
      <c r="D51" s="45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/>
      <c r="U51" s="6"/>
      <c r="V51" s="5">
        <f t="shared" si="28"/>
        <v>4</v>
      </c>
    </row>
    <row r="52" spans="1:22" ht="13.15" customHeight="1" x14ac:dyDescent="0.4">
      <c r="A52" s="7"/>
      <c r="B52" s="46"/>
      <c r="C52" s="24" t="s">
        <v>109</v>
      </c>
      <c r="D52" s="45"/>
      <c r="E52" s="6">
        <v>0</v>
      </c>
      <c r="F52" s="6">
        <v>1</v>
      </c>
      <c r="G52" s="6">
        <v>0</v>
      </c>
      <c r="H52" s="6">
        <v>0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1</v>
      </c>
      <c r="Q52" s="6">
        <v>1</v>
      </c>
      <c r="R52" s="6">
        <v>0</v>
      </c>
      <c r="S52" s="6">
        <v>0</v>
      </c>
      <c r="T52" s="6"/>
      <c r="U52" s="6"/>
      <c r="V52" s="5">
        <f t="shared" si="28"/>
        <v>5</v>
      </c>
    </row>
    <row r="53" spans="1:22" ht="13.15" customHeight="1" x14ac:dyDescent="0.4">
      <c r="A53" s="7"/>
      <c r="B53" s="46"/>
      <c r="C53" s="24" t="s">
        <v>110</v>
      </c>
      <c r="D53" s="47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/>
      <c r="U53" s="6"/>
      <c r="V53" s="5">
        <f t="shared" si="28"/>
        <v>2</v>
      </c>
    </row>
    <row r="54" spans="1:22" ht="13.15" customHeight="1" x14ac:dyDescent="0.4">
      <c r="A54" s="7"/>
      <c r="B54" s="46"/>
      <c r="C54" s="24" t="s">
        <v>111</v>
      </c>
      <c r="D54" s="45"/>
      <c r="E54" s="6">
        <v>1</v>
      </c>
      <c r="F54" s="6">
        <v>0</v>
      </c>
      <c r="G54" s="6">
        <v>1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1</v>
      </c>
      <c r="S54" s="6">
        <v>0</v>
      </c>
      <c r="T54" s="6"/>
      <c r="U54" s="6"/>
      <c r="V54" s="5">
        <f t="shared" si="28"/>
        <v>5</v>
      </c>
    </row>
    <row r="55" spans="1:22" x14ac:dyDescent="0.4">
      <c r="A55" s="6" t="s">
        <v>25</v>
      </c>
      <c r="B55" s="52" t="s">
        <v>50</v>
      </c>
      <c r="C55" s="68"/>
      <c r="D55" s="51"/>
      <c r="E55" s="5">
        <f>SUM(E45:E54)</f>
        <v>24</v>
      </c>
      <c r="F55" s="5">
        <f t="shared" ref="F55:V55" si="29">SUM(F45:F54)</f>
        <v>15</v>
      </c>
      <c r="G55" s="5">
        <f t="shared" si="29"/>
        <v>20</v>
      </c>
      <c r="H55" s="5">
        <f t="shared" si="29"/>
        <v>27</v>
      </c>
      <c r="I55" s="5">
        <f t="shared" si="29"/>
        <v>14</v>
      </c>
      <c r="J55" s="5">
        <f t="shared" si="29"/>
        <v>21</v>
      </c>
      <c r="K55" s="5">
        <f t="shared" si="29"/>
        <v>8</v>
      </c>
      <c r="L55" s="5">
        <f t="shared" si="29"/>
        <v>19</v>
      </c>
      <c r="M55" s="5">
        <f t="shared" si="29"/>
        <v>39</v>
      </c>
      <c r="N55" s="5">
        <f t="shared" si="29"/>
        <v>42</v>
      </c>
      <c r="O55" s="5">
        <f t="shared" ref="O55:Q55" si="30">SUM(O45:O54)</f>
        <v>26</v>
      </c>
      <c r="P55" s="5">
        <f t="shared" si="30"/>
        <v>29</v>
      </c>
      <c r="Q55" s="5">
        <f t="shared" si="30"/>
        <v>9</v>
      </c>
      <c r="R55" s="5">
        <f t="shared" si="29"/>
        <v>25</v>
      </c>
      <c r="S55" s="5">
        <f t="shared" si="29"/>
        <v>22</v>
      </c>
      <c r="T55" s="5">
        <f t="shared" si="29"/>
        <v>13</v>
      </c>
      <c r="U55" s="5">
        <f t="shared" si="29"/>
        <v>16</v>
      </c>
      <c r="V55" s="5">
        <f t="shared" si="29"/>
        <v>369</v>
      </c>
    </row>
    <row r="56" spans="1:22" x14ac:dyDescent="0.4">
      <c r="A56" s="69"/>
      <c r="B56" s="70"/>
      <c r="C56" s="70"/>
      <c r="D56" s="70"/>
      <c r="E56" s="70"/>
      <c r="V56" s="5"/>
    </row>
    <row r="57" spans="1:22" x14ac:dyDescent="0.4">
      <c r="A57" s="11" t="s">
        <v>47</v>
      </c>
      <c r="B57" s="17" t="s">
        <v>29</v>
      </c>
      <c r="C57" s="50" t="s">
        <v>51</v>
      </c>
      <c r="D57" s="51"/>
      <c r="E57" s="6">
        <v>12</v>
      </c>
      <c r="F57" s="6">
        <v>10</v>
      </c>
      <c r="G57" s="6">
        <v>11</v>
      </c>
      <c r="H57" s="6">
        <v>11</v>
      </c>
      <c r="I57" s="6">
        <v>8</v>
      </c>
      <c r="J57" s="6">
        <v>16</v>
      </c>
      <c r="K57" s="6">
        <v>14</v>
      </c>
      <c r="L57" s="6">
        <v>13</v>
      </c>
      <c r="M57" s="6">
        <v>4</v>
      </c>
      <c r="N57" s="6">
        <v>6</v>
      </c>
      <c r="O57" s="6">
        <v>7</v>
      </c>
      <c r="P57" s="6">
        <v>7</v>
      </c>
      <c r="Q57" s="6">
        <v>14</v>
      </c>
      <c r="R57" s="6">
        <v>14</v>
      </c>
      <c r="S57" s="6">
        <v>11</v>
      </c>
      <c r="T57" s="6">
        <v>11</v>
      </c>
      <c r="U57" s="6">
        <v>11</v>
      </c>
      <c r="V57" s="5">
        <f t="shared" ref="V57:V66" si="31">SUM(E57:U57)</f>
        <v>180</v>
      </c>
    </row>
    <row r="58" spans="1:22" x14ac:dyDescent="0.4">
      <c r="A58" s="11" t="s">
        <v>49</v>
      </c>
      <c r="B58" s="46"/>
      <c r="C58" s="24" t="s">
        <v>112</v>
      </c>
      <c r="D58" s="45"/>
      <c r="E58" s="6">
        <v>5</v>
      </c>
      <c r="F58" s="6">
        <v>3</v>
      </c>
      <c r="G58" s="6">
        <v>6</v>
      </c>
      <c r="H58" s="6">
        <v>1</v>
      </c>
      <c r="I58" s="6">
        <v>3</v>
      </c>
      <c r="J58" s="6">
        <v>3</v>
      </c>
      <c r="K58" s="6">
        <v>2</v>
      </c>
      <c r="L58" s="6">
        <v>4</v>
      </c>
      <c r="M58" s="6">
        <v>2</v>
      </c>
      <c r="N58" s="6">
        <v>3</v>
      </c>
      <c r="O58" s="6">
        <v>3</v>
      </c>
      <c r="P58" s="6">
        <v>5</v>
      </c>
      <c r="Q58" s="6">
        <v>3</v>
      </c>
      <c r="R58" s="6">
        <v>4</v>
      </c>
      <c r="S58" s="6">
        <v>8</v>
      </c>
      <c r="T58" s="6">
        <v>10</v>
      </c>
      <c r="U58" s="6">
        <v>6</v>
      </c>
      <c r="V58" s="5">
        <f t="shared" si="31"/>
        <v>71</v>
      </c>
    </row>
    <row r="59" spans="1:22" x14ac:dyDescent="0.4">
      <c r="A59" s="7"/>
      <c r="B59" s="46"/>
      <c r="C59" s="24" t="s">
        <v>113</v>
      </c>
      <c r="D59" s="45"/>
      <c r="E59" s="6">
        <v>5</v>
      </c>
      <c r="F59" s="6">
        <v>7</v>
      </c>
      <c r="G59" s="6">
        <v>4</v>
      </c>
      <c r="H59" s="6">
        <v>6</v>
      </c>
      <c r="I59" s="6">
        <v>4</v>
      </c>
      <c r="J59" s="6">
        <v>4</v>
      </c>
      <c r="K59" s="6">
        <v>11</v>
      </c>
      <c r="L59" s="6">
        <v>8</v>
      </c>
      <c r="M59" s="6">
        <v>7</v>
      </c>
      <c r="N59" s="6">
        <v>9</v>
      </c>
      <c r="O59" s="6">
        <v>5</v>
      </c>
      <c r="P59" s="6">
        <v>5</v>
      </c>
      <c r="Q59" s="6">
        <v>6</v>
      </c>
      <c r="R59" s="6">
        <v>9</v>
      </c>
      <c r="S59" s="6">
        <v>9</v>
      </c>
      <c r="T59" s="6">
        <v>4</v>
      </c>
      <c r="U59" s="6">
        <v>11</v>
      </c>
      <c r="V59" s="5">
        <f t="shared" si="31"/>
        <v>114</v>
      </c>
    </row>
    <row r="60" spans="1:22" x14ac:dyDescent="0.4">
      <c r="A60" s="7"/>
      <c r="B60" s="46"/>
      <c r="C60" s="24" t="s">
        <v>114</v>
      </c>
      <c r="D60" s="45"/>
      <c r="E60" s="6">
        <v>5</v>
      </c>
      <c r="F60" s="6">
        <v>1</v>
      </c>
      <c r="G60" s="6">
        <v>2</v>
      </c>
      <c r="H60" s="6">
        <v>3</v>
      </c>
      <c r="I60" s="6">
        <v>0</v>
      </c>
      <c r="J60" s="6">
        <v>4</v>
      </c>
      <c r="K60" s="6">
        <v>2</v>
      </c>
      <c r="L60" s="6">
        <v>3</v>
      </c>
      <c r="M60" s="6">
        <v>0</v>
      </c>
      <c r="N60" s="6">
        <v>0</v>
      </c>
      <c r="O60" s="6">
        <v>2</v>
      </c>
      <c r="P60" s="6">
        <v>1</v>
      </c>
      <c r="Q60" s="6">
        <v>1</v>
      </c>
      <c r="R60" s="6">
        <v>3</v>
      </c>
      <c r="S60" s="6">
        <v>1</v>
      </c>
      <c r="T60" s="6">
        <v>3</v>
      </c>
      <c r="U60" s="6">
        <v>5</v>
      </c>
      <c r="V60" s="5">
        <f t="shared" si="31"/>
        <v>36</v>
      </c>
    </row>
    <row r="61" spans="1:22" x14ac:dyDescent="0.4">
      <c r="A61" s="7"/>
      <c r="B61" s="46"/>
      <c r="C61" s="24" t="s">
        <v>115</v>
      </c>
      <c r="D61" s="45"/>
      <c r="E61" s="6">
        <v>2</v>
      </c>
      <c r="F61" s="6">
        <v>3</v>
      </c>
      <c r="G61" s="6">
        <v>2</v>
      </c>
      <c r="H61" s="6">
        <v>4</v>
      </c>
      <c r="I61" s="6">
        <v>1</v>
      </c>
      <c r="J61" s="6">
        <v>2</v>
      </c>
      <c r="K61" s="6">
        <v>8</v>
      </c>
      <c r="L61" s="6">
        <v>1</v>
      </c>
      <c r="M61" s="6">
        <v>1</v>
      </c>
      <c r="N61" s="6">
        <v>4</v>
      </c>
      <c r="O61" s="6">
        <v>1</v>
      </c>
      <c r="P61" s="6">
        <v>3</v>
      </c>
      <c r="Q61" s="6">
        <v>0</v>
      </c>
      <c r="R61" s="6">
        <v>10</v>
      </c>
      <c r="S61" s="6">
        <v>3</v>
      </c>
      <c r="T61" s="6">
        <v>8</v>
      </c>
      <c r="U61" s="6">
        <v>3</v>
      </c>
      <c r="V61" s="5">
        <f t="shared" si="31"/>
        <v>56</v>
      </c>
    </row>
    <row r="62" spans="1:22" x14ac:dyDescent="0.4">
      <c r="A62" s="7"/>
      <c r="B62" s="46"/>
      <c r="C62" s="24" t="s">
        <v>116</v>
      </c>
      <c r="D62" s="45"/>
      <c r="E62" s="6">
        <v>0</v>
      </c>
      <c r="F62" s="6">
        <v>1</v>
      </c>
      <c r="G62" s="6">
        <v>3</v>
      </c>
      <c r="H62" s="6">
        <v>1</v>
      </c>
      <c r="I62" s="6">
        <v>1</v>
      </c>
      <c r="J62" s="6">
        <v>2</v>
      </c>
      <c r="K62" s="6">
        <v>0</v>
      </c>
      <c r="L62" s="6">
        <v>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3</v>
      </c>
      <c r="S62" s="6">
        <v>1</v>
      </c>
      <c r="T62" s="6"/>
      <c r="U62" s="6">
        <v>1</v>
      </c>
      <c r="V62" s="5">
        <f t="shared" si="31"/>
        <v>14</v>
      </c>
    </row>
    <row r="63" spans="1:22" ht="13.15" customHeight="1" x14ac:dyDescent="0.4">
      <c r="A63" s="7"/>
      <c r="B63" s="46"/>
      <c r="C63" s="24" t="s">
        <v>117</v>
      </c>
      <c r="D63" s="45"/>
      <c r="E63" s="6">
        <v>0</v>
      </c>
      <c r="F63" s="6">
        <v>0</v>
      </c>
      <c r="G63" s="6">
        <v>1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T63" s="6"/>
      <c r="U63" s="6"/>
      <c r="V63" s="5">
        <f t="shared" si="31"/>
        <v>3</v>
      </c>
    </row>
    <row r="64" spans="1:22" x14ac:dyDescent="0.4">
      <c r="A64" s="7"/>
      <c r="B64" s="46"/>
      <c r="C64" s="24" t="s">
        <v>118</v>
      </c>
      <c r="D64" s="45"/>
      <c r="E64" s="6">
        <v>0</v>
      </c>
      <c r="F64" s="6">
        <v>0</v>
      </c>
      <c r="G64" s="6">
        <v>0</v>
      </c>
      <c r="H64" s="6">
        <v>1</v>
      </c>
      <c r="I64" s="6">
        <v>1</v>
      </c>
      <c r="J64" s="6">
        <v>1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1</v>
      </c>
      <c r="T64" s="6"/>
      <c r="U64" s="6"/>
      <c r="V64" s="5">
        <f t="shared" si="31"/>
        <v>6</v>
      </c>
    </row>
    <row r="65" spans="1:22" x14ac:dyDescent="0.4">
      <c r="A65" s="7"/>
      <c r="B65" s="46"/>
      <c r="C65" s="24" t="s">
        <v>119</v>
      </c>
      <c r="D65" s="45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/>
      <c r="U65" s="6"/>
      <c r="V65" s="5">
        <f t="shared" si="31"/>
        <v>4</v>
      </c>
    </row>
    <row r="66" spans="1:22" x14ac:dyDescent="0.4">
      <c r="A66" s="7"/>
      <c r="B66" s="46"/>
      <c r="C66" s="24" t="s">
        <v>120</v>
      </c>
      <c r="D66" s="45"/>
      <c r="E66" s="6">
        <v>0</v>
      </c>
      <c r="F66" s="6">
        <v>0</v>
      </c>
      <c r="G66" s="6">
        <v>2</v>
      </c>
      <c r="H66" s="6">
        <v>1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1</v>
      </c>
      <c r="O66" s="6">
        <v>0</v>
      </c>
      <c r="P66" s="6">
        <v>3</v>
      </c>
      <c r="Q66" s="6">
        <v>0</v>
      </c>
      <c r="R66" s="6">
        <v>0</v>
      </c>
      <c r="S66" s="6">
        <v>1</v>
      </c>
      <c r="T66" s="6">
        <v>2</v>
      </c>
      <c r="U66" s="6">
        <v>1</v>
      </c>
      <c r="V66" s="5">
        <f t="shared" si="31"/>
        <v>12</v>
      </c>
    </row>
    <row r="67" spans="1:22" x14ac:dyDescent="0.4">
      <c r="A67" s="6" t="s">
        <v>25</v>
      </c>
      <c r="B67" s="52" t="s">
        <v>50</v>
      </c>
      <c r="C67" s="68"/>
      <c r="D67" s="51"/>
      <c r="E67" s="5">
        <f t="shared" ref="E67:V67" si="32">SUM(E57:E66)</f>
        <v>29</v>
      </c>
      <c r="F67" s="5">
        <f t="shared" si="32"/>
        <v>26</v>
      </c>
      <c r="G67" s="5">
        <f t="shared" si="32"/>
        <v>31</v>
      </c>
      <c r="H67" s="5">
        <f t="shared" si="32"/>
        <v>29</v>
      </c>
      <c r="I67" s="5">
        <f t="shared" si="32"/>
        <v>18</v>
      </c>
      <c r="J67" s="5">
        <f t="shared" si="32"/>
        <v>33</v>
      </c>
      <c r="K67" s="5">
        <f t="shared" si="32"/>
        <v>38</v>
      </c>
      <c r="L67" s="5">
        <f t="shared" si="32"/>
        <v>30</v>
      </c>
      <c r="M67" s="5">
        <f t="shared" si="32"/>
        <v>15</v>
      </c>
      <c r="N67" s="5">
        <f t="shared" si="32"/>
        <v>24</v>
      </c>
      <c r="O67" s="5">
        <f t="shared" ref="O67:Q67" si="33">SUM(O57:O66)</f>
        <v>19</v>
      </c>
      <c r="P67" s="5">
        <f t="shared" si="33"/>
        <v>24</v>
      </c>
      <c r="Q67" s="5">
        <f t="shared" si="33"/>
        <v>26</v>
      </c>
      <c r="R67" s="5">
        <f t="shared" si="32"/>
        <v>43</v>
      </c>
      <c r="S67" s="5">
        <f t="shared" si="32"/>
        <v>35</v>
      </c>
      <c r="T67" s="5">
        <f t="shared" si="32"/>
        <v>38</v>
      </c>
      <c r="U67" s="5">
        <f t="shared" si="32"/>
        <v>38</v>
      </c>
      <c r="V67" s="5">
        <f t="shared" si="32"/>
        <v>496</v>
      </c>
    </row>
    <row r="68" spans="1:22" x14ac:dyDescent="0.4">
      <c r="A68" s="69"/>
      <c r="B68" s="70"/>
      <c r="C68" s="70"/>
      <c r="D68" s="70"/>
      <c r="E68" s="70"/>
    </row>
    <row r="69" spans="1:22" x14ac:dyDescent="0.4">
      <c r="A69" s="11" t="s">
        <v>47</v>
      </c>
      <c r="B69" s="17" t="s">
        <v>31</v>
      </c>
      <c r="C69" s="50" t="s">
        <v>52</v>
      </c>
      <c r="D69" s="51"/>
      <c r="E69" s="6">
        <v>16</v>
      </c>
      <c r="F69" s="6">
        <v>11</v>
      </c>
      <c r="G69" s="6">
        <v>15</v>
      </c>
      <c r="H69" s="6">
        <v>18</v>
      </c>
      <c r="I69" s="6">
        <v>13</v>
      </c>
      <c r="J69" s="6">
        <v>11</v>
      </c>
      <c r="K69" s="6">
        <v>22</v>
      </c>
      <c r="L69" s="6">
        <v>23</v>
      </c>
      <c r="M69" s="6">
        <v>14</v>
      </c>
      <c r="N69" s="6">
        <v>20</v>
      </c>
      <c r="O69" s="6">
        <v>14</v>
      </c>
      <c r="P69" s="6">
        <v>11</v>
      </c>
      <c r="Q69" s="6">
        <v>34</v>
      </c>
      <c r="R69" s="6">
        <v>9</v>
      </c>
      <c r="S69" s="6">
        <v>29</v>
      </c>
      <c r="T69" s="6">
        <v>14</v>
      </c>
      <c r="U69" s="6">
        <v>16</v>
      </c>
      <c r="V69" s="5">
        <f t="shared" ref="V69:V78" si="34">SUM(E69:U69)</f>
        <v>290</v>
      </c>
    </row>
    <row r="70" spans="1:22" x14ac:dyDescent="0.4">
      <c r="A70" s="11" t="s">
        <v>49</v>
      </c>
      <c r="B70" s="46"/>
      <c r="C70" s="24" t="s">
        <v>121</v>
      </c>
      <c r="D70" s="45"/>
      <c r="E70" s="6">
        <v>4</v>
      </c>
      <c r="F70" s="6">
        <v>3</v>
      </c>
      <c r="G70" s="6">
        <v>3</v>
      </c>
      <c r="H70" s="6">
        <v>2</v>
      </c>
      <c r="I70" s="6">
        <v>6</v>
      </c>
      <c r="J70" s="6">
        <v>3</v>
      </c>
      <c r="K70" s="6">
        <v>5</v>
      </c>
      <c r="L70" s="6">
        <v>7</v>
      </c>
      <c r="M70" s="6">
        <v>2</v>
      </c>
      <c r="N70" s="6">
        <v>5</v>
      </c>
      <c r="O70" s="6">
        <v>1</v>
      </c>
      <c r="P70" s="6">
        <v>10</v>
      </c>
      <c r="Q70" s="6">
        <v>7</v>
      </c>
      <c r="R70" s="6">
        <v>9</v>
      </c>
      <c r="S70" s="6">
        <v>3</v>
      </c>
      <c r="T70" s="6">
        <v>4</v>
      </c>
      <c r="U70" s="6">
        <v>7</v>
      </c>
      <c r="V70" s="5">
        <f t="shared" si="34"/>
        <v>81</v>
      </c>
    </row>
    <row r="71" spans="1:22" x14ac:dyDescent="0.4">
      <c r="A71" s="7"/>
      <c r="B71" s="46"/>
      <c r="C71" s="24" t="s">
        <v>122</v>
      </c>
      <c r="D71" s="45"/>
      <c r="E71" s="6">
        <v>6</v>
      </c>
      <c r="F71" s="6">
        <v>16</v>
      </c>
      <c r="G71" s="6">
        <v>6</v>
      </c>
      <c r="H71" s="6">
        <v>8</v>
      </c>
      <c r="I71" s="6">
        <v>11</v>
      </c>
      <c r="J71" s="6">
        <v>5</v>
      </c>
      <c r="K71" s="6">
        <v>24</v>
      </c>
      <c r="L71" s="6">
        <v>10</v>
      </c>
      <c r="M71" s="6">
        <v>17</v>
      </c>
      <c r="N71" s="6">
        <v>15</v>
      </c>
      <c r="O71" s="6">
        <v>18</v>
      </c>
      <c r="P71" s="6">
        <v>29</v>
      </c>
      <c r="Q71" s="6">
        <v>16</v>
      </c>
      <c r="R71" s="6">
        <v>12</v>
      </c>
      <c r="S71" s="6">
        <v>14</v>
      </c>
      <c r="T71" s="6">
        <v>14</v>
      </c>
      <c r="U71" s="6">
        <v>11</v>
      </c>
      <c r="V71" s="5">
        <f t="shared" si="34"/>
        <v>232</v>
      </c>
    </row>
    <row r="72" spans="1:22" x14ac:dyDescent="0.4">
      <c r="A72" s="7"/>
      <c r="B72" s="46"/>
      <c r="C72" s="24" t="s">
        <v>123</v>
      </c>
      <c r="D72" s="45"/>
      <c r="E72" s="6">
        <v>4</v>
      </c>
      <c r="F72" s="6">
        <v>5</v>
      </c>
      <c r="G72" s="6">
        <v>4</v>
      </c>
      <c r="H72" s="6">
        <v>5</v>
      </c>
      <c r="I72" s="6">
        <v>5</v>
      </c>
      <c r="J72" s="6">
        <v>3</v>
      </c>
      <c r="K72" s="6">
        <v>7</v>
      </c>
      <c r="L72" s="6">
        <v>10</v>
      </c>
      <c r="M72" s="6">
        <v>5</v>
      </c>
      <c r="N72" s="6">
        <v>8</v>
      </c>
      <c r="O72" s="6">
        <v>3</v>
      </c>
      <c r="P72" s="6">
        <v>3</v>
      </c>
      <c r="Q72" s="6">
        <v>9</v>
      </c>
      <c r="R72" s="6">
        <v>2</v>
      </c>
      <c r="S72" s="6">
        <v>6</v>
      </c>
      <c r="T72" s="6">
        <v>2</v>
      </c>
      <c r="U72" s="6">
        <v>3</v>
      </c>
      <c r="V72" s="5">
        <f t="shared" si="34"/>
        <v>84</v>
      </c>
    </row>
    <row r="73" spans="1:22" x14ac:dyDescent="0.4">
      <c r="A73" s="7"/>
      <c r="B73" s="46"/>
      <c r="C73" s="24" t="s">
        <v>124</v>
      </c>
      <c r="D73" s="45"/>
      <c r="E73" s="6">
        <v>1</v>
      </c>
      <c r="F73" s="6">
        <v>0</v>
      </c>
      <c r="G73" s="6">
        <v>3</v>
      </c>
      <c r="H73" s="6">
        <v>2</v>
      </c>
      <c r="I73" s="6">
        <v>1</v>
      </c>
      <c r="J73" s="6">
        <v>0</v>
      </c>
      <c r="K73" s="6">
        <v>0</v>
      </c>
      <c r="L73" s="6">
        <v>1</v>
      </c>
      <c r="M73" s="6">
        <v>4</v>
      </c>
      <c r="N73" s="6">
        <v>3</v>
      </c>
      <c r="O73" s="6">
        <v>3</v>
      </c>
      <c r="P73" s="6">
        <v>0</v>
      </c>
      <c r="Q73" s="6">
        <v>2</v>
      </c>
      <c r="R73" s="6">
        <v>4</v>
      </c>
      <c r="S73" s="6">
        <v>5</v>
      </c>
      <c r="T73" s="6">
        <v>2</v>
      </c>
      <c r="U73" s="6">
        <v>3</v>
      </c>
      <c r="V73" s="5">
        <f t="shared" si="34"/>
        <v>34</v>
      </c>
    </row>
    <row r="74" spans="1:22" ht="13.15" customHeight="1" x14ac:dyDescent="0.4">
      <c r="A74" s="7"/>
      <c r="B74" s="46"/>
      <c r="C74" s="24" t="s">
        <v>125</v>
      </c>
      <c r="D74" s="45"/>
      <c r="E74" s="6">
        <v>2</v>
      </c>
      <c r="F74" s="6">
        <v>1</v>
      </c>
      <c r="G74" s="6">
        <v>1</v>
      </c>
      <c r="H74" s="6">
        <v>3</v>
      </c>
      <c r="I74" s="6">
        <v>0</v>
      </c>
      <c r="J74" s="6">
        <v>0</v>
      </c>
      <c r="K74" s="6">
        <v>2</v>
      </c>
      <c r="L74" s="6">
        <v>3</v>
      </c>
      <c r="M74" s="6">
        <v>1</v>
      </c>
      <c r="N74" s="6">
        <v>8</v>
      </c>
      <c r="O74" s="6">
        <v>2</v>
      </c>
      <c r="P74" s="6">
        <v>10</v>
      </c>
      <c r="Q74" s="6">
        <v>5</v>
      </c>
      <c r="R74" s="6">
        <v>1</v>
      </c>
      <c r="S74" s="6">
        <v>7</v>
      </c>
      <c r="T74" s="6">
        <v>5</v>
      </c>
      <c r="U74" s="6">
        <v>1</v>
      </c>
      <c r="V74" s="5">
        <f t="shared" si="34"/>
        <v>52</v>
      </c>
    </row>
    <row r="75" spans="1:22" x14ac:dyDescent="0.4">
      <c r="A75" s="7"/>
      <c r="B75" s="46"/>
      <c r="C75" s="24" t="s">
        <v>126</v>
      </c>
      <c r="D75" s="45"/>
      <c r="E75" s="6">
        <v>1</v>
      </c>
      <c r="F75" s="6">
        <v>1</v>
      </c>
      <c r="G75" s="6">
        <v>0</v>
      </c>
      <c r="H75" s="6">
        <v>3</v>
      </c>
      <c r="I75" s="6">
        <v>2</v>
      </c>
      <c r="J75" s="6">
        <v>1</v>
      </c>
      <c r="K75" s="6">
        <v>2</v>
      </c>
      <c r="L75" s="6">
        <v>0</v>
      </c>
      <c r="M75" s="6">
        <v>1</v>
      </c>
      <c r="N75" s="6">
        <v>0</v>
      </c>
      <c r="O75" s="6">
        <v>1</v>
      </c>
      <c r="P75" s="6">
        <v>1</v>
      </c>
      <c r="Q75" s="6">
        <v>1</v>
      </c>
      <c r="R75" s="6">
        <v>0</v>
      </c>
      <c r="S75" s="6">
        <v>1</v>
      </c>
      <c r="T75" s="6">
        <v>1</v>
      </c>
      <c r="U75" s="6">
        <v>1</v>
      </c>
      <c r="V75" s="5">
        <f t="shared" si="34"/>
        <v>17</v>
      </c>
    </row>
    <row r="76" spans="1:22" x14ac:dyDescent="0.4">
      <c r="A76" s="7"/>
      <c r="B76" s="46"/>
      <c r="C76" s="24" t="s">
        <v>127</v>
      </c>
      <c r="D76" s="45"/>
      <c r="E76" s="6">
        <v>0</v>
      </c>
      <c r="F76" s="6">
        <v>1</v>
      </c>
      <c r="G76" s="6">
        <v>0</v>
      </c>
      <c r="H76" s="6">
        <v>0</v>
      </c>
      <c r="I76" s="6">
        <v>2</v>
      </c>
      <c r="J76" s="6">
        <v>1</v>
      </c>
      <c r="K76" s="6">
        <v>2</v>
      </c>
      <c r="L76" s="6">
        <v>0</v>
      </c>
      <c r="M76" s="6">
        <v>0</v>
      </c>
      <c r="N76" s="6">
        <v>1</v>
      </c>
      <c r="O76" s="6">
        <v>0</v>
      </c>
      <c r="P76" s="6">
        <v>1</v>
      </c>
      <c r="Q76" s="6">
        <v>0</v>
      </c>
      <c r="R76" s="6">
        <v>0</v>
      </c>
      <c r="S76" s="6">
        <v>2</v>
      </c>
      <c r="T76" s="6">
        <v>1</v>
      </c>
      <c r="U76" s="6">
        <v>3</v>
      </c>
      <c r="V76" s="5">
        <f t="shared" si="34"/>
        <v>14</v>
      </c>
    </row>
    <row r="77" spans="1:22" x14ac:dyDescent="0.4">
      <c r="A77" s="7"/>
      <c r="B77" s="46"/>
      <c r="C77" s="24" t="s">
        <v>128</v>
      </c>
      <c r="D77" s="45"/>
      <c r="E77" s="6">
        <v>0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2</v>
      </c>
      <c r="L77" s="6">
        <v>1</v>
      </c>
      <c r="M77" s="6">
        <v>1</v>
      </c>
      <c r="N77" s="6">
        <v>1</v>
      </c>
      <c r="O77" s="6">
        <v>0</v>
      </c>
      <c r="P77" s="6">
        <v>1</v>
      </c>
      <c r="Q77" s="6">
        <v>1</v>
      </c>
      <c r="R77" s="6">
        <v>0</v>
      </c>
      <c r="S77" s="6">
        <v>3</v>
      </c>
      <c r="T77" s="6"/>
      <c r="U77" s="6"/>
      <c r="V77" s="5">
        <f t="shared" si="34"/>
        <v>11</v>
      </c>
    </row>
    <row r="78" spans="1:22" x14ac:dyDescent="0.4">
      <c r="A78" s="7"/>
      <c r="B78" s="46"/>
      <c r="C78" s="24" t="s">
        <v>129</v>
      </c>
      <c r="D78" s="45"/>
      <c r="E78" s="6">
        <v>1</v>
      </c>
      <c r="F78" s="6">
        <v>1</v>
      </c>
      <c r="G78" s="6">
        <v>0</v>
      </c>
      <c r="H78" s="6">
        <v>1</v>
      </c>
      <c r="I78" s="6">
        <v>2</v>
      </c>
      <c r="J78" s="6">
        <v>1</v>
      </c>
      <c r="K78" s="6">
        <v>2</v>
      </c>
      <c r="L78" s="6">
        <v>0</v>
      </c>
      <c r="M78" s="6">
        <v>0</v>
      </c>
      <c r="N78" s="6">
        <v>2</v>
      </c>
      <c r="O78" s="6">
        <v>0</v>
      </c>
      <c r="P78" s="6">
        <v>0</v>
      </c>
      <c r="Q78" s="6">
        <v>2</v>
      </c>
      <c r="R78" s="6">
        <v>0</v>
      </c>
      <c r="S78" s="6">
        <v>1</v>
      </c>
      <c r="T78" s="6"/>
      <c r="U78" s="6"/>
      <c r="V78" s="5">
        <f t="shared" si="34"/>
        <v>13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35">SUM(E69:E78)</f>
        <v>35</v>
      </c>
      <c r="F79" s="5">
        <f t="shared" si="35"/>
        <v>39</v>
      </c>
      <c r="G79" s="5">
        <f t="shared" si="35"/>
        <v>32</v>
      </c>
      <c r="H79" s="5">
        <f t="shared" si="35"/>
        <v>42</v>
      </c>
      <c r="I79" s="5">
        <f t="shared" si="35"/>
        <v>43</v>
      </c>
      <c r="J79" s="5">
        <f t="shared" si="35"/>
        <v>25</v>
      </c>
      <c r="K79" s="5">
        <f t="shared" si="35"/>
        <v>68</v>
      </c>
      <c r="L79" s="5">
        <f t="shared" si="35"/>
        <v>55</v>
      </c>
      <c r="M79" s="5">
        <f t="shared" si="35"/>
        <v>45</v>
      </c>
      <c r="N79" s="5">
        <f t="shared" si="35"/>
        <v>63</v>
      </c>
      <c r="O79" s="5">
        <f t="shared" ref="O79:Q79" si="36">SUM(O69:O78)</f>
        <v>42</v>
      </c>
      <c r="P79" s="5">
        <f t="shared" si="36"/>
        <v>66</v>
      </c>
      <c r="Q79" s="5">
        <f t="shared" si="36"/>
        <v>77</v>
      </c>
      <c r="R79" s="5">
        <f t="shared" si="35"/>
        <v>37</v>
      </c>
      <c r="S79" s="5">
        <f t="shared" si="35"/>
        <v>71</v>
      </c>
      <c r="T79" s="5">
        <f t="shared" si="35"/>
        <v>43</v>
      </c>
      <c r="U79" s="5">
        <f t="shared" si="35"/>
        <v>45</v>
      </c>
      <c r="V79" s="5">
        <f t="shared" si="35"/>
        <v>828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33</v>
      </c>
      <c r="C81" s="50" t="s">
        <v>53</v>
      </c>
      <c r="D81" s="51"/>
      <c r="E81" s="6">
        <v>8</v>
      </c>
      <c r="F81" s="6">
        <v>9</v>
      </c>
      <c r="G81" s="6">
        <v>7</v>
      </c>
      <c r="H81" s="6">
        <v>10</v>
      </c>
      <c r="I81" s="6">
        <v>3</v>
      </c>
      <c r="J81" s="6">
        <v>7</v>
      </c>
      <c r="K81" s="6">
        <v>7</v>
      </c>
      <c r="L81" s="6">
        <v>1</v>
      </c>
      <c r="M81" s="6">
        <v>7</v>
      </c>
      <c r="N81" s="6">
        <v>7</v>
      </c>
      <c r="O81" s="6">
        <v>8</v>
      </c>
      <c r="P81" s="6">
        <v>7</v>
      </c>
      <c r="Q81" s="6">
        <v>11</v>
      </c>
      <c r="R81" s="6">
        <v>8</v>
      </c>
      <c r="S81" s="6">
        <v>1</v>
      </c>
      <c r="T81" s="6">
        <v>3</v>
      </c>
      <c r="U81" s="6">
        <v>4</v>
      </c>
      <c r="V81" s="5">
        <f t="shared" ref="V81:V90" si="37">SUM(E81:U81)</f>
        <v>108</v>
      </c>
    </row>
    <row r="82" spans="1:22" x14ac:dyDescent="0.4">
      <c r="A82" s="11" t="s">
        <v>49</v>
      </c>
      <c r="B82" s="46"/>
      <c r="C82" s="24" t="s">
        <v>130</v>
      </c>
      <c r="D82" s="45"/>
      <c r="E82" s="6">
        <v>13</v>
      </c>
      <c r="F82" s="6">
        <v>10</v>
      </c>
      <c r="G82" s="6">
        <v>13</v>
      </c>
      <c r="H82" s="6">
        <v>11</v>
      </c>
      <c r="I82" s="6">
        <v>7</v>
      </c>
      <c r="J82" s="6">
        <v>2</v>
      </c>
      <c r="K82" s="6">
        <v>8</v>
      </c>
      <c r="L82" s="6">
        <v>9</v>
      </c>
      <c r="M82" s="6">
        <v>5</v>
      </c>
      <c r="N82" s="6">
        <v>4</v>
      </c>
      <c r="O82" s="6">
        <v>2</v>
      </c>
      <c r="P82" s="6">
        <v>5</v>
      </c>
      <c r="Q82" s="6">
        <v>13</v>
      </c>
      <c r="R82" s="6">
        <v>3</v>
      </c>
      <c r="S82" s="6">
        <v>9</v>
      </c>
      <c r="T82" s="6">
        <v>3</v>
      </c>
      <c r="U82" s="6">
        <v>1</v>
      </c>
      <c r="V82" s="5">
        <f t="shared" si="37"/>
        <v>118</v>
      </c>
    </row>
    <row r="83" spans="1:22" x14ac:dyDescent="0.4">
      <c r="A83" s="7"/>
      <c r="B83" s="46"/>
      <c r="C83" s="24" t="s">
        <v>131</v>
      </c>
      <c r="D83" s="45"/>
      <c r="E83" s="6">
        <v>4</v>
      </c>
      <c r="F83" s="6">
        <v>3</v>
      </c>
      <c r="G83" s="6">
        <v>4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1</v>
      </c>
      <c r="N83" s="6">
        <v>2</v>
      </c>
      <c r="O83" s="6">
        <v>2</v>
      </c>
      <c r="P83" s="6">
        <v>1</v>
      </c>
      <c r="Q83" s="6">
        <v>4</v>
      </c>
      <c r="R83" s="6">
        <v>0</v>
      </c>
      <c r="S83" s="6">
        <v>1</v>
      </c>
      <c r="T83" s="6"/>
      <c r="U83" s="6">
        <v>2</v>
      </c>
      <c r="V83" s="5">
        <f t="shared" si="37"/>
        <v>25</v>
      </c>
    </row>
    <row r="84" spans="1:22" x14ac:dyDescent="0.4">
      <c r="A84" s="7"/>
      <c r="B84" s="46"/>
      <c r="C84" s="24" t="s">
        <v>132</v>
      </c>
      <c r="D84" s="45"/>
      <c r="E84" s="6">
        <v>2</v>
      </c>
      <c r="F84" s="6">
        <v>3</v>
      </c>
      <c r="G84" s="6">
        <v>0</v>
      </c>
      <c r="H84" s="6">
        <v>1</v>
      </c>
      <c r="I84" s="6">
        <v>1</v>
      </c>
      <c r="J84" s="6">
        <v>1</v>
      </c>
      <c r="K84" s="6">
        <v>0</v>
      </c>
      <c r="L84" s="6">
        <v>0</v>
      </c>
      <c r="M84" s="6">
        <v>2</v>
      </c>
      <c r="N84" s="6">
        <v>1</v>
      </c>
      <c r="O84" s="6">
        <v>1</v>
      </c>
      <c r="P84" s="6">
        <v>4</v>
      </c>
      <c r="Q84" s="6">
        <v>1</v>
      </c>
      <c r="R84" s="6">
        <v>1</v>
      </c>
      <c r="S84" s="6">
        <v>1</v>
      </c>
      <c r="T84" s="6"/>
      <c r="U84" s="6">
        <v>1</v>
      </c>
      <c r="V84" s="5">
        <f t="shared" si="37"/>
        <v>20</v>
      </c>
    </row>
    <row r="85" spans="1:22" ht="13.15" customHeight="1" x14ac:dyDescent="0.4">
      <c r="A85" s="7"/>
      <c r="B85" s="46"/>
      <c r="C85" s="24" t="s">
        <v>133</v>
      </c>
      <c r="D85" s="45"/>
      <c r="E85" s="6">
        <v>1</v>
      </c>
      <c r="F85" s="6">
        <v>0</v>
      </c>
      <c r="G85" s="6">
        <v>3</v>
      </c>
      <c r="H85" s="6">
        <v>4</v>
      </c>
      <c r="I85" s="6">
        <v>3</v>
      </c>
      <c r="J85" s="6">
        <v>1</v>
      </c>
      <c r="K85" s="6">
        <v>0</v>
      </c>
      <c r="L85" s="6">
        <v>1</v>
      </c>
      <c r="M85" s="6">
        <v>2</v>
      </c>
      <c r="N85" s="6">
        <v>1</v>
      </c>
      <c r="O85" s="6">
        <v>2</v>
      </c>
      <c r="P85" s="6">
        <v>0</v>
      </c>
      <c r="Q85" s="6">
        <v>3</v>
      </c>
      <c r="R85" s="6">
        <v>0</v>
      </c>
      <c r="S85" s="6">
        <v>1</v>
      </c>
      <c r="T85" s="6">
        <v>1</v>
      </c>
      <c r="U85" s="6">
        <v>3</v>
      </c>
      <c r="V85" s="5">
        <f t="shared" si="37"/>
        <v>26</v>
      </c>
    </row>
    <row r="86" spans="1:22" x14ac:dyDescent="0.4">
      <c r="A86" s="7"/>
      <c r="B86" s="46"/>
      <c r="C86" s="24" t="s">
        <v>134</v>
      </c>
      <c r="D86" s="45"/>
      <c r="E86" s="6">
        <v>0</v>
      </c>
      <c r="F86" s="6">
        <v>1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1</v>
      </c>
      <c r="S86" s="6">
        <v>1</v>
      </c>
      <c r="T86" s="6">
        <v>2</v>
      </c>
      <c r="U86" s="6">
        <v>5</v>
      </c>
      <c r="V86" s="5">
        <f t="shared" si="37"/>
        <v>13</v>
      </c>
    </row>
    <row r="87" spans="1:22" x14ac:dyDescent="0.4">
      <c r="A87" s="7"/>
      <c r="B87" s="46"/>
      <c r="C87" s="24" t="s">
        <v>135</v>
      </c>
      <c r="D87" s="45"/>
      <c r="E87" s="6">
        <v>1</v>
      </c>
      <c r="F87" s="6">
        <v>0</v>
      </c>
      <c r="G87" s="6">
        <v>1</v>
      </c>
      <c r="H87" s="6">
        <v>1</v>
      </c>
      <c r="I87" s="6">
        <v>0</v>
      </c>
      <c r="J87" s="6">
        <v>1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1</v>
      </c>
      <c r="U87" s="6"/>
      <c r="V87" s="5">
        <f t="shared" si="37"/>
        <v>7</v>
      </c>
    </row>
    <row r="88" spans="1:22" x14ac:dyDescent="0.4">
      <c r="A88" s="7"/>
      <c r="B88" s="46"/>
      <c r="C88" s="24" t="s">
        <v>136</v>
      </c>
      <c r="D88" s="45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0</v>
      </c>
      <c r="T88" s="6">
        <v>1</v>
      </c>
      <c r="U88" s="6"/>
      <c r="V88" s="5">
        <f t="shared" si="37"/>
        <v>3</v>
      </c>
    </row>
    <row r="89" spans="1:22" x14ac:dyDescent="0.4">
      <c r="A89" s="7"/>
      <c r="B89" s="46"/>
      <c r="C89" s="24" t="s">
        <v>137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</v>
      </c>
      <c r="N89" s="6">
        <v>0</v>
      </c>
      <c r="O89" s="6">
        <v>0</v>
      </c>
      <c r="P89" s="6">
        <v>0</v>
      </c>
      <c r="Q89" s="6">
        <v>1</v>
      </c>
      <c r="R89" s="6">
        <v>1</v>
      </c>
      <c r="S89" s="6">
        <v>0</v>
      </c>
      <c r="T89" s="6"/>
      <c r="U89" s="6"/>
      <c r="V89" s="5">
        <f t="shared" si="37"/>
        <v>3</v>
      </c>
    </row>
    <row r="90" spans="1:22" x14ac:dyDescent="0.4">
      <c r="A90" s="7"/>
      <c r="B90" s="46"/>
      <c r="C90" s="24" t="s">
        <v>138</v>
      </c>
      <c r="D90" s="45"/>
      <c r="E90" s="6">
        <v>0</v>
      </c>
      <c r="F90" s="6">
        <v>1</v>
      </c>
      <c r="G90" s="6">
        <v>1</v>
      </c>
      <c r="H90" s="6">
        <v>1</v>
      </c>
      <c r="I90" s="6">
        <v>1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1</v>
      </c>
      <c r="S90" s="6">
        <v>1</v>
      </c>
      <c r="T90" s="6">
        <v>1</v>
      </c>
      <c r="U90" s="6"/>
      <c r="V90" s="5">
        <f t="shared" si="37"/>
        <v>9</v>
      </c>
    </row>
    <row r="91" spans="1:22" x14ac:dyDescent="0.4">
      <c r="A91" s="6" t="s">
        <v>25</v>
      </c>
      <c r="B91" s="52" t="s">
        <v>50</v>
      </c>
      <c r="C91" s="68"/>
      <c r="D91" s="51"/>
      <c r="E91" s="5">
        <f t="shared" ref="E91:V91" si="38">SUM(E81:E90)</f>
        <v>29</v>
      </c>
      <c r="F91" s="5">
        <f t="shared" si="38"/>
        <v>27</v>
      </c>
      <c r="G91" s="5">
        <f t="shared" si="38"/>
        <v>30</v>
      </c>
      <c r="H91" s="5">
        <f t="shared" si="38"/>
        <v>29</v>
      </c>
      <c r="I91" s="5">
        <f t="shared" si="38"/>
        <v>16</v>
      </c>
      <c r="J91" s="5">
        <f t="shared" si="38"/>
        <v>12</v>
      </c>
      <c r="K91" s="5">
        <f t="shared" si="38"/>
        <v>15</v>
      </c>
      <c r="L91" s="5">
        <f t="shared" si="38"/>
        <v>13</v>
      </c>
      <c r="M91" s="5">
        <f t="shared" si="38"/>
        <v>19</v>
      </c>
      <c r="N91" s="5">
        <f t="shared" si="38"/>
        <v>15</v>
      </c>
      <c r="O91" s="5">
        <f t="shared" ref="O91:Q91" si="39">SUM(O81:O90)</f>
        <v>16</v>
      </c>
      <c r="P91" s="5">
        <f t="shared" si="39"/>
        <v>17</v>
      </c>
      <c r="Q91" s="5">
        <f t="shared" si="39"/>
        <v>34</v>
      </c>
      <c r="R91" s="5">
        <f t="shared" si="38"/>
        <v>17</v>
      </c>
      <c r="S91" s="5">
        <f t="shared" si="38"/>
        <v>15</v>
      </c>
      <c r="T91" s="5">
        <f t="shared" si="38"/>
        <v>12</v>
      </c>
      <c r="U91" s="5">
        <f t="shared" si="38"/>
        <v>16</v>
      </c>
      <c r="V91" s="5">
        <f t="shared" si="38"/>
        <v>332</v>
      </c>
    </row>
    <row r="92" spans="1:22" x14ac:dyDescent="0.4">
      <c r="A92" s="69"/>
      <c r="B92" s="70"/>
      <c r="C92" s="70"/>
      <c r="D92" s="70"/>
      <c r="E92" s="70"/>
    </row>
    <row r="93" spans="1:22" x14ac:dyDescent="0.4">
      <c r="A93" s="11" t="s">
        <v>47</v>
      </c>
      <c r="B93" s="17" t="s">
        <v>54</v>
      </c>
      <c r="C93" s="50" t="s">
        <v>55</v>
      </c>
      <c r="D93" s="51"/>
      <c r="E93" s="6">
        <v>0</v>
      </c>
      <c r="F93" s="6">
        <v>0</v>
      </c>
      <c r="G93" s="6">
        <v>2</v>
      </c>
      <c r="H93" s="6">
        <v>1</v>
      </c>
      <c r="I93" s="6">
        <v>0</v>
      </c>
      <c r="J93" s="6">
        <v>1</v>
      </c>
      <c r="K93" s="6">
        <v>2</v>
      </c>
      <c r="L93" s="6">
        <v>1</v>
      </c>
      <c r="M93" s="6">
        <v>2</v>
      </c>
      <c r="N93" s="6">
        <v>2</v>
      </c>
      <c r="O93" s="6">
        <v>2</v>
      </c>
      <c r="P93" s="6">
        <v>1</v>
      </c>
      <c r="Q93" s="6">
        <v>2</v>
      </c>
      <c r="R93" s="6">
        <v>1</v>
      </c>
      <c r="S93" s="6">
        <v>2</v>
      </c>
      <c r="T93" s="6">
        <v>4</v>
      </c>
      <c r="U93" s="6">
        <v>2</v>
      </c>
      <c r="V93" s="5">
        <f t="shared" ref="V93:V102" si="40">SUM(E93:U93)</f>
        <v>25</v>
      </c>
    </row>
    <row r="94" spans="1:22" x14ac:dyDescent="0.4">
      <c r="A94" s="11" t="s">
        <v>49</v>
      </c>
      <c r="B94" s="46"/>
      <c r="C94" s="24" t="s">
        <v>139</v>
      </c>
      <c r="D94" s="47"/>
      <c r="E94" s="6">
        <v>1</v>
      </c>
      <c r="F94" s="6">
        <v>0</v>
      </c>
      <c r="G94" s="6">
        <v>1</v>
      </c>
      <c r="H94" s="6">
        <v>1</v>
      </c>
      <c r="I94" s="6">
        <v>3</v>
      </c>
      <c r="J94" s="6">
        <v>1</v>
      </c>
      <c r="K94" s="6">
        <v>1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3</v>
      </c>
      <c r="T94" s="6">
        <v>1</v>
      </c>
      <c r="U94" s="6">
        <v>1</v>
      </c>
      <c r="V94" s="5">
        <f t="shared" si="40"/>
        <v>14</v>
      </c>
    </row>
    <row r="95" spans="1:22" x14ac:dyDescent="0.4">
      <c r="A95" s="7"/>
      <c r="B95" s="46"/>
      <c r="C95" s="24" t="s">
        <v>140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>
        <v>3</v>
      </c>
      <c r="U95" s="6">
        <v>1</v>
      </c>
      <c r="V95" s="5">
        <f t="shared" si="40"/>
        <v>5</v>
      </c>
    </row>
    <row r="96" spans="1:22" ht="13.15" customHeight="1" x14ac:dyDescent="0.4">
      <c r="A96" s="7"/>
      <c r="B96" s="46"/>
      <c r="C96" s="24" t="s">
        <v>141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1</v>
      </c>
      <c r="T96" s="6"/>
      <c r="U96" s="6">
        <v>1</v>
      </c>
      <c r="V96" s="5">
        <f t="shared" si="40"/>
        <v>4</v>
      </c>
    </row>
    <row r="97" spans="1:22" x14ac:dyDescent="0.4">
      <c r="A97" s="7"/>
      <c r="B97" s="46"/>
      <c r="C97" s="24" t="s">
        <v>142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1</v>
      </c>
      <c r="V97" s="5">
        <f t="shared" si="40"/>
        <v>2</v>
      </c>
    </row>
    <row r="98" spans="1:22" x14ac:dyDescent="0.4">
      <c r="A98" s="7"/>
      <c r="B98" s="46"/>
      <c r="C98" s="24" t="s">
        <v>143</v>
      </c>
      <c r="D98" s="45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2</v>
      </c>
      <c r="U98" s="6"/>
      <c r="V98" s="5">
        <f t="shared" si="40"/>
        <v>4</v>
      </c>
    </row>
    <row r="99" spans="1:22" x14ac:dyDescent="0.4">
      <c r="A99" s="7"/>
      <c r="B99" s="46"/>
      <c r="C99" s="24" t="s">
        <v>144</v>
      </c>
      <c r="D99" s="45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/>
      <c r="U99" s="6"/>
      <c r="V99" s="5">
        <f t="shared" si="40"/>
        <v>1</v>
      </c>
    </row>
    <row r="100" spans="1:22" x14ac:dyDescent="0.4">
      <c r="A100" s="7"/>
      <c r="B100" s="46"/>
      <c r="C100" s="24" t="s">
        <v>145</v>
      </c>
      <c r="D100" s="47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6"/>
      <c r="V100" s="5">
        <f t="shared" si="40"/>
        <v>0</v>
      </c>
    </row>
    <row r="101" spans="1:22" x14ac:dyDescent="0.4">
      <c r="A101" s="7"/>
      <c r="B101" s="46"/>
      <c r="C101" s="24" t="s">
        <v>146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/>
      <c r="U101" s="6"/>
      <c r="V101" s="5">
        <f t="shared" si="40"/>
        <v>2</v>
      </c>
    </row>
    <row r="102" spans="1:22" x14ac:dyDescent="0.4">
      <c r="A102" s="7"/>
      <c r="B102" s="46"/>
      <c r="C102" s="24" t="s">
        <v>147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/>
      <c r="V102" s="5">
        <f t="shared" si="40"/>
        <v>0</v>
      </c>
    </row>
    <row r="103" spans="1:22" x14ac:dyDescent="0.4">
      <c r="A103" s="6" t="s">
        <v>25</v>
      </c>
      <c r="B103" s="52" t="s">
        <v>50</v>
      </c>
      <c r="C103" s="68"/>
      <c r="D103" s="51"/>
      <c r="E103" s="5">
        <f t="shared" ref="E103:V103" si="41">SUM(E93:E102)</f>
        <v>1</v>
      </c>
      <c r="F103" s="5">
        <f t="shared" si="41"/>
        <v>0</v>
      </c>
      <c r="G103" s="5">
        <f t="shared" si="41"/>
        <v>3</v>
      </c>
      <c r="H103" s="5">
        <f t="shared" si="41"/>
        <v>2</v>
      </c>
      <c r="I103" s="5">
        <f t="shared" si="41"/>
        <v>4</v>
      </c>
      <c r="J103" s="5">
        <f t="shared" si="41"/>
        <v>2</v>
      </c>
      <c r="K103" s="5">
        <f t="shared" si="41"/>
        <v>4</v>
      </c>
      <c r="L103" s="5">
        <f t="shared" si="41"/>
        <v>1</v>
      </c>
      <c r="M103" s="5">
        <f t="shared" si="41"/>
        <v>2</v>
      </c>
      <c r="N103" s="5">
        <f t="shared" si="41"/>
        <v>6</v>
      </c>
      <c r="O103" s="5">
        <f t="shared" ref="O103:Q103" si="42">SUM(O93:O102)</f>
        <v>2</v>
      </c>
      <c r="P103" s="5">
        <f t="shared" si="42"/>
        <v>1</v>
      </c>
      <c r="Q103" s="5">
        <f t="shared" si="42"/>
        <v>2</v>
      </c>
      <c r="R103" s="5">
        <f t="shared" si="41"/>
        <v>3</v>
      </c>
      <c r="S103" s="5">
        <f t="shared" si="41"/>
        <v>7</v>
      </c>
      <c r="T103" s="5">
        <f t="shared" si="41"/>
        <v>11</v>
      </c>
      <c r="U103" s="5">
        <f t="shared" si="41"/>
        <v>6</v>
      </c>
      <c r="V103" s="5">
        <f t="shared" si="41"/>
        <v>57</v>
      </c>
    </row>
    <row r="104" spans="1:22" x14ac:dyDescent="0.4">
      <c r="A104" s="69"/>
      <c r="B104" s="70"/>
      <c r="C104" s="70"/>
      <c r="D104" s="70"/>
      <c r="E104" s="7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x14ac:dyDescent="0.4">
      <c r="A105" s="11" t="s">
        <v>47</v>
      </c>
      <c r="B105" s="17" t="s">
        <v>56</v>
      </c>
      <c r="C105" s="50" t="s">
        <v>57</v>
      </c>
      <c r="D105" s="51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3</v>
      </c>
      <c r="N105" s="6">
        <v>2</v>
      </c>
      <c r="O105" s="6">
        <v>0</v>
      </c>
      <c r="P105" s="6">
        <v>0</v>
      </c>
      <c r="Q105" s="6">
        <v>0</v>
      </c>
      <c r="R105" s="6">
        <v>1</v>
      </c>
      <c r="S105" s="6">
        <v>0</v>
      </c>
      <c r="T105" s="6">
        <v>1</v>
      </c>
      <c r="U105" s="6"/>
      <c r="V105" s="5">
        <f t="shared" ref="V105:V107" si="43">SUM(E105:U105)</f>
        <v>8</v>
      </c>
    </row>
    <row r="106" spans="1:22" x14ac:dyDescent="0.4">
      <c r="A106" s="11" t="s">
        <v>49</v>
      </c>
      <c r="B106" s="46"/>
      <c r="C106" s="24" t="s">
        <v>148</v>
      </c>
      <c r="D106" s="45"/>
      <c r="E106" s="6">
        <v>2</v>
      </c>
      <c r="F106" s="6">
        <v>1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2</v>
      </c>
      <c r="S106" s="6">
        <v>0</v>
      </c>
      <c r="T106" s="6"/>
      <c r="U106" s="6">
        <v>1</v>
      </c>
      <c r="V106" s="5">
        <f t="shared" si="43"/>
        <v>7</v>
      </c>
    </row>
    <row r="107" spans="1:22" ht="13.15" customHeight="1" x14ac:dyDescent="0.4">
      <c r="A107" s="7"/>
      <c r="B107" s="46"/>
      <c r="C107" s="24" t="s">
        <v>149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6"/>
      <c r="U107" s="6"/>
      <c r="V107" s="5">
        <f t="shared" si="43"/>
        <v>1</v>
      </c>
    </row>
    <row r="108" spans="1:22" ht="13.15" customHeight="1" x14ac:dyDescent="0.4">
      <c r="A108" s="6" t="s">
        <v>25</v>
      </c>
      <c r="B108" s="52" t="s">
        <v>50</v>
      </c>
      <c r="C108" s="53"/>
      <c r="D108" s="54"/>
      <c r="E108" s="5">
        <f t="shared" ref="E108:V108" si="44">SUM(E105:E107)</f>
        <v>2</v>
      </c>
      <c r="F108" s="5">
        <f t="shared" si="44"/>
        <v>1</v>
      </c>
      <c r="G108" s="5">
        <f t="shared" si="44"/>
        <v>0</v>
      </c>
      <c r="H108" s="5">
        <f t="shared" si="44"/>
        <v>0</v>
      </c>
      <c r="I108" s="5">
        <f t="shared" si="44"/>
        <v>2</v>
      </c>
      <c r="J108" s="5">
        <f t="shared" si="44"/>
        <v>0</v>
      </c>
      <c r="K108" s="5">
        <f t="shared" si="44"/>
        <v>0</v>
      </c>
      <c r="L108" s="5">
        <f t="shared" si="44"/>
        <v>0</v>
      </c>
      <c r="M108" s="5">
        <f t="shared" si="44"/>
        <v>3</v>
      </c>
      <c r="N108" s="5">
        <f t="shared" si="44"/>
        <v>2</v>
      </c>
      <c r="O108" s="5">
        <f t="shared" si="44"/>
        <v>0</v>
      </c>
      <c r="P108" s="5">
        <f t="shared" si="44"/>
        <v>0</v>
      </c>
      <c r="Q108" s="5">
        <f t="shared" si="44"/>
        <v>0</v>
      </c>
      <c r="R108" s="5">
        <f t="shared" si="44"/>
        <v>4</v>
      </c>
      <c r="S108" s="5">
        <f t="shared" si="44"/>
        <v>0</v>
      </c>
      <c r="T108" s="5">
        <f t="shared" si="44"/>
        <v>1</v>
      </c>
      <c r="U108" s="5">
        <f t="shared" si="44"/>
        <v>1</v>
      </c>
      <c r="V108" s="5">
        <f t="shared" si="44"/>
        <v>16</v>
      </c>
    </row>
    <row r="109" spans="1:22" x14ac:dyDescent="0.4">
      <c r="A109" s="55"/>
      <c r="B109" s="56"/>
      <c r="C109" s="56"/>
      <c r="D109" s="56"/>
      <c r="E109" s="5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5"/>
    </row>
    <row r="110" spans="1:22" x14ac:dyDescent="0.4">
      <c r="A110" s="11" t="s">
        <v>47</v>
      </c>
      <c r="B110" s="17" t="s">
        <v>58</v>
      </c>
      <c r="C110" s="50" t="s">
        <v>59</v>
      </c>
      <c r="D110" s="51"/>
      <c r="E110" s="6">
        <v>1</v>
      </c>
      <c r="F110" s="6">
        <v>1</v>
      </c>
      <c r="G110" s="6">
        <v>1</v>
      </c>
      <c r="H110" s="6">
        <v>0</v>
      </c>
      <c r="I110" s="6">
        <v>1</v>
      </c>
      <c r="J110" s="6">
        <v>1</v>
      </c>
      <c r="K110" s="6">
        <v>0</v>
      </c>
      <c r="L110" s="6">
        <v>1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/>
      <c r="V110" s="5">
        <f t="shared" ref="V110:V115" si="45">SUM(E110:U110)</f>
        <v>6</v>
      </c>
    </row>
    <row r="111" spans="1:22" x14ac:dyDescent="0.4">
      <c r="A111" s="11" t="s">
        <v>49</v>
      </c>
      <c r="B111" s="46"/>
      <c r="C111" s="24" t="s">
        <v>150</v>
      </c>
      <c r="D111" s="45"/>
      <c r="E111" s="6">
        <v>0</v>
      </c>
      <c r="F111" s="6">
        <v>0</v>
      </c>
      <c r="G111" s="6">
        <v>0</v>
      </c>
      <c r="H111" s="6">
        <v>1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0</v>
      </c>
      <c r="T111" s="6"/>
      <c r="U111" s="6"/>
      <c r="V111" s="5">
        <f t="shared" si="45"/>
        <v>3</v>
      </c>
    </row>
    <row r="112" spans="1:22" x14ac:dyDescent="0.4">
      <c r="A112" s="7"/>
      <c r="B112" s="46"/>
      <c r="C112" s="24" t="s">
        <v>151</v>
      </c>
      <c r="D112" s="45"/>
      <c r="E112" s="6">
        <v>2</v>
      </c>
      <c r="F112" s="6">
        <v>1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/>
      <c r="U112" s="6"/>
      <c r="V112" s="5">
        <f t="shared" si="45"/>
        <v>5</v>
      </c>
    </row>
    <row r="113" spans="1:22" x14ac:dyDescent="0.4">
      <c r="A113" s="7"/>
      <c r="B113" s="46"/>
      <c r="C113" s="24" t="s">
        <v>152</v>
      </c>
      <c r="D113" s="45"/>
      <c r="E113" s="6">
        <v>0</v>
      </c>
      <c r="F113" s="6">
        <v>0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6">
        <v>1</v>
      </c>
      <c r="V113" s="5">
        <f t="shared" si="45"/>
        <v>2</v>
      </c>
    </row>
    <row r="114" spans="1:22" x14ac:dyDescent="0.4">
      <c r="A114" s="7"/>
      <c r="B114" s="46"/>
      <c r="C114" s="24" t="s">
        <v>153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/>
      <c r="U114" s="6"/>
      <c r="V114" s="5">
        <f t="shared" si="45"/>
        <v>0</v>
      </c>
    </row>
    <row r="115" spans="1:22" x14ac:dyDescent="0.4">
      <c r="A115" s="7"/>
      <c r="B115" s="46"/>
      <c r="C115" s="24" t="s">
        <v>154</v>
      </c>
      <c r="D115" s="45"/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6">
        <v>1</v>
      </c>
      <c r="V115" s="5">
        <f t="shared" si="45"/>
        <v>2</v>
      </c>
    </row>
    <row r="116" spans="1:22" x14ac:dyDescent="0.4">
      <c r="A116" s="6" t="s">
        <v>25</v>
      </c>
      <c r="B116" s="52" t="s">
        <v>50</v>
      </c>
      <c r="C116" s="53"/>
      <c r="D116" s="54"/>
      <c r="E116" s="5">
        <f t="shared" ref="E116:V116" si="46">SUM(E110:E115)</f>
        <v>3</v>
      </c>
      <c r="F116" s="5">
        <f t="shared" si="46"/>
        <v>2</v>
      </c>
      <c r="G116" s="5">
        <f t="shared" si="46"/>
        <v>2</v>
      </c>
      <c r="H116" s="5">
        <f t="shared" si="46"/>
        <v>3</v>
      </c>
      <c r="I116" s="5">
        <f t="shared" si="46"/>
        <v>2</v>
      </c>
      <c r="J116" s="5">
        <f t="shared" si="46"/>
        <v>1</v>
      </c>
      <c r="K116" s="5">
        <f t="shared" si="46"/>
        <v>0</v>
      </c>
      <c r="L116" s="5">
        <f t="shared" si="46"/>
        <v>1</v>
      </c>
      <c r="M116" s="5">
        <f t="shared" si="46"/>
        <v>0</v>
      </c>
      <c r="N116" s="5">
        <f t="shared" si="46"/>
        <v>0</v>
      </c>
      <c r="O116" s="5">
        <f t="shared" si="46"/>
        <v>0</v>
      </c>
      <c r="P116" s="5">
        <f t="shared" si="46"/>
        <v>1</v>
      </c>
      <c r="Q116" s="5">
        <f t="shared" si="46"/>
        <v>0</v>
      </c>
      <c r="R116" s="5">
        <f t="shared" si="46"/>
        <v>0</v>
      </c>
      <c r="S116" s="5">
        <f t="shared" si="46"/>
        <v>1</v>
      </c>
      <c r="T116" s="5">
        <f t="shared" si="46"/>
        <v>0</v>
      </c>
      <c r="U116" s="5">
        <f t="shared" si="46"/>
        <v>2</v>
      </c>
      <c r="V116" s="5">
        <f t="shared" si="46"/>
        <v>18</v>
      </c>
    </row>
    <row r="117" spans="1:22" x14ac:dyDescent="0.4">
      <c r="A117" s="55"/>
      <c r="B117" s="56"/>
      <c r="C117" s="56"/>
      <c r="D117" s="56"/>
      <c r="E117" s="5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 x14ac:dyDescent="0.4">
      <c r="A118" s="11" t="s">
        <v>47</v>
      </c>
      <c r="B118" s="17" t="s">
        <v>60</v>
      </c>
      <c r="C118" s="50" t="s">
        <v>61</v>
      </c>
      <c r="D118" s="51"/>
      <c r="E118" s="6">
        <v>1</v>
      </c>
      <c r="F118" s="6">
        <v>2</v>
      </c>
      <c r="G118" s="6">
        <v>2</v>
      </c>
      <c r="H118" s="6">
        <v>2</v>
      </c>
      <c r="I118" s="6">
        <v>4</v>
      </c>
      <c r="J118" s="6">
        <v>13</v>
      </c>
      <c r="K118" s="6">
        <v>3</v>
      </c>
      <c r="L118" s="6">
        <v>8</v>
      </c>
      <c r="M118" s="6">
        <v>4</v>
      </c>
      <c r="N118" s="6">
        <v>0</v>
      </c>
      <c r="O118" s="6">
        <v>3</v>
      </c>
      <c r="P118" s="6">
        <v>2</v>
      </c>
      <c r="Q118" s="6">
        <v>6</v>
      </c>
      <c r="R118" s="6">
        <v>5</v>
      </c>
      <c r="S118" s="6">
        <v>1</v>
      </c>
      <c r="T118" s="6">
        <v>8</v>
      </c>
      <c r="U118" s="6">
        <v>2</v>
      </c>
      <c r="V118" s="5">
        <f t="shared" ref="V118:V127" si="47">SUM(E118:U118)</f>
        <v>66</v>
      </c>
    </row>
    <row r="119" spans="1:22" ht="13.15" customHeight="1" x14ac:dyDescent="0.4">
      <c r="A119" s="11" t="s">
        <v>49</v>
      </c>
      <c r="B119" s="46"/>
      <c r="C119" s="24" t="s">
        <v>155</v>
      </c>
      <c r="D119" s="45"/>
      <c r="E119" s="6">
        <v>1</v>
      </c>
      <c r="F119" s="6">
        <v>3</v>
      </c>
      <c r="G119" s="6">
        <v>0</v>
      </c>
      <c r="H119" s="6">
        <v>2</v>
      </c>
      <c r="I119" s="6">
        <v>8</v>
      </c>
      <c r="J119" s="6">
        <v>10</v>
      </c>
      <c r="K119" s="6">
        <v>5</v>
      </c>
      <c r="L119" s="6">
        <v>18</v>
      </c>
      <c r="M119" s="6">
        <v>6</v>
      </c>
      <c r="N119" s="6">
        <v>1</v>
      </c>
      <c r="O119" s="6">
        <v>3</v>
      </c>
      <c r="P119" s="6">
        <v>4</v>
      </c>
      <c r="Q119" s="6">
        <v>2</v>
      </c>
      <c r="R119" s="6">
        <v>3</v>
      </c>
      <c r="S119" s="6">
        <v>2</v>
      </c>
      <c r="T119" s="6">
        <v>3</v>
      </c>
      <c r="U119" s="6">
        <v>3</v>
      </c>
      <c r="V119" s="5">
        <f t="shared" si="47"/>
        <v>74</v>
      </c>
    </row>
    <row r="120" spans="1:22" x14ac:dyDescent="0.4">
      <c r="A120" s="7"/>
      <c r="B120" s="46"/>
      <c r="C120" s="24" t="s">
        <v>156</v>
      </c>
      <c r="D120" s="45"/>
      <c r="E120" s="6">
        <v>1</v>
      </c>
      <c r="F120" s="6">
        <v>1</v>
      </c>
      <c r="G120" s="6">
        <v>2</v>
      </c>
      <c r="H120" s="6">
        <v>0</v>
      </c>
      <c r="I120" s="6">
        <v>0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/>
      <c r="U120" s="6">
        <v>1</v>
      </c>
      <c r="V120" s="5">
        <f t="shared" si="47"/>
        <v>7</v>
      </c>
    </row>
    <row r="121" spans="1:22" x14ac:dyDescent="0.4">
      <c r="A121" s="7"/>
      <c r="B121" s="46"/>
      <c r="C121" s="24" t="s">
        <v>157</v>
      </c>
      <c r="D121" s="45"/>
      <c r="E121" s="6">
        <v>1</v>
      </c>
      <c r="F121" s="6">
        <v>0</v>
      </c>
      <c r="G121" s="6">
        <v>3</v>
      </c>
      <c r="H121" s="6">
        <v>1</v>
      </c>
      <c r="I121" s="6">
        <v>10</v>
      </c>
      <c r="J121" s="6">
        <v>3</v>
      </c>
      <c r="K121" s="6">
        <v>1</v>
      </c>
      <c r="L121" s="6">
        <v>2</v>
      </c>
      <c r="M121" s="6">
        <v>0</v>
      </c>
      <c r="N121" s="6">
        <v>0</v>
      </c>
      <c r="O121" s="6">
        <v>0</v>
      </c>
      <c r="P121" s="6">
        <v>1</v>
      </c>
      <c r="Q121" s="6">
        <v>0</v>
      </c>
      <c r="R121" s="6">
        <v>1</v>
      </c>
      <c r="S121" s="6">
        <v>1</v>
      </c>
      <c r="T121" s="6">
        <v>3</v>
      </c>
      <c r="U121" s="6"/>
      <c r="V121" s="5">
        <f t="shared" si="47"/>
        <v>27</v>
      </c>
    </row>
    <row r="122" spans="1:22" x14ac:dyDescent="0.4">
      <c r="A122" s="7"/>
      <c r="B122" s="46"/>
      <c r="C122" s="24" t="s">
        <v>158</v>
      </c>
      <c r="D122" s="45"/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2</v>
      </c>
      <c r="K122" s="6">
        <v>0</v>
      </c>
      <c r="L122" s="6">
        <v>1</v>
      </c>
      <c r="M122" s="6">
        <v>0</v>
      </c>
      <c r="N122" s="6">
        <v>0</v>
      </c>
      <c r="O122" s="6">
        <v>1</v>
      </c>
      <c r="P122" s="6">
        <v>0</v>
      </c>
      <c r="Q122" s="6">
        <v>1</v>
      </c>
      <c r="R122" s="6">
        <v>4</v>
      </c>
      <c r="S122" s="6">
        <v>0</v>
      </c>
      <c r="T122" s="6">
        <v>1</v>
      </c>
      <c r="U122" s="6"/>
      <c r="V122" s="5">
        <f t="shared" si="47"/>
        <v>11</v>
      </c>
    </row>
    <row r="123" spans="1:22" x14ac:dyDescent="0.4">
      <c r="A123" s="7"/>
      <c r="B123" s="46"/>
      <c r="C123" s="24" t="s">
        <v>159</v>
      </c>
      <c r="D123" s="45"/>
      <c r="E123" s="6">
        <v>0</v>
      </c>
      <c r="F123" s="6">
        <v>0</v>
      </c>
      <c r="G123" s="6">
        <v>0</v>
      </c>
      <c r="H123" s="6">
        <v>1</v>
      </c>
      <c r="I123" s="6">
        <v>0</v>
      </c>
      <c r="J123" s="6">
        <v>9</v>
      </c>
      <c r="K123" s="6">
        <v>0</v>
      </c>
      <c r="L123" s="6">
        <v>0</v>
      </c>
      <c r="M123" s="6">
        <v>0</v>
      </c>
      <c r="N123" s="6">
        <v>0</v>
      </c>
      <c r="O123" s="6">
        <v>2</v>
      </c>
      <c r="P123" s="6">
        <v>0</v>
      </c>
      <c r="Q123" s="6">
        <v>0</v>
      </c>
      <c r="R123" s="6">
        <v>4</v>
      </c>
      <c r="S123" s="6">
        <v>0</v>
      </c>
      <c r="T123" s="6">
        <v>1</v>
      </c>
      <c r="U123" s="6">
        <v>2</v>
      </c>
      <c r="V123" s="5">
        <f t="shared" si="47"/>
        <v>19</v>
      </c>
    </row>
    <row r="124" spans="1:22" x14ac:dyDescent="0.4">
      <c r="A124" s="7"/>
      <c r="B124" s="46"/>
      <c r="C124" s="24" t="s">
        <v>160</v>
      </c>
      <c r="D124" s="45"/>
      <c r="E124" s="6">
        <v>0</v>
      </c>
      <c r="F124" s="6">
        <v>1</v>
      </c>
      <c r="G124" s="6">
        <v>5</v>
      </c>
      <c r="H124" s="6">
        <v>0</v>
      </c>
      <c r="I124" s="6">
        <v>2</v>
      </c>
      <c r="J124" s="6">
        <v>0</v>
      </c>
      <c r="K124" s="6">
        <v>2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2</v>
      </c>
      <c r="S124" s="6">
        <v>0</v>
      </c>
      <c r="T124" s="6">
        <v>3</v>
      </c>
      <c r="U124" s="6">
        <v>1</v>
      </c>
      <c r="V124" s="5">
        <f t="shared" si="47"/>
        <v>16</v>
      </c>
    </row>
    <row r="125" spans="1:22" x14ac:dyDescent="0.4">
      <c r="A125" s="7"/>
      <c r="B125" s="46"/>
      <c r="C125" s="24" t="s">
        <v>161</v>
      </c>
      <c r="D125" s="45"/>
      <c r="E125" s="6">
        <v>1</v>
      </c>
      <c r="F125" s="6">
        <v>1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2</v>
      </c>
      <c r="Q125" s="6">
        <v>0</v>
      </c>
      <c r="R125" s="6">
        <v>0</v>
      </c>
      <c r="S125" s="6">
        <v>0</v>
      </c>
      <c r="T125" s="6">
        <v>2</v>
      </c>
      <c r="U125" s="6">
        <v>3</v>
      </c>
      <c r="V125" s="5">
        <f t="shared" si="47"/>
        <v>9</v>
      </c>
    </row>
    <row r="126" spans="1:22" x14ac:dyDescent="0.4">
      <c r="A126" s="7"/>
      <c r="B126" s="46"/>
      <c r="C126" s="24" t="s">
        <v>162</v>
      </c>
      <c r="D126" s="45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/>
      <c r="U126" s="6"/>
      <c r="V126" s="5">
        <f t="shared" si="47"/>
        <v>0</v>
      </c>
    </row>
    <row r="127" spans="1:22" x14ac:dyDescent="0.4">
      <c r="A127" s="7"/>
      <c r="B127" s="46"/>
      <c r="C127" s="24" t="s">
        <v>163</v>
      </c>
      <c r="D127" s="45"/>
      <c r="E127" s="6">
        <v>0</v>
      </c>
      <c r="F127" s="6">
        <v>0</v>
      </c>
      <c r="G127" s="6">
        <v>0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1</v>
      </c>
      <c r="Q127" s="6">
        <v>0</v>
      </c>
      <c r="R127" s="6">
        <v>1</v>
      </c>
      <c r="S127" s="6">
        <v>0</v>
      </c>
      <c r="T127" s="6"/>
      <c r="U127" s="6"/>
      <c r="V127" s="5">
        <f t="shared" si="47"/>
        <v>3</v>
      </c>
    </row>
    <row r="128" spans="1:22" x14ac:dyDescent="0.4">
      <c r="A128" s="6" t="s">
        <v>25</v>
      </c>
      <c r="B128" s="52" t="s">
        <v>50</v>
      </c>
      <c r="C128" s="53"/>
      <c r="D128" s="54"/>
      <c r="E128" s="5">
        <f t="shared" ref="E128:V128" si="48">SUM(E118:E127)</f>
        <v>6</v>
      </c>
      <c r="F128" s="5">
        <f t="shared" si="48"/>
        <v>8</v>
      </c>
      <c r="G128" s="5">
        <f t="shared" si="48"/>
        <v>12</v>
      </c>
      <c r="H128" s="5">
        <f t="shared" si="48"/>
        <v>6</v>
      </c>
      <c r="I128" s="5">
        <f t="shared" si="48"/>
        <v>25</v>
      </c>
      <c r="J128" s="5">
        <f t="shared" si="48"/>
        <v>38</v>
      </c>
      <c r="K128" s="5">
        <f t="shared" si="48"/>
        <v>11</v>
      </c>
      <c r="L128" s="5">
        <f t="shared" si="48"/>
        <v>29</v>
      </c>
      <c r="M128" s="5">
        <f t="shared" si="48"/>
        <v>10</v>
      </c>
      <c r="N128" s="5">
        <f t="shared" si="48"/>
        <v>1</v>
      </c>
      <c r="O128" s="5">
        <f t="shared" ref="O128:Q128" si="49">SUM(O118:O127)</f>
        <v>9</v>
      </c>
      <c r="P128" s="5">
        <f t="shared" si="49"/>
        <v>10</v>
      </c>
      <c r="Q128" s="5">
        <f t="shared" si="49"/>
        <v>9</v>
      </c>
      <c r="R128" s="5">
        <f t="shared" si="48"/>
        <v>21</v>
      </c>
      <c r="S128" s="5">
        <f t="shared" si="48"/>
        <v>4</v>
      </c>
      <c r="T128" s="5">
        <f t="shared" si="48"/>
        <v>21</v>
      </c>
      <c r="U128" s="5">
        <f t="shared" si="48"/>
        <v>12</v>
      </c>
      <c r="V128" s="5">
        <f t="shared" si="48"/>
        <v>232</v>
      </c>
    </row>
    <row r="129" spans="1:22" x14ac:dyDescent="0.4">
      <c r="A129" s="55"/>
      <c r="B129" s="56"/>
      <c r="C129" s="56"/>
      <c r="D129" s="56"/>
      <c r="E129" s="5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3.15" customHeight="1" x14ac:dyDescent="0.4">
      <c r="A130" s="11" t="s">
        <v>47</v>
      </c>
      <c r="B130" s="17" t="s">
        <v>62</v>
      </c>
      <c r="C130" s="50" t="s">
        <v>63</v>
      </c>
      <c r="D130" s="5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5">
        <f t="shared" ref="V130:V133" si="50">SUM(E130:U130)</f>
        <v>0</v>
      </c>
    </row>
    <row r="131" spans="1:22" x14ac:dyDescent="0.4">
      <c r="A131" s="11" t="s">
        <v>49</v>
      </c>
      <c r="B131" s="46"/>
      <c r="C131" s="24" t="s">
        <v>164</v>
      </c>
      <c r="D131" s="4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5">
        <f t="shared" si="50"/>
        <v>0</v>
      </c>
    </row>
    <row r="132" spans="1:22" x14ac:dyDescent="0.4">
      <c r="A132" s="7"/>
      <c r="B132" s="46"/>
      <c r="C132" s="24" t="s">
        <v>165</v>
      </c>
      <c r="D132" s="4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5">
        <f t="shared" si="50"/>
        <v>0</v>
      </c>
    </row>
    <row r="133" spans="1:22" x14ac:dyDescent="0.4">
      <c r="A133" s="7"/>
      <c r="B133" s="46"/>
      <c r="C133" s="24" t="s">
        <v>166</v>
      </c>
      <c r="D133" s="4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5">
        <f t="shared" si="50"/>
        <v>0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1">SUM(E130:E133)</f>
        <v>0</v>
      </c>
      <c r="F134" s="5">
        <f t="shared" si="51"/>
        <v>0</v>
      </c>
      <c r="G134" s="5">
        <f t="shared" si="51"/>
        <v>0</v>
      </c>
      <c r="H134" s="5">
        <f t="shared" si="51"/>
        <v>0</v>
      </c>
      <c r="I134" s="5">
        <f t="shared" si="51"/>
        <v>0</v>
      </c>
      <c r="J134" s="5">
        <f t="shared" si="51"/>
        <v>0</v>
      </c>
      <c r="K134" s="5">
        <f t="shared" si="51"/>
        <v>0</v>
      </c>
      <c r="L134" s="5">
        <f t="shared" si="51"/>
        <v>0</v>
      </c>
      <c r="M134" s="5">
        <f t="shared" si="51"/>
        <v>0</v>
      </c>
      <c r="N134" s="5">
        <f t="shared" si="51"/>
        <v>0</v>
      </c>
      <c r="O134" s="5">
        <f t="shared" si="51"/>
        <v>0</v>
      </c>
      <c r="P134" s="5">
        <f t="shared" si="51"/>
        <v>0</v>
      </c>
      <c r="Q134" s="5">
        <f t="shared" si="51"/>
        <v>0</v>
      </c>
      <c r="R134" s="5">
        <f t="shared" si="51"/>
        <v>0</v>
      </c>
      <c r="S134" s="5">
        <f t="shared" si="51"/>
        <v>0</v>
      </c>
      <c r="T134" s="5">
        <f t="shared" si="51"/>
        <v>0</v>
      </c>
      <c r="U134" s="5">
        <f t="shared" si="51"/>
        <v>0</v>
      </c>
      <c r="V134" s="5">
        <f t="shared" si="51"/>
        <v>0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5"/>
    </row>
    <row r="136" spans="1:22" x14ac:dyDescent="0.4">
      <c r="A136" s="11" t="s">
        <v>47</v>
      </c>
      <c r="B136" s="44" t="s">
        <v>64</v>
      </c>
      <c r="C136" s="63" t="s">
        <v>65</v>
      </c>
      <c r="D136" s="64"/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/>
      <c r="V136" s="5">
        <f t="shared" ref="V136:V143" si="52">SUM(E136:U136)</f>
        <v>1</v>
      </c>
    </row>
    <row r="137" spans="1:22" x14ac:dyDescent="0.4">
      <c r="A137" s="48" t="s">
        <v>49</v>
      </c>
      <c r="B137" s="46"/>
      <c r="C137" s="24" t="s">
        <v>167</v>
      </c>
      <c r="D137" s="45"/>
      <c r="E137" s="49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1</v>
      </c>
      <c r="R137" s="6">
        <v>1</v>
      </c>
      <c r="S137" s="6">
        <v>0</v>
      </c>
      <c r="T137" s="6"/>
      <c r="U137" s="6">
        <v>1</v>
      </c>
      <c r="V137" s="5">
        <f t="shared" si="52"/>
        <v>4</v>
      </c>
    </row>
    <row r="138" spans="1:22" x14ac:dyDescent="0.4">
      <c r="A138" s="7"/>
      <c r="B138" s="46"/>
      <c r="C138" s="24" t="s">
        <v>168</v>
      </c>
      <c r="D138" s="45"/>
      <c r="E138" s="49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1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/>
      <c r="V138" s="5">
        <f t="shared" si="52"/>
        <v>1</v>
      </c>
    </row>
    <row r="139" spans="1:22" x14ac:dyDescent="0.4">
      <c r="A139" s="7"/>
      <c r="B139" s="46"/>
      <c r="C139" s="24" t="s">
        <v>169</v>
      </c>
      <c r="D139" s="45"/>
      <c r="E139" s="49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/>
      <c r="V139" s="5">
        <f t="shared" si="52"/>
        <v>0</v>
      </c>
    </row>
    <row r="140" spans="1:22" x14ac:dyDescent="0.4">
      <c r="A140" s="7"/>
      <c r="B140" s="46"/>
      <c r="C140" s="24" t="s">
        <v>170</v>
      </c>
      <c r="D140" s="45"/>
      <c r="E140" s="49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/>
      <c r="V140" s="5">
        <f t="shared" si="52"/>
        <v>0</v>
      </c>
    </row>
    <row r="141" spans="1:22" x14ac:dyDescent="0.4">
      <c r="A141" s="7"/>
      <c r="B141" s="46"/>
      <c r="C141" s="24" t="s">
        <v>171</v>
      </c>
      <c r="D141" s="45"/>
      <c r="E141" s="49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5">
        <f t="shared" si="52"/>
        <v>0</v>
      </c>
    </row>
    <row r="142" spans="1:22" x14ac:dyDescent="0.4">
      <c r="A142" s="7"/>
      <c r="B142" s="46"/>
      <c r="C142" s="24" t="s">
        <v>172</v>
      </c>
      <c r="D142" s="45"/>
      <c r="E142" s="49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/>
      <c r="V142" s="5">
        <f t="shared" si="52"/>
        <v>1</v>
      </c>
    </row>
    <row r="143" spans="1:22" x14ac:dyDescent="0.4">
      <c r="A143" s="7"/>
      <c r="B143" s="46"/>
      <c r="C143" s="24" t="s">
        <v>173</v>
      </c>
      <c r="D143" s="45"/>
      <c r="E143" s="49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5">
        <f t="shared" si="52"/>
        <v>0</v>
      </c>
    </row>
    <row r="144" spans="1:22" x14ac:dyDescent="0.4">
      <c r="A144" s="6" t="s">
        <v>25</v>
      </c>
      <c r="B144" s="65" t="s">
        <v>50</v>
      </c>
      <c r="C144" s="66"/>
      <c r="D144" s="67"/>
      <c r="E144" s="5">
        <f t="shared" ref="E144:V144" si="53">SUM(E136:E143)</f>
        <v>0</v>
      </c>
      <c r="F144" s="5">
        <f t="shared" si="53"/>
        <v>0</v>
      </c>
      <c r="G144" s="5">
        <f t="shared" si="53"/>
        <v>0</v>
      </c>
      <c r="H144" s="5">
        <f t="shared" si="53"/>
        <v>0</v>
      </c>
      <c r="I144" s="5">
        <f t="shared" si="53"/>
        <v>1</v>
      </c>
      <c r="J144" s="5">
        <f t="shared" si="53"/>
        <v>0</v>
      </c>
      <c r="K144" s="5">
        <f t="shared" si="53"/>
        <v>0</v>
      </c>
      <c r="L144" s="5">
        <f t="shared" si="53"/>
        <v>1</v>
      </c>
      <c r="M144" s="5">
        <f t="shared" si="53"/>
        <v>0</v>
      </c>
      <c r="N144" s="5">
        <f t="shared" si="53"/>
        <v>0</v>
      </c>
      <c r="O144" s="5">
        <f t="shared" si="53"/>
        <v>0</v>
      </c>
      <c r="P144" s="5">
        <f t="shared" si="53"/>
        <v>1</v>
      </c>
      <c r="Q144" s="5">
        <f t="shared" si="53"/>
        <v>1</v>
      </c>
      <c r="R144" s="5">
        <f t="shared" si="53"/>
        <v>1</v>
      </c>
      <c r="S144" s="5">
        <f t="shared" si="53"/>
        <v>0</v>
      </c>
      <c r="T144" s="5">
        <f t="shared" si="53"/>
        <v>1</v>
      </c>
      <c r="U144" s="5">
        <f t="shared" si="53"/>
        <v>1</v>
      </c>
      <c r="V144" s="5">
        <f t="shared" si="53"/>
        <v>7</v>
      </c>
    </row>
    <row r="145" spans="1:22" x14ac:dyDescent="0.4">
      <c r="A145" s="55"/>
      <c r="B145" s="56"/>
      <c r="C145" s="56"/>
      <c r="D145" s="56"/>
      <c r="E145" s="5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ht="13.15" customHeight="1" x14ac:dyDescent="0.4">
      <c r="A146" s="11" t="s">
        <v>47</v>
      </c>
      <c r="B146" s="17" t="s">
        <v>66</v>
      </c>
      <c r="C146" s="50" t="s">
        <v>67</v>
      </c>
      <c r="D146" s="51"/>
      <c r="E146" s="6">
        <v>0</v>
      </c>
      <c r="F146" s="6">
        <v>0</v>
      </c>
      <c r="G146" s="6">
        <v>1</v>
      </c>
      <c r="H146" s="6">
        <v>1</v>
      </c>
      <c r="I146" s="6">
        <v>2</v>
      </c>
      <c r="J146" s="6">
        <v>0</v>
      </c>
      <c r="K146" s="6">
        <v>1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2</v>
      </c>
      <c r="R146" s="6">
        <v>1</v>
      </c>
      <c r="S146" s="6">
        <v>0</v>
      </c>
      <c r="T146" s="6"/>
      <c r="U146" s="6"/>
      <c r="V146" s="5">
        <f t="shared" ref="V146:V147" si="54">SUM(E146:U146)</f>
        <v>8</v>
      </c>
    </row>
    <row r="147" spans="1:22" x14ac:dyDescent="0.4">
      <c r="A147" s="11" t="s">
        <v>49</v>
      </c>
      <c r="B147" s="46"/>
      <c r="C147" s="24" t="s">
        <v>174</v>
      </c>
      <c r="D147" s="45"/>
      <c r="E147" s="6">
        <v>1</v>
      </c>
      <c r="F147" s="6">
        <v>1</v>
      </c>
      <c r="G147" s="6">
        <v>0</v>
      </c>
      <c r="H147" s="6">
        <v>0</v>
      </c>
      <c r="I147" s="6">
        <v>0</v>
      </c>
      <c r="J147" s="6">
        <v>1</v>
      </c>
      <c r="K147" s="6">
        <v>1</v>
      </c>
      <c r="L147" s="6">
        <v>0</v>
      </c>
      <c r="M147" s="6">
        <v>0</v>
      </c>
      <c r="N147" s="6">
        <v>0</v>
      </c>
      <c r="O147" s="6">
        <v>2</v>
      </c>
      <c r="P147" s="6">
        <v>1</v>
      </c>
      <c r="Q147" s="6">
        <v>0</v>
      </c>
      <c r="R147" s="6">
        <v>0</v>
      </c>
      <c r="S147" s="6">
        <v>0</v>
      </c>
      <c r="T147" s="6"/>
      <c r="U147" s="6"/>
      <c r="V147" s="5">
        <f t="shared" si="54"/>
        <v>7</v>
      </c>
    </row>
    <row r="148" spans="1:22" x14ac:dyDescent="0.4">
      <c r="A148" s="6" t="s">
        <v>25</v>
      </c>
      <c r="B148" s="52" t="s">
        <v>50</v>
      </c>
      <c r="C148" s="53"/>
      <c r="D148" s="54"/>
      <c r="E148" s="5">
        <f t="shared" ref="E148:V148" si="55">SUM(E146:E147)</f>
        <v>1</v>
      </c>
      <c r="F148" s="5">
        <f t="shared" si="55"/>
        <v>1</v>
      </c>
      <c r="G148" s="5">
        <f t="shared" si="55"/>
        <v>1</v>
      </c>
      <c r="H148" s="5">
        <f t="shared" si="55"/>
        <v>1</v>
      </c>
      <c r="I148" s="5">
        <f t="shared" si="55"/>
        <v>2</v>
      </c>
      <c r="J148" s="5">
        <f t="shared" si="55"/>
        <v>1</v>
      </c>
      <c r="K148" s="5">
        <f t="shared" si="55"/>
        <v>2</v>
      </c>
      <c r="L148" s="5">
        <f t="shared" si="55"/>
        <v>0</v>
      </c>
      <c r="M148" s="5">
        <f t="shared" si="55"/>
        <v>0</v>
      </c>
      <c r="N148" s="5">
        <f t="shared" si="55"/>
        <v>0</v>
      </c>
      <c r="O148" s="5">
        <f t="shared" si="55"/>
        <v>2</v>
      </c>
      <c r="P148" s="5">
        <f t="shared" si="55"/>
        <v>1</v>
      </c>
      <c r="Q148" s="5">
        <f t="shared" si="55"/>
        <v>2</v>
      </c>
      <c r="R148" s="5">
        <f t="shared" si="55"/>
        <v>1</v>
      </c>
      <c r="S148" s="5">
        <f t="shared" si="55"/>
        <v>0</v>
      </c>
      <c r="T148" s="5">
        <f t="shared" si="55"/>
        <v>0</v>
      </c>
      <c r="U148" s="5">
        <f t="shared" si="55"/>
        <v>0</v>
      </c>
      <c r="V148" s="5">
        <f t="shared" si="55"/>
        <v>15</v>
      </c>
    </row>
    <row r="149" spans="1:22" ht="13.15" customHeight="1" x14ac:dyDescent="0.4">
      <c r="A149" s="55"/>
      <c r="B149" s="56"/>
      <c r="C149" s="56"/>
      <c r="D149" s="56"/>
      <c r="E149" s="5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x14ac:dyDescent="0.4">
      <c r="A150" s="11" t="s">
        <v>47</v>
      </c>
      <c r="B150" s="17" t="s">
        <v>68</v>
      </c>
      <c r="C150" s="50" t="s">
        <v>69</v>
      </c>
      <c r="D150" s="51"/>
      <c r="E150" s="6">
        <v>0</v>
      </c>
      <c r="F150" s="6">
        <v>1</v>
      </c>
      <c r="G150" s="6">
        <v>1</v>
      </c>
      <c r="H150" s="6">
        <v>2</v>
      </c>
      <c r="I150" s="6">
        <v>4</v>
      </c>
      <c r="J150" s="6">
        <v>2</v>
      </c>
      <c r="K150" s="6">
        <v>0</v>
      </c>
      <c r="L150" s="6">
        <v>2</v>
      </c>
      <c r="M150" s="6">
        <v>2</v>
      </c>
      <c r="N150" s="6">
        <v>0</v>
      </c>
      <c r="O150" s="6">
        <v>0</v>
      </c>
      <c r="P150" s="6">
        <v>0</v>
      </c>
      <c r="Q150" s="6">
        <v>1</v>
      </c>
      <c r="R150" s="6">
        <v>0</v>
      </c>
      <c r="S150" s="6">
        <v>1</v>
      </c>
      <c r="T150" s="6">
        <v>1</v>
      </c>
      <c r="U150" s="6">
        <v>1</v>
      </c>
      <c r="V150" s="5">
        <f t="shared" ref="V150:V159" si="56">SUM(E150:U150)</f>
        <v>18</v>
      </c>
    </row>
    <row r="151" spans="1:22" x14ac:dyDescent="0.4">
      <c r="A151" s="11" t="s">
        <v>49</v>
      </c>
      <c r="B151" s="46"/>
      <c r="C151" s="24" t="s">
        <v>175</v>
      </c>
      <c r="D151" s="45"/>
      <c r="E151" s="6">
        <v>5</v>
      </c>
      <c r="F151" s="6">
        <v>18</v>
      </c>
      <c r="G151" s="6">
        <v>10</v>
      </c>
      <c r="H151" s="6">
        <v>12</v>
      </c>
      <c r="I151" s="6">
        <v>15</v>
      </c>
      <c r="J151" s="6">
        <v>24</v>
      </c>
      <c r="K151" s="6">
        <v>7</v>
      </c>
      <c r="L151" s="6">
        <v>3</v>
      </c>
      <c r="M151" s="6">
        <v>8</v>
      </c>
      <c r="N151" s="6">
        <v>19</v>
      </c>
      <c r="O151" s="6">
        <v>11</v>
      </c>
      <c r="P151" s="6">
        <v>1</v>
      </c>
      <c r="Q151" s="6">
        <v>6</v>
      </c>
      <c r="R151" s="6">
        <v>6</v>
      </c>
      <c r="S151" s="6">
        <v>1</v>
      </c>
      <c r="T151" s="6">
        <v>5</v>
      </c>
      <c r="U151" s="6">
        <v>5</v>
      </c>
      <c r="V151" s="5">
        <f t="shared" si="56"/>
        <v>156</v>
      </c>
    </row>
    <row r="152" spans="1:22" x14ac:dyDescent="0.4">
      <c r="A152" s="7"/>
      <c r="B152" s="46"/>
      <c r="C152" s="24" t="s">
        <v>176</v>
      </c>
      <c r="D152" s="45"/>
      <c r="E152" s="6">
        <v>0</v>
      </c>
      <c r="F152" s="6">
        <v>1</v>
      </c>
      <c r="G152" s="6">
        <v>0</v>
      </c>
      <c r="H152" s="6">
        <v>0</v>
      </c>
      <c r="I152" s="6">
        <v>0</v>
      </c>
      <c r="J152" s="6">
        <v>1</v>
      </c>
      <c r="K152" s="6">
        <v>0</v>
      </c>
      <c r="L152" s="6">
        <v>0</v>
      </c>
      <c r="M152" s="6">
        <v>0</v>
      </c>
      <c r="N152" s="6">
        <v>1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/>
      <c r="U152" s="6">
        <v>1</v>
      </c>
      <c r="V152" s="5">
        <f t="shared" si="56"/>
        <v>4</v>
      </c>
    </row>
    <row r="153" spans="1:22" x14ac:dyDescent="0.4">
      <c r="A153" s="7"/>
      <c r="B153" s="46"/>
      <c r="C153" s="24" t="s">
        <v>177</v>
      </c>
      <c r="D153" s="45"/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1</v>
      </c>
      <c r="K153" s="6">
        <v>0</v>
      </c>
      <c r="L153" s="6">
        <v>2</v>
      </c>
      <c r="M153" s="6">
        <v>1</v>
      </c>
      <c r="N153" s="6">
        <v>0</v>
      </c>
      <c r="O153" s="6">
        <v>1</v>
      </c>
      <c r="P153" s="6">
        <v>0</v>
      </c>
      <c r="Q153" s="6">
        <v>0</v>
      </c>
      <c r="R153" s="6">
        <v>1</v>
      </c>
      <c r="S153" s="6">
        <v>0</v>
      </c>
      <c r="T153" s="6"/>
      <c r="U153" s="6"/>
      <c r="V153" s="5">
        <f t="shared" si="56"/>
        <v>7</v>
      </c>
    </row>
    <row r="154" spans="1:22" x14ac:dyDescent="0.4">
      <c r="A154" s="7"/>
      <c r="B154" s="46"/>
      <c r="C154" s="24" t="s">
        <v>178</v>
      </c>
      <c r="D154" s="45"/>
      <c r="E154" s="6">
        <v>0</v>
      </c>
      <c r="F154" s="6">
        <v>0</v>
      </c>
      <c r="G154" s="6">
        <v>1</v>
      </c>
      <c r="H154" s="6">
        <v>1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1</v>
      </c>
      <c r="U154" s="6">
        <v>3</v>
      </c>
      <c r="V154" s="5">
        <f t="shared" si="56"/>
        <v>9</v>
      </c>
    </row>
    <row r="155" spans="1:22" x14ac:dyDescent="0.4">
      <c r="A155" s="7"/>
      <c r="B155" s="46"/>
      <c r="C155" s="24" t="s">
        <v>179</v>
      </c>
      <c r="D155" s="45"/>
      <c r="E155" s="6">
        <v>0</v>
      </c>
      <c r="F155" s="6">
        <v>1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/>
      <c r="U155" s="6">
        <v>1</v>
      </c>
      <c r="V155" s="5">
        <f t="shared" si="56"/>
        <v>4</v>
      </c>
    </row>
    <row r="156" spans="1:22" x14ac:dyDescent="0.4">
      <c r="A156" s="7"/>
      <c r="B156" s="46"/>
      <c r="C156" s="24" t="s">
        <v>180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1</v>
      </c>
      <c r="T156" s="6"/>
      <c r="U156" s="6"/>
      <c r="V156" s="5">
        <f t="shared" si="56"/>
        <v>2</v>
      </c>
    </row>
    <row r="157" spans="1:22" x14ac:dyDescent="0.4">
      <c r="A157" s="7"/>
      <c r="B157" s="46"/>
      <c r="C157" s="24" t="s">
        <v>181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</v>
      </c>
      <c r="U157" s="6"/>
      <c r="V157" s="5">
        <f t="shared" si="56"/>
        <v>1</v>
      </c>
    </row>
    <row r="158" spans="1:22" x14ac:dyDescent="0.4">
      <c r="A158" s="7"/>
      <c r="B158" s="46"/>
      <c r="C158" s="24" t="s">
        <v>182</v>
      </c>
      <c r="D158" s="45"/>
      <c r="E158" s="6">
        <v>0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5">
        <f t="shared" si="56"/>
        <v>1</v>
      </c>
    </row>
    <row r="159" spans="1:22" x14ac:dyDescent="0.4">
      <c r="A159" s="7"/>
      <c r="B159" s="46"/>
      <c r="C159" s="24" t="s">
        <v>183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6"/>
      <c r="V159" s="5">
        <f t="shared" si="56"/>
        <v>1</v>
      </c>
    </row>
    <row r="160" spans="1:22" ht="13.15" customHeight="1" x14ac:dyDescent="0.4">
      <c r="A160" s="6" t="s">
        <v>25</v>
      </c>
      <c r="B160" s="52" t="s">
        <v>50</v>
      </c>
      <c r="C160" s="53"/>
      <c r="D160" s="54"/>
      <c r="E160" s="5">
        <f t="shared" ref="E160:V160" si="57">SUM(E150:E159)</f>
        <v>5</v>
      </c>
      <c r="F160" s="5">
        <f t="shared" si="57"/>
        <v>21</v>
      </c>
      <c r="G160" s="5">
        <f t="shared" si="57"/>
        <v>12</v>
      </c>
      <c r="H160" s="5">
        <f t="shared" si="57"/>
        <v>16</v>
      </c>
      <c r="I160" s="5">
        <f t="shared" si="57"/>
        <v>21</v>
      </c>
      <c r="J160" s="5">
        <f t="shared" si="57"/>
        <v>29</v>
      </c>
      <c r="K160" s="5">
        <f t="shared" si="57"/>
        <v>7</v>
      </c>
      <c r="L160" s="5">
        <f t="shared" si="57"/>
        <v>7</v>
      </c>
      <c r="M160" s="5">
        <f t="shared" si="57"/>
        <v>11</v>
      </c>
      <c r="N160" s="5">
        <f t="shared" si="57"/>
        <v>23</v>
      </c>
      <c r="O160" s="5">
        <f t="shared" ref="O160:Q160" si="58">SUM(O150:O159)</f>
        <v>12</v>
      </c>
      <c r="P160" s="5">
        <f t="shared" si="58"/>
        <v>1</v>
      </c>
      <c r="Q160" s="5">
        <f t="shared" si="58"/>
        <v>7</v>
      </c>
      <c r="R160" s="5">
        <f t="shared" si="57"/>
        <v>9</v>
      </c>
      <c r="S160" s="5">
        <f t="shared" si="57"/>
        <v>3</v>
      </c>
      <c r="T160" s="5">
        <f t="shared" si="57"/>
        <v>8</v>
      </c>
      <c r="U160" s="5">
        <f t="shared" si="57"/>
        <v>11</v>
      </c>
      <c r="V160" s="5">
        <f t="shared" si="57"/>
        <v>203</v>
      </c>
    </row>
    <row r="161" spans="1:22" x14ac:dyDescent="0.4">
      <c r="A161" s="55"/>
      <c r="B161" s="56"/>
      <c r="C161" s="56"/>
      <c r="D161" s="56"/>
      <c r="E161" s="57"/>
      <c r="F161" s="18"/>
      <c r="G161" s="18"/>
      <c r="H161" s="18"/>
      <c r="I161" s="18"/>
      <c r="J161" s="18"/>
      <c r="K161" s="18"/>
      <c r="L161" s="18"/>
      <c r="M161" s="18"/>
      <c r="N161" s="18"/>
      <c r="U161" s="18"/>
      <c r="V161" s="5"/>
    </row>
    <row r="162" spans="1:22" x14ac:dyDescent="0.4">
      <c r="A162" s="11" t="s">
        <v>47</v>
      </c>
      <c r="B162" s="17" t="s">
        <v>70</v>
      </c>
      <c r="C162" s="50" t="s">
        <v>71</v>
      </c>
      <c r="D162" s="51"/>
      <c r="E162" s="6">
        <v>0</v>
      </c>
      <c r="F162" s="6">
        <v>0</v>
      </c>
      <c r="G162" s="6">
        <v>0</v>
      </c>
      <c r="H162" s="6">
        <v>1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6"/>
      <c r="V162" s="5">
        <f t="shared" ref="V162:V171" si="59">SUM(E162:U162)</f>
        <v>2</v>
      </c>
    </row>
    <row r="163" spans="1:22" x14ac:dyDescent="0.4">
      <c r="A163" s="11" t="s">
        <v>49</v>
      </c>
      <c r="B163" s="46"/>
      <c r="C163" s="24" t="s">
        <v>184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0</v>
      </c>
      <c r="R163" s="6">
        <v>0</v>
      </c>
      <c r="S163" s="6">
        <v>0</v>
      </c>
      <c r="T163" s="6"/>
      <c r="U163" s="6"/>
      <c r="V163" s="5">
        <f t="shared" si="59"/>
        <v>2</v>
      </c>
    </row>
    <row r="164" spans="1:22" x14ac:dyDescent="0.4">
      <c r="A164" s="7"/>
      <c r="B164" s="46"/>
      <c r="C164" s="24" t="s">
        <v>185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1</v>
      </c>
      <c r="Q164" s="6">
        <v>1</v>
      </c>
      <c r="R164" s="6">
        <v>0</v>
      </c>
      <c r="S164" s="6">
        <v>0</v>
      </c>
      <c r="T164" s="6"/>
      <c r="U164" s="6"/>
      <c r="V164" s="5">
        <f t="shared" si="59"/>
        <v>2</v>
      </c>
    </row>
    <row r="165" spans="1:22" x14ac:dyDescent="0.4">
      <c r="A165" s="7"/>
      <c r="B165" s="46"/>
      <c r="C165" s="24" t="s">
        <v>186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/>
      <c r="V165" s="5">
        <f t="shared" si="59"/>
        <v>1</v>
      </c>
    </row>
    <row r="166" spans="1:22" x14ac:dyDescent="0.4">
      <c r="A166" s="7"/>
      <c r="B166" s="46"/>
      <c r="C166" s="24" t="s">
        <v>187</v>
      </c>
      <c r="D166" s="45"/>
      <c r="E166" s="6">
        <v>0</v>
      </c>
      <c r="F166" s="6">
        <v>0</v>
      </c>
      <c r="G166" s="6">
        <v>0</v>
      </c>
      <c r="H166" s="6">
        <v>1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0</v>
      </c>
      <c r="P166" s="6">
        <v>0</v>
      </c>
      <c r="Q166" s="6">
        <v>0</v>
      </c>
      <c r="R166" s="6">
        <v>1</v>
      </c>
      <c r="S166" s="6">
        <v>0</v>
      </c>
      <c r="T166" s="6"/>
      <c r="U166" s="6"/>
      <c r="V166" s="5">
        <f t="shared" si="59"/>
        <v>4</v>
      </c>
    </row>
    <row r="167" spans="1:22" x14ac:dyDescent="0.4">
      <c r="A167" s="7"/>
      <c r="B167" s="46"/>
      <c r="C167" s="24" t="s">
        <v>188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/>
      <c r="V167" s="5">
        <f t="shared" si="59"/>
        <v>0</v>
      </c>
    </row>
    <row r="168" spans="1:22" x14ac:dyDescent="0.4">
      <c r="A168" s="7"/>
      <c r="B168" s="46"/>
      <c r="C168" s="24" t="s">
        <v>189</v>
      </c>
      <c r="D168" s="45"/>
      <c r="E168" s="6">
        <v>0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/>
      <c r="V168" s="5">
        <f t="shared" si="59"/>
        <v>1</v>
      </c>
    </row>
    <row r="169" spans="1:22" ht="13.15" customHeight="1" x14ac:dyDescent="0.4">
      <c r="A169" s="7"/>
      <c r="B169" s="46"/>
      <c r="C169" s="24" t="s">
        <v>190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/>
      <c r="V169" s="5">
        <f t="shared" si="59"/>
        <v>0</v>
      </c>
    </row>
    <row r="170" spans="1:22" ht="13.15" customHeight="1" x14ac:dyDescent="0.4">
      <c r="A170" s="7"/>
      <c r="B170" s="46"/>
      <c r="C170" s="24" t="s">
        <v>191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/>
      <c r="V170" s="5">
        <f t="shared" si="59"/>
        <v>0</v>
      </c>
    </row>
    <row r="171" spans="1:22" ht="13.15" customHeight="1" x14ac:dyDescent="0.4">
      <c r="A171" s="7"/>
      <c r="B171" s="46"/>
      <c r="C171" s="24" t="s">
        <v>192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/>
      <c r="U171" s="6">
        <v>1</v>
      </c>
      <c r="V171" s="5">
        <f t="shared" si="59"/>
        <v>1</v>
      </c>
    </row>
    <row r="172" spans="1:22" x14ac:dyDescent="0.4">
      <c r="A172" s="6" t="s">
        <v>25</v>
      </c>
      <c r="B172" s="52" t="s">
        <v>50</v>
      </c>
      <c r="C172" s="53"/>
      <c r="D172" s="54"/>
      <c r="E172" s="5">
        <f t="shared" ref="E172:V172" si="60">SUM(E162:E171)</f>
        <v>0</v>
      </c>
      <c r="F172" s="5">
        <f t="shared" si="60"/>
        <v>0</v>
      </c>
      <c r="G172" s="5">
        <f t="shared" si="60"/>
        <v>1</v>
      </c>
      <c r="H172" s="5">
        <f t="shared" si="60"/>
        <v>2</v>
      </c>
      <c r="I172" s="5">
        <f t="shared" si="60"/>
        <v>1</v>
      </c>
      <c r="J172" s="5">
        <f t="shared" si="60"/>
        <v>0</v>
      </c>
      <c r="K172" s="5">
        <f t="shared" si="60"/>
        <v>0</v>
      </c>
      <c r="L172" s="5">
        <f t="shared" si="60"/>
        <v>2</v>
      </c>
      <c r="M172" s="5">
        <f t="shared" si="60"/>
        <v>1</v>
      </c>
      <c r="N172" s="5">
        <f t="shared" si="60"/>
        <v>1</v>
      </c>
      <c r="O172" s="5">
        <f t="shared" ref="O172:Q172" si="61">SUM(O162:O171)</f>
        <v>0</v>
      </c>
      <c r="P172" s="5">
        <f t="shared" si="61"/>
        <v>2</v>
      </c>
      <c r="Q172" s="5">
        <f t="shared" si="61"/>
        <v>1</v>
      </c>
      <c r="R172" s="5">
        <f t="shared" si="60"/>
        <v>1</v>
      </c>
      <c r="S172" s="5">
        <f t="shared" si="60"/>
        <v>0</v>
      </c>
      <c r="T172" s="5">
        <f t="shared" si="60"/>
        <v>0</v>
      </c>
      <c r="U172" s="5">
        <f t="shared" si="60"/>
        <v>1</v>
      </c>
      <c r="V172" s="5">
        <f t="shared" si="60"/>
        <v>13</v>
      </c>
    </row>
    <row r="173" spans="1:22" x14ac:dyDescent="0.4">
      <c r="A173" s="55"/>
      <c r="B173" s="56"/>
      <c r="C173" s="56"/>
      <c r="D173" s="56"/>
      <c r="E173" s="5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x14ac:dyDescent="0.4">
      <c r="A174" s="11" t="s">
        <v>47</v>
      </c>
      <c r="B174" s="17" t="s">
        <v>72</v>
      </c>
      <c r="C174" s="50" t="s">
        <v>73</v>
      </c>
      <c r="D174" s="51"/>
      <c r="E174" s="6">
        <v>8</v>
      </c>
      <c r="F174" s="6">
        <v>1</v>
      </c>
      <c r="G174" s="6">
        <v>5</v>
      </c>
      <c r="H174" s="6">
        <v>3</v>
      </c>
      <c r="I174" s="6">
        <v>4</v>
      </c>
      <c r="J174" s="6">
        <v>12</v>
      </c>
      <c r="K174" s="6">
        <v>4</v>
      </c>
      <c r="L174" s="6">
        <v>3</v>
      </c>
      <c r="M174" s="6">
        <v>9</v>
      </c>
      <c r="N174" s="6">
        <v>6</v>
      </c>
      <c r="O174" s="6">
        <v>0</v>
      </c>
      <c r="P174" s="6">
        <v>2</v>
      </c>
      <c r="Q174" s="6">
        <v>6</v>
      </c>
      <c r="R174" s="6">
        <v>6</v>
      </c>
      <c r="S174" s="6">
        <v>6</v>
      </c>
      <c r="T174" s="6">
        <v>5</v>
      </c>
      <c r="U174" s="6">
        <v>6</v>
      </c>
      <c r="V174" s="5">
        <f t="shared" ref="V174:V183" si="62">SUM(E174:U174)</f>
        <v>86</v>
      </c>
    </row>
    <row r="175" spans="1:22" x14ac:dyDescent="0.4">
      <c r="A175" s="11" t="s">
        <v>49</v>
      </c>
      <c r="B175" s="46"/>
      <c r="C175" s="24" t="s">
        <v>193</v>
      </c>
      <c r="D175" s="45"/>
      <c r="E175" s="6">
        <v>4</v>
      </c>
      <c r="F175" s="6">
        <v>3</v>
      </c>
      <c r="G175" s="6">
        <v>4</v>
      </c>
      <c r="H175" s="6">
        <v>2</v>
      </c>
      <c r="I175" s="6">
        <v>7</v>
      </c>
      <c r="J175" s="6">
        <v>2</v>
      </c>
      <c r="K175" s="6">
        <v>2</v>
      </c>
      <c r="L175" s="6">
        <v>0</v>
      </c>
      <c r="M175" s="6">
        <v>2</v>
      </c>
      <c r="N175" s="6">
        <v>2</v>
      </c>
      <c r="O175" s="6">
        <v>2</v>
      </c>
      <c r="P175" s="6">
        <v>2</v>
      </c>
      <c r="Q175" s="6">
        <v>4</v>
      </c>
      <c r="R175" s="6">
        <v>6</v>
      </c>
      <c r="S175" s="6">
        <v>9</v>
      </c>
      <c r="T175" s="6">
        <v>5</v>
      </c>
      <c r="U175" s="6">
        <v>2</v>
      </c>
      <c r="V175" s="5">
        <f t="shared" si="62"/>
        <v>58</v>
      </c>
    </row>
    <row r="176" spans="1:22" x14ac:dyDescent="0.4">
      <c r="A176" s="7"/>
      <c r="B176" s="46"/>
      <c r="C176" s="24" t="s">
        <v>194</v>
      </c>
      <c r="D176" s="45"/>
      <c r="E176" s="6">
        <v>1</v>
      </c>
      <c r="F176" s="6">
        <v>8</v>
      </c>
      <c r="G176" s="6">
        <v>3</v>
      </c>
      <c r="H176" s="6">
        <v>5</v>
      </c>
      <c r="I176" s="6">
        <v>1</v>
      </c>
      <c r="J176" s="6">
        <v>3</v>
      </c>
      <c r="K176" s="6">
        <v>2</v>
      </c>
      <c r="L176" s="6">
        <v>1</v>
      </c>
      <c r="M176" s="6">
        <v>6</v>
      </c>
      <c r="N176" s="6">
        <v>5</v>
      </c>
      <c r="O176" s="6">
        <v>5</v>
      </c>
      <c r="P176" s="6">
        <v>4</v>
      </c>
      <c r="Q176" s="6">
        <v>3</v>
      </c>
      <c r="R176" s="6">
        <v>1</v>
      </c>
      <c r="S176" s="6">
        <v>12</v>
      </c>
      <c r="T176" s="6">
        <v>8</v>
      </c>
      <c r="U176" s="6">
        <v>10</v>
      </c>
      <c r="V176" s="5">
        <f t="shared" si="62"/>
        <v>78</v>
      </c>
    </row>
    <row r="177" spans="1:22" x14ac:dyDescent="0.4">
      <c r="A177" s="7"/>
      <c r="B177" s="46"/>
      <c r="C177" s="24" t="s">
        <v>195</v>
      </c>
      <c r="D177" s="45"/>
      <c r="E177" s="6">
        <v>0</v>
      </c>
      <c r="F177" s="6">
        <v>0</v>
      </c>
      <c r="G177" s="6">
        <v>1</v>
      </c>
      <c r="H177" s="6">
        <v>1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/>
      <c r="U177" s="6"/>
      <c r="V177" s="5">
        <f t="shared" si="62"/>
        <v>4</v>
      </c>
    </row>
    <row r="178" spans="1:22" x14ac:dyDescent="0.4">
      <c r="A178" s="7"/>
      <c r="B178" s="46"/>
      <c r="C178" s="24" t="s">
        <v>196</v>
      </c>
      <c r="D178" s="45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/>
      <c r="U178" s="6"/>
      <c r="V178" s="5">
        <f t="shared" si="62"/>
        <v>1</v>
      </c>
    </row>
    <row r="179" spans="1:22" x14ac:dyDescent="0.4">
      <c r="A179" s="7"/>
      <c r="B179" s="46"/>
      <c r="C179" s="24" t="s">
        <v>197</v>
      </c>
      <c r="D179" s="45"/>
      <c r="E179" s="6">
        <v>0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/>
      <c r="U179" s="6"/>
      <c r="V179" s="5">
        <f t="shared" si="62"/>
        <v>1</v>
      </c>
    </row>
    <row r="180" spans="1:22" ht="13.15" customHeight="1" x14ac:dyDescent="0.4">
      <c r="A180" s="7"/>
      <c r="B180" s="46"/>
      <c r="C180" s="24" t="s">
        <v>198</v>
      </c>
      <c r="D180" s="45"/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  <c r="Q180" s="6">
        <v>1</v>
      </c>
      <c r="R180" s="6">
        <v>2</v>
      </c>
      <c r="S180" s="6">
        <v>1</v>
      </c>
      <c r="T180" s="6"/>
      <c r="U180" s="6">
        <v>2</v>
      </c>
      <c r="V180" s="5">
        <f t="shared" si="62"/>
        <v>8</v>
      </c>
    </row>
    <row r="181" spans="1:22" x14ac:dyDescent="0.4">
      <c r="A181" s="7"/>
      <c r="B181" s="46"/>
      <c r="C181" s="24" t="s">
        <v>199</v>
      </c>
      <c r="D181" s="45"/>
      <c r="E181" s="6">
        <v>0</v>
      </c>
      <c r="F181" s="6">
        <v>2</v>
      </c>
      <c r="G181" s="6">
        <v>0</v>
      </c>
      <c r="H181" s="6">
        <v>1</v>
      </c>
      <c r="I181" s="6">
        <v>1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1</v>
      </c>
      <c r="U181" s="6"/>
      <c r="V181" s="5">
        <f t="shared" si="62"/>
        <v>7</v>
      </c>
    </row>
    <row r="182" spans="1:22" x14ac:dyDescent="0.4">
      <c r="A182" s="7"/>
      <c r="B182" s="46"/>
      <c r="C182" s="24" t="s">
        <v>200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6"/>
      <c r="V182" s="5">
        <f t="shared" si="62"/>
        <v>0</v>
      </c>
    </row>
    <row r="183" spans="1:22" x14ac:dyDescent="0.4">
      <c r="A183" s="7"/>
      <c r="B183" s="46"/>
      <c r="C183" s="24" t="s">
        <v>201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1</v>
      </c>
      <c r="O183" s="6">
        <v>2</v>
      </c>
      <c r="P183" s="6">
        <v>0</v>
      </c>
      <c r="Q183" s="6">
        <v>0</v>
      </c>
      <c r="R183" s="6">
        <v>0</v>
      </c>
      <c r="S183" s="6">
        <v>0</v>
      </c>
      <c r="T183" s="6"/>
      <c r="U183" s="6"/>
      <c r="V183" s="5">
        <f t="shared" si="62"/>
        <v>4</v>
      </c>
    </row>
    <row r="184" spans="1:22" x14ac:dyDescent="0.4">
      <c r="A184" s="6" t="s">
        <v>25</v>
      </c>
      <c r="B184" s="52" t="s">
        <v>50</v>
      </c>
      <c r="C184" s="53"/>
      <c r="D184" s="54"/>
      <c r="E184" s="5">
        <f t="shared" ref="E184:V184" si="63">SUM(E174:E183)</f>
        <v>14</v>
      </c>
      <c r="F184" s="5">
        <f t="shared" si="63"/>
        <v>14</v>
      </c>
      <c r="G184" s="5">
        <f t="shared" si="63"/>
        <v>14</v>
      </c>
      <c r="H184" s="5">
        <f t="shared" si="63"/>
        <v>12</v>
      </c>
      <c r="I184" s="5">
        <f t="shared" si="63"/>
        <v>13</v>
      </c>
      <c r="J184" s="5">
        <f t="shared" si="63"/>
        <v>17</v>
      </c>
      <c r="K184" s="5">
        <f t="shared" si="63"/>
        <v>8</v>
      </c>
      <c r="L184" s="5">
        <f t="shared" si="63"/>
        <v>7</v>
      </c>
      <c r="M184" s="5">
        <f t="shared" si="63"/>
        <v>18</v>
      </c>
      <c r="N184" s="5">
        <f t="shared" si="63"/>
        <v>14</v>
      </c>
      <c r="O184" s="5">
        <f t="shared" ref="O184:Q184" si="64">SUM(O174:O183)</f>
        <v>10</v>
      </c>
      <c r="P184" s="5">
        <f t="shared" si="64"/>
        <v>8</v>
      </c>
      <c r="Q184" s="5">
        <f t="shared" si="64"/>
        <v>14</v>
      </c>
      <c r="R184" s="5">
        <f t="shared" si="63"/>
        <v>15</v>
      </c>
      <c r="S184" s="5">
        <f t="shared" si="63"/>
        <v>30</v>
      </c>
      <c r="T184" s="5">
        <f t="shared" si="63"/>
        <v>19</v>
      </c>
      <c r="U184" s="5">
        <f t="shared" si="63"/>
        <v>20</v>
      </c>
      <c r="V184" s="5">
        <f t="shared" si="63"/>
        <v>247</v>
      </c>
    </row>
    <row r="185" spans="1:22" x14ac:dyDescent="0.4">
      <c r="A185" s="55"/>
      <c r="B185" s="56"/>
      <c r="C185" s="56"/>
      <c r="D185" s="56"/>
      <c r="E185" s="5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 x14ac:dyDescent="0.4">
      <c r="A186" s="11" t="s">
        <v>47</v>
      </c>
      <c r="B186" s="17" t="s">
        <v>74</v>
      </c>
      <c r="C186" s="50" t="s">
        <v>75</v>
      </c>
      <c r="D186" s="51"/>
      <c r="E186" s="6">
        <v>4</v>
      </c>
      <c r="F186" s="6">
        <v>1</v>
      </c>
      <c r="G186" s="6">
        <v>0</v>
      </c>
      <c r="H186" s="6">
        <v>5</v>
      </c>
      <c r="I186" s="6">
        <v>8</v>
      </c>
      <c r="J186" s="6">
        <v>2</v>
      </c>
      <c r="K186" s="6">
        <v>4</v>
      </c>
      <c r="L186" s="6">
        <v>0</v>
      </c>
      <c r="M186" s="6">
        <v>3</v>
      </c>
      <c r="N186" s="6">
        <v>1</v>
      </c>
      <c r="O186" s="6">
        <v>0</v>
      </c>
      <c r="P186" s="6">
        <v>1</v>
      </c>
      <c r="Q186" s="6">
        <v>2</v>
      </c>
      <c r="R186" s="6">
        <v>8</v>
      </c>
      <c r="S186" s="6">
        <v>2</v>
      </c>
      <c r="T186" s="6">
        <v>3</v>
      </c>
      <c r="U186" s="6">
        <v>10</v>
      </c>
      <c r="V186" s="5">
        <f t="shared" ref="V186:V189" si="65">SUM(E186:U186)</f>
        <v>54</v>
      </c>
    </row>
    <row r="187" spans="1:22" x14ac:dyDescent="0.4">
      <c r="A187" s="11" t="s">
        <v>49</v>
      </c>
      <c r="B187" s="46"/>
      <c r="C187" s="24" t="s">
        <v>202</v>
      </c>
      <c r="D187" s="45"/>
      <c r="E187" s="6">
        <v>0</v>
      </c>
      <c r="F187" s="6">
        <v>2</v>
      </c>
      <c r="G187" s="6">
        <v>1</v>
      </c>
      <c r="H187" s="6">
        <v>1</v>
      </c>
      <c r="I187" s="6">
        <v>2</v>
      </c>
      <c r="J187" s="6">
        <v>1</v>
      </c>
      <c r="K187" s="6">
        <v>3</v>
      </c>
      <c r="L187" s="6">
        <v>2</v>
      </c>
      <c r="M187" s="6">
        <v>1</v>
      </c>
      <c r="N187" s="6">
        <v>1</v>
      </c>
      <c r="O187" s="6">
        <v>0</v>
      </c>
      <c r="P187" s="6">
        <v>0</v>
      </c>
      <c r="Q187" s="6">
        <v>0</v>
      </c>
      <c r="R187" s="6">
        <v>1</v>
      </c>
      <c r="S187" s="6">
        <v>0</v>
      </c>
      <c r="T187" s="6">
        <v>3</v>
      </c>
      <c r="U187" s="6">
        <v>3</v>
      </c>
      <c r="V187" s="5">
        <f t="shared" si="65"/>
        <v>21</v>
      </c>
    </row>
    <row r="188" spans="1:22" x14ac:dyDescent="0.4">
      <c r="A188" s="7"/>
      <c r="B188" s="46"/>
      <c r="C188" s="24" t="s">
        <v>203</v>
      </c>
      <c r="D188" s="45"/>
      <c r="E188" s="6">
        <v>2</v>
      </c>
      <c r="F188" s="6">
        <v>3</v>
      </c>
      <c r="G188" s="6">
        <v>2</v>
      </c>
      <c r="H188" s="6">
        <v>1</v>
      </c>
      <c r="I188" s="6">
        <v>3</v>
      </c>
      <c r="J188" s="6">
        <v>2</v>
      </c>
      <c r="K188" s="6">
        <v>1</v>
      </c>
      <c r="L188" s="6">
        <v>0</v>
      </c>
      <c r="M188" s="6">
        <v>1</v>
      </c>
      <c r="N188" s="6">
        <v>0</v>
      </c>
      <c r="O188" s="6">
        <v>2</v>
      </c>
      <c r="P188" s="6">
        <v>1</v>
      </c>
      <c r="Q188" s="6">
        <v>0</v>
      </c>
      <c r="R188" s="6">
        <v>3</v>
      </c>
      <c r="S188" s="6">
        <v>1</v>
      </c>
      <c r="T188" s="6">
        <v>6</v>
      </c>
      <c r="U188" s="6">
        <v>1</v>
      </c>
      <c r="V188" s="5">
        <f t="shared" si="65"/>
        <v>29</v>
      </c>
    </row>
    <row r="189" spans="1:22" x14ac:dyDescent="0.4">
      <c r="A189" s="7"/>
      <c r="B189" s="46"/>
      <c r="C189" s="24" t="s">
        <v>204</v>
      </c>
      <c r="D189" s="45"/>
      <c r="E189" s="6">
        <v>0</v>
      </c>
      <c r="F189" s="6">
        <v>1</v>
      </c>
      <c r="G189" s="6">
        <v>0</v>
      </c>
      <c r="H189" s="6">
        <v>0</v>
      </c>
      <c r="I189" s="6">
        <v>3</v>
      </c>
      <c r="J189" s="6">
        <v>0</v>
      </c>
      <c r="K189" s="6">
        <v>1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2</v>
      </c>
      <c r="U189" s="6">
        <v>2</v>
      </c>
      <c r="V189" s="5">
        <f t="shared" si="65"/>
        <v>11</v>
      </c>
    </row>
    <row r="190" spans="1:22" x14ac:dyDescent="0.4">
      <c r="A190" s="6" t="s">
        <v>25</v>
      </c>
      <c r="B190" s="52" t="s">
        <v>50</v>
      </c>
      <c r="C190" s="53"/>
      <c r="D190" s="54"/>
      <c r="E190" s="5">
        <f t="shared" ref="E190:V190" si="66">SUM(E186:E189)</f>
        <v>6</v>
      </c>
      <c r="F190" s="5">
        <f t="shared" si="66"/>
        <v>7</v>
      </c>
      <c r="G190" s="5">
        <f t="shared" si="66"/>
        <v>3</v>
      </c>
      <c r="H190" s="5">
        <f t="shared" si="66"/>
        <v>7</v>
      </c>
      <c r="I190" s="5">
        <f t="shared" si="66"/>
        <v>16</v>
      </c>
      <c r="J190" s="5">
        <f t="shared" si="66"/>
        <v>5</v>
      </c>
      <c r="K190" s="5">
        <f t="shared" si="66"/>
        <v>9</v>
      </c>
      <c r="L190" s="5">
        <f t="shared" si="66"/>
        <v>2</v>
      </c>
      <c r="M190" s="5">
        <f t="shared" si="66"/>
        <v>6</v>
      </c>
      <c r="N190" s="5">
        <f t="shared" si="66"/>
        <v>2</v>
      </c>
      <c r="O190" s="5">
        <f t="shared" si="66"/>
        <v>2</v>
      </c>
      <c r="P190" s="5">
        <f t="shared" si="66"/>
        <v>2</v>
      </c>
      <c r="Q190" s="5">
        <f t="shared" si="66"/>
        <v>2</v>
      </c>
      <c r="R190" s="5">
        <f t="shared" si="66"/>
        <v>12</v>
      </c>
      <c r="S190" s="5">
        <f t="shared" si="66"/>
        <v>4</v>
      </c>
      <c r="T190" s="5">
        <f t="shared" si="66"/>
        <v>14</v>
      </c>
      <c r="U190" s="5">
        <f t="shared" si="66"/>
        <v>16</v>
      </c>
      <c r="V190" s="5">
        <f t="shared" si="66"/>
        <v>115</v>
      </c>
    </row>
    <row r="191" spans="1:22" x14ac:dyDescent="0.4">
      <c r="A191" s="55"/>
      <c r="B191" s="56"/>
      <c r="C191" s="56"/>
      <c r="D191" s="56"/>
      <c r="E191" s="5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 x14ac:dyDescent="0.4">
      <c r="A192" s="11" t="s">
        <v>47</v>
      </c>
      <c r="B192" s="17" t="s">
        <v>76</v>
      </c>
      <c r="C192" s="50" t="s">
        <v>77</v>
      </c>
      <c r="D192" s="51"/>
      <c r="E192" s="6">
        <v>1</v>
      </c>
      <c r="F192" s="6">
        <v>0</v>
      </c>
      <c r="G192" s="6">
        <v>1</v>
      </c>
      <c r="H192" s="6">
        <v>2</v>
      </c>
      <c r="I192" s="6">
        <v>1</v>
      </c>
      <c r="J192" s="6">
        <v>0</v>
      </c>
      <c r="K192" s="6">
        <v>2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1</v>
      </c>
      <c r="T192" s="6"/>
      <c r="U192" s="6">
        <v>1</v>
      </c>
      <c r="V192" s="5">
        <f t="shared" ref="V192:V196" si="67">SUM(E192:U192)</f>
        <v>10</v>
      </c>
    </row>
    <row r="193" spans="1:22" x14ac:dyDescent="0.4">
      <c r="A193" s="11" t="s">
        <v>49</v>
      </c>
      <c r="B193" s="46"/>
      <c r="C193" s="24" t="s">
        <v>205</v>
      </c>
      <c r="D193" s="45"/>
      <c r="E193" s="6">
        <v>0</v>
      </c>
      <c r="F193" s="6">
        <v>0</v>
      </c>
      <c r="G193" s="6">
        <v>0</v>
      </c>
      <c r="H193" s="6">
        <v>1</v>
      </c>
      <c r="I193" s="6">
        <v>0</v>
      </c>
      <c r="J193" s="6">
        <v>2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4</v>
      </c>
      <c r="Q193" s="6">
        <v>0</v>
      </c>
      <c r="R193" s="6">
        <v>2</v>
      </c>
      <c r="S193" s="6">
        <v>0</v>
      </c>
      <c r="T193" s="6"/>
      <c r="U193" s="6"/>
      <c r="V193" s="5">
        <f t="shared" si="67"/>
        <v>10</v>
      </c>
    </row>
    <row r="194" spans="1:22" x14ac:dyDescent="0.4">
      <c r="A194" s="7"/>
      <c r="B194" s="46"/>
      <c r="C194" s="24" t="s">
        <v>206</v>
      </c>
      <c r="D194" s="45"/>
      <c r="E194" s="6">
        <v>0</v>
      </c>
      <c r="F194" s="6">
        <v>2</v>
      </c>
      <c r="G194" s="6">
        <v>3</v>
      </c>
      <c r="H194" s="6">
        <v>1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/>
      <c r="U194" s="6">
        <v>1</v>
      </c>
      <c r="V194" s="5">
        <f t="shared" si="67"/>
        <v>7</v>
      </c>
    </row>
    <row r="195" spans="1:22" x14ac:dyDescent="0.4">
      <c r="A195" s="7"/>
      <c r="B195" s="46"/>
      <c r="C195" s="24" t="s">
        <v>207</v>
      </c>
      <c r="D195" s="45"/>
      <c r="E195" s="6">
        <v>0</v>
      </c>
      <c r="F195" s="6">
        <v>0</v>
      </c>
      <c r="G195" s="6">
        <v>0</v>
      </c>
      <c r="H195" s="6">
        <v>1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/>
      <c r="U195" s="6"/>
      <c r="V195" s="5">
        <f t="shared" si="67"/>
        <v>1</v>
      </c>
    </row>
    <row r="196" spans="1:22" ht="13.15" customHeight="1" x14ac:dyDescent="0.4">
      <c r="A196" s="7"/>
      <c r="B196" s="46"/>
      <c r="C196" s="24" t="s">
        <v>208</v>
      </c>
      <c r="D196" s="45"/>
      <c r="E196" s="6">
        <v>1</v>
      </c>
      <c r="F196" s="6">
        <v>0</v>
      </c>
      <c r="G196" s="6">
        <v>1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1</v>
      </c>
      <c r="U196" s="6">
        <v>1</v>
      </c>
      <c r="V196" s="5">
        <f t="shared" si="67"/>
        <v>5</v>
      </c>
    </row>
    <row r="197" spans="1:22" x14ac:dyDescent="0.4">
      <c r="A197" s="6" t="s">
        <v>25</v>
      </c>
      <c r="B197" s="52" t="s">
        <v>50</v>
      </c>
      <c r="C197" s="53"/>
      <c r="D197" s="54"/>
      <c r="E197" s="5">
        <f t="shared" ref="E197:V197" si="68">SUM(E192:E196)</f>
        <v>2</v>
      </c>
      <c r="F197" s="5">
        <f t="shared" si="68"/>
        <v>2</v>
      </c>
      <c r="G197" s="5">
        <f t="shared" si="68"/>
        <v>5</v>
      </c>
      <c r="H197" s="5">
        <f t="shared" si="68"/>
        <v>6</v>
      </c>
      <c r="I197" s="5">
        <f t="shared" si="68"/>
        <v>1</v>
      </c>
      <c r="J197" s="5">
        <f t="shared" si="68"/>
        <v>2</v>
      </c>
      <c r="K197" s="5">
        <f t="shared" si="68"/>
        <v>2</v>
      </c>
      <c r="L197" s="5">
        <f t="shared" si="68"/>
        <v>0</v>
      </c>
      <c r="M197" s="5">
        <f t="shared" si="68"/>
        <v>0</v>
      </c>
      <c r="N197" s="5">
        <f t="shared" si="68"/>
        <v>0</v>
      </c>
      <c r="O197" s="5">
        <f t="shared" si="68"/>
        <v>1</v>
      </c>
      <c r="P197" s="5">
        <f t="shared" si="68"/>
        <v>4</v>
      </c>
      <c r="Q197" s="5">
        <f t="shared" si="68"/>
        <v>1</v>
      </c>
      <c r="R197" s="5">
        <f t="shared" si="68"/>
        <v>2</v>
      </c>
      <c r="S197" s="5">
        <f t="shared" si="68"/>
        <v>1</v>
      </c>
      <c r="T197" s="5">
        <f t="shared" si="68"/>
        <v>1</v>
      </c>
      <c r="U197" s="5">
        <f t="shared" si="68"/>
        <v>3</v>
      </c>
      <c r="V197" s="5">
        <f t="shared" si="68"/>
        <v>33</v>
      </c>
    </row>
    <row r="198" spans="1:22" x14ac:dyDescent="0.4">
      <c r="A198" s="55"/>
      <c r="B198" s="56"/>
      <c r="C198" s="56"/>
      <c r="D198" s="56"/>
      <c r="E198" s="5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 x14ac:dyDescent="0.4">
      <c r="A199" s="11" t="s">
        <v>47</v>
      </c>
      <c r="B199" s="17" t="s">
        <v>78</v>
      </c>
      <c r="C199" s="50" t="s">
        <v>79</v>
      </c>
      <c r="D199" s="51"/>
      <c r="E199" s="6">
        <v>0</v>
      </c>
      <c r="F199" s="6">
        <v>0</v>
      </c>
      <c r="G199" s="6">
        <v>1</v>
      </c>
      <c r="H199" s="6">
        <v>1</v>
      </c>
      <c r="I199" s="6">
        <v>0</v>
      </c>
      <c r="J199" s="6">
        <v>0</v>
      </c>
      <c r="K199" s="6">
        <v>1</v>
      </c>
      <c r="L199" s="6">
        <v>0</v>
      </c>
      <c r="M199" s="6">
        <v>1</v>
      </c>
      <c r="N199" s="6">
        <v>1</v>
      </c>
      <c r="O199" s="6">
        <v>0</v>
      </c>
      <c r="P199" s="6">
        <v>0</v>
      </c>
      <c r="Q199" s="6">
        <v>1</v>
      </c>
      <c r="R199" s="6">
        <v>0</v>
      </c>
      <c r="S199" s="6">
        <v>3</v>
      </c>
      <c r="T199" s="6">
        <v>1</v>
      </c>
      <c r="U199" s="6"/>
      <c r="V199" s="5">
        <f t="shared" ref="V199:V208" si="69">SUM(E199:U199)</f>
        <v>10</v>
      </c>
    </row>
    <row r="200" spans="1:22" x14ac:dyDescent="0.4">
      <c r="A200" s="11" t="s">
        <v>49</v>
      </c>
      <c r="B200" s="46"/>
      <c r="C200" s="24" t="s">
        <v>209</v>
      </c>
      <c r="D200" s="45"/>
      <c r="E200" s="6">
        <v>0</v>
      </c>
      <c r="F200" s="6">
        <v>1</v>
      </c>
      <c r="G200" s="6">
        <v>2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1</v>
      </c>
      <c r="S200" s="6">
        <v>0</v>
      </c>
      <c r="T200" s="6"/>
      <c r="U200" s="6"/>
      <c r="V200" s="5">
        <f t="shared" si="69"/>
        <v>4</v>
      </c>
    </row>
    <row r="201" spans="1:22" x14ac:dyDescent="0.4">
      <c r="A201" s="7"/>
      <c r="B201" s="46"/>
      <c r="C201" s="24" t="s">
        <v>210</v>
      </c>
      <c r="D201" s="45"/>
      <c r="E201" s="6">
        <v>3</v>
      </c>
      <c r="F201" s="6">
        <v>2</v>
      </c>
      <c r="G201" s="6">
        <v>2</v>
      </c>
      <c r="H201" s="6">
        <v>0</v>
      </c>
      <c r="I201" s="6">
        <v>3</v>
      </c>
      <c r="J201" s="6">
        <v>1</v>
      </c>
      <c r="K201" s="6">
        <v>0</v>
      </c>
      <c r="L201" s="6">
        <v>1</v>
      </c>
      <c r="M201" s="6">
        <v>1</v>
      </c>
      <c r="N201" s="6">
        <v>0</v>
      </c>
      <c r="O201" s="6">
        <v>0</v>
      </c>
      <c r="P201" s="6">
        <v>0</v>
      </c>
      <c r="Q201" s="6">
        <v>3</v>
      </c>
      <c r="R201" s="6">
        <v>2</v>
      </c>
      <c r="S201" s="6">
        <v>0</v>
      </c>
      <c r="T201" s="6">
        <v>6</v>
      </c>
      <c r="U201" s="6">
        <v>1</v>
      </c>
      <c r="V201" s="5">
        <f t="shared" si="69"/>
        <v>25</v>
      </c>
    </row>
    <row r="202" spans="1:22" ht="13.15" customHeight="1" x14ac:dyDescent="0.4">
      <c r="A202" s="7"/>
      <c r="B202" s="46"/>
      <c r="C202" s="24" t="s">
        <v>211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6"/>
      <c r="V202" s="5">
        <f t="shared" si="69"/>
        <v>0</v>
      </c>
    </row>
    <row r="203" spans="1:22" x14ac:dyDescent="0.4">
      <c r="A203" s="7"/>
      <c r="B203" s="46"/>
      <c r="C203" s="24" t="s">
        <v>212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/>
      <c r="U203" s="6"/>
      <c r="V203" s="5">
        <f t="shared" si="69"/>
        <v>0</v>
      </c>
    </row>
    <row r="204" spans="1:22" ht="12.75" customHeight="1" x14ac:dyDescent="0.4">
      <c r="A204" s="7"/>
      <c r="B204" s="46"/>
      <c r="C204" s="24" t="s">
        <v>213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</v>
      </c>
      <c r="R204" s="6">
        <v>1</v>
      </c>
      <c r="S204" s="6">
        <v>0</v>
      </c>
      <c r="T204" s="6">
        <v>1</v>
      </c>
      <c r="U204" s="6">
        <v>2</v>
      </c>
      <c r="V204" s="5">
        <f t="shared" si="69"/>
        <v>7</v>
      </c>
    </row>
    <row r="205" spans="1:22" x14ac:dyDescent="0.4">
      <c r="A205" s="7"/>
      <c r="B205" s="46"/>
      <c r="C205" s="24" t="s">
        <v>214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/>
      <c r="U205" s="6"/>
      <c r="V205" s="5">
        <f t="shared" si="69"/>
        <v>1</v>
      </c>
    </row>
    <row r="206" spans="1:22" x14ac:dyDescent="0.4">
      <c r="A206" s="7"/>
      <c r="B206" s="46"/>
      <c r="C206" s="24" t="s">
        <v>215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6"/>
      <c r="V206" s="5">
        <f t="shared" si="69"/>
        <v>0</v>
      </c>
    </row>
    <row r="207" spans="1:22" x14ac:dyDescent="0.4">
      <c r="A207" s="7"/>
      <c r="B207" s="46"/>
      <c r="C207" s="24" t="s">
        <v>216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>
        <v>1</v>
      </c>
      <c r="U207" s="6"/>
      <c r="V207" s="5">
        <f t="shared" si="69"/>
        <v>2</v>
      </c>
    </row>
    <row r="208" spans="1:22" x14ac:dyDescent="0.4">
      <c r="A208" s="7"/>
      <c r="B208" s="46"/>
      <c r="C208" s="24" t="s">
        <v>217</v>
      </c>
      <c r="D208" s="45"/>
      <c r="E208" s="6">
        <v>0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/>
      <c r="U208" s="6"/>
      <c r="V208" s="5">
        <f t="shared" si="69"/>
        <v>3</v>
      </c>
    </row>
    <row r="209" spans="1:22" ht="12.75" customHeight="1" x14ac:dyDescent="0.4">
      <c r="A209" s="6" t="s">
        <v>25</v>
      </c>
      <c r="B209" s="52" t="s">
        <v>50</v>
      </c>
      <c r="C209" s="53"/>
      <c r="D209" s="54"/>
      <c r="E209" s="5">
        <f t="shared" ref="E209:V209" si="70">SUM(E199:E208)</f>
        <v>3</v>
      </c>
      <c r="F209" s="5">
        <f t="shared" si="70"/>
        <v>3</v>
      </c>
      <c r="G209" s="5">
        <f t="shared" si="70"/>
        <v>6</v>
      </c>
      <c r="H209" s="5">
        <f t="shared" si="70"/>
        <v>1</v>
      </c>
      <c r="I209" s="5">
        <f t="shared" si="70"/>
        <v>4</v>
      </c>
      <c r="J209" s="5">
        <f t="shared" si="70"/>
        <v>1</v>
      </c>
      <c r="K209" s="5">
        <f t="shared" si="70"/>
        <v>4</v>
      </c>
      <c r="L209" s="5">
        <f t="shared" si="70"/>
        <v>1</v>
      </c>
      <c r="M209" s="5">
        <f t="shared" si="70"/>
        <v>3</v>
      </c>
      <c r="N209" s="5">
        <f t="shared" si="70"/>
        <v>1</v>
      </c>
      <c r="O209" s="5">
        <f t="shared" ref="O209:Q209" si="71">SUM(O199:O208)</f>
        <v>0</v>
      </c>
      <c r="P209" s="5">
        <f t="shared" si="71"/>
        <v>0</v>
      </c>
      <c r="Q209" s="5">
        <f t="shared" si="71"/>
        <v>5</v>
      </c>
      <c r="R209" s="5">
        <f t="shared" si="70"/>
        <v>5</v>
      </c>
      <c r="S209" s="5">
        <f t="shared" si="70"/>
        <v>3</v>
      </c>
      <c r="T209" s="5">
        <f t="shared" si="70"/>
        <v>9</v>
      </c>
      <c r="U209" s="5">
        <f t="shared" si="70"/>
        <v>3</v>
      </c>
      <c r="V209" s="5">
        <f t="shared" si="70"/>
        <v>52</v>
      </c>
    </row>
    <row r="210" spans="1:22" x14ac:dyDescent="0.4">
      <c r="A210" s="55"/>
      <c r="B210" s="56"/>
      <c r="C210" s="56"/>
      <c r="D210" s="56"/>
      <c r="E210" s="57"/>
    </row>
    <row r="211" spans="1:22" x14ac:dyDescent="0.4">
      <c r="A211" s="11" t="s">
        <v>47</v>
      </c>
      <c r="B211" s="17" t="s">
        <v>80</v>
      </c>
      <c r="C211" s="50" t="s">
        <v>81</v>
      </c>
      <c r="D211" s="51"/>
      <c r="E211" s="6">
        <v>0</v>
      </c>
      <c r="F211" s="6">
        <v>0</v>
      </c>
      <c r="G211" s="6">
        <v>2</v>
      </c>
      <c r="H211" s="6">
        <v>1</v>
      </c>
      <c r="I211" s="6">
        <v>1</v>
      </c>
      <c r="J211" s="6">
        <v>0</v>
      </c>
      <c r="K211" s="6">
        <v>1</v>
      </c>
      <c r="L211" s="6">
        <v>0</v>
      </c>
      <c r="M211" s="6">
        <v>2</v>
      </c>
      <c r="N211" s="6">
        <v>1</v>
      </c>
      <c r="O211" s="6">
        <v>0</v>
      </c>
      <c r="P211" s="6">
        <v>0</v>
      </c>
      <c r="Q211" s="6">
        <v>0</v>
      </c>
      <c r="R211" s="6">
        <v>2</v>
      </c>
      <c r="S211" s="6">
        <v>1</v>
      </c>
      <c r="T211" s="6"/>
      <c r="U211" s="6"/>
      <c r="V211" s="5">
        <f t="shared" ref="V211:V214" si="72">SUM(E211:U211)</f>
        <v>11</v>
      </c>
    </row>
    <row r="212" spans="1:22" x14ac:dyDescent="0.4">
      <c r="A212" s="11" t="s">
        <v>49</v>
      </c>
      <c r="B212" s="46"/>
      <c r="C212" s="24" t="s">
        <v>218</v>
      </c>
      <c r="D212" s="45"/>
      <c r="E212" s="6">
        <v>0</v>
      </c>
      <c r="F212" s="6">
        <v>0</v>
      </c>
      <c r="G212" s="6">
        <v>1</v>
      </c>
      <c r="H212" s="6">
        <v>1</v>
      </c>
      <c r="I212" s="6">
        <v>0</v>
      </c>
      <c r="J212" s="6">
        <v>0</v>
      </c>
      <c r="K212" s="6">
        <v>3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2</v>
      </c>
      <c r="R212" s="6">
        <v>0</v>
      </c>
      <c r="S212" s="6">
        <v>0</v>
      </c>
      <c r="T212" s="6">
        <v>1</v>
      </c>
      <c r="U212" s="6">
        <v>1</v>
      </c>
      <c r="V212" s="5">
        <f t="shared" si="72"/>
        <v>9</v>
      </c>
    </row>
    <row r="213" spans="1:22" x14ac:dyDescent="0.4">
      <c r="A213" s="7"/>
      <c r="B213" s="46"/>
      <c r="C213" s="24" t="s">
        <v>219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3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6"/>
      <c r="V213" s="5">
        <f t="shared" si="72"/>
        <v>3</v>
      </c>
    </row>
    <row r="214" spans="1:22" x14ac:dyDescent="0.4">
      <c r="A214" s="7"/>
      <c r="B214" s="46"/>
      <c r="C214" s="24" t="s">
        <v>220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1</v>
      </c>
      <c r="R214" s="6">
        <v>0</v>
      </c>
      <c r="S214" s="6">
        <v>0</v>
      </c>
      <c r="T214" s="6"/>
      <c r="U214" s="6"/>
      <c r="V214" s="5">
        <f t="shared" si="72"/>
        <v>2</v>
      </c>
    </row>
    <row r="215" spans="1:22" x14ac:dyDescent="0.4">
      <c r="A215" s="6" t="s">
        <v>25</v>
      </c>
      <c r="B215" s="52" t="s">
        <v>50</v>
      </c>
      <c r="C215" s="53"/>
      <c r="D215" s="54"/>
      <c r="E215" s="5">
        <f t="shared" ref="E215:V215" si="73">SUM(E211:E214)</f>
        <v>0</v>
      </c>
      <c r="F215" s="5">
        <f t="shared" si="73"/>
        <v>0</v>
      </c>
      <c r="G215" s="5">
        <f t="shared" si="73"/>
        <v>3</v>
      </c>
      <c r="H215" s="5">
        <f t="shared" si="73"/>
        <v>2</v>
      </c>
      <c r="I215" s="5">
        <f t="shared" si="73"/>
        <v>1</v>
      </c>
      <c r="J215" s="5">
        <f t="shared" si="73"/>
        <v>4</v>
      </c>
      <c r="K215" s="5">
        <f t="shared" si="73"/>
        <v>4</v>
      </c>
      <c r="L215" s="5">
        <f t="shared" si="73"/>
        <v>0</v>
      </c>
      <c r="M215" s="5">
        <f t="shared" si="73"/>
        <v>2</v>
      </c>
      <c r="N215" s="5">
        <f t="shared" si="73"/>
        <v>1</v>
      </c>
      <c r="O215" s="5">
        <f t="shared" si="73"/>
        <v>0</v>
      </c>
      <c r="P215" s="5">
        <f t="shared" si="73"/>
        <v>0</v>
      </c>
      <c r="Q215" s="5">
        <f t="shared" si="73"/>
        <v>3</v>
      </c>
      <c r="R215" s="5">
        <f t="shared" si="73"/>
        <v>2</v>
      </c>
      <c r="S215" s="5">
        <f t="shared" si="73"/>
        <v>1</v>
      </c>
      <c r="T215" s="5">
        <f t="shared" si="73"/>
        <v>1</v>
      </c>
      <c r="U215" s="5">
        <f t="shared" si="73"/>
        <v>1</v>
      </c>
      <c r="V215" s="5">
        <f t="shared" si="73"/>
        <v>25</v>
      </c>
    </row>
    <row r="217" spans="1:22" x14ac:dyDescent="0.4">
      <c r="A217" s="16" t="s">
        <v>82</v>
      </c>
      <c r="B217" s="60" t="s">
        <v>83</v>
      </c>
      <c r="C217" s="61"/>
      <c r="D217" s="62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15"/>
      <c r="S217" s="15"/>
      <c r="T217" s="15"/>
      <c r="U217" s="5"/>
      <c r="V217" s="5"/>
    </row>
    <row r="218" spans="1:22" x14ac:dyDescent="0.4">
      <c r="A218" s="16"/>
      <c r="B218" s="19" t="s">
        <v>84</v>
      </c>
      <c r="C218" s="58" t="s">
        <v>85</v>
      </c>
      <c r="D218" s="59"/>
      <c r="E218" s="6">
        <f t="shared" ref="E218:U218" si="74">E55+E67+E79+E91+E103+E108+E116+E128+E134+E144+E148+E160+E172+E184+E190+E197+E209+E215</f>
        <v>160</v>
      </c>
      <c r="F218" s="6">
        <f t="shared" si="74"/>
        <v>166</v>
      </c>
      <c r="G218" s="6">
        <f t="shared" si="74"/>
        <v>175</v>
      </c>
      <c r="H218" s="6">
        <f t="shared" si="74"/>
        <v>185</v>
      </c>
      <c r="I218" s="6">
        <f t="shared" si="74"/>
        <v>184</v>
      </c>
      <c r="J218" s="6">
        <f t="shared" si="74"/>
        <v>191</v>
      </c>
      <c r="K218" s="6">
        <f t="shared" si="74"/>
        <v>180</v>
      </c>
      <c r="L218" s="6">
        <f t="shared" si="74"/>
        <v>168</v>
      </c>
      <c r="M218" s="6">
        <f t="shared" si="74"/>
        <v>174</v>
      </c>
      <c r="N218" s="6">
        <f t="shared" si="74"/>
        <v>195</v>
      </c>
      <c r="O218" s="6">
        <f t="shared" si="74"/>
        <v>141</v>
      </c>
      <c r="P218" s="6">
        <f t="shared" si="74"/>
        <v>167</v>
      </c>
      <c r="Q218" s="6">
        <f t="shared" si="74"/>
        <v>193</v>
      </c>
      <c r="R218" s="6">
        <f t="shared" si="74"/>
        <v>198</v>
      </c>
      <c r="S218" s="6">
        <f t="shared" si="74"/>
        <v>197</v>
      </c>
      <c r="T218" s="6">
        <f t="shared" si="74"/>
        <v>192</v>
      </c>
      <c r="U218" s="6">
        <f t="shared" si="74"/>
        <v>192</v>
      </c>
      <c r="V218" s="5">
        <f>SUM(E218:U218)</f>
        <v>3058</v>
      </c>
    </row>
    <row r="219" spans="1:22" x14ac:dyDescent="0.4">
      <c r="A219" s="13"/>
      <c r="B219" s="19" t="s">
        <v>86</v>
      </c>
      <c r="C219" s="58" t="s">
        <v>87</v>
      </c>
      <c r="D219" s="59"/>
      <c r="E219" s="6">
        <v>47</v>
      </c>
      <c r="F219" s="6">
        <v>38</v>
      </c>
      <c r="G219" s="6">
        <v>41</v>
      </c>
      <c r="H219" s="6">
        <v>38</v>
      </c>
      <c r="I219" s="6">
        <v>37</v>
      </c>
      <c r="J219" s="6">
        <v>29</v>
      </c>
      <c r="K219" s="6">
        <v>18</v>
      </c>
      <c r="L219" s="6">
        <v>36</v>
      </c>
      <c r="M219" s="6">
        <v>29</v>
      </c>
      <c r="N219" s="6">
        <v>42</v>
      </c>
      <c r="O219" s="6">
        <v>39</v>
      </c>
      <c r="P219" s="6">
        <v>42</v>
      </c>
      <c r="Q219" s="6">
        <v>41</v>
      </c>
      <c r="R219" s="6">
        <v>27</v>
      </c>
      <c r="S219" s="6">
        <v>43</v>
      </c>
      <c r="T219" s="6">
        <v>32</v>
      </c>
      <c r="U219" s="6">
        <v>28</v>
      </c>
      <c r="V219" s="5">
        <f>SUM(E219:U219)</f>
        <v>607</v>
      </c>
    </row>
    <row r="220" spans="1:22" x14ac:dyDescent="0.4">
      <c r="A220" s="14"/>
      <c r="B220" s="19" t="s">
        <v>88</v>
      </c>
      <c r="C220" s="58" t="s">
        <v>89</v>
      </c>
      <c r="D220" s="59"/>
      <c r="E220" s="5">
        <f>SUM(E218:E219)</f>
        <v>207</v>
      </c>
      <c r="F220" s="5">
        <f t="shared" ref="F220:U220" si="75">SUM(F218:F219)</f>
        <v>204</v>
      </c>
      <c r="G220" s="5">
        <f t="shared" si="75"/>
        <v>216</v>
      </c>
      <c r="H220" s="5">
        <f t="shared" si="75"/>
        <v>223</v>
      </c>
      <c r="I220" s="5">
        <f t="shared" si="75"/>
        <v>221</v>
      </c>
      <c r="J220" s="5">
        <f t="shared" si="75"/>
        <v>220</v>
      </c>
      <c r="K220" s="5">
        <f t="shared" si="75"/>
        <v>198</v>
      </c>
      <c r="L220" s="5">
        <f t="shared" ref="L220:T220" si="76">SUM(L218:L219)</f>
        <v>204</v>
      </c>
      <c r="M220" s="5">
        <f t="shared" si="76"/>
        <v>203</v>
      </c>
      <c r="N220" s="5">
        <f t="shared" si="76"/>
        <v>237</v>
      </c>
      <c r="O220" s="5">
        <f t="shared" ref="O220:Q220" si="77">SUM(O218:O219)</f>
        <v>180</v>
      </c>
      <c r="P220" s="5">
        <f t="shared" si="77"/>
        <v>209</v>
      </c>
      <c r="Q220" s="5">
        <f t="shared" si="77"/>
        <v>234</v>
      </c>
      <c r="R220" s="5">
        <f t="shared" si="76"/>
        <v>225</v>
      </c>
      <c r="S220" s="5">
        <f t="shared" si="76"/>
        <v>240</v>
      </c>
      <c r="T220" s="5">
        <f t="shared" si="76"/>
        <v>224</v>
      </c>
      <c r="U220" s="5">
        <f t="shared" si="75"/>
        <v>220</v>
      </c>
      <c r="V220" s="5">
        <f>SUM(E220:U220)</f>
        <v>3665</v>
      </c>
    </row>
  </sheetData>
  <mergeCells count="86"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C220:D220"/>
    <mergeCell ref="A210:E210"/>
    <mergeCell ref="C211:D211"/>
    <mergeCell ref="B215:D215"/>
    <mergeCell ref="B217:D217"/>
    <mergeCell ref="C218:D218"/>
    <mergeCell ref="C219:D219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I37"/>
    <mergeCell ref="B38:D38"/>
    <mergeCell ref="B39:C41"/>
    <mergeCell ref="A42:D42"/>
    <mergeCell ref="E42:I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U12"/>
    <mergeCell ref="V12:V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U15">
    <cfRule type="containsBlanks" dxfId="60" priority="20">
      <formula>LEN(TRIM(E14))=0</formula>
    </cfRule>
  </conditionalFormatting>
  <conditionalFormatting sqref="E19:U20">
    <cfRule type="containsBlanks" dxfId="59" priority="23">
      <formula>LEN(TRIM(E19))=0</formula>
    </cfRule>
  </conditionalFormatting>
  <conditionalFormatting sqref="E22:U23 E25:U26 E33:U33 E35:U35 E39:U40">
    <cfRule type="containsBlanks" dxfId="58" priority="24">
      <formula>LEN(TRIM(E22))=0</formula>
    </cfRule>
  </conditionalFormatting>
  <conditionalFormatting sqref="E30:U30">
    <cfRule type="expression" dxfId="57" priority="25">
      <formula>E30&lt;&gt;E47</formula>
    </cfRule>
    <cfRule type="expression" dxfId="56" priority="26">
      <formula>E30&lt;&gt;E34</formula>
    </cfRule>
  </conditionalFormatting>
  <conditionalFormatting sqref="E34:U34">
    <cfRule type="expression" dxfId="55" priority="21">
      <formula>E30&lt;&gt;E34</formula>
    </cfRule>
    <cfRule type="expression" dxfId="54" priority="22">
      <formula>E30=E34</formula>
    </cfRule>
    <cfRule type="expression" dxfId="53" priority="27">
      <formula>E34&lt;&gt;E30</formula>
    </cfRule>
    <cfRule type="expression" dxfId="52" priority="29">
      <formula>E34&lt;&gt;E64</formula>
    </cfRule>
  </conditionalFormatting>
  <conditionalFormatting sqref="E45:U54">
    <cfRule type="containsBlanks" dxfId="51" priority="19">
      <formula>LEN(TRIM(E45))=0</formula>
    </cfRule>
  </conditionalFormatting>
  <conditionalFormatting sqref="E57:U66">
    <cfRule type="containsBlanks" dxfId="50" priority="18">
      <formula>LEN(TRIM(E57))=0</formula>
    </cfRule>
  </conditionalFormatting>
  <conditionalFormatting sqref="E69:U78">
    <cfRule type="containsBlanks" dxfId="49" priority="17">
      <formula>LEN(TRIM(E69))=0</formula>
    </cfRule>
  </conditionalFormatting>
  <conditionalFormatting sqref="E81:U90">
    <cfRule type="containsBlanks" dxfId="48" priority="16">
      <formula>LEN(TRIM(E81))=0</formula>
    </cfRule>
  </conditionalFormatting>
  <conditionalFormatting sqref="E93:U102">
    <cfRule type="containsBlanks" dxfId="47" priority="15">
      <formula>LEN(TRIM(E93))=0</formula>
    </cfRule>
  </conditionalFormatting>
  <conditionalFormatting sqref="E105:U107">
    <cfRule type="containsBlanks" dxfId="46" priority="14">
      <formula>LEN(TRIM(E105))=0</formula>
    </cfRule>
  </conditionalFormatting>
  <conditionalFormatting sqref="E110:U115">
    <cfRule type="containsBlanks" dxfId="45" priority="1">
      <formula>LEN(TRIM(E110))=0</formula>
    </cfRule>
  </conditionalFormatting>
  <conditionalFormatting sqref="E118:U127">
    <cfRule type="containsBlanks" dxfId="44" priority="13">
      <formula>LEN(TRIM(E118))=0</formula>
    </cfRule>
  </conditionalFormatting>
  <conditionalFormatting sqref="E130:U133">
    <cfRule type="containsBlanks" dxfId="43" priority="12">
      <formula>LEN(TRIM(E130))=0</formula>
    </cfRule>
  </conditionalFormatting>
  <conditionalFormatting sqref="E136:U143">
    <cfRule type="containsBlanks" dxfId="42" priority="3">
      <formula>LEN(TRIM(E136))=0</formula>
    </cfRule>
  </conditionalFormatting>
  <conditionalFormatting sqref="E146:U147">
    <cfRule type="containsBlanks" dxfId="41" priority="11">
      <formula>LEN(TRIM(E146))=0</formula>
    </cfRule>
  </conditionalFormatting>
  <conditionalFormatting sqref="E150:U159">
    <cfRule type="containsBlanks" dxfId="40" priority="10">
      <formula>LEN(TRIM(E150))=0</formula>
    </cfRule>
  </conditionalFormatting>
  <conditionalFormatting sqref="E162:U171">
    <cfRule type="containsBlanks" dxfId="39" priority="9">
      <formula>LEN(TRIM(E162))=0</formula>
    </cfRule>
  </conditionalFormatting>
  <conditionalFormatting sqref="E174:U183">
    <cfRule type="containsBlanks" dxfId="38" priority="8">
      <formula>LEN(TRIM(E174))=0</formula>
    </cfRule>
  </conditionalFormatting>
  <conditionalFormatting sqref="E186:U189">
    <cfRule type="containsBlanks" dxfId="37" priority="7">
      <formula>LEN(TRIM(E186))=0</formula>
    </cfRule>
  </conditionalFormatting>
  <conditionalFormatting sqref="E192:U196">
    <cfRule type="containsBlanks" dxfId="36" priority="6">
      <formula>LEN(TRIM(E192))=0</formula>
    </cfRule>
  </conditionalFormatting>
  <conditionalFormatting sqref="E199:U208">
    <cfRule type="containsBlanks" dxfId="35" priority="5">
      <formula>LEN(TRIM(E199))=0</formula>
    </cfRule>
  </conditionalFormatting>
  <conditionalFormatting sqref="E211:U214">
    <cfRule type="containsBlanks" dxfId="34" priority="4">
      <formula>LEN(TRIM(E211))=0</formula>
    </cfRule>
  </conditionalFormatting>
  <conditionalFormatting sqref="E218:U219">
    <cfRule type="containsBlanks" dxfId="33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V220"/>
  <sheetViews>
    <sheetView topLeftCell="D13" zoomScaleNormal="100" workbookViewId="0">
      <pane ySplit="1" topLeftCell="A212" activePane="bottomLeft" state="frozen"/>
      <selection activeCell="A13" sqref="A13"/>
      <selection pane="bottomLeft" activeCell="V220" sqref="V220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102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3"/>
    </row>
    <row r="12" spans="1:22" x14ac:dyDescent="0.4">
      <c r="A12" s="5" t="s">
        <v>0</v>
      </c>
      <c r="B12" s="60" t="s">
        <v>1</v>
      </c>
      <c r="C12" s="68"/>
      <c r="D12" s="51"/>
      <c r="E12" s="84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6" t="s">
        <v>90</v>
      </c>
    </row>
    <row r="13" spans="1:22" x14ac:dyDescent="0.4">
      <c r="A13" s="6" t="s">
        <v>2</v>
      </c>
      <c r="B13" s="77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221</v>
      </c>
      <c r="S13" s="5" t="s">
        <v>222</v>
      </c>
      <c r="T13" s="5" t="s">
        <v>223</v>
      </c>
      <c r="U13" s="5" t="s">
        <v>224</v>
      </c>
      <c r="V13" s="87"/>
    </row>
    <row r="14" spans="1:22" x14ac:dyDescent="0.4">
      <c r="A14" s="7"/>
      <c r="B14" s="88" t="s">
        <v>21</v>
      </c>
      <c r="C14" s="64"/>
      <c r="D14" s="6" t="s">
        <v>22</v>
      </c>
      <c r="E14" s="6">
        <v>142</v>
      </c>
      <c r="F14" s="6">
        <v>145</v>
      </c>
      <c r="G14" s="6">
        <v>140</v>
      </c>
      <c r="H14" s="6">
        <v>144</v>
      </c>
      <c r="I14" s="6">
        <v>144</v>
      </c>
      <c r="J14" s="6">
        <v>147</v>
      </c>
      <c r="K14" s="6">
        <v>145</v>
      </c>
      <c r="L14" s="6">
        <v>159</v>
      </c>
      <c r="M14" s="6">
        <v>142</v>
      </c>
      <c r="N14" s="6">
        <v>129</v>
      </c>
      <c r="O14" s="6">
        <v>143</v>
      </c>
      <c r="P14" s="6">
        <v>115</v>
      </c>
      <c r="Q14" s="6">
        <v>77</v>
      </c>
      <c r="R14" s="6">
        <v>249</v>
      </c>
      <c r="S14" s="6">
        <v>252</v>
      </c>
      <c r="T14" s="6">
        <v>235</v>
      </c>
      <c r="U14" s="6">
        <v>189</v>
      </c>
      <c r="V14" s="5">
        <f>SUM(E14:U14)</f>
        <v>2697</v>
      </c>
    </row>
    <row r="15" spans="1:22" x14ac:dyDescent="0.4">
      <c r="A15" s="7"/>
      <c r="B15" s="89"/>
      <c r="C15" s="76"/>
      <c r="D15" s="6" t="s">
        <v>23</v>
      </c>
      <c r="E15" s="6">
        <v>147</v>
      </c>
      <c r="F15" s="6">
        <v>150</v>
      </c>
      <c r="G15" s="6">
        <v>151</v>
      </c>
      <c r="H15" s="6">
        <v>141</v>
      </c>
      <c r="I15" s="6">
        <v>147</v>
      </c>
      <c r="J15" s="6">
        <v>138</v>
      </c>
      <c r="K15" s="6">
        <v>140</v>
      </c>
      <c r="L15" s="6">
        <v>134</v>
      </c>
      <c r="M15" s="6">
        <v>131</v>
      </c>
      <c r="N15" s="6">
        <v>137</v>
      </c>
      <c r="O15" s="6">
        <v>154</v>
      </c>
      <c r="P15" s="6">
        <v>134</v>
      </c>
      <c r="Q15" s="6">
        <v>97</v>
      </c>
      <c r="R15" s="6">
        <v>9</v>
      </c>
      <c r="S15" s="6">
        <v>7</v>
      </c>
      <c r="T15" s="6">
        <v>14</v>
      </c>
      <c r="U15" s="6">
        <v>8</v>
      </c>
      <c r="V15" s="5">
        <f>SUM(E15:U15)</f>
        <v>1839</v>
      </c>
    </row>
    <row r="16" spans="1:22" x14ac:dyDescent="0.4">
      <c r="A16" s="8"/>
      <c r="B16" s="90"/>
      <c r="C16" s="74"/>
      <c r="D16" s="5" t="s">
        <v>24</v>
      </c>
      <c r="E16" s="5">
        <f t="shared" ref="E16:U16" si="0">SUM(E14:E15)</f>
        <v>289</v>
      </c>
      <c r="F16" s="5">
        <f t="shared" si="0"/>
        <v>295</v>
      </c>
      <c r="G16" s="5">
        <f t="shared" si="0"/>
        <v>291</v>
      </c>
      <c r="H16" s="5">
        <f t="shared" si="0"/>
        <v>285</v>
      </c>
      <c r="I16" s="5">
        <f t="shared" si="0"/>
        <v>291</v>
      </c>
      <c r="J16" s="5">
        <f t="shared" si="0"/>
        <v>285</v>
      </c>
      <c r="K16" s="5">
        <f t="shared" si="0"/>
        <v>285</v>
      </c>
      <c r="L16" s="5">
        <f t="shared" si="0"/>
        <v>293</v>
      </c>
      <c r="M16" s="5">
        <f t="shared" si="0"/>
        <v>273</v>
      </c>
      <c r="N16" s="5">
        <f t="shared" ref="N16:P16" si="1">SUM(N14:N15)</f>
        <v>266</v>
      </c>
      <c r="O16" s="5">
        <f t="shared" si="1"/>
        <v>297</v>
      </c>
      <c r="P16" s="5">
        <f t="shared" si="1"/>
        <v>249</v>
      </c>
      <c r="Q16" s="5">
        <f t="shared" si="0"/>
        <v>174</v>
      </c>
      <c r="R16" s="5">
        <f t="shared" si="0"/>
        <v>258</v>
      </c>
      <c r="S16" s="5">
        <f t="shared" ref="S16" si="2">SUM(S14:S15)</f>
        <v>259</v>
      </c>
      <c r="T16" s="5">
        <f t="shared" si="0"/>
        <v>249</v>
      </c>
      <c r="U16" s="5">
        <f t="shared" si="0"/>
        <v>197</v>
      </c>
      <c r="V16" s="5">
        <f>SUM(E16:U16)</f>
        <v>4536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28"/>
    </row>
    <row r="18" spans="1:22" x14ac:dyDescent="0.4">
      <c r="A18" s="11" t="s">
        <v>25</v>
      </c>
      <c r="B18" s="77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28"/>
    </row>
    <row r="19" spans="1:22" x14ac:dyDescent="0.4">
      <c r="A19" s="11"/>
      <c r="B19" s="78" t="s">
        <v>27</v>
      </c>
      <c r="C19" s="79" t="s">
        <v>28</v>
      </c>
      <c r="D19" s="6" t="s">
        <v>22</v>
      </c>
      <c r="E19" s="6">
        <v>114</v>
      </c>
      <c r="F19" s="6">
        <v>114</v>
      </c>
      <c r="G19" s="6">
        <v>108</v>
      </c>
      <c r="H19" s="6">
        <v>107</v>
      </c>
      <c r="I19" s="6">
        <v>111</v>
      </c>
      <c r="J19" s="6">
        <v>111</v>
      </c>
      <c r="K19" s="6">
        <v>124</v>
      </c>
      <c r="L19" s="6">
        <v>116</v>
      </c>
      <c r="M19" s="6">
        <v>122</v>
      </c>
      <c r="N19" s="6">
        <v>107</v>
      </c>
      <c r="O19" s="6">
        <v>117</v>
      </c>
      <c r="P19" s="6">
        <v>92</v>
      </c>
      <c r="Q19" s="6">
        <v>63</v>
      </c>
      <c r="R19" s="6">
        <v>151</v>
      </c>
      <c r="S19" s="6">
        <v>174</v>
      </c>
      <c r="T19" s="6">
        <v>126</v>
      </c>
      <c r="U19" s="6">
        <v>45</v>
      </c>
      <c r="V19" s="5">
        <f t="shared" ref="V19:V30" si="3">SUM(E19:U19)</f>
        <v>1902</v>
      </c>
    </row>
    <row r="20" spans="1:22" x14ac:dyDescent="0.4">
      <c r="A20" s="12"/>
      <c r="B20" s="76"/>
      <c r="C20" s="80"/>
      <c r="D20" s="6" t="s">
        <v>23</v>
      </c>
      <c r="E20" s="6">
        <v>124</v>
      </c>
      <c r="F20" s="6">
        <v>114</v>
      </c>
      <c r="G20" s="6">
        <v>128</v>
      </c>
      <c r="H20" s="6">
        <v>115</v>
      </c>
      <c r="I20" s="6">
        <v>125</v>
      </c>
      <c r="J20" s="6">
        <v>116</v>
      </c>
      <c r="K20" s="6">
        <v>123</v>
      </c>
      <c r="L20" s="6">
        <v>110</v>
      </c>
      <c r="M20" s="6">
        <v>121</v>
      </c>
      <c r="N20" s="6">
        <v>115</v>
      </c>
      <c r="O20" s="6">
        <v>126</v>
      </c>
      <c r="P20" s="6">
        <v>102</v>
      </c>
      <c r="Q20" s="6">
        <v>85</v>
      </c>
      <c r="R20" s="6">
        <v>6</v>
      </c>
      <c r="S20" s="6">
        <v>6</v>
      </c>
      <c r="T20" s="6">
        <v>5</v>
      </c>
      <c r="U20" s="6">
        <v>5</v>
      </c>
      <c r="V20" s="5">
        <f t="shared" si="3"/>
        <v>1526</v>
      </c>
    </row>
    <row r="21" spans="1:22" x14ac:dyDescent="0.4">
      <c r="A21" s="13"/>
      <c r="B21" s="74"/>
      <c r="C21" s="81"/>
      <c r="D21" s="5" t="s">
        <v>24</v>
      </c>
      <c r="E21" s="5">
        <f t="shared" ref="E21:U21" si="4">SUM(E19:E20)</f>
        <v>238</v>
      </c>
      <c r="F21" s="5">
        <f t="shared" si="4"/>
        <v>228</v>
      </c>
      <c r="G21" s="5">
        <f t="shared" si="4"/>
        <v>236</v>
      </c>
      <c r="H21" s="5">
        <f t="shared" si="4"/>
        <v>222</v>
      </c>
      <c r="I21" s="5">
        <f t="shared" si="4"/>
        <v>236</v>
      </c>
      <c r="J21" s="5">
        <f t="shared" si="4"/>
        <v>227</v>
      </c>
      <c r="K21" s="5">
        <f t="shared" si="4"/>
        <v>247</v>
      </c>
      <c r="L21" s="5">
        <f t="shared" si="4"/>
        <v>226</v>
      </c>
      <c r="M21" s="5">
        <f t="shared" si="4"/>
        <v>243</v>
      </c>
      <c r="N21" s="5">
        <f t="shared" ref="N21:P21" si="5">SUM(N19:N20)</f>
        <v>222</v>
      </c>
      <c r="O21" s="5">
        <f t="shared" si="5"/>
        <v>243</v>
      </c>
      <c r="P21" s="5">
        <f t="shared" si="5"/>
        <v>194</v>
      </c>
      <c r="Q21" s="5">
        <f t="shared" si="4"/>
        <v>148</v>
      </c>
      <c r="R21" s="5">
        <f t="shared" si="4"/>
        <v>157</v>
      </c>
      <c r="S21" s="5">
        <f t="shared" ref="S21" si="6">SUM(S19:S20)</f>
        <v>180</v>
      </c>
      <c r="T21" s="5">
        <f t="shared" si="4"/>
        <v>131</v>
      </c>
      <c r="U21" s="5">
        <f t="shared" si="4"/>
        <v>50</v>
      </c>
      <c r="V21" s="5">
        <f t="shared" si="3"/>
        <v>3428</v>
      </c>
    </row>
    <row r="22" spans="1:22" x14ac:dyDescent="0.4">
      <c r="A22" s="12"/>
      <c r="B22" s="78" t="s">
        <v>29</v>
      </c>
      <c r="C22" s="79" t="s">
        <v>30</v>
      </c>
      <c r="D22" s="6" t="s">
        <v>22</v>
      </c>
      <c r="E22" s="6">
        <v>0</v>
      </c>
      <c r="F22" s="6">
        <v>2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80</v>
      </c>
      <c r="S22" s="6">
        <v>75</v>
      </c>
      <c r="T22" s="6">
        <v>83</v>
      </c>
      <c r="U22" s="6">
        <v>69</v>
      </c>
      <c r="V22" s="5">
        <f t="shared" si="3"/>
        <v>311</v>
      </c>
    </row>
    <row r="23" spans="1:22" x14ac:dyDescent="0.4">
      <c r="A23" s="12"/>
      <c r="B23" s="76"/>
      <c r="C23" s="80"/>
      <c r="D23" s="6" t="s">
        <v>23</v>
      </c>
      <c r="E23" s="6">
        <v>1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2</v>
      </c>
      <c r="S23" s="6">
        <v>2</v>
      </c>
      <c r="T23" s="6">
        <v>8</v>
      </c>
      <c r="U23" s="6">
        <v>4</v>
      </c>
      <c r="V23" s="5">
        <f t="shared" si="3"/>
        <v>19</v>
      </c>
    </row>
    <row r="24" spans="1:22" x14ac:dyDescent="0.4">
      <c r="A24" s="13"/>
      <c r="B24" s="74"/>
      <c r="C24" s="81"/>
      <c r="D24" s="5" t="s">
        <v>24</v>
      </c>
      <c r="E24" s="5">
        <f t="shared" ref="E24:U24" si="7">SUM(E22:E23)</f>
        <v>1</v>
      </c>
      <c r="F24" s="5">
        <f t="shared" si="7"/>
        <v>2</v>
      </c>
      <c r="G24" s="5">
        <f t="shared" si="7"/>
        <v>1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1</v>
      </c>
      <c r="L24" s="5">
        <f t="shared" si="7"/>
        <v>0</v>
      </c>
      <c r="M24" s="5">
        <f t="shared" si="7"/>
        <v>0</v>
      </c>
      <c r="N24" s="5">
        <f t="shared" ref="N24:P24" si="8">SUM(N22:N23)</f>
        <v>0</v>
      </c>
      <c r="O24" s="5">
        <f t="shared" si="8"/>
        <v>0</v>
      </c>
      <c r="P24" s="5">
        <f t="shared" si="8"/>
        <v>0</v>
      </c>
      <c r="Q24" s="5">
        <f t="shared" si="7"/>
        <v>2</v>
      </c>
      <c r="R24" s="5">
        <f t="shared" si="7"/>
        <v>82</v>
      </c>
      <c r="S24" s="5">
        <f t="shared" ref="S24" si="9">SUM(S22:S23)</f>
        <v>77</v>
      </c>
      <c r="T24" s="5">
        <f t="shared" si="7"/>
        <v>91</v>
      </c>
      <c r="U24" s="5">
        <f t="shared" si="7"/>
        <v>73</v>
      </c>
      <c r="V24" s="5">
        <f t="shared" si="3"/>
        <v>330</v>
      </c>
    </row>
    <row r="25" spans="1:22" x14ac:dyDescent="0.4">
      <c r="A25" s="12"/>
      <c r="B25" s="78" t="s">
        <v>31</v>
      </c>
      <c r="C25" s="79" t="s">
        <v>32</v>
      </c>
      <c r="D25" s="6" t="s">
        <v>22</v>
      </c>
      <c r="E25" s="6">
        <v>0</v>
      </c>
      <c r="F25" s="6">
        <v>1</v>
      </c>
      <c r="G25" s="6">
        <v>2</v>
      </c>
      <c r="H25" s="6">
        <v>1</v>
      </c>
      <c r="I25" s="6">
        <v>0</v>
      </c>
      <c r="J25" s="6">
        <v>3</v>
      </c>
      <c r="K25" s="6">
        <v>2</v>
      </c>
      <c r="L25" s="6">
        <v>3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/>
      <c r="U25" s="6"/>
      <c r="V25" s="5">
        <f t="shared" si="3"/>
        <v>13</v>
      </c>
    </row>
    <row r="26" spans="1:22" x14ac:dyDescent="0.4">
      <c r="A26" s="12"/>
      <c r="B26" s="76"/>
      <c r="C26" s="80"/>
      <c r="D26" s="6" t="s">
        <v>23</v>
      </c>
      <c r="E26" s="6">
        <v>0</v>
      </c>
      <c r="F26" s="6">
        <v>0</v>
      </c>
      <c r="G26" s="6">
        <v>4</v>
      </c>
      <c r="H26" s="6">
        <v>1</v>
      </c>
      <c r="I26" s="6">
        <v>2</v>
      </c>
      <c r="J26" s="6">
        <v>1</v>
      </c>
      <c r="K26" s="6">
        <v>1</v>
      </c>
      <c r="L26" s="6">
        <v>3</v>
      </c>
      <c r="M26" s="6">
        <v>1</v>
      </c>
      <c r="N26" s="6">
        <v>0</v>
      </c>
      <c r="O26" s="6">
        <v>3</v>
      </c>
      <c r="P26" s="6">
        <v>3</v>
      </c>
      <c r="Q26" s="6">
        <v>1</v>
      </c>
      <c r="R26" s="6">
        <v>0</v>
      </c>
      <c r="S26" s="6">
        <v>0</v>
      </c>
      <c r="T26" s="6"/>
      <c r="U26" s="6"/>
      <c r="V26" s="5">
        <f t="shared" si="3"/>
        <v>20</v>
      </c>
    </row>
    <row r="27" spans="1:22" x14ac:dyDescent="0.4">
      <c r="A27" s="13"/>
      <c r="B27" s="74"/>
      <c r="C27" s="81"/>
      <c r="D27" s="5" t="s">
        <v>24</v>
      </c>
      <c r="E27" s="5">
        <f t="shared" ref="E27:U27" si="10">SUM(E25:E26)</f>
        <v>0</v>
      </c>
      <c r="F27" s="5">
        <f t="shared" si="10"/>
        <v>1</v>
      </c>
      <c r="G27" s="5">
        <f t="shared" si="10"/>
        <v>6</v>
      </c>
      <c r="H27" s="5">
        <f t="shared" si="10"/>
        <v>2</v>
      </c>
      <c r="I27" s="5">
        <f t="shared" si="10"/>
        <v>2</v>
      </c>
      <c r="J27" s="5">
        <f t="shared" si="10"/>
        <v>4</v>
      </c>
      <c r="K27" s="5">
        <f t="shared" si="10"/>
        <v>3</v>
      </c>
      <c r="L27" s="5">
        <f t="shared" si="10"/>
        <v>6</v>
      </c>
      <c r="M27" s="5">
        <f t="shared" si="10"/>
        <v>2</v>
      </c>
      <c r="N27" s="5">
        <f t="shared" ref="N27:P27" si="11">SUM(N25:N26)</f>
        <v>0</v>
      </c>
      <c r="O27" s="5">
        <f t="shared" si="11"/>
        <v>3</v>
      </c>
      <c r="P27" s="5">
        <f t="shared" si="11"/>
        <v>3</v>
      </c>
      <c r="Q27" s="5">
        <f t="shared" si="10"/>
        <v>1</v>
      </c>
      <c r="R27" s="5">
        <f t="shared" si="10"/>
        <v>0</v>
      </c>
      <c r="S27" s="5">
        <f t="shared" ref="S27" si="12">SUM(S25:S26)</f>
        <v>0</v>
      </c>
      <c r="T27" s="5">
        <f t="shared" si="10"/>
        <v>0</v>
      </c>
      <c r="U27" s="5">
        <f t="shared" si="10"/>
        <v>0</v>
      </c>
      <c r="V27" s="5">
        <f t="shared" si="3"/>
        <v>33</v>
      </c>
    </row>
    <row r="28" spans="1:22" x14ac:dyDescent="0.4">
      <c r="A28" s="13"/>
      <c r="B28" s="82" t="s">
        <v>33</v>
      </c>
      <c r="C28" s="83" t="s">
        <v>34</v>
      </c>
      <c r="D28" s="5" t="s">
        <v>22</v>
      </c>
      <c r="E28" s="5">
        <f>SUM(E19,E22,E25)</f>
        <v>114</v>
      </c>
      <c r="F28" s="5">
        <f t="shared" ref="F28:U29" si="13">SUM(F19,F22,F25)</f>
        <v>117</v>
      </c>
      <c r="G28" s="5">
        <f t="shared" si="13"/>
        <v>110</v>
      </c>
      <c r="H28" s="5">
        <f t="shared" si="13"/>
        <v>108</v>
      </c>
      <c r="I28" s="5">
        <f t="shared" si="13"/>
        <v>111</v>
      </c>
      <c r="J28" s="5">
        <f t="shared" si="13"/>
        <v>114</v>
      </c>
      <c r="K28" s="5">
        <f t="shared" si="13"/>
        <v>127</v>
      </c>
      <c r="L28" s="5">
        <f t="shared" si="13"/>
        <v>119</v>
      </c>
      <c r="M28" s="5">
        <f t="shared" si="13"/>
        <v>123</v>
      </c>
      <c r="N28" s="5">
        <f t="shared" ref="N28:P28" si="14">SUM(N19,N22,N25)</f>
        <v>107</v>
      </c>
      <c r="O28" s="5">
        <f t="shared" si="14"/>
        <v>117</v>
      </c>
      <c r="P28" s="5">
        <f t="shared" si="14"/>
        <v>92</v>
      </c>
      <c r="Q28" s="5">
        <f t="shared" si="13"/>
        <v>64</v>
      </c>
      <c r="R28" s="5">
        <f t="shared" si="13"/>
        <v>231</v>
      </c>
      <c r="S28" s="5">
        <f t="shared" ref="S28" si="15">SUM(S19,S22,S25)</f>
        <v>249</v>
      </c>
      <c r="T28" s="5">
        <f t="shared" si="13"/>
        <v>209</v>
      </c>
      <c r="U28" s="5">
        <f t="shared" si="13"/>
        <v>114</v>
      </c>
      <c r="V28" s="5">
        <f t="shared" si="3"/>
        <v>2226</v>
      </c>
    </row>
    <row r="29" spans="1:22" x14ac:dyDescent="0.4">
      <c r="A29" s="13"/>
      <c r="B29" s="76"/>
      <c r="C29" s="80"/>
      <c r="D29" s="5" t="s">
        <v>23</v>
      </c>
      <c r="E29" s="5">
        <f>SUM(E20,E23,E26)</f>
        <v>125</v>
      </c>
      <c r="F29" s="5">
        <f t="shared" si="13"/>
        <v>114</v>
      </c>
      <c r="G29" s="5">
        <f t="shared" si="13"/>
        <v>133</v>
      </c>
      <c r="H29" s="5">
        <f t="shared" si="13"/>
        <v>116</v>
      </c>
      <c r="I29" s="5">
        <f t="shared" si="13"/>
        <v>127</v>
      </c>
      <c r="J29" s="5">
        <f t="shared" si="13"/>
        <v>117</v>
      </c>
      <c r="K29" s="5">
        <f t="shared" si="13"/>
        <v>124</v>
      </c>
      <c r="L29" s="5">
        <f t="shared" si="13"/>
        <v>113</v>
      </c>
      <c r="M29" s="5">
        <f t="shared" si="13"/>
        <v>122</v>
      </c>
      <c r="N29" s="5">
        <f t="shared" ref="N29:P29" si="16">SUM(N20,N23,N26)</f>
        <v>115</v>
      </c>
      <c r="O29" s="5">
        <f t="shared" si="16"/>
        <v>129</v>
      </c>
      <c r="P29" s="5">
        <f t="shared" si="16"/>
        <v>105</v>
      </c>
      <c r="Q29" s="5">
        <f t="shared" si="13"/>
        <v>87</v>
      </c>
      <c r="R29" s="5">
        <f t="shared" si="13"/>
        <v>8</v>
      </c>
      <c r="S29" s="5">
        <f t="shared" ref="S29" si="17">SUM(S20,S23,S26)</f>
        <v>8</v>
      </c>
      <c r="T29" s="5">
        <f t="shared" si="13"/>
        <v>13</v>
      </c>
      <c r="U29" s="5">
        <f t="shared" si="13"/>
        <v>9</v>
      </c>
      <c r="V29" s="5">
        <f t="shared" si="3"/>
        <v>1565</v>
      </c>
    </row>
    <row r="30" spans="1:22" x14ac:dyDescent="0.4">
      <c r="A30" s="13"/>
      <c r="B30" s="74"/>
      <c r="C30" s="81"/>
      <c r="D30" s="5" t="s">
        <v>24</v>
      </c>
      <c r="E30" s="5">
        <f t="shared" ref="E30" si="18">SUM(E28:E29)</f>
        <v>239</v>
      </c>
      <c r="F30" s="5">
        <f t="shared" ref="F30:U30" si="19">SUM(F28:F29)</f>
        <v>231</v>
      </c>
      <c r="G30" s="5">
        <f t="shared" si="19"/>
        <v>243</v>
      </c>
      <c r="H30" s="5">
        <f t="shared" si="19"/>
        <v>224</v>
      </c>
      <c r="I30" s="5">
        <f t="shared" si="19"/>
        <v>238</v>
      </c>
      <c r="J30" s="5">
        <f t="shared" si="19"/>
        <v>231</v>
      </c>
      <c r="K30" s="5">
        <f t="shared" si="19"/>
        <v>251</v>
      </c>
      <c r="L30" s="5">
        <f t="shared" si="19"/>
        <v>232</v>
      </c>
      <c r="M30" s="5">
        <f t="shared" si="19"/>
        <v>245</v>
      </c>
      <c r="N30" s="5">
        <f t="shared" ref="N30:P30" si="20">SUM(N28:N29)</f>
        <v>222</v>
      </c>
      <c r="O30" s="5">
        <f t="shared" si="20"/>
        <v>246</v>
      </c>
      <c r="P30" s="5">
        <f t="shared" si="20"/>
        <v>197</v>
      </c>
      <c r="Q30" s="5">
        <f t="shared" si="19"/>
        <v>151</v>
      </c>
      <c r="R30" s="5">
        <f t="shared" si="19"/>
        <v>239</v>
      </c>
      <c r="S30" s="5">
        <f t="shared" ref="S30" si="21">SUM(S28:S29)</f>
        <v>257</v>
      </c>
      <c r="T30" s="5">
        <f t="shared" si="19"/>
        <v>222</v>
      </c>
      <c r="U30" s="5">
        <f t="shared" si="19"/>
        <v>123</v>
      </c>
      <c r="V30" s="5">
        <f t="shared" si="3"/>
        <v>3791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28"/>
    </row>
    <row r="33" spans="1:22" x14ac:dyDescent="0.4">
      <c r="A33" s="6">
        <v>1</v>
      </c>
      <c r="B33" s="77" t="s">
        <v>37</v>
      </c>
      <c r="C33" s="68"/>
      <c r="D33" s="51"/>
      <c r="E33" s="6">
        <v>293</v>
      </c>
      <c r="F33" s="6">
        <v>299</v>
      </c>
      <c r="G33" s="6">
        <v>295</v>
      </c>
      <c r="H33" s="6">
        <v>290</v>
      </c>
      <c r="I33" s="6">
        <v>295</v>
      </c>
      <c r="J33" s="6">
        <v>289</v>
      </c>
      <c r="K33" s="6">
        <v>290</v>
      </c>
      <c r="L33" s="6">
        <v>297</v>
      </c>
      <c r="M33" s="6">
        <v>277</v>
      </c>
      <c r="N33" s="6">
        <v>270</v>
      </c>
      <c r="O33" s="6">
        <v>301</v>
      </c>
      <c r="P33" s="6">
        <v>252</v>
      </c>
      <c r="Q33" s="6">
        <v>179</v>
      </c>
      <c r="R33" s="6">
        <v>264</v>
      </c>
      <c r="S33" s="6">
        <v>265</v>
      </c>
      <c r="T33" s="6">
        <v>254</v>
      </c>
      <c r="U33" s="6">
        <v>201</v>
      </c>
      <c r="V33" s="5">
        <f>SUM(E33:U33)</f>
        <v>4611</v>
      </c>
    </row>
    <row r="34" spans="1:22" x14ac:dyDescent="0.4">
      <c r="A34" s="6">
        <v>2</v>
      </c>
      <c r="B34" s="77" t="s">
        <v>38</v>
      </c>
      <c r="C34" s="68"/>
      <c r="D34" s="51"/>
      <c r="E34" s="5">
        <v>239</v>
      </c>
      <c r="F34" s="5">
        <v>231</v>
      </c>
      <c r="G34" s="5">
        <v>243</v>
      </c>
      <c r="H34" s="5">
        <v>224</v>
      </c>
      <c r="I34" s="5">
        <v>238</v>
      </c>
      <c r="J34" s="5">
        <v>231</v>
      </c>
      <c r="K34" s="5">
        <v>251</v>
      </c>
      <c r="L34" s="5">
        <v>232</v>
      </c>
      <c r="M34" s="5">
        <v>245</v>
      </c>
      <c r="N34" s="5">
        <v>222</v>
      </c>
      <c r="O34" s="5">
        <v>246</v>
      </c>
      <c r="P34" s="5">
        <v>197</v>
      </c>
      <c r="Q34" s="5">
        <v>151</v>
      </c>
      <c r="R34" s="5">
        <v>239</v>
      </c>
      <c r="S34" s="5">
        <v>257</v>
      </c>
      <c r="T34" s="5">
        <v>222</v>
      </c>
      <c r="U34" s="5">
        <v>123</v>
      </c>
      <c r="V34" s="5">
        <f>SUM(E34:U34)</f>
        <v>3791</v>
      </c>
    </row>
    <row r="35" spans="1:22" x14ac:dyDescent="0.4">
      <c r="A35" s="6">
        <v>3</v>
      </c>
      <c r="B35" s="77" t="s">
        <v>39</v>
      </c>
      <c r="C35" s="68"/>
      <c r="D35" s="51"/>
      <c r="E35" s="6"/>
      <c r="F35" s="6"/>
      <c r="G35" s="6"/>
      <c r="H35" s="6"/>
      <c r="I35" s="6">
        <v>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5">
        <f>SUM(E35:U35)</f>
        <v>1</v>
      </c>
    </row>
    <row r="36" spans="1:22" x14ac:dyDescent="0.4">
      <c r="A36" s="6">
        <v>4</v>
      </c>
      <c r="B36" s="77" t="s">
        <v>40</v>
      </c>
      <c r="C36" s="68"/>
      <c r="D36" s="51"/>
      <c r="E36" s="5">
        <f t="shared" ref="E36:U36" si="22">E33-(E34+E35)</f>
        <v>54</v>
      </c>
      <c r="F36" s="5">
        <f t="shared" si="22"/>
        <v>68</v>
      </c>
      <c r="G36" s="5">
        <f t="shared" si="22"/>
        <v>52</v>
      </c>
      <c r="H36" s="5">
        <f t="shared" si="22"/>
        <v>66</v>
      </c>
      <c r="I36" s="5">
        <f t="shared" si="22"/>
        <v>56</v>
      </c>
      <c r="J36" s="5">
        <f t="shared" si="22"/>
        <v>58</v>
      </c>
      <c r="K36" s="5">
        <f t="shared" si="22"/>
        <v>39</v>
      </c>
      <c r="L36" s="5">
        <f t="shared" si="22"/>
        <v>65</v>
      </c>
      <c r="M36" s="5">
        <f t="shared" si="22"/>
        <v>32</v>
      </c>
      <c r="N36" s="5">
        <f t="shared" ref="N36:P36" si="23">N33-(N34+N35)</f>
        <v>48</v>
      </c>
      <c r="O36" s="5">
        <f t="shared" si="23"/>
        <v>55</v>
      </c>
      <c r="P36" s="5">
        <f t="shared" si="23"/>
        <v>55</v>
      </c>
      <c r="Q36" s="5">
        <f t="shared" si="22"/>
        <v>28</v>
      </c>
      <c r="R36" s="5">
        <f t="shared" si="22"/>
        <v>25</v>
      </c>
      <c r="S36" s="5">
        <f t="shared" ref="S36" si="24">S33-(S34+S35)</f>
        <v>8</v>
      </c>
      <c r="T36" s="5">
        <f t="shared" si="22"/>
        <v>32</v>
      </c>
      <c r="U36" s="5">
        <f t="shared" si="22"/>
        <v>78</v>
      </c>
      <c r="V36" s="5">
        <f>SUM(E36:U36)</f>
        <v>819</v>
      </c>
    </row>
    <row r="37" spans="1:22" x14ac:dyDescent="0.4">
      <c r="A37" s="55"/>
      <c r="B37" s="68"/>
      <c r="C37" s="68"/>
      <c r="D37" s="68"/>
      <c r="E37" s="55"/>
      <c r="F37" s="73"/>
      <c r="G37" s="73"/>
      <c r="H37" s="73"/>
      <c r="I37" s="92"/>
      <c r="J37" s="6"/>
      <c r="K37" s="6"/>
      <c r="L37" s="6"/>
      <c r="M37" s="6"/>
      <c r="N37" s="10"/>
      <c r="O37" s="26"/>
      <c r="P37" s="26"/>
      <c r="Q37" s="10"/>
      <c r="R37" s="26"/>
      <c r="S37" s="26"/>
      <c r="T37" s="26"/>
      <c r="U37" s="2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</v>
      </c>
      <c r="Q39" s="6"/>
      <c r="R39" s="6"/>
      <c r="S39" s="6">
        <v>2</v>
      </c>
      <c r="T39" s="6"/>
      <c r="U39" s="6"/>
      <c r="V39" s="5">
        <f>SUM(E39:U39)</f>
        <v>4</v>
      </c>
    </row>
    <row r="40" spans="1:22" x14ac:dyDescent="0.4">
      <c r="A40" s="12"/>
      <c r="B40" s="75"/>
      <c r="C40" s="76"/>
      <c r="D40" s="6" t="s">
        <v>23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3</v>
      </c>
      <c r="Q40" s="6"/>
      <c r="R40" s="6"/>
      <c r="S40" s="6"/>
      <c r="T40" s="6"/>
      <c r="U40" s="6"/>
      <c r="V40" s="5">
        <f>SUM(E40:U40)</f>
        <v>3</v>
      </c>
    </row>
    <row r="41" spans="1:22" x14ac:dyDescent="0.4">
      <c r="A41" s="14"/>
      <c r="B41" s="70"/>
      <c r="C41" s="74"/>
      <c r="D41" s="5" t="s">
        <v>24</v>
      </c>
      <c r="E41" s="5">
        <f t="shared" ref="E41:U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ref="N41:P41" si="26">SUM(N39:N40)</f>
        <v>0</v>
      </c>
      <c r="O41" s="5">
        <f t="shared" si="26"/>
        <v>0</v>
      </c>
      <c r="P41" s="5">
        <f t="shared" si="26"/>
        <v>5</v>
      </c>
      <c r="Q41" s="5">
        <f t="shared" si="25"/>
        <v>0</v>
      </c>
      <c r="R41" s="5">
        <f t="shared" si="25"/>
        <v>0</v>
      </c>
      <c r="S41" s="5">
        <f t="shared" ref="S41" si="27">SUM(S39:S40)</f>
        <v>2</v>
      </c>
      <c r="T41" s="5">
        <f t="shared" si="25"/>
        <v>0</v>
      </c>
      <c r="U41" s="5">
        <f t="shared" si="25"/>
        <v>0</v>
      </c>
      <c r="V41" s="5">
        <f>SUM(E41:U41)</f>
        <v>7</v>
      </c>
    </row>
    <row r="42" spans="1:22" x14ac:dyDescent="0.4">
      <c r="A42" s="69"/>
      <c r="B42" s="70"/>
      <c r="C42" s="70"/>
      <c r="D42" s="74"/>
      <c r="E42" s="55"/>
      <c r="F42" s="68"/>
      <c r="G42" s="68"/>
      <c r="H42" s="68"/>
      <c r="I42" s="51"/>
      <c r="J42" s="6"/>
      <c r="K42" s="6"/>
      <c r="L42" s="6"/>
      <c r="M42" s="6"/>
      <c r="N42" s="10"/>
      <c r="O42" s="6"/>
      <c r="P42" s="10"/>
      <c r="Q42" s="10"/>
      <c r="R42" s="6"/>
      <c r="S42" s="10"/>
      <c r="T42" s="10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15"/>
      <c r="R43" s="5"/>
      <c r="S43" s="15"/>
      <c r="T43" s="1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10"/>
      <c r="R44" s="6"/>
      <c r="S44" s="10"/>
      <c r="T44" s="10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9</v>
      </c>
      <c r="F45" s="6">
        <v>12</v>
      </c>
      <c r="G45" s="6">
        <v>16</v>
      </c>
      <c r="H45" s="6">
        <v>12</v>
      </c>
      <c r="I45" s="6">
        <v>13</v>
      </c>
      <c r="J45" s="6">
        <v>5</v>
      </c>
      <c r="K45" s="6">
        <v>14</v>
      </c>
      <c r="L45" s="6">
        <v>11</v>
      </c>
      <c r="M45" s="6">
        <v>12</v>
      </c>
      <c r="N45" s="6">
        <v>14</v>
      </c>
      <c r="O45" s="6">
        <v>14</v>
      </c>
      <c r="P45" s="6">
        <v>4</v>
      </c>
      <c r="Q45" s="6">
        <v>5</v>
      </c>
      <c r="R45" s="6">
        <v>1</v>
      </c>
      <c r="S45" s="6">
        <v>1</v>
      </c>
      <c r="T45" s="6">
        <v>4</v>
      </c>
      <c r="U45" s="6">
        <v>1</v>
      </c>
      <c r="V45" s="5">
        <f t="shared" ref="V45:V54" si="28">SUM(E45:U45)</f>
        <v>148</v>
      </c>
    </row>
    <row r="46" spans="1:22" x14ac:dyDescent="0.4">
      <c r="A46" s="11" t="s">
        <v>49</v>
      </c>
      <c r="B46" s="46"/>
      <c r="C46" s="24" t="s">
        <v>103</v>
      </c>
      <c r="D46" s="45"/>
      <c r="E46" s="6">
        <v>55</v>
      </c>
      <c r="F46" s="6">
        <v>40</v>
      </c>
      <c r="G46" s="6">
        <v>38</v>
      </c>
      <c r="H46" s="6">
        <v>29</v>
      </c>
      <c r="I46" s="6">
        <v>42</v>
      </c>
      <c r="J46" s="6">
        <v>37</v>
      </c>
      <c r="K46" s="6">
        <v>54</v>
      </c>
      <c r="L46" s="6">
        <v>52</v>
      </c>
      <c r="M46" s="6">
        <v>72</v>
      </c>
      <c r="N46" s="6">
        <v>42</v>
      </c>
      <c r="O46" s="6">
        <v>26</v>
      </c>
      <c r="P46" s="6">
        <v>7</v>
      </c>
      <c r="Q46" s="6">
        <v>17</v>
      </c>
      <c r="R46" s="6">
        <v>2</v>
      </c>
      <c r="S46" s="6">
        <v>1</v>
      </c>
      <c r="T46" s="6">
        <v>4</v>
      </c>
      <c r="U46" s="6"/>
      <c r="V46" s="5">
        <f t="shared" si="28"/>
        <v>518</v>
      </c>
    </row>
    <row r="47" spans="1:22" x14ac:dyDescent="0.4">
      <c r="A47" s="7"/>
      <c r="B47" s="46"/>
      <c r="C47" s="24" t="s">
        <v>104</v>
      </c>
      <c r="D47" s="45"/>
      <c r="E47" s="6">
        <v>1</v>
      </c>
      <c r="F47" s="6">
        <v>3</v>
      </c>
      <c r="G47" s="6">
        <v>1</v>
      </c>
      <c r="H47" s="6">
        <v>0</v>
      </c>
      <c r="I47" s="6">
        <v>0</v>
      </c>
      <c r="J47" s="6">
        <v>5</v>
      </c>
      <c r="K47" s="6">
        <v>1</v>
      </c>
      <c r="L47" s="6">
        <v>2</v>
      </c>
      <c r="M47" s="6">
        <v>3</v>
      </c>
      <c r="N47" s="6">
        <v>0</v>
      </c>
      <c r="O47" s="6">
        <v>2</v>
      </c>
      <c r="P47" s="6">
        <v>0</v>
      </c>
      <c r="Q47" s="6">
        <v>0</v>
      </c>
      <c r="R47" s="6">
        <v>1</v>
      </c>
      <c r="S47" s="6">
        <v>1</v>
      </c>
      <c r="T47" s="6"/>
      <c r="U47" s="6"/>
      <c r="V47" s="5">
        <f t="shared" si="28"/>
        <v>20</v>
      </c>
    </row>
    <row r="48" spans="1:22" x14ac:dyDescent="0.4">
      <c r="A48" s="7"/>
      <c r="B48" s="46"/>
      <c r="C48" s="24" t="s">
        <v>105</v>
      </c>
      <c r="D48" s="45"/>
      <c r="E48" s="6">
        <v>0</v>
      </c>
      <c r="F48" s="6">
        <v>0</v>
      </c>
      <c r="G48" s="6">
        <v>1</v>
      </c>
      <c r="H48" s="6">
        <v>1</v>
      </c>
      <c r="I48" s="6">
        <v>1</v>
      </c>
      <c r="J48" s="6">
        <v>1</v>
      </c>
      <c r="K48" s="6">
        <v>0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/>
      <c r="U48" s="6"/>
      <c r="V48" s="5">
        <f t="shared" si="28"/>
        <v>6</v>
      </c>
    </row>
    <row r="49" spans="1:22" x14ac:dyDescent="0.4">
      <c r="A49" s="7"/>
      <c r="B49" s="46"/>
      <c r="C49" s="24" t="s">
        <v>106</v>
      </c>
      <c r="D49" s="45"/>
      <c r="E49" s="6">
        <v>1</v>
      </c>
      <c r="F49" s="6">
        <v>3</v>
      </c>
      <c r="G49" s="6">
        <v>2</v>
      </c>
      <c r="H49" s="6">
        <v>0</v>
      </c>
      <c r="I49" s="6">
        <v>0</v>
      </c>
      <c r="J49" s="6">
        <v>1</v>
      </c>
      <c r="K49" s="6">
        <v>1</v>
      </c>
      <c r="L49" s="6">
        <v>2</v>
      </c>
      <c r="M49" s="6">
        <v>1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/>
      <c r="U49" s="6"/>
      <c r="V49" s="5">
        <f t="shared" si="28"/>
        <v>13</v>
      </c>
    </row>
    <row r="50" spans="1:22" x14ac:dyDescent="0.4">
      <c r="A50" s="7"/>
      <c r="B50" s="46"/>
      <c r="C50" s="24" t="s">
        <v>107</v>
      </c>
      <c r="D50" s="45"/>
      <c r="E50" s="6">
        <v>3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0</v>
      </c>
      <c r="T50" s="6"/>
      <c r="U50" s="6"/>
      <c r="V50" s="5">
        <f t="shared" si="28"/>
        <v>6</v>
      </c>
    </row>
    <row r="51" spans="1:22" x14ac:dyDescent="0.4">
      <c r="A51" s="7"/>
      <c r="B51" s="46"/>
      <c r="C51" s="24" t="s">
        <v>108</v>
      </c>
      <c r="D51" s="45"/>
      <c r="E51" s="6">
        <v>2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1</v>
      </c>
      <c r="O51" s="6">
        <v>0</v>
      </c>
      <c r="P51" s="6">
        <v>1</v>
      </c>
      <c r="Q51" s="6">
        <v>0</v>
      </c>
      <c r="R51" s="6">
        <v>0</v>
      </c>
      <c r="S51" s="6">
        <v>0</v>
      </c>
      <c r="T51" s="6"/>
      <c r="U51" s="6"/>
      <c r="V51" s="5">
        <f t="shared" si="28"/>
        <v>6</v>
      </c>
    </row>
    <row r="52" spans="1:22" ht="13.15" customHeight="1" x14ac:dyDescent="0.4">
      <c r="A52" s="7"/>
      <c r="B52" s="46"/>
      <c r="C52" s="24" t="s">
        <v>109</v>
      </c>
      <c r="D52" s="45"/>
      <c r="E52" s="6">
        <v>1</v>
      </c>
      <c r="F52" s="6">
        <v>0</v>
      </c>
      <c r="G52" s="6">
        <v>0</v>
      </c>
      <c r="H52" s="6">
        <v>0</v>
      </c>
      <c r="I52" s="6">
        <v>1</v>
      </c>
      <c r="J52" s="6">
        <v>1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1</v>
      </c>
      <c r="Q52" s="6">
        <v>1</v>
      </c>
      <c r="R52" s="6">
        <v>1</v>
      </c>
      <c r="S52" s="6">
        <v>0</v>
      </c>
      <c r="T52" s="6"/>
      <c r="U52" s="6">
        <v>1</v>
      </c>
      <c r="V52" s="5">
        <f t="shared" si="28"/>
        <v>8</v>
      </c>
    </row>
    <row r="53" spans="1:22" ht="13.15" customHeight="1" x14ac:dyDescent="0.4">
      <c r="A53" s="7"/>
      <c r="B53" s="46"/>
      <c r="C53" s="24" t="s">
        <v>110</v>
      </c>
      <c r="D53" s="47"/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/>
      <c r="U53" s="6"/>
      <c r="V53" s="5">
        <f t="shared" si="28"/>
        <v>2</v>
      </c>
    </row>
    <row r="54" spans="1:22" ht="13.15" customHeight="1" x14ac:dyDescent="0.4">
      <c r="A54" s="7"/>
      <c r="B54" s="46"/>
      <c r="C54" s="24" t="s">
        <v>111</v>
      </c>
      <c r="D54" s="45"/>
      <c r="E54" s="6">
        <v>0</v>
      </c>
      <c r="F54" s="6">
        <v>1</v>
      </c>
      <c r="G54" s="6">
        <v>0</v>
      </c>
      <c r="H54" s="6">
        <v>1</v>
      </c>
      <c r="I54" s="6">
        <v>2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/>
      <c r="U54" s="6"/>
      <c r="V54" s="5">
        <f t="shared" si="28"/>
        <v>4</v>
      </c>
    </row>
    <row r="55" spans="1:22" x14ac:dyDescent="0.4">
      <c r="A55" s="6" t="s">
        <v>25</v>
      </c>
      <c r="B55" s="52" t="s">
        <v>50</v>
      </c>
      <c r="C55" s="68"/>
      <c r="D55" s="51"/>
      <c r="E55" s="5">
        <f>SUM(E45:E54)</f>
        <v>72</v>
      </c>
      <c r="F55" s="5">
        <f t="shared" ref="F55:V55" si="29">SUM(F45:F54)</f>
        <v>59</v>
      </c>
      <c r="G55" s="5">
        <f t="shared" si="29"/>
        <v>60</v>
      </c>
      <c r="H55" s="5">
        <f t="shared" si="29"/>
        <v>44</v>
      </c>
      <c r="I55" s="5">
        <f t="shared" si="29"/>
        <v>59</v>
      </c>
      <c r="J55" s="5">
        <f t="shared" si="29"/>
        <v>50</v>
      </c>
      <c r="K55" s="5">
        <f t="shared" si="29"/>
        <v>70</v>
      </c>
      <c r="L55" s="5">
        <f t="shared" si="29"/>
        <v>68</v>
      </c>
      <c r="M55" s="5">
        <f t="shared" si="29"/>
        <v>91</v>
      </c>
      <c r="N55" s="5">
        <f t="shared" ref="N55:P55" si="30">SUM(N45:N54)</f>
        <v>59</v>
      </c>
      <c r="O55" s="5">
        <f t="shared" si="30"/>
        <v>42</v>
      </c>
      <c r="P55" s="5">
        <f t="shared" si="30"/>
        <v>13</v>
      </c>
      <c r="Q55" s="5">
        <f t="shared" si="29"/>
        <v>25</v>
      </c>
      <c r="R55" s="5">
        <f t="shared" si="29"/>
        <v>5</v>
      </c>
      <c r="S55" s="5">
        <f t="shared" ref="S55" si="31">SUM(S45:S54)</f>
        <v>4</v>
      </c>
      <c r="T55" s="5">
        <f t="shared" si="29"/>
        <v>8</v>
      </c>
      <c r="U55" s="5">
        <f t="shared" si="29"/>
        <v>2</v>
      </c>
      <c r="V55" s="5">
        <f t="shared" si="29"/>
        <v>731</v>
      </c>
    </row>
    <row r="56" spans="1:22" x14ac:dyDescent="0.4">
      <c r="A56" s="69"/>
      <c r="B56" s="70"/>
      <c r="C56" s="70"/>
      <c r="D56" s="70"/>
      <c r="E56" s="70"/>
      <c r="V56" s="5"/>
    </row>
    <row r="57" spans="1:22" x14ac:dyDescent="0.4">
      <c r="A57" s="11" t="s">
        <v>47</v>
      </c>
      <c r="B57" s="17" t="s">
        <v>29</v>
      </c>
      <c r="C57" s="50" t="s">
        <v>51</v>
      </c>
      <c r="D57" s="51"/>
      <c r="E57" s="6">
        <v>18</v>
      </c>
      <c r="F57" s="6">
        <v>17</v>
      </c>
      <c r="G57" s="6">
        <v>8</v>
      </c>
      <c r="H57" s="6">
        <v>12</v>
      </c>
      <c r="I57" s="6">
        <v>6</v>
      </c>
      <c r="J57" s="6">
        <v>11</v>
      </c>
      <c r="K57" s="6">
        <v>9</v>
      </c>
      <c r="L57" s="6">
        <v>7</v>
      </c>
      <c r="M57" s="6">
        <v>13</v>
      </c>
      <c r="N57" s="6">
        <v>11</v>
      </c>
      <c r="O57" s="6">
        <v>24</v>
      </c>
      <c r="P57" s="6">
        <v>13</v>
      </c>
      <c r="Q57" s="6">
        <v>10</v>
      </c>
      <c r="R57" s="6">
        <v>6</v>
      </c>
      <c r="S57" s="6">
        <v>10</v>
      </c>
      <c r="T57" s="6">
        <v>8</v>
      </c>
      <c r="U57" s="6">
        <v>6</v>
      </c>
      <c r="V57" s="5">
        <f t="shared" ref="V57:V66" si="32">SUM(E57:U57)</f>
        <v>189</v>
      </c>
    </row>
    <row r="58" spans="1:22" x14ac:dyDescent="0.4">
      <c r="A58" s="11" t="s">
        <v>49</v>
      </c>
      <c r="B58" s="46"/>
      <c r="C58" s="24" t="s">
        <v>112</v>
      </c>
      <c r="D58" s="45"/>
      <c r="E58" s="6">
        <v>5</v>
      </c>
      <c r="F58" s="6">
        <v>8</v>
      </c>
      <c r="G58" s="6">
        <v>3</v>
      </c>
      <c r="H58" s="6">
        <v>7</v>
      </c>
      <c r="I58" s="6">
        <v>6</v>
      </c>
      <c r="J58" s="6">
        <v>8</v>
      </c>
      <c r="K58" s="6">
        <v>4</v>
      </c>
      <c r="L58" s="6">
        <v>4</v>
      </c>
      <c r="M58" s="6">
        <v>5</v>
      </c>
      <c r="N58" s="6">
        <v>3</v>
      </c>
      <c r="O58" s="6">
        <v>10</v>
      </c>
      <c r="P58" s="6">
        <v>6</v>
      </c>
      <c r="Q58" s="6">
        <v>3</v>
      </c>
      <c r="R58" s="6">
        <v>0</v>
      </c>
      <c r="S58" s="6">
        <v>5</v>
      </c>
      <c r="T58" s="6">
        <v>6</v>
      </c>
      <c r="U58" s="6">
        <v>2</v>
      </c>
      <c r="V58" s="5">
        <f t="shared" si="32"/>
        <v>85</v>
      </c>
    </row>
    <row r="59" spans="1:22" x14ac:dyDescent="0.4">
      <c r="A59" s="7"/>
      <c r="B59" s="46"/>
      <c r="C59" s="24" t="s">
        <v>113</v>
      </c>
      <c r="D59" s="45"/>
      <c r="E59" s="6">
        <v>11</v>
      </c>
      <c r="F59" s="6">
        <v>11</v>
      </c>
      <c r="G59" s="6">
        <v>3</v>
      </c>
      <c r="H59" s="6">
        <v>14</v>
      </c>
      <c r="I59" s="6">
        <v>22</v>
      </c>
      <c r="J59" s="6">
        <v>11</v>
      </c>
      <c r="K59" s="6">
        <v>12</v>
      </c>
      <c r="L59" s="6">
        <v>10</v>
      </c>
      <c r="M59" s="6">
        <v>10</v>
      </c>
      <c r="N59" s="6">
        <v>9</v>
      </c>
      <c r="O59" s="6">
        <v>10</v>
      </c>
      <c r="P59" s="6">
        <v>11</v>
      </c>
      <c r="Q59" s="6">
        <v>7</v>
      </c>
      <c r="R59" s="6">
        <v>8</v>
      </c>
      <c r="S59" s="6">
        <v>3</v>
      </c>
      <c r="T59" s="6">
        <v>4</v>
      </c>
      <c r="U59" s="6">
        <v>3</v>
      </c>
      <c r="V59" s="5">
        <f t="shared" si="32"/>
        <v>159</v>
      </c>
    </row>
    <row r="60" spans="1:22" x14ac:dyDescent="0.4">
      <c r="A60" s="7"/>
      <c r="B60" s="46"/>
      <c r="C60" s="24" t="s">
        <v>114</v>
      </c>
      <c r="D60" s="45"/>
      <c r="E60" s="6">
        <v>2</v>
      </c>
      <c r="F60" s="6">
        <v>5</v>
      </c>
      <c r="G60" s="6">
        <v>1</v>
      </c>
      <c r="H60" s="6">
        <v>3</v>
      </c>
      <c r="I60" s="6">
        <v>1</v>
      </c>
      <c r="J60" s="6">
        <v>4</v>
      </c>
      <c r="K60" s="6">
        <v>2</v>
      </c>
      <c r="L60" s="6">
        <v>5</v>
      </c>
      <c r="M60" s="6">
        <v>7</v>
      </c>
      <c r="N60" s="6">
        <v>3</v>
      </c>
      <c r="O60" s="6">
        <v>6</v>
      </c>
      <c r="P60" s="6">
        <v>0</v>
      </c>
      <c r="Q60" s="6">
        <v>3</v>
      </c>
      <c r="R60" s="6">
        <v>3</v>
      </c>
      <c r="S60" s="6">
        <v>5</v>
      </c>
      <c r="T60" s="6">
        <v>3</v>
      </c>
      <c r="U60" s="6">
        <v>3</v>
      </c>
      <c r="V60" s="5">
        <f t="shared" si="32"/>
        <v>56</v>
      </c>
    </row>
    <row r="61" spans="1:22" x14ac:dyDescent="0.4">
      <c r="A61" s="7"/>
      <c r="B61" s="46"/>
      <c r="C61" s="24" t="s">
        <v>115</v>
      </c>
      <c r="D61" s="45"/>
      <c r="E61" s="6">
        <v>0</v>
      </c>
      <c r="F61" s="6">
        <v>3</v>
      </c>
      <c r="G61" s="6">
        <v>2</v>
      </c>
      <c r="H61" s="6">
        <v>1</v>
      </c>
      <c r="I61" s="6">
        <v>6</v>
      </c>
      <c r="J61" s="6">
        <v>6</v>
      </c>
      <c r="K61" s="6">
        <v>11</v>
      </c>
      <c r="L61" s="6">
        <v>0</v>
      </c>
      <c r="M61" s="6">
        <v>17</v>
      </c>
      <c r="N61" s="6">
        <v>20</v>
      </c>
      <c r="O61" s="6">
        <v>4</v>
      </c>
      <c r="P61" s="6">
        <v>3</v>
      </c>
      <c r="Q61" s="6">
        <v>2</v>
      </c>
      <c r="R61" s="6">
        <v>2</v>
      </c>
      <c r="S61" s="6">
        <v>1</v>
      </c>
      <c r="T61" s="6">
        <v>1</v>
      </c>
      <c r="U61" s="6"/>
      <c r="V61" s="5">
        <f t="shared" si="32"/>
        <v>79</v>
      </c>
    </row>
    <row r="62" spans="1:22" x14ac:dyDescent="0.4">
      <c r="A62" s="7"/>
      <c r="B62" s="46"/>
      <c r="C62" s="24" t="s">
        <v>116</v>
      </c>
      <c r="D62" s="45"/>
      <c r="E62" s="6">
        <v>1</v>
      </c>
      <c r="F62" s="6">
        <v>3</v>
      </c>
      <c r="G62" s="6">
        <v>1</v>
      </c>
      <c r="H62" s="6">
        <v>0</v>
      </c>
      <c r="I62" s="6">
        <v>0</v>
      </c>
      <c r="J62" s="6">
        <v>1</v>
      </c>
      <c r="K62" s="6">
        <v>2</v>
      </c>
      <c r="L62" s="6">
        <v>0</v>
      </c>
      <c r="M62" s="6">
        <v>0</v>
      </c>
      <c r="N62" s="6">
        <v>3</v>
      </c>
      <c r="O62" s="6">
        <v>2</v>
      </c>
      <c r="P62" s="6">
        <v>1</v>
      </c>
      <c r="Q62" s="6">
        <v>2</v>
      </c>
      <c r="R62" s="6">
        <v>0</v>
      </c>
      <c r="S62" s="6">
        <v>2</v>
      </c>
      <c r="T62" s="6">
        <v>1</v>
      </c>
      <c r="U62" s="6"/>
      <c r="V62" s="5">
        <f t="shared" si="32"/>
        <v>19</v>
      </c>
    </row>
    <row r="63" spans="1:22" ht="13.15" customHeight="1" x14ac:dyDescent="0.4">
      <c r="A63" s="7"/>
      <c r="B63" s="46"/>
      <c r="C63" s="24" t="s">
        <v>117</v>
      </c>
      <c r="D63" s="45"/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1</v>
      </c>
      <c r="S63" s="6">
        <v>0</v>
      </c>
      <c r="T63" s="6">
        <v>1</v>
      </c>
      <c r="U63" s="6"/>
      <c r="V63" s="5">
        <f t="shared" si="32"/>
        <v>4</v>
      </c>
    </row>
    <row r="64" spans="1:22" x14ac:dyDescent="0.4">
      <c r="A64" s="7"/>
      <c r="B64" s="46"/>
      <c r="C64" s="24" t="s">
        <v>118</v>
      </c>
      <c r="D64" s="45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/>
      <c r="U64" s="6"/>
      <c r="V64" s="5">
        <f t="shared" si="32"/>
        <v>1</v>
      </c>
    </row>
    <row r="65" spans="1:22" x14ac:dyDescent="0.4">
      <c r="A65" s="7"/>
      <c r="B65" s="46"/>
      <c r="C65" s="24" t="s">
        <v>119</v>
      </c>
      <c r="D65" s="45"/>
      <c r="E65" s="6">
        <v>0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1</v>
      </c>
      <c r="R65" s="6">
        <v>0</v>
      </c>
      <c r="S65" s="6">
        <v>1</v>
      </c>
      <c r="T65" s="6"/>
      <c r="U65" s="6"/>
      <c r="V65" s="5">
        <f t="shared" si="32"/>
        <v>3</v>
      </c>
    </row>
    <row r="66" spans="1:22" x14ac:dyDescent="0.4">
      <c r="A66" s="7"/>
      <c r="B66" s="46"/>
      <c r="C66" s="24" t="s">
        <v>120</v>
      </c>
      <c r="D66" s="45"/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/>
      <c r="U66" s="6"/>
      <c r="V66" s="5">
        <f t="shared" si="32"/>
        <v>3</v>
      </c>
    </row>
    <row r="67" spans="1:22" x14ac:dyDescent="0.4">
      <c r="A67" s="6" t="s">
        <v>25</v>
      </c>
      <c r="B67" s="52" t="s">
        <v>50</v>
      </c>
      <c r="C67" s="68"/>
      <c r="D67" s="51"/>
      <c r="E67" s="5">
        <f t="shared" ref="E67:V67" si="33">SUM(E57:E66)</f>
        <v>37</v>
      </c>
      <c r="F67" s="5">
        <f t="shared" si="33"/>
        <v>48</v>
      </c>
      <c r="G67" s="5">
        <f t="shared" si="33"/>
        <v>18</v>
      </c>
      <c r="H67" s="5">
        <f t="shared" si="33"/>
        <v>38</v>
      </c>
      <c r="I67" s="5">
        <f t="shared" si="33"/>
        <v>42</v>
      </c>
      <c r="J67" s="5">
        <f t="shared" si="33"/>
        <v>41</v>
      </c>
      <c r="K67" s="5">
        <f t="shared" si="33"/>
        <v>40</v>
      </c>
      <c r="L67" s="5">
        <f t="shared" si="33"/>
        <v>26</v>
      </c>
      <c r="M67" s="5">
        <f t="shared" si="33"/>
        <v>53</v>
      </c>
      <c r="N67" s="5">
        <f t="shared" ref="N67:P67" si="34">SUM(N57:N66)</f>
        <v>49</v>
      </c>
      <c r="O67" s="5">
        <f t="shared" si="34"/>
        <v>57</v>
      </c>
      <c r="P67" s="5">
        <f t="shared" si="34"/>
        <v>35</v>
      </c>
      <c r="Q67" s="5">
        <f t="shared" si="33"/>
        <v>28</v>
      </c>
      <c r="R67" s="5">
        <f t="shared" si="33"/>
        <v>20</v>
      </c>
      <c r="S67" s="5">
        <f t="shared" ref="S67" si="35">SUM(S57:S66)</f>
        <v>28</v>
      </c>
      <c r="T67" s="5">
        <f t="shared" si="33"/>
        <v>24</v>
      </c>
      <c r="U67" s="5">
        <f t="shared" si="33"/>
        <v>14</v>
      </c>
      <c r="V67" s="5">
        <f t="shared" si="33"/>
        <v>598</v>
      </c>
    </row>
    <row r="68" spans="1:22" x14ac:dyDescent="0.4">
      <c r="A68" s="69"/>
      <c r="B68" s="70"/>
      <c r="C68" s="70"/>
      <c r="D68" s="70"/>
      <c r="E68" s="70"/>
    </row>
    <row r="69" spans="1:22" x14ac:dyDescent="0.4">
      <c r="A69" s="11" t="s">
        <v>47</v>
      </c>
      <c r="B69" s="17" t="s">
        <v>31</v>
      </c>
      <c r="C69" s="50" t="s">
        <v>52</v>
      </c>
      <c r="D69" s="51"/>
      <c r="E69" s="6">
        <v>10</v>
      </c>
      <c r="F69" s="6">
        <v>6</v>
      </c>
      <c r="G69" s="6">
        <v>4</v>
      </c>
      <c r="H69" s="6">
        <v>12</v>
      </c>
      <c r="I69" s="6">
        <v>2</v>
      </c>
      <c r="J69" s="6">
        <v>6</v>
      </c>
      <c r="K69" s="6">
        <v>10</v>
      </c>
      <c r="L69" s="6">
        <v>5</v>
      </c>
      <c r="M69" s="6">
        <v>9</v>
      </c>
      <c r="N69" s="6">
        <v>14</v>
      </c>
      <c r="O69" s="6">
        <v>4</v>
      </c>
      <c r="P69" s="6">
        <v>13</v>
      </c>
      <c r="Q69" s="6">
        <v>4</v>
      </c>
      <c r="R69" s="6">
        <v>14</v>
      </c>
      <c r="S69" s="6">
        <v>20</v>
      </c>
      <c r="T69" s="6">
        <v>24</v>
      </c>
      <c r="U69" s="6">
        <v>17</v>
      </c>
      <c r="V69" s="5">
        <f t="shared" ref="V69:V78" si="36">SUM(E69:U69)</f>
        <v>174</v>
      </c>
    </row>
    <row r="70" spans="1:22" x14ac:dyDescent="0.4">
      <c r="A70" s="11" t="s">
        <v>49</v>
      </c>
      <c r="B70" s="46"/>
      <c r="C70" s="24" t="s">
        <v>121</v>
      </c>
      <c r="D70" s="45"/>
      <c r="E70" s="6">
        <v>0</v>
      </c>
      <c r="F70" s="6">
        <v>4</v>
      </c>
      <c r="G70" s="6">
        <v>3</v>
      </c>
      <c r="H70" s="6">
        <v>4</v>
      </c>
      <c r="I70" s="6">
        <v>3</v>
      </c>
      <c r="J70" s="6">
        <v>1</v>
      </c>
      <c r="K70" s="6">
        <v>2</v>
      </c>
      <c r="L70" s="6">
        <v>5</v>
      </c>
      <c r="M70" s="6">
        <v>5</v>
      </c>
      <c r="N70" s="6">
        <v>3</v>
      </c>
      <c r="O70" s="6">
        <v>3</v>
      </c>
      <c r="P70" s="6">
        <v>9</v>
      </c>
      <c r="Q70" s="6">
        <v>0</v>
      </c>
      <c r="R70" s="6">
        <v>2</v>
      </c>
      <c r="S70" s="6">
        <v>3</v>
      </c>
      <c r="T70" s="6">
        <v>2</v>
      </c>
      <c r="U70" s="6"/>
      <c r="V70" s="5">
        <f t="shared" si="36"/>
        <v>49</v>
      </c>
    </row>
    <row r="71" spans="1:22" x14ac:dyDescent="0.4">
      <c r="A71" s="7"/>
      <c r="B71" s="46"/>
      <c r="C71" s="24" t="s">
        <v>122</v>
      </c>
      <c r="D71" s="45"/>
      <c r="E71" s="6">
        <v>4</v>
      </c>
      <c r="F71" s="6">
        <v>12</v>
      </c>
      <c r="G71" s="6">
        <v>3</v>
      </c>
      <c r="H71" s="6">
        <v>4</v>
      </c>
      <c r="I71" s="6">
        <v>12</v>
      </c>
      <c r="J71" s="6">
        <v>7</v>
      </c>
      <c r="K71" s="6">
        <v>8</v>
      </c>
      <c r="L71" s="6">
        <v>3</v>
      </c>
      <c r="M71" s="6">
        <v>8</v>
      </c>
      <c r="N71" s="6">
        <v>7</v>
      </c>
      <c r="O71" s="6">
        <v>18</v>
      </c>
      <c r="P71" s="6">
        <v>14</v>
      </c>
      <c r="Q71" s="6">
        <v>22</v>
      </c>
      <c r="R71" s="6">
        <v>147</v>
      </c>
      <c r="S71" s="6">
        <v>145</v>
      </c>
      <c r="T71" s="6">
        <v>115</v>
      </c>
      <c r="U71" s="6">
        <v>74</v>
      </c>
      <c r="V71" s="5">
        <f t="shared" si="36"/>
        <v>603</v>
      </c>
    </row>
    <row r="72" spans="1:22" x14ac:dyDescent="0.4">
      <c r="A72" s="7"/>
      <c r="B72" s="46"/>
      <c r="C72" s="24" t="s">
        <v>123</v>
      </c>
      <c r="D72" s="45"/>
      <c r="E72" s="6">
        <v>2</v>
      </c>
      <c r="F72" s="6">
        <v>0</v>
      </c>
      <c r="G72" s="6">
        <v>1</v>
      </c>
      <c r="H72" s="6">
        <v>1</v>
      </c>
      <c r="I72" s="6">
        <v>1</v>
      </c>
      <c r="J72" s="6">
        <v>0</v>
      </c>
      <c r="K72" s="6">
        <v>1</v>
      </c>
      <c r="L72" s="6">
        <v>0</v>
      </c>
      <c r="M72" s="6">
        <v>6</v>
      </c>
      <c r="N72" s="6">
        <v>3</v>
      </c>
      <c r="O72" s="6">
        <v>2</v>
      </c>
      <c r="P72" s="6">
        <v>1</v>
      </c>
      <c r="Q72" s="6">
        <v>0</v>
      </c>
      <c r="R72" s="6">
        <v>3</v>
      </c>
      <c r="S72" s="6">
        <v>1</v>
      </c>
      <c r="T72" s="6">
        <v>5</v>
      </c>
      <c r="U72" s="6">
        <v>1</v>
      </c>
      <c r="V72" s="5">
        <f t="shared" si="36"/>
        <v>28</v>
      </c>
    </row>
    <row r="73" spans="1:22" x14ac:dyDescent="0.4">
      <c r="A73" s="7"/>
      <c r="B73" s="46"/>
      <c r="C73" s="24" t="s">
        <v>124</v>
      </c>
      <c r="D73" s="45"/>
      <c r="E73" s="6">
        <v>21</v>
      </c>
      <c r="F73" s="6">
        <v>10</v>
      </c>
      <c r="G73" s="6">
        <v>6</v>
      </c>
      <c r="H73" s="6">
        <v>4</v>
      </c>
      <c r="I73" s="6">
        <v>19</v>
      </c>
      <c r="J73" s="6">
        <v>5</v>
      </c>
      <c r="K73" s="6">
        <v>3</v>
      </c>
      <c r="L73" s="6">
        <v>1</v>
      </c>
      <c r="M73" s="6">
        <v>8</v>
      </c>
      <c r="N73" s="6">
        <v>4</v>
      </c>
      <c r="O73" s="6">
        <v>9</v>
      </c>
      <c r="P73" s="6">
        <v>2</v>
      </c>
      <c r="Q73" s="6">
        <v>0</v>
      </c>
      <c r="R73" s="6">
        <v>3</v>
      </c>
      <c r="S73" s="6">
        <v>1</v>
      </c>
      <c r="T73" s="6">
        <v>2</v>
      </c>
      <c r="U73" s="6"/>
      <c r="V73" s="5">
        <f t="shared" si="36"/>
        <v>98</v>
      </c>
    </row>
    <row r="74" spans="1:22" ht="13.15" customHeight="1" x14ac:dyDescent="0.4">
      <c r="A74" s="7"/>
      <c r="B74" s="46"/>
      <c r="C74" s="24" t="s">
        <v>125</v>
      </c>
      <c r="D74" s="45"/>
      <c r="E74" s="6">
        <v>0</v>
      </c>
      <c r="F74" s="6">
        <v>1</v>
      </c>
      <c r="G74" s="6">
        <v>1</v>
      </c>
      <c r="H74" s="6">
        <v>0</v>
      </c>
      <c r="I74" s="6">
        <v>0</v>
      </c>
      <c r="J74" s="6">
        <v>1</v>
      </c>
      <c r="K74" s="6">
        <v>0</v>
      </c>
      <c r="L74" s="6">
        <v>0</v>
      </c>
      <c r="M74" s="6">
        <v>1</v>
      </c>
      <c r="N74" s="6">
        <v>1</v>
      </c>
      <c r="O74" s="6">
        <v>1</v>
      </c>
      <c r="P74" s="6">
        <v>1</v>
      </c>
      <c r="Q74" s="6">
        <v>0</v>
      </c>
      <c r="R74" s="6">
        <v>1</v>
      </c>
      <c r="S74" s="6">
        <v>1</v>
      </c>
      <c r="T74" s="6"/>
      <c r="U74" s="6"/>
      <c r="V74" s="5">
        <f t="shared" si="36"/>
        <v>9</v>
      </c>
    </row>
    <row r="75" spans="1:22" x14ac:dyDescent="0.4">
      <c r="A75" s="7"/>
      <c r="B75" s="46"/>
      <c r="C75" s="24" t="s">
        <v>126</v>
      </c>
      <c r="D75" s="45"/>
      <c r="E75" s="6">
        <v>0</v>
      </c>
      <c r="F75" s="6">
        <v>2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2</v>
      </c>
      <c r="Q75" s="6">
        <v>1</v>
      </c>
      <c r="R75" s="6">
        <v>2</v>
      </c>
      <c r="S75" s="6">
        <v>2</v>
      </c>
      <c r="T75" s="6">
        <v>1</v>
      </c>
      <c r="U75" s="6"/>
      <c r="V75" s="5">
        <f t="shared" si="36"/>
        <v>12</v>
      </c>
    </row>
    <row r="76" spans="1:22" x14ac:dyDescent="0.4">
      <c r="A76" s="7"/>
      <c r="B76" s="46"/>
      <c r="C76" s="24" t="s">
        <v>127</v>
      </c>
      <c r="D76" s="45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</v>
      </c>
      <c r="U76" s="6"/>
      <c r="V76" s="5">
        <f t="shared" si="36"/>
        <v>4</v>
      </c>
    </row>
    <row r="77" spans="1:22" x14ac:dyDescent="0.4">
      <c r="A77" s="7"/>
      <c r="B77" s="46"/>
      <c r="C77" s="24" t="s">
        <v>128</v>
      </c>
      <c r="D77" s="45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2</v>
      </c>
      <c r="P77" s="6">
        <v>0</v>
      </c>
      <c r="Q77" s="6">
        <v>0</v>
      </c>
      <c r="R77" s="6">
        <v>0</v>
      </c>
      <c r="S77" s="6">
        <v>0</v>
      </c>
      <c r="T77" s="6"/>
      <c r="U77" s="6"/>
      <c r="V77" s="5">
        <f t="shared" si="36"/>
        <v>2</v>
      </c>
    </row>
    <row r="78" spans="1:22" x14ac:dyDescent="0.4">
      <c r="A78" s="7"/>
      <c r="B78" s="46"/>
      <c r="C78" s="24" t="s">
        <v>129</v>
      </c>
      <c r="D78" s="45"/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2</v>
      </c>
      <c r="P78" s="6">
        <v>1</v>
      </c>
      <c r="Q78" s="6">
        <v>0</v>
      </c>
      <c r="R78" s="6">
        <v>0</v>
      </c>
      <c r="S78" s="6">
        <v>1</v>
      </c>
      <c r="T78" s="6">
        <v>1</v>
      </c>
      <c r="U78" s="6"/>
      <c r="V78" s="5">
        <f t="shared" si="36"/>
        <v>7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37">SUM(E69:E78)</f>
        <v>38</v>
      </c>
      <c r="F79" s="5">
        <f t="shared" si="37"/>
        <v>35</v>
      </c>
      <c r="G79" s="5">
        <f t="shared" si="37"/>
        <v>19</v>
      </c>
      <c r="H79" s="5">
        <f t="shared" si="37"/>
        <v>25</v>
      </c>
      <c r="I79" s="5">
        <f t="shared" si="37"/>
        <v>37</v>
      </c>
      <c r="J79" s="5">
        <f t="shared" si="37"/>
        <v>20</v>
      </c>
      <c r="K79" s="5">
        <f t="shared" si="37"/>
        <v>25</v>
      </c>
      <c r="L79" s="5">
        <f t="shared" si="37"/>
        <v>15</v>
      </c>
      <c r="M79" s="5">
        <f t="shared" si="37"/>
        <v>38</v>
      </c>
      <c r="N79" s="5">
        <f t="shared" ref="N79:P79" si="38">SUM(N69:N78)</f>
        <v>33</v>
      </c>
      <c r="O79" s="5">
        <f t="shared" si="38"/>
        <v>41</v>
      </c>
      <c r="P79" s="5">
        <f t="shared" si="38"/>
        <v>43</v>
      </c>
      <c r="Q79" s="5">
        <f t="shared" si="37"/>
        <v>27</v>
      </c>
      <c r="R79" s="5">
        <f t="shared" si="37"/>
        <v>172</v>
      </c>
      <c r="S79" s="5">
        <f t="shared" ref="S79" si="39">SUM(S69:S78)</f>
        <v>174</v>
      </c>
      <c r="T79" s="5">
        <f t="shared" si="37"/>
        <v>152</v>
      </c>
      <c r="U79" s="5">
        <f t="shared" si="37"/>
        <v>92</v>
      </c>
      <c r="V79" s="5">
        <f t="shared" si="37"/>
        <v>986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33</v>
      </c>
      <c r="C81" s="50" t="s">
        <v>53</v>
      </c>
      <c r="D81" s="51"/>
      <c r="E81" s="6">
        <v>6</v>
      </c>
      <c r="F81" s="6">
        <v>4</v>
      </c>
      <c r="G81" s="6">
        <v>6</v>
      </c>
      <c r="H81" s="6">
        <v>2</v>
      </c>
      <c r="I81" s="6">
        <v>1</v>
      </c>
      <c r="J81" s="6">
        <v>2</v>
      </c>
      <c r="K81" s="6">
        <v>6</v>
      </c>
      <c r="L81" s="6">
        <v>2</v>
      </c>
      <c r="M81" s="6">
        <v>3</v>
      </c>
      <c r="N81" s="6">
        <v>3</v>
      </c>
      <c r="O81" s="6">
        <v>6</v>
      </c>
      <c r="P81" s="6">
        <v>2</v>
      </c>
      <c r="Q81" s="6">
        <v>0</v>
      </c>
      <c r="R81" s="6">
        <v>1</v>
      </c>
      <c r="S81" s="6">
        <v>1</v>
      </c>
      <c r="T81" s="6"/>
      <c r="U81" s="6"/>
      <c r="V81" s="5">
        <f t="shared" ref="V81:V90" si="40">SUM(E81:U81)</f>
        <v>45</v>
      </c>
    </row>
    <row r="82" spans="1:22" x14ac:dyDescent="0.4">
      <c r="A82" s="11" t="s">
        <v>49</v>
      </c>
      <c r="B82" s="46"/>
      <c r="C82" s="24" t="s">
        <v>130</v>
      </c>
      <c r="D82" s="45"/>
      <c r="E82" s="6">
        <v>0</v>
      </c>
      <c r="F82" s="6">
        <v>0</v>
      </c>
      <c r="G82" s="6">
        <v>6</v>
      </c>
      <c r="H82" s="6">
        <v>4</v>
      </c>
      <c r="I82" s="6">
        <v>1</v>
      </c>
      <c r="J82" s="6">
        <v>1</v>
      </c>
      <c r="K82" s="6">
        <v>8</v>
      </c>
      <c r="L82" s="6">
        <v>2</v>
      </c>
      <c r="M82" s="6">
        <v>3</v>
      </c>
      <c r="N82" s="6">
        <v>6</v>
      </c>
      <c r="O82" s="6">
        <v>1</v>
      </c>
      <c r="P82" s="6">
        <v>5</v>
      </c>
      <c r="Q82" s="6">
        <v>0</v>
      </c>
      <c r="R82" s="6">
        <v>0</v>
      </c>
      <c r="S82" s="6">
        <v>2</v>
      </c>
      <c r="T82" s="6"/>
      <c r="U82" s="6"/>
      <c r="V82" s="5">
        <f t="shared" si="40"/>
        <v>39</v>
      </c>
    </row>
    <row r="83" spans="1:22" x14ac:dyDescent="0.4">
      <c r="A83" s="7"/>
      <c r="B83" s="46"/>
      <c r="C83" s="24" t="s">
        <v>131</v>
      </c>
      <c r="D83" s="45"/>
      <c r="E83" s="6">
        <v>0</v>
      </c>
      <c r="F83" s="6">
        <v>1</v>
      </c>
      <c r="G83" s="6">
        <v>0</v>
      </c>
      <c r="H83" s="6">
        <v>0</v>
      </c>
      <c r="I83" s="6">
        <v>1</v>
      </c>
      <c r="J83" s="6">
        <v>1</v>
      </c>
      <c r="K83" s="6">
        <v>2</v>
      </c>
      <c r="L83" s="6">
        <v>2</v>
      </c>
      <c r="M83" s="6">
        <v>0</v>
      </c>
      <c r="N83" s="6">
        <v>1</v>
      </c>
      <c r="O83" s="6">
        <v>1</v>
      </c>
      <c r="P83" s="6">
        <v>0</v>
      </c>
      <c r="Q83" s="6">
        <v>2</v>
      </c>
      <c r="R83" s="6">
        <v>1</v>
      </c>
      <c r="S83" s="6">
        <v>0</v>
      </c>
      <c r="T83" s="6"/>
      <c r="U83" s="6"/>
      <c r="V83" s="5">
        <f t="shared" si="40"/>
        <v>12</v>
      </c>
    </row>
    <row r="84" spans="1:22" x14ac:dyDescent="0.4">
      <c r="A84" s="7"/>
      <c r="B84" s="46"/>
      <c r="C84" s="24" t="s">
        <v>132</v>
      </c>
      <c r="D84" s="45"/>
      <c r="E84" s="6">
        <v>1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2</v>
      </c>
      <c r="R84" s="6">
        <v>0</v>
      </c>
      <c r="S84" s="6">
        <v>1</v>
      </c>
      <c r="T84" s="6"/>
      <c r="U84" s="6"/>
      <c r="V84" s="5">
        <f t="shared" si="40"/>
        <v>6</v>
      </c>
    </row>
    <row r="85" spans="1:22" ht="13.15" customHeight="1" x14ac:dyDescent="0.4">
      <c r="A85" s="7"/>
      <c r="B85" s="46"/>
      <c r="C85" s="24" t="s">
        <v>133</v>
      </c>
      <c r="D85" s="45"/>
      <c r="E85" s="6">
        <v>1</v>
      </c>
      <c r="F85" s="6">
        <v>1</v>
      </c>
      <c r="G85" s="6">
        <v>1</v>
      </c>
      <c r="H85" s="6">
        <v>2</v>
      </c>
      <c r="I85" s="6">
        <v>1</v>
      </c>
      <c r="J85" s="6">
        <v>1</v>
      </c>
      <c r="K85" s="6">
        <v>0</v>
      </c>
      <c r="L85" s="6">
        <v>2</v>
      </c>
      <c r="M85" s="6">
        <v>1</v>
      </c>
      <c r="N85" s="6">
        <v>0</v>
      </c>
      <c r="O85" s="6">
        <v>0</v>
      </c>
      <c r="P85" s="6">
        <v>4</v>
      </c>
      <c r="Q85" s="6">
        <v>1</v>
      </c>
      <c r="R85" s="6">
        <v>1</v>
      </c>
      <c r="S85" s="6">
        <v>1</v>
      </c>
      <c r="T85" s="6"/>
      <c r="U85" s="6"/>
      <c r="V85" s="5">
        <f t="shared" si="40"/>
        <v>17</v>
      </c>
    </row>
    <row r="86" spans="1:22" x14ac:dyDescent="0.4">
      <c r="A86" s="7"/>
      <c r="B86" s="46"/>
      <c r="C86" s="24" t="s">
        <v>134</v>
      </c>
      <c r="D86" s="45"/>
      <c r="E86" s="6">
        <v>1</v>
      </c>
      <c r="F86" s="6">
        <v>0</v>
      </c>
      <c r="G86" s="6">
        <v>0</v>
      </c>
      <c r="H86" s="6">
        <v>0</v>
      </c>
      <c r="I86" s="6">
        <v>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1</v>
      </c>
      <c r="R86" s="6">
        <v>0</v>
      </c>
      <c r="S86" s="6">
        <v>0</v>
      </c>
      <c r="T86" s="6"/>
      <c r="U86" s="6"/>
      <c r="V86" s="5">
        <f t="shared" si="40"/>
        <v>6</v>
      </c>
    </row>
    <row r="87" spans="1:22" x14ac:dyDescent="0.4">
      <c r="A87" s="7"/>
      <c r="B87" s="46"/>
      <c r="C87" s="24" t="s">
        <v>135</v>
      </c>
      <c r="D87" s="45"/>
      <c r="E87" s="6">
        <v>0</v>
      </c>
      <c r="F87" s="6">
        <v>0</v>
      </c>
      <c r="G87" s="6">
        <v>1</v>
      </c>
      <c r="H87" s="6">
        <v>0</v>
      </c>
      <c r="I87" s="6">
        <v>2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/>
      <c r="U87" s="6"/>
      <c r="V87" s="5">
        <f t="shared" si="40"/>
        <v>4</v>
      </c>
    </row>
    <row r="88" spans="1:22" x14ac:dyDescent="0.4">
      <c r="A88" s="7"/>
      <c r="B88" s="46"/>
      <c r="C88" s="24" t="s">
        <v>136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0</v>
      </c>
      <c r="T88" s="6"/>
      <c r="U88" s="6"/>
      <c r="V88" s="5">
        <f t="shared" si="40"/>
        <v>1</v>
      </c>
    </row>
    <row r="89" spans="1:22" x14ac:dyDescent="0.4">
      <c r="A89" s="7"/>
      <c r="B89" s="46"/>
      <c r="C89" s="24" t="s">
        <v>137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/>
      <c r="V89" s="5">
        <f t="shared" si="40"/>
        <v>1</v>
      </c>
    </row>
    <row r="90" spans="1:22" x14ac:dyDescent="0.4">
      <c r="A90" s="7"/>
      <c r="B90" s="46"/>
      <c r="C90" s="24" t="s">
        <v>138</v>
      </c>
      <c r="D90" s="45"/>
      <c r="E90" s="6">
        <v>0</v>
      </c>
      <c r="F90" s="6">
        <v>0</v>
      </c>
      <c r="G90" s="6">
        <v>0</v>
      </c>
      <c r="H90" s="6">
        <v>1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/>
      <c r="U90" s="6"/>
      <c r="V90" s="5">
        <f t="shared" si="40"/>
        <v>3</v>
      </c>
    </row>
    <row r="91" spans="1:22" x14ac:dyDescent="0.4">
      <c r="A91" s="6" t="s">
        <v>25</v>
      </c>
      <c r="B91" s="52" t="s">
        <v>50</v>
      </c>
      <c r="C91" s="68"/>
      <c r="D91" s="51"/>
      <c r="E91" s="5">
        <f t="shared" ref="E91:V91" si="41">SUM(E81:E90)</f>
        <v>9</v>
      </c>
      <c r="F91" s="5">
        <f t="shared" si="41"/>
        <v>6</v>
      </c>
      <c r="G91" s="5">
        <f t="shared" si="41"/>
        <v>15</v>
      </c>
      <c r="H91" s="5">
        <f t="shared" si="41"/>
        <v>9</v>
      </c>
      <c r="I91" s="5">
        <f t="shared" si="41"/>
        <v>10</v>
      </c>
      <c r="J91" s="5">
        <f t="shared" si="41"/>
        <v>5</v>
      </c>
      <c r="K91" s="5">
        <f t="shared" si="41"/>
        <v>16</v>
      </c>
      <c r="L91" s="5">
        <f t="shared" si="41"/>
        <v>9</v>
      </c>
      <c r="M91" s="5">
        <f t="shared" si="41"/>
        <v>7</v>
      </c>
      <c r="N91" s="5">
        <f t="shared" ref="N91:P91" si="42">SUM(N81:N90)</f>
        <v>10</v>
      </c>
      <c r="O91" s="5">
        <f t="shared" si="42"/>
        <v>11</v>
      </c>
      <c r="P91" s="5">
        <f t="shared" si="42"/>
        <v>11</v>
      </c>
      <c r="Q91" s="5">
        <f t="shared" si="41"/>
        <v>6</v>
      </c>
      <c r="R91" s="5">
        <f t="shared" si="41"/>
        <v>4</v>
      </c>
      <c r="S91" s="5">
        <f t="shared" ref="S91" si="43">SUM(S81:S90)</f>
        <v>5</v>
      </c>
      <c r="T91" s="5">
        <f t="shared" si="41"/>
        <v>1</v>
      </c>
      <c r="U91" s="5">
        <f t="shared" si="41"/>
        <v>0</v>
      </c>
      <c r="V91" s="5">
        <f t="shared" si="41"/>
        <v>134</v>
      </c>
    </row>
    <row r="92" spans="1:22" x14ac:dyDescent="0.4">
      <c r="A92" s="69"/>
      <c r="B92" s="70"/>
      <c r="C92" s="70"/>
      <c r="D92" s="70"/>
      <c r="E92" s="70"/>
    </row>
    <row r="93" spans="1:22" x14ac:dyDescent="0.4">
      <c r="A93" s="11" t="s">
        <v>47</v>
      </c>
      <c r="B93" s="17" t="s">
        <v>54</v>
      </c>
      <c r="C93" s="50" t="s">
        <v>55</v>
      </c>
      <c r="D93" s="51"/>
      <c r="E93" s="6">
        <v>2</v>
      </c>
      <c r="F93" s="6">
        <v>1</v>
      </c>
      <c r="G93" s="6">
        <v>6</v>
      </c>
      <c r="H93" s="6">
        <v>4</v>
      </c>
      <c r="I93" s="6">
        <v>5</v>
      </c>
      <c r="J93" s="6">
        <v>1</v>
      </c>
      <c r="K93" s="6">
        <v>3</v>
      </c>
      <c r="L93" s="6">
        <v>0</v>
      </c>
      <c r="M93" s="6">
        <v>1</v>
      </c>
      <c r="N93" s="6">
        <v>2</v>
      </c>
      <c r="O93" s="6">
        <v>2</v>
      </c>
      <c r="P93" s="6">
        <v>2</v>
      </c>
      <c r="Q93" s="6">
        <v>1</v>
      </c>
      <c r="R93" s="6">
        <v>0</v>
      </c>
      <c r="S93" s="6">
        <v>1</v>
      </c>
      <c r="T93" s="6">
        <v>1</v>
      </c>
      <c r="U93" s="6">
        <v>1</v>
      </c>
      <c r="V93" s="5">
        <f t="shared" ref="V93:V102" si="44">SUM(E93:U93)</f>
        <v>33</v>
      </c>
    </row>
    <row r="94" spans="1:22" x14ac:dyDescent="0.4">
      <c r="A94" s="11" t="s">
        <v>49</v>
      </c>
      <c r="B94" s="46"/>
      <c r="C94" s="24" t="s">
        <v>139</v>
      </c>
      <c r="D94" s="47"/>
      <c r="E94" s="6">
        <v>2</v>
      </c>
      <c r="F94" s="6">
        <v>4</v>
      </c>
      <c r="G94" s="6">
        <v>2</v>
      </c>
      <c r="H94" s="6">
        <v>4</v>
      </c>
      <c r="I94" s="6">
        <v>1</v>
      </c>
      <c r="J94" s="6">
        <v>0</v>
      </c>
      <c r="K94" s="6">
        <v>2</v>
      </c>
      <c r="L94" s="6">
        <v>1</v>
      </c>
      <c r="M94" s="6">
        <v>5</v>
      </c>
      <c r="N94" s="6">
        <v>6</v>
      </c>
      <c r="O94" s="6">
        <v>5</v>
      </c>
      <c r="P94" s="6">
        <v>1</v>
      </c>
      <c r="Q94" s="6">
        <v>0</v>
      </c>
      <c r="R94" s="6">
        <v>0</v>
      </c>
      <c r="S94" s="6">
        <v>2</v>
      </c>
      <c r="T94" s="6">
        <v>2</v>
      </c>
      <c r="U94" s="6">
        <v>3</v>
      </c>
      <c r="V94" s="5">
        <f t="shared" si="44"/>
        <v>40</v>
      </c>
    </row>
    <row r="95" spans="1:22" x14ac:dyDescent="0.4">
      <c r="A95" s="7"/>
      <c r="B95" s="46"/>
      <c r="C95" s="24" t="s">
        <v>140</v>
      </c>
      <c r="D95" s="47"/>
      <c r="E95" s="6">
        <v>0</v>
      </c>
      <c r="F95" s="6">
        <v>1</v>
      </c>
      <c r="G95" s="6">
        <v>1</v>
      </c>
      <c r="H95" s="6">
        <v>0</v>
      </c>
      <c r="I95" s="6">
        <v>2</v>
      </c>
      <c r="J95" s="6">
        <v>2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/>
      <c r="U95" s="6"/>
      <c r="V95" s="5">
        <f t="shared" si="44"/>
        <v>6</v>
      </c>
    </row>
    <row r="96" spans="1:22" ht="13.15" customHeight="1" x14ac:dyDescent="0.4">
      <c r="A96" s="7"/>
      <c r="B96" s="46"/>
      <c r="C96" s="24" t="s">
        <v>141</v>
      </c>
      <c r="D96" s="47"/>
      <c r="E96" s="6">
        <v>0</v>
      </c>
      <c r="F96" s="6">
        <v>1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1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/>
      <c r="U96" s="6"/>
      <c r="V96" s="5">
        <f t="shared" si="44"/>
        <v>4</v>
      </c>
    </row>
    <row r="97" spans="1:22" x14ac:dyDescent="0.4">
      <c r="A97" s="7"/>
      <c r="B97" s="46"/>
      <c r="C97" s="24" t="s">
        <v>142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/>
      <c r="V97" s="5">
        <f t="shared" si="44"/>
        <v>0</v>
      </c>
    </row>
    <row r="98" spans="1:22" x14ac:dyDescent="0.4">
      <c r="A98" s="7"/>
      <c r="B98" s="46"/>
      <c r="C98" s="24" t="s">
        <v>143</v>
      </c>
      <c r="D98" s="45"/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0</v>
      </c>
      <c r="T98" s="6"/>
      <c r="U98" s="6"/>
      <c r="V98" s="5">
        <f t="shared" si="44"/>
        <v>3</v>
      </c>
    </row>
    <row r="99" spans="1:22" x14ac:dyDescent="0.4">
      <c r="A99" s="7"/>
      <c r="B99" s="46"/>
      <c r="C99" s="24" t="s">
        <v>144</v>
      </c>
      <c r="D99" s="45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/>
      <c r="U99" s="6"/>
      <c r="V99" s="5">
        <f t="shared" si="44"/>
        <v>0</v>
      </c>
    </row>
    <row r="100" spans="1:22" x14ac:dyDescent="0.4">
      <c r="A100" s="7"/>
      <c r="B100" s="46"/>
      <c r="C100" s="24" t="s">
        <v>145</v>
      </c>
      <c r="D100" s="47"/>
      <c r="E100" s="6">
        <v>0</v>
      </c>
      <c r="F100" s="6">
        <v>1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6"/>
      <c r="V100" s="5">
        <f t="shared" si="44"/>
        <v>2</v>
      </c>
    </row>
    <row r="101" spans="1:22" x14ac:dyDescent="0.4">
      <c r="A101" s="7"/>
      <c r="B101" s="46"/>
      <c r="C101" s="24" t="s">
        <v>146</v>
      </c>
      <c r="D101" s="47"/>
      <c r="E101" s="6">
        <v>1</v>
      </c>
      <c r="F101" s="6">
        <v>0</v>
      </c>
      <c r="G101" s="6">
        <v>0</v>
      </c>
      <c r="H101" s="6">
        <v>1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/>
      <c r="U101" s="6"/>
      <c r="V101" s="5">
        <f t="shared" si="44"/>
        <v>3</v>
      </c>
    </row>
    <row r="102" spans="1:22" x14ac:dyDescent="0.4">
      <c r="A102" s="7"/>
      <c r="B102" s="46"/>
      <c r="C102" s="24" t="s">
        <v>147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/>
      <c r="V102" s="5">
        <f t="shared" si="44"/>
        <v>0</v>
      </c>
    </row>
    <row r="103" spans="1:22" x14ac:dyDescent="0.4">
      <c r="A103" s="6" t="s">
        <v>25</v>
      </c>
      <c r="B103" s="52" t="s">
        <v>50</v>
      </c>
      <c r="C103" s="68"/>
      <c r="D103" s="51"/>
      <c r="E103" s="5">
        <f t="shared" ref="E103:V103" si="45">SUM(E93:E102)</f>
        <v>6</v>
      </c>
      <c r="F103" s="5">
        <f t="shared" si="45"/>
        <v>8</v>
      </c>
      <c r="G103" s="5">
        <f t="shared" si="45"/>
        <v>10</v>
      </c>
      <c r="H103" s="5">
        <f t="shared" si="45"/>
        <v>9</v>
      </c>
      <c r="I103" s="5">
        <f t="shared" si="45"/>
        <v>9</v>
      </c>
      <c r="J103" s="5">
        <f t="shared" si="45"/>
        <v>3</v>
      </c>
      <c r="K103" s="5">
        <f t="shared" si="45"/>
        <v>6</v>
      </c>
      <c r="L103" s="5">
        <f t="shared" si="45"/>
        <v>1</v>
      </c>
      <c r="M103" s="5">
        <f t="shared" si="45"/>
        <v>8</v>
      </c>
      <c r="N103" s="5">
        <f t="shared" ref="N103:P103" si="46">SUM(N93:N102)</f>
        <v>9</v>
      </c>
      <c r="O103" s="5">
        <f t="shared" si="46"/>
        <v>7</v>
      </c>
      <c r="P103" s="5">
        <f t="shared" si="46"/>
        <v>3</v>
      </c>
      <c r="Q103" s="5">
        <f t="shared" si="45"/>
        <v>1</v>
      </c>
      <c r="R103" s="5">
        <f t="shared" si="45"/>
        <v>1</v>
      </c>
      <c r="S103" s="5">
        <f t="shared" ref="S103" si="47">SUM(S93:S102)</f>
        <v>3</v>
      </c>
      <c r="T103" s="5">
        <f t="shared" si="45"/>
        <v>3</v>
      </c>
      <c r="U103" s="5">
        <f t="shared" si="45"/>
        <v>4</v>
      </c>
      <c r="V103" s="5">
        <f t="shared" si="45"/>
        <v>91</v>
      </c>
    </row>
    <row r="104" spans="1:22" x14ac:dyDescent="0.4">
      <c r="A104" s="69"/>
      <c r="B104" s="70"/>
      <c r="C104" s="70"/>
      <c r="D104" s="70"/>
      <c r="E104" s="7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x14ac:dyDescent="0.4">
      <c r="A105" s="11" t="s">
        <v>47</v>
      </c>
      <c r="B105" s="17" t="s">
        <v>56</v>
      </c>
      <c r="C105" s="50" t="s">
        <v>57</v>
      </c>
      <c r="D105" s="51"/>
      <c r="E105" s="6">
        <v>0</v>
      </c>
      <c r="F105" s="6">
        <v>1</v>
      </c>
      <c r="G105" s="6">
        <v>0</v>
      </c>
      <c r="H105" s="6">
        <v>1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2</v>
      </c>
      <c r="R105" s="6">
        <v>0</v>
      </c>
      <c r="S105" s="6">
        <v>0</v>
      </c>
      <c r="T105" s="6"/>
      <c r="U105" s="6"/>
      <c r="V105" s="5">
        <f t="shared" ref="V105:V107" si="48">SUM(E105:U105)</f>
        <v>6</v>
      </c>
    </row>
    <row r="106" spans="1:22" x14ac:dyDescent="0.4">
      <c r="A106" s="11" t="s">
        <v>49</v>
      </c>
      <c r="B106" s="46"/>
      <c r="C106" s="24" t="s">
        <v>148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/>
      <c r="U106" s="6"/>
      <c r="V106" s="5">
        <f t="shared" si="48"/>
        <v>3</v>
      </c>
    </row>
    <row r="107" spans="1:22" ht="13.15" customHeight="1" x14ac:dyDescent="0.4">
      <c r="A107" s="7"/>
      <c r="B107" s="46"/>
      <c r="C107" s="24" t="s">
        <v>149</v>
      </c>
      <c r="D107" s="45"/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/>
      <c r="U107" s="6"/>
      <c r="V107" s="5">
        <f t="shared" si="48"/>
        <v>1</v>
      </c>
    </row>
    <row r="108" spans="1:22" ht="13.15" customHeight="1" x14ac:dyDescent="0.4">
      <c r="A108" s="6" t="s">
        <v>25</v>
      </c>
      <c r="B108" s="52" t="s">
        <v>50</v>
      </c>
      <c r="C108" s="53"/>
      <c r="D108" s="54"/>
      <c r="E108" s="5">
        <f t="shared" ref="E108:V108" si="49">SUM(E105:E107)</f>
        <v>0</v>
      </c>
      <c r="F108" s="5">
        <f t="shared" si="49"/>
        <v>2</v>
      </c>
      <c r="G108" s="5">
        <f t="shared" si="49"/>
        <v>0</v>
      </c>
      <c r="H108" s="5">
        <f t="shared" si="49"/>
        <v>1</v>
      </c>
      <c r="I108" s="5">
        <f t="shared" si="49"/>
        <v>1</v>
      </c>
      <c r="J108" s="5">
        <f t="shared" si="49"/>
        <v>2</v>
      </c>
      <c r="K108" s="5">
        <f t="shared" si="49"/>
        <v>0</v>
      </c>
      <c r="L108" s="5">
        <f t="shared" si="49"/>
        <v>0</v>
      </c>
      <c r="M108" s="5">
        <f t="shared" si="49"/>
        <v>0</v>
      </c>
      <c r="N108" s="5">
        <f t="shared" si="49"/>
        <v>1</v>
      </c>
      <c r="O108" s="5">
        <f t="shared" si="49"/>
        <v>0</v>
      </c>
      <c r="P108" s="5">
        <f t="shared" si="49"/>
        <v>1</v>
      </c>
      <c r="Q108" s="5">
        <f t="shared" si="49"/>
        <v>2</v>
      </c>
      <c r="R108" s="5">
        <f t="shared" si="49"/>
        <v>0</v>
      </c>
      <c r="S108" s="5">
        <f t="shared" si="49"/>
        <v>0</v>
      </c>
      <c r="T108" s="5">
        <f t="shared" si="49"/>
        <v>0</v>
      </c>
      <c r="U108" s="5">
        <f t="shared" si="49"/>
        <v>0</v>
      </c>
      <c r="V108" s="5">
        <f t="shared" si="49"/>
        <v>10</v>
      </c>
    </row>
    <row r="109" spans="1:22" x14ac:dyDescent="0.4">
      <c r="A109" s="55"/>
      <c r="B109" s="56"/>
      <c r="C109" s="56"/>
      <c r="D109" s="56"/>
      <c r="E109" s="5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5"/>
    </row>
    <row r="110" spans="1:22" x14ac:dyDescent="0.4">
      <c r="A110" s="11" t="s">
        <v>47</v>
      </c>
      <c r="B110" s="17" t="s">
        <v>58</v>
      </c>
      <c r="C110" s="50" t="s">
        <v>59</v>
      </c>
      <c r="D110" s="51"/>
      <c r="E110" s="6">
        <v>0</v>
      </c>
      <c r="F110" s="6">
        <v>2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1</v>
      </c>
      <c r="N110" s="6">
        <v>1</v>
      </c>
      <c r="O110" s="6">
        <v>3</v>
      </c>
      <c r="P110" s="6">
        <v>0</v>
      </c>
      <c r="Q110" s="6">
        <v>0</v>
      </c>
      <c r="R110" s="6">
        <v>0</v>
      </c>
      <c r="S110" s="6">
        <v>0</v>
      </c>
      <c r="T110" s="6"/>
      <c r="U110" s="6"/>
      <c r="V110" s="5">
        <f t="shared" ref="V110:V115" si="50">SUM(E110:U110)</f>
        <v>8</v>
      </c>
    </row>
    <row r="111" spans="1:22" x14ac:dyDescent="0.4">
      <c r="A111" s="11" t="s">
        <v>49</v>
      </c>
      <c r="B111" s="46"/>
      <c r="C111" s="24" t="s">
        <v>150</v>
      </c>
      <c r="D111" s="45"/>
      <c r="E111" s="6">
        <v>1</v>
      </c>
      <c r="F111" s="6">
        <v>1</v>
      </c>
      <c r="G111" s="6">
        <v>0</v>
      </c>
      <c r="H111" s="6">
        <v>0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/>
      <c r="V111" s="5">
        <f t="shared" si="50"/>
        <v>4</v>
      </c>
    </row>
    <row r="112" spans="1:22" x14ac:dyDescent="0.4">
      <c r="A112" s="7"/>
      <c r="B112" s="46"/>
      <c r="C112" s="24" t="s">
        <v>151</v>
      </c>
      <c r="D112" s="45"/>
      <c r="E112" s="6">
        <v>0</v>
      </c>
      <c r="F112" s="6">
        <v>0</v>
      </c>
      <c r="G112" s="6">
        <v>0</v>
      </c>
      <c r="H112" s="6">
        <v>1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50"/>
        <v>2</v>
      </c>
    </row>
    <row r="113" spans="1:22" x14ac:dyDescent="0.4">
      <c r="A113" s="7"/>
      <c r="B113" s="46"/>
      <c r="C113" s="24" t="s">
        <v>152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6"/>
      <c r="V113" s="5">
        <f t="shared" si="50"/>
        <v>0</v>
      </c>
    </row>
    <row r="114" spans="1:22" x14ac:dyDescent="0.4">
      <c r="A114" s="7"/>
      <c r="B114" s="46"/>
      <c r="C114" s="24" t="s">
        <v>153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1</v>
      </c>
      <c r="T114" s="6"/>
      <c r="U114" s="6"/>
      <c r="V114" s="5">
        <f t="shared" si="50"/>
        <v>1</v>
      </c>
    </row>
    <row r="115" spans="1:22" x14ac:dyDescent="0.4">
      <c r="A115" s="7"/>
      <c r="B115" s="46"/>
      <c r="C115" s="24" t="s">
        <v>154</v>
      </c>
      <c r="D115" s="45"/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6"/>
      <c r="V115" s="5">
        <f t="shared" si="50"/>
        <v>1</v>
      </c>
    </row>
    <row r="116" spans="1:22" x14ac:dyDescent="0.4">
      <c r="A116" s="6" t="s">
        <v>25</v>
      </c>
      <c r="B116" s="52" t="s">
        <v>50</v>
      </c>
      <c r="C116" s="53"/>
      <c r="D116" s="54"/>
      <c r="E116" s="5">
        <f t="shared" ref="E116:V116" si="51">SUM(E110:E115)</f>
        <v>2</v>
      </c>
      <c r="F116" s="5">
        <f t="shared" si="51"/>
        <v>3</v>
      </c>
      <c r="G116" s="5">
        <f t="shared" si="51"/>
        <v>0</v>
      </c>
      <c r="H116" s="5">
        <f t="shared" si="51"/>
        <v>1</v>
      </c>
      <c r="I116" s="5">
        <f t="shared" si="51"/>
        <v>1</v>
      </c>
      <c r="J116" s="5">
        <f t="shared" si="51"/>
        <v>1</v>
      </c>
      <c r="K116" s="5">
        <f t="shared" si="51"/>
        <v>2</v>
      </c>
      <c r="L116" s="5">
        <f t="shared" si="51"/>
        <v>0</v>
      </c>
      <c r="M116" s="5">
        <f t="shared" si="51"/>
        <v>1</v>
      </c>
      <c r="N116" s="5">
        <f t="shared" si="51"/>
        <v>1</v>
      </c>
      <c r="O116" s="5">
        <f t="shared" si="51"/>
        <v>3</v>
      </c>
      <c r="P116" s="5">
        <f t="shared" si="51"/>
        <v>0</v>
      </c>
      <c r="Q116" s="5">
        <f t="shared" si="51"/>
        <v>0</v>
      </c>
      <c r="R116" s="5">
        <f t="shared" si="51"/>
        <v>0</v>
      </c>
      <c r="S116" s="5">
        <f t="shared" si="51"/>
        <v>1</v>
      </c>
      <c r="T116" s="5">
        <f t="shared" si="51"/>
        <v>0</v>
      </c>
      <c r="U116" s="5">
        <f t="shared" si="51"/>
        <v>0</v>
      </c>
      <c r="V116" s="5">
        <f t="shared" si="51"/>
        <v>16</v>
      </c>
    </row>
    <row r="117" spans="1:22" x14ac:dyDescent="0.4">
      <c r="A117" s="55"/>
      <c r="B117" s="56"/>
      <c r="C117" s="56"/>
      <c r="D117" s="56"/>
      <c r="E117" s="5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 x14ac:dyDescent="0.4">
      <c r="A118" s="11" t="s">
        <v>47</v>
      </c>
      <c r="B118" s="17" t="s">
        <v>60</v>
      </c>
      <c r="C118" s="50" t="s">
        <v>61</v>
      </c>
      <c r="D118" s="51"/>
      <c r="E118" s="6">
        <v>2</v>
      </c>
      <c r="F118" s="6">
        <v>3</v>
      </c>
      <c r="G118" s="6">
        <v>1</v>
      </c>
      <c r="H118" s="6">
        <v>4</v>
      </c>
      <c r="I118" s="6">
        <v>3</v>
      </c>
      <c r="J118" s="6">
        <v>2</v>
      </c>
      <c r="K118" s="6">
        <v>2</v>
      </c>
      <c r="L118" s="6">
        <v>4</v>
      </c>
      <c r="M118" s="6">
        <v>0</v>
      </c>
      <c r="N118" s="6">
        <v>5</v>
      </c>
      <c r="O118" s="6">
        <v>1</v>
      </c>
      <c r="P118" s="6">
        <v>6</v>
      </c>
      <c r="Q118" s="6">
        <v>2</v>
      </c>
      <c r="R118" s="6">
        <v>0</v>
      </c>
      <c r="S118" s="6">
        <v>1</v>
      </c>
      <c r="T118" s="6"/>
      <c r="U118" s="6"/>
      <c r="V118" s="5">
        <f t="shared" ref="V118:V127" si="52">SUM(E118:U118)</f>
        <v>36</v>
      </c>
    </row>
    <row r="119" spans="1:22" ht="13.15" customHeight="1" x14ac:dyDescent="0.4">
      <c r="A119" s="11" t="s">
        <v>49</v>
      </c>
      <c r="B119" s="46"/>
      <c r="C119" s="24" t="s">
        <v>155</v>
      </c>
      <c r="D119" s="45"/>
      <c r="E119" s="6">
        <v>1</v>
      </c>
      <c r="F119" s="6">
        <v>2</v>
      </c>
      <c r="G119" s="6">
        <v>5</v>
      </c>
      <c r="H119" s="6">
        <v>3</v>
      </c>
      <c r="I119" s="6">
        <v>5</v>
      </c>
      <c r="J119" s="6">
        <v>3</v>
      </c>
      <c r="K119" s="6">
        <v>6</v>
      </c>
      <c r="L119" s="6">
        <v>7</v>
      </c>
      <c r="M119" s="6">
        <v>3</v>
      </c>
      <c r="N119" s="6">
        <v>1</v>
      </c>
      <c r="O119" s="6">
        <v>2</v>
      </c>
      <c r="P119" s="6">
        <v>3</v>
      </c>
      <c r="Q119" s="6">
        <v>7</v>
      </c>
      <c r="R119" s="6">
        <v>0</v>
      </c>
      <c r="S119" s="6">
        <v>0</v>
      </c>
      <c r="T119" s="6"/>
      <c r="U119" s="6"/>
      <c r="V119" s="5">
        <f t="shared" si="52"/>
        <v>48</v>
      </c>
    </row>
    <row r="120" spans="1:22" x14ac:dyDescent="0.4">
      <c r="A120" s="7"/>
      <c r="B120" s="46"/>
      <c r="C120" s="24" t="s">
        <v>156</v>
      </c>
      <c r="D120" s="45"/>
      <c r="E120" s="6">
        <v>1</v>
      </c>
      <c r="F120" s="6">
        <v>2</v>
      </c>
      <c r="G120" s="6">
        <v>0</v>
      </c>
      <c r="H120" s="6">
        <v>0</v>
      </c>
      <c r="I120" s="6">
        <v>1</v>
      </c>
      <c r="J120" s="6">
        <v>0</v>
      </c>
      <c r="K120" s="6">
        <v>2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/>
      <c r="V120" s="5">
        <f t="shared" si="52"/>
        <v>6</v>
      </c>
    </row>
    <row r="121" spans="1:22" x14ac:dyDescent="0.4">
      <c r="A121" s="7"/>
      <c r="B121" s="46"/>
      <c r="C121" s="24" t="s">
        <v>157</v>
      </c>
      <c r="D121" s="45"/>
      <c r="E121" s="6">
        <v>2</v>
      </c>
      <c r="F121" s="6">
        <v>0</v>
      </c>
      <c r="G121" s="6">
        <v>1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/>
      <c r="V121" s="5">
        <f t="shared" si="52"/>
        <v>4</v>
      </c>
    </row>
    <row r="122" spans="1:22" x14ac:dyDescent="0.4">
      <c r="A122" s="7"/>
      <c r="B122" s="46"/>
      <c r="C122" s="24" t="s">
        <v>158</v>
      </c>
      <c r="D122" s="45"/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6">
        <v>0</v>
      </c>
      <c r="T122" s="6"/>
      <c r="U122" s="6"/>
      <c r="V122" s="5">
        <f t="shared" si="52"/>
        <v>2</v>
      </c>
    </row>
    <row r="123" spans="1:22" x14ac:dyDescent="0.4">
      <c r="A123" s="7"/>
      <c r="B123" s="46"/>
      <c r="C123" s="24" t="s">
        <v>159</v>
      </c>
      <c r="D123" s="45"/>
      <c r="E123" s="6">
        <v>0</v>
      </c>
      <c r="F123" s="6">
        <v>0</v>
      </c>
      <c r="G123" s="6">
        <v>2</v>
      </c>
      <c r="H123" s="6">
        <v>4</v>
      </c>
      <c r="I123" s="6">
        <v>0</v>
      </c>
      <c r="J123" s="6">
        <v>2</v>
      </c>
      <c r="K123" s="6">
        <v>1</v>
      </c>
      <c r="L123" s="6">
        <v>0</v>
      </c>
      <c r="M123" s="6">
        <v>0</v>
      </c>
      <c r="N123" s="6">
        <v>1</v>
      </c>
      <c r="O123" s="6">
        <v>1</v>
      </c>
      <c r="P123" s="6">
        <v>2</v>
      </c>
      <c r="Q123" s="6">
        <v>1</v>
      </c>
      <c r="R123" s="6">
        <v>0</v>
      </c>
      <c r="S123" s="6">
        <v>0</v>
      </c>
      <c r="T123" s="6"/>
      <c r="U123" s="6"/>
      <c r="V123" s="5">
        <f t="shared" si="52"/>
        <v>14</v>
      </c>
    </row>
    <row r="124" spans="1:22" x14ac:dyDescent="0.4">
      <c r="A124" s="7"/>
      <c r="B124" s="46"/>
      <c r="C124" s="24" t="s">
        <v>160</v>
      </c>
      <c r="D124" s="45"/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1</v>
      </c>
      <c r="Q124" s="6">
        <v>0</v>
      </c>
      <c r="R124" s="6">
        <v>0</v>
      </c>
      <c r="S124" s="6">
        <v>1</v>
      </c>
      <c r="T124" s="6"/>
      <c r="U124" s="6"/>
      <c r="V124" s="5">
        <f t="shared" si="52"/>
        <v>3</v>
      </c>
    </row>
    <row r="125" spans="1:22" x14ac:dyDescent="0.4">
      <c r="A125" s="7"/>
      <c r="B125" s="46"/>
      <c r="C125" s="24" t="s">
        <v>161</v>
      </c>
      <c r="D125" s="45"/>
      <c r="E125" s="6">
        <v>1</v>
      </c>
      <c r="F125" s="6">
        <v>1</v>
      </c>
      <c r="G125" s="6">
        <v>0</v>
      </c>
      <c r="H125" s="6">
        <v>0</v>
      </c>
      <c r="I125" s="6">
        <v>1</v>
      </c>
      <c r="J125" s="6">
        <v>0</v>
      </c>
      <c r="K125" s="6">
        <v>0</v>
      </c>
      <c r="L125" s="6">
        <v>1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/>
      <c r="U125" s="6"/>
      <c r="V125" s="5">
        <f t="shared" si="52"/>
        <v>4</v>
      </c>
    </row>
    <row r="126" spans="1:22" x14ac:dyDescent="0.4">
      <c r="A126" s="7"/>
      <c r="B126" s="46"/>
      <c r="C126" s="24" t="s">
        <v>162</v>
      </c>
      <c r="D126" s="45"/>
      <c r="E126" s="6">
        <v>0</v>
      </c>
      <c r="F126" s="6">
        <v>0</v>
      </c>
      <c r="G126" s="6">
        <v>1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</v>
      </c>
      <c r="U126" s="6"/>
      <c r="V126" s="5">
        <f t="shared" si="52"/>
        <v>3</v>
      </c>
    </row>
    <row r="127" spans="1:22" x14ac:dyDescent="0.4">
      <c r="A127" s="7"/>
      <c r="B127" s="46"/>
      <c r="C127" s="24" t="s">
        <v>163</v>
      </c>
      <c r="D127" s="45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/>
      <c r="U127" s="6"/>
      <c r="V127" s="5">
        <f t="shared" si="52"/>
        <v>0</v>
      </c>
    </row>
    <row r="128" spans="1:22" x14ac:dyDescent="0.4">
      <c r="A128" s="6" t="s">
        <v>25</v>
      </c>
      <c r="B128" s="52" t="s">
        <v>50</v>
      </c>
      <c r="C128" s="53"/>
      <c r="D128" s="54"/>
      <c r="E128" s="5">
        <f t="shared" ref="E128:V128" si="53">SUM(E118:E127)</f>
        <v>8</v>
      </c>
      <c r="F128" s="5">
        <f t="shared" si="53"/>
        <v>9</v>
      </c>
      <c r="G128" s="5">
        <f t="shared" si="53"/>
        <v>10</v>
      </c>
      <c r="H128" s="5">
        <f t="shared" si="53"/>
        <v>13</v>
      </c>
      <c r="I128" s="5">
        <f t="shared" si="53"/>
        <v>10</v>
      </c>
      <c r="J128" s="5">
        <f t="shared" si="53"/>
        <v>7</v>
      </c>
      <c r="K128" s="5">
        <f t="shared" si="53"/>
        <v>11</v>
      </c>
      <c r="L128" s="5">
        <f t="shared" si="53"/>
        <v>12</v>
      </c>
      <c r="M128" s="5">
        <f t="shared" si="53"/>
        <v>3</v>
      </c>
      <c r="N128" s="5">
        <f t="shared" ref="N128:P128" si="54">SUM(N118:N127)</f>
        <v>7</v>
      </c>
      <c r="O128" s="5">
        <f t="shared" si="54"/>
        <v>4</v>
      </c>
      <c r="P128" s="5">
        <f t="shared" si="54"/>
        <v>13</v>
      </c>
      <c r="Q128" s="5">
        <f t="shared" si="53"/>
        <v>10</v>
      </c>
      <c r="R128" s="5">
        <f t="shared" si="53"/>
        <v>0</v>
      </c>
      <c r="S128" s="5">
        <f t="shared" ref="S128" si="55">SUM(S118:S127)</f>
        <v>2</v>
      </c>
      <c r="T128" s="5">
        <f t="shared" si="53"/>
        <v>1</v>
      </c>
      <c r="U128" s="5">
        <f t="shared" si="53"/>
        <v>0</v>
      </c>
      <c r="V128" s="5">
        <f t="shared" si="53"/>
        <v>120</v>
      </c>
    </row>
    <row r="129" spans="1:22" x14ac:dyDescent="0.4">
      <c r="A129" s="55"/>
      <c r="B129" s="56"/>
      <c r="C129" s="56"/>
      <c r="D129" s="56"/>
      <c r="E129" s="5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3.15" customHeight="1" x14ac:dyDescent="0.4">
      <c r="A130" s="11" t="s">
        <v>47</v>
      </c>
      <c r="B130" s="17" t="s">
        <v>62</v>
      </c>
      <c r="C130" s="50" t="s">
        <v>63</v>
      </c>
      <c r="D130" s="51"/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/>
      <c r="U130" s="6"/>
      <c r="V130" s="5">
        <f t="shared" ref="V130:V133" si="56">SUM(E130:U130)</f>
        <v>1</v>
      </c>
    </row>
    <row r="131" spans="1:22" x14ac:dyDescent="0.4">
      <c r="A131" s="11" t="s">
        <v>49</v>
      </c>
      <c r="B131" s="46"/>
      <c r="C131" s="24" t="s">
        <v>164</v>
      </c>
      <c r="D131" s="45"/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1</v>
      </c>
      <c r="U131" s="6"/>
      <c r="V131" s="5">
        <f t="shared" si="56"/>
        <v>2</v>
      </c>
    </row>
    <row r="132" spans="1:22" x14ac:dyDescent="0.4">
      <c r="A132" s="7"/>
      <c r="B132" s="46"/>
      <c r="C132" s="24" t="s">
        <v>165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/>
      <c r="U132" s="6"/>
      <c r="V132" s="5">
        <f t="shared" si="56"/>
        <v>0</v>
      </c>
    </row>
    <row r="133" spans="1:22" x14ac:dyDescent="0.4">
      <c r="A133" s="7"/>
      <c r="B133" s="46"/>
      <c r="C133" s="24" t="s">
        <v>166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/>
      <c r="U133" s="6"/>
      <c r="V133" s="5">
        <f t="shared" si="56"/>
        <v>0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7">SUM(E130:E133)</f>
        <v>0</v>
      </c>
      <c r="F134" s="5">
        <f t="shared" si="57"/>
        <v>1</v>
      </c>
      <c r="G134" s="5">
        <f t="shared" si="57"/>
        <v>0</v>
      </c>
      <c r="H134" s="5">
        <f t="shared" si="57"/>
        <v>1</v>
      </c>
      <c r="I134" s="5">
        <f t="shared" si="57"/>
        <v>0</v>
      </c>
      <c r="J134" s="5">
        <f t="shared" si="57"/>
        <v>0</v>
      </c>
      <c r="K134" s="5">
        <f t="shared" si="57"/>
        <v>0</v>
      </c>
      <c r="L134" s="5">
        <f t="shared" si="57"/>
        <v>0</v>
      </c>
      <c r="M134" s="5">
        <f t="shared" si="57"/>
        <v>0</v>
      </c>
      <c r="N134" s="5">
        <f t="shared" si="57"/>
        <v>0</v>
      </c>
      <c r="O134" s="5">
        <f t="shared" si="57"/>
        <v>0</v>
      </c>
      <c r="P134" s="5">
        <f t="shared" si="57"/>
        <v>0</v>
      </c>
      <c r="Q134" s="5">
        <f t="shared" si="57"/>
        <v>0</v>
      </c>
      <c r="R134" s="5">
        <f t="shared" si="57"/>
        <v>0</v>
      </c>
      <c r="S134" s="5">
        <f t="shared" si="57"/>
        <v>0</v>
      </c>
      <c r="T134" s="5">
        <f t="shared" si="57"/>
        <v>1</v>
      </c>
      <c r="U134" s="5">
        <f t="shared" si="57"/>
        <v>0</v>
      </c>
      <c r="V134" s="5">
        <f t="shared" si="57"/>
        <v>3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5"/>
    </row>
    <row r="136" spans="1:22" x14ac:dyDescent="0.4">
      <c r="A136" s="11" t="s">
        <v>47</v>
      </c>
      <c r="B136" s="44" t="s">
        <v>64</v>
      </c>
      <c r="C136" s="63" t="s">
        <v>65</v>
      </c>
      <c r="D136" s="64"/>
      <c r="E136" s="6">
        <v>1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/>
      <c r="V136" s="5">
        <f t="shared" ref="V136:V143" si="58">SUM(E136:U136)</f>
        <v>2</v>
      </c>
    </row>
    <row r="137" spans="1:22" x14ac:dyDescent="0.4">
      <c r="A137" s="48" t="s">
        <v>49</v>
      </c>
      <c r="B137" s="46"/>
      <c r="C137" s="24" t="s">
        <v>167</v>
      </c>
      <c r="D137" s="45"/>
      <c r="E137" s="49">
        <v>0</v>
      </c>
      <c r="F137" s="6">
        <v>0</v>
      </c>
      <c r="G137" s="6">
        <v>2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2</v>
      </c>
      <c r="Q137" s="6">
        <v>0</v>
      </c>
      <c r="R137" s="6">
        <v>0</v>
      </c>
      <c r="S137" s="6">
        <v>0</v>
      </c>
      <c r="T137" s="6">
        <v>2</v>
      </c>
      <c r="U137" s="6"/>
      <c r="V137" s="5">
        <f t="shared" si="58"/>
        <v>6</v>
      </c>
    </row>
    <row r="138" spans="1:22" x14ac:dyDescent="0.4">
      <c r="A138" s="7"/>
      <c r="B138" s="46"/>
      <c r="C138" s="24" t="s">
        <v>168</v>
      </c>
      <c r="D138" s="45"/>
      <c r="E138" s="49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/>
      <c r="V138" s="5">
        <f t="shared" si="58"/>
        <v>0</v>
      </c>
    </row>
    <row r="139" spans="1:22" x14ac:dyDescent="0.4">
      <c r="A139" s="7"/>
      <c r="B139" s="46"/>
      <c r="C139" s="24" t="s">
        <v>169</v>
      </c>
      <c r="D139" s="45"/>
      <c r="E139" s="49">
        <v>0</v>
      </c>
      <c r="F139" s="6">
        <v>0</v>
      </c>
      <c r="G139" s="6">
        <v>1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1</v>
      </c>
      <c r="T139" s="6"/>
      <c r="U139" s="6"/>
      <c r="V139" s="5">
        <f t="shared" si="58"/>
        <v>2</v>
      </c>
    </row>
    <row r="140" spans="1:22" x14ac:dyDescent="0.4">
      <c r="A140" s="7"/>
      <c r="B140" s="46"/>
      <c r="C140" s="24" t="s">
        <v>170</v>
      </c>
      <c r="D140" s="45"/>
      <c r="E140" s="49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/>
      <c r="V140" s="5">
        <f t="shared" si="58"/>
        <v>0</v>
      </c>
    </row>
    <row r="141" spans="1:22" x14ac:dyDescent="0.4">
      <c r="A141" s="7"/>
      <c r="B141" s="46"/>
      <c r="C141" s="24" t="s">
        <v>171</v>
      </c>
      <c r="D141" s="45"/>
      <c r="E141" s="49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5">
        <f t="shared" si="58"/>
        <v>0</v>
      </c>
    </row>
    <row r="142" spans="1:22" x14ac:dyDescent="0.4">
      <c r="A142" s="7"/>
      <c r="B142" s="46"/>
      <c r="C142" s="24" t="s">
        <v>172</v>
      </c>
      <c r="D142" s="45"/>
      <c r="E142" s="49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/>
      <c r="U142" s="6"/>
      <c r="V142" s="5">
        <f t="shared" si="58"/>
        <v>2</v>
      </c>
    </row>
    <row r="143" spans="1:22" x14ac:dyDescent="0.4">
      <c r="A143" s="7"/>
      <c r="B143" s="46"/>
      <c r="C143" s="24" t="s">
        <v>173</v>
      </c>
      <c r="D143" s="45"/>
      <c r="E143" s="49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5">
        <f t="shared" si="58"/>
        <v>0</v>
      </c>
    </row>
    <row r="144" spans="1:22" x14ac:dyDescent="0.4">
      <c r="A144" s="6" t="s">
        <v>25</v>
      </c>
      <c r="B144" s="65" t="s">
        <v>50</v>
      </c>
      <c r="C144" s="66"/>
      <c r="D144" s="67"/>
      <c r="E144" s="5">
        <f t="shared" ref="E144:V144" si="59">SUM(E136:E143)</f>
        <v>1</v>
      </c>
      <c r="F144" s="5">
        <f t="shared" si="59"/>
        <v>0</v>
      </c>
      <c r="G144" s="5">
        <f t="shared" si="59"/>
        <v>3</v>
      </c>
      <c r="H144" s="5">
        <f t="shared" si="59"/>
        <v>0</v>
      </c>
      <c r="I144" s="5">
        <f t="shared" si="59"/>
        <v>1</v>
      </c>
      <c r="J144" s="5">
        <f t="shared" si="59"/>
        <v>1</v>
      </c>
      <c r="K144" s="5">
        <f t="shared" si="59"/>
        <v>0</v>
      </c>
      <c r="L144" s="5">
        <f t="shared" si="59"/>
        <v>0</v>
      </c>
      <c r="M144" s="5">
        <f t="shared" si="59"/>
        <v>0</v>
      </c>
      <c r="N144" s="5">
        <f t="shared" si="59"/>
        <v>0</v>
      </c>
      <c r="O144" s="5">
        <f t="shared" si="59"/>
        <v>0</v>
      </c>
      <c r="P144" s="5">
        <f t="shared" si="59"/>
        <v>3</v>
      </c>
      <c r="Q144" s="5">
        <f t="shared" si="59"/>
        <v>0</v>
      </c>
      <c r="R144" s="5">
        <f t="shared" si="59"/>
        <v>0</v>
      </c>
      <c r="S144" s="5">
        <f t="shared" si="59"/>
        <v>1</v>
      </c>
      <c r="T144" s="5">
        <f t="shared" si="59"/>
        <v>2</v>
      </c>
      <c r="U144" s="5">
        <f t="shared" si="59"/>
        <v>0</v>
      </c>
      <c r="V144" s="5">
        <f t="shared" si="59"/>
        <v>12</v>
      </c>
    </row>
    <row r="145" spans="1:22" x14ac:dyDescent="0.4">
      <c r="A145" s="55"/>
      <c r="B145" s="56"/>
      <c r="C145" s="56"/>
      <c r="D145" s="56"/>
      <c r="E145" s="5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ht="13.15" customHeight="1" x14ac:dyDescent="0.4">
      <c r="A146" s="11" t="s">
        <v>47</v>
      </c>
      <c r="B146" s="17" t="s">
        <v>66</v>
      </c>
      <c r="C146" s="50" t="s">
        <v>67</v>
      </c>
      <c r="D146" s="51"/>
      <c r="E146" s="6">
        <v>0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1</v>
      </c>
      <c r="T146" s="6">
        <v>1</v>
      </c>
      <c r="U146" s="6"/>
      <c r="V146" s="5">
        <f t="shared" ref="V146:V147" si="60">SUM(E146:U146)</f>
        <v>5</v>
      </c>
    </row>
    <row r="147" spans="1:22" x14ac:dyDescent="0.4">
      <c r="A147" s="11" t="s">
        <v>49</v>
      </c>
      <c r="B147" s="46"/>
      <c r="C147" s="24" t="s">
        <v>174</v>
      </c>
      <c r="D147" s="45"/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/>
      <c r="T147" s="6"/>
      <c r="U147" s="6"/>
      <c r="V147" s="5">
        <f t="shared" si="60"/>
        <v>1</v>
      </c>
    </row>
    <row r="148" spans="1:22" x14ac:dyDescent="0.4">
      <c r="A148" s="6" t="s">
        <v>25</v>
      </c>
      <c r="B148" s="52" t="s">
        <v>50</v>
      </c>
      <c r="C148" s="53"/>
      <c r="D148" s="54"/>
      <c r="E148" s="5">
        <f t="shared" ref="E148:V148" si="61">SUM(E146:E147)</f>
        <v>1</v>
      </c>
      <c r="F148" s="5">
        <f t="shared" si="61"/>
        <v>1</v>
      </c>
      <c r="G148" s="5">
        <f t="shared" si="61"/>
        <v>0</v>
      </c>
      <c r="H148" s="5">
        <f t="shared" si="61"/>
        <v>0</v>
      </c>
      <c r="I148" s="5">
        <f t="shared" si="61"/>
        <v>0</v>
      </c>
      <c r="J148" s="5">
        <f t="shared" si="61"/>
        <v>0</v>
      </c>
      <c r="K148" s="5">
        <f t="shared" si="61"/>
        <v>0</v>
      </c>
      <c r="L148" s="5">
        <f t="shared" si="61"/>
        <v>0</v>
      </c>
      <c r="M148" s="5">
        <f t="shared" si="61"/>
        <v>1</v>
      </c>
      <c r="N148" s="5">
        <f t="shared" si="61"/>
        <v>0</v>
      </c>
      <c r="O148" s="5">
        <f t="shared" si="61"/>
        <v>0</v>
      </c>
      <c r="P148" s="5">
        <f t="shared" si="61"/>
        <v>0</v>
      </c>
      <c r="Q148" s="5">
        <f t="shared" si="61"/>
        <v>1</v>
      </c>
      <c r="R148" s="5">
        <f t="shared" si="61"/>
        <v>0</v>
      </c>
      <c r="S148" s="5">
        <f t="shared" si="61"/>
        <v>1</v>
      </c>
      <c r="T148" s="5">
        <f t="shared" si="61"/>
        <v>1</v>
      </c>
      <c r="U148" s="5">
        <f t="shared" si="61"/>
        <v>0</v>
      </c>
      <c r="V148" s="5">
        <f t="shared" si="61"/>
        <v>6</v>
      </c>
    </row>
    <row r="149" spans="1:22" ht="13.15" customHeight="1" x14ac:dyDescent="0.4">
      <c r="A149" s="55"/>
      <c r="B149" s="56"/>
      <c r="C149" s="56"/>
      <c r="D149" s="56"/>
      <c r="E149" s="5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x14ac:dyDescent="0.4">
      <c r="A150" s="11" t="s">
        <v>47</v>
      </c>
      <c r="B150" s="17" t="s">
        <v>68</v>
      </c>
      <c r="C150" s="50" t="s">
        <v>69</v>
      </c>
      <c r="D150" s="51"/>
      <c r="E150" s="6">
        <v>3</v>
      </c>
      <c r="F150" s="6">
        <v>1</v>
      </c>
      <c r="G150" s="6">
        <v>0</v>
      </c>
      <c r="H150" s="6">
        <v>1</v>
      </c>
      <c r="I150" s="6">
        <v>0</v>
      </c>
      <c r="J150" s="6">
        <v>2</v>
      </c>
      <c r="K150" s="6">
        <v>1</v>
      </c>
      <c r="L150" s="6">
        <v>1</v>
      </c>
      <c r="M150" s="6">
        <v>0</v>
      </c>
      <c r="N150" s="6">
        <v>1</v>
      </c>
      <c r="O150" s="6">
        <v>2</v>
      </c>
      <c r="P150" s="6">
        <v>1</v>
      </c>
      <c r="Q150" s="6">
        <v>1</v>
      </c>
      <c r="R150" s="6">
        <v>1</v>
      </c>
      <c r="S150" s="6">
        <v>2</v>
      </c>
      <c r="T150" s="6"/>
      <c r="U150" s="6">
        <v>1</v>
      </c>
      <c r="V150" s="5">
        <f t="shared" ref="V150:V159" si="62">SUM(E150:U150)</f>
        <v>18</v>
      </c>
    </row>
    <row r="151" spans="1:22" x14ac:dyDescent="0.4">
      <c r="A151" s="11" t="s">
        <v>49</v>
      </c>
      <c r="B151" s="46"/>
      <c r="C151" s="24" t="s">
        <v>175</v>
      </c>
      <c r="D151" s="45"/>
      <c r="E151" s="6">
        <v>1</v>
      </c>
      <c r="F151" s="6">
        <v>1</v>
      </c>
      <c r="G151" s="6">
        <v>2</v>
      </c>
      <c r="H151" s="6">
        <v>0</v>
      </c>
      <c r="I151" s="6">
        <v>2</v>
      </c>
      <c r="J151" s="6">
        <v>5</v>
      </c>
      <c r="K151" s="6">
        <v>1</v>
      </c>
      <c r="L151" s="6">
        <v>3</v>
      </c>
      <c r="M151" s="6">
        <v>2</v>
      </c>
      <c r="N151" s="6">
        <v>4</v>
      </c>
      <c r="O151" s="6">
        <v>2</v>
      </c>
      <c r="P151" s="6">
        <v>1</v>
      </c>
      <c r="Q151" s="6">
        <v>0</v>
      </c>
      <c r="R151" s="6">
        <v>1</v>
      </c>
      <c r="S151" s="6">
        <v>1</v>
      </c>
      <c r="T151" s="6"/>
      <c r="U151" s="6"/>
      <c r="V151" s="5">
        <f t="shared" si="62"/>
        <v>26</v>
      </c>
    </row>
    <row r="152" spans="1:22" x14ac:dyDescent="0.4">
      <c r="A152" s="7"/>
      <c r="B152" s="46"/>
      <c r="C152" s="24" t="s">
        <v>176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2</v>
      </c>
      <c r="K152" s="6">
        <v>0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/>
      <c r="U152" s="6"/>
      <c r="V152" s="5">
        <f t="shared" si="62"/>
        <v>4</v>
      </c>
    </row>
    <row r="153" spans="1:22" x14ac:dyDescent="0.4">
      <c r="A153" s="7"/>
      <c r="B153" s="46"/>
      <c r="C153" s="24" t="s">
        <v>177</v>
      </c>
      <c r="D153" s="45"/>
      <c r="E153" s="6">
        <v>0</v>
      </c>
      <c r="F153" s="6">
        <v>1</v>
      </c>
      <c r="G153" s="6">
        <v>3</v>
      </c>
      <c r="H153" s="6">
        <v>0</v>
      </c>
      <c r="I153" s="6">
        <v>1</v>
      </c>
      <c r="J153" s="6">
        <v>2</v>
      </c>
      <c r="K153" s="6">
        <v>1</v>
      </c>
      <c r="L153" s="6">
        <v>2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1</v>
      </c>
      <c r="U153" s="6"/>
      <c r="V153" s="5">
        <f t="shared" si="62"/>
        <v>13</v>
      </c>
    </row>
    <row r="154" spans="1:22" x14ac:dyDescent="0.4">
      <c r="A154" s="7"/>
      <c r="B154" s="46"/>
      <c r="C154" s="24" t="s">
        <v>178</v>
      </c>
      <c r="D154" s="45"/>
      <c r="E154" s="6">
        <v>3</v>
      </c>
      <c r="F154" s="6">
        <v>0</v>
      </c>
      <c r="G154" s="6">
        <v>20</v>
      </c>
      <c r="H154" s="6">
        <v>2</v>
      </c>
      <c r="I154" s="6">
        <v>0</v>
      </c>
      <c r="J154" s="6">
        <v>2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15</v>
      </c>
      <c r="Q154" s="6">
        <v>0</v>
      </c>
      <c r="R154" s="6">
        <v>0</v>
      </c>
      <c r="S154" s="6">
        <v>1</v>
      </c>
      <c r="T154" s="6"/>
      <c r="U154" s="6"/>
      <c r="V154" s="5">
        <f t="shared" si="62"/>
        <v>44</v>
      </c>
    </row>
    <row r="155" spans="1:22" x14ac:dyDescent="0.4">
      <c r="A155" s="7"/>
      <c r="B155" s="46"/>
      <c r="C155" s="24" t="s">
        <v>179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1</v>
      </c>
      <c r="S155" s="6">
        <v>1</v>
      </c>
      <c r="T155" s="6"/>
      <c r="U155" s="6"/>
      <c r="V155" s="5">
        <f t="shared" si="62"/>
        <v>3</v>
      </c>
    </row>
    <row r="156" spans="1:22" x14ac:dyDescent="0.4">
      <c r="A156" s="7"/>
      <c r="B156" s="46"/>
      <c r="C156" s="24" t="s">
        <v>180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/>
      <c r="T156" s="6"/>
      <c r="U156" s="6"/>
      <c r="V156" s="5">
        <f t="shared" si="62"/>
        <v>0</v>
      </c>
    </row>
    <row r="157" spans="1:22" x14ac:dyDescent="0.4">
      <c r="A157" s="7"/>
      <c r="B157" s="46"/>
      <c r="C157" s="24" t="s">
        <v>181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/>
      <c r="T157" s="6"/>
      <c r="U157" s="6"/>
      <c r="V157" s="5">
        <f t="shared" si="62"/>
        <v>0</v>
      </c>
    </row>
    <row r="158" spans="1:22" x14ac:dyDescent="0.4">
      <c r="A158" s="7"/>
      <c r="B158" s="46"/>
      <c r="C158" s="24" t="s">
        <v>182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/>
      <c r="T158" s="6"/>
      <c r="U158" s="6"/>
      <c r="V158" s="5">
        <f t="shared" si="62"/>
        <v>1</v>
      </c>
    </row>
    <row r="159" spans="1:22" x14ac:dyDescent="0.4">
      <c r="A159" s="7"/>
      <c r="B159" s="46"/>
      <c r="C159" s="24" t="s">
        <v>183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1</v>
      </c>
      <c r="P159" s="6">
        <v>0</v>
      </c>
      <c r="Q159" s="6">
        <v>1</v>
      </c>
      <c r="R159" s="6">
        <v>0</v>
      </c>
      <c r="S159" s="6"/>
      <c r="T159" s="6"/>
      <c r="U159" s="6"/>
      <c r="V159" s="5">
        <f t="shared" si="62"/>
        <v>2</v>
      </c>
    </row>
    <row r="160" spans="1:22" ht="13.15" customHeight="1" x14ac:dyDescent="0.4">
      <c r="A160" s="6" t="s">
        <v>25</v>
      </c>
      <c r="B160" s="52" t="s">
        <v>50</v>
      </c>
      <c r="C160" s="53"/>
      <c r="D160" s="54"/>
      <c r="E160" s="5">
        <f t="shared" ref="E160:V160" si="63">SUM(E150:E159)</f>
        <v>7</v>
      </c>
      <c r="F160" s="5">
        <f t="shared" si="63"/>
        <v>3</v>
      </c>
      <c r="G160" s="5">
        <f t="shared" si="63"/>
        <v>25</v>
      </c>
      <c r="H160" s="5">
        <f t="shared" si="63"/>
        <v>3</v>
      </c>
      <c r="I160" s="5">
        <f t="shared" si="63"/>
        <v>3</v>
      </c>
      <c r="J160" s="5">
        <f t="shared" si="63"/>
        <v>14</v>
      </c>
      <c r="K160" s="5">
        <f t="shared" si="63"/>
        <v>3</v>
      </c>
      <c r="L160" s="5">
        <f t="shared" si="63"/>
        <v>6</v>
      </c>
      <c r="M160" s="5">
        <f t="shared" si="63"/>
        <v>4</v>
      </c>
      <c r="N160" s="5">
        <f t="shared" ref="N160:P160" si="64">SUM(N150:N159)</f>
        <v>5</v>
      </c>
      <c r="O160" s="5">
        <f t="shared" si="64"/>
        <v>7</v>
      </c>
      <c r="P160" s="5">
        <f t="shared" si="64"/>
        <v>17</v>
      </c>
      <c r="Q160" s="5">
        <f t="shared" si="63"/>
        <v>2</v>
      </c>
      <c r="R160" s="5">
        <f t="shared" si="63"/>
        <v>3</v>
      </c>
      <c r="S160" s="5">
        <f t="shared" ref="S160" si="65">SUM(S150:S159)</f>
        <v>7</v>
      </c>
      <c r="T160" s="5">
        <f t="shared" si="63"/>
        <v>1</v>
      </c>
      <c r="U160" s="5">
        <f t="shared" si="63"/>
        <v>1</v>
      </c>
      <c r="V160" s="5">
        <f t="shared" si="63"/>
        <v>111</v>
      </c>
    </row>
    <row r="161" spans="1:22" x14ac:dyDescent="0.4">
      <c r="A161" s="55"/>
      <c r="B161" s="56"/>
      <c r="C161" s="56"/>
      <c r="D161" s="56"/>
      <c r="E161" s="57"/>
      <c r="F161" s="18"/>
      <c r="G161" s="18"/>
      <c r="H161" s="18"/>
      <c r="I161" s="18"/>
      <c r="J161" s="18"/>
      <c r="K161" s="18"/>
      <c r="L161" s="18"/>
      <c r="M161" s="18"/>
      <c r="N161" s="18"/>
      <c r="Q161" s="18"/>
      <c r="V161" s="5"/>
    </row>
    <row r="162" spans="1:22" x14ac:dyDescent="0.4">
      <c r="A162" s="11" t="s">
        <v>47</v>
      </c>
      <c r="B162" s="17" t="s">
        <v>70</v>
      </c>
      <c r="C162" s="50" t="s">
        <v>71</v>
      </c>
      <c r="D162" s="51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1</v>
      </c>
      <c r="P162" s="6">
        <v>0</v>
      </c>
      <c r="Q162" s="6">
        <v>0</v>
      </c>
      <c r="R162" s="6">
        <v>0</v>
      </c>
      <c r="S162" s="6">
        <v>0</v>
      </c>
      <c r="T162" s="6"/>
      <c r="U162" s="6"/>
      <c r="V162" s="5">
        <f t="shared" ref="V162:V171" si="66">SUM(E162:U162)</f>
        <v>1</v>
      </c>
    </row>
    <row r="163" spans="1:22" x14ac:dyDescent="0.4">
      <c r="A163" s="11" t="s">
        <v>49</v>
      </c>
      <c r="B163" s="46"/>
      <c r="C163" s="24" t="s">
        <v>184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/>
      <c r="U163" s="6"/>
      <c r="V163" s="5">
        <f t="shared" si="66"/>
        <v>0</v>
      </c>
    </row>
    <row r="164" spans="1:22" x14ac:dyDescent="0.4">
      <c r="A164" s="7"/>
      <c r="B164" s="46"/>
      <c r="C164" s="24" t="s">
        <v>185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  <c r="Q164" s="6">
        <v>0</v>
      </c>
      <c r="R164" s="6">
        <v>1</v>
      </c>
      <c r="S164" s="6">
        <v>0</v>
      </c>
      <c r="T164" s="6">
        <v>1</v>
      </c>
      <c r="U164" s="6"/>
      <c r="V164" s="5">
        <f t="shared" si="66"/>
        <v>3</v>
      </c>
    </row>
    <row r="165" spans="1:22" x14ac:dyDescent="0.4">
      <c r="A165" s="7"/>
      <c r="B165" s="46"/>
      <c r="C165" s="24" t="s">
        <v>186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/>
      <c r="V165" s="5">
        <f t="shared" si="66"/>
        <v>0</v>
      </c>
    </row>
    <row r="166" spans="1:22" x14ac:dyDescent="0.4">
      <c r="A166" s="7"/>
      <c r="B166" s="46"/>
      <c r="C166" s="24" t="s">
        <v>187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0</v>
      </c>
      <c r="S166" s="6">
        <v>0</v>
      </c>
      <c r="T166" s="6"/>
      <c r="U166" s="6"/>
      <c r="V166" s="5">
        <f t="shared" si="66"/>
        <v>1</v>
      </c>
    </row>
    <row r="167" spans="1:22" x14ac:dyDescent="0.4">
      <c r="A167" s="7"/>
      <c r="B167" s="46"/>
      <c r="C167" s="24" t="s">
        <v>188</v>
      </c>
      <c r="D167" s="45"/>
      <c r="E167" s="6">
        <v>1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/>
      <c r="V167" s="5">
        <f t="shared" si="66"/>
        <v>1</v>
      </c>
    </row>
    <row r="168" spans="1:22" x14ac:dyDescent="0.4">
      <c r="A168" s="7"/>
      <c r="B168" s="46"/>
      <c r="C168" s="24" t="s">
        <v>189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/>
      <c r="V168" s="5">
        <f t="shared" si="66"/>
        <v>0</v>
      </c>
    </row>
    <row r="169" spans="1:22" ht="13.15" customHeight="1" x14ac:dyDescent="0.4">
      <c r="A169" s="7"/>
      <c r="B169" s="46"/>
      <c r="C169" s="24" t="s">
        <v>190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/>
      <c r="V169" s="5">
        <f t="shared" si="66"/>
        <v>0</v>
      </c>
    </row>
    <row r="170" spans="1:22" ht="13.15" customHeight="1" x14ac:dyDescent="0.4">
      <c r="A170" s="7"/>
      <c r="B170" s="46"/>
      <c r="C170" s="24" t="s">
        <v>191</v>
      </c>
      <c r="D170" s="45"/>
      <c r="E170" s="6">
        <v>1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/>
      <c r="V170" s="5">
        <f t="shared" si="66"/>
        <v>1</v>
      </c>
    </row>
    <row r="171" spans="1:22" ht="13.15" customHeight="1" x14ac:dyDescent="0.4">
      <c r="A171" s="7"/>
      <c r="B171" s="46"/>
      <c r="C171" s="24" t="s">
        <v>192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/>
      <c r="U171" s="6"/>
      <c r="V171" s="5">
        <f t="shared" si="66"/>
        <v>0</v>
      </c>
    </row>
    <row r="172" spans="1:22" x14ac:dyDescent="0.4">
      <c r="A172" s="6" t="s">
        <v>25</v>
      </c>
      <c r="B172" s="52" t="s">
        <v>50</v>
      </c>
      <c r="C172" s="53"/>
      <c r="D172" s="54"/>
      <c r="E172" s="5">
        <f t="shared" ref="E172:V172" si="67">SUM(E162:E171)</f>
        <v>2</v>
      </c>
      <c r="F172" s="5">
        <f t="shared" si="67"/>
        <v>0</v>
      </c>
      <c r="G172" s="5">
        <f t="shared" si="67"/>
        <v>0</v>
      </c>
      <c r="H172" s="5">
        <f t="shared" si="67"/>
        <v>0</v>
      </c>
      <c r="I172" s="5">
        <f t="shared" si="67"/>
        <v>0</v>
      </c>
      <c r="J172" s="5">
        <f t="shared" si="67"/>
        <v>0</v>
      </c>
      <c r="K172" s="5">
        <f t="shared" si="67"/>
        <v>0</v>
      </c>
      <c r="L172" s="5">
        <f t="shared" si="67"/>
        <v>0</v>
      </c>
      <c r="M172" s="5">
        <f t="shared" si="67"/>
        <v>0</v>
      </c>
      <c r="N172" s="5">
        <f t="shared" ref="N172:P172" si="68">SUM(N162:N171)</f>
        <v>0</v>
      </c>
      <c r="O172" s="5">
        <f t="shared" si="68"/>
        <v>2</v>
      </c>
      <c r="P172" s="5">
        <f t="shared" si="68"/>
        <v>1</v>
      </c>
      <c r="Q172" s="5">
        <f t="shared" si="67"/>
        <v>0</v>
      </c>
      <c r="R172" s="5">
        <f t="shared" si="67"/>
        <v>1</v>
      </c>
      <c r="S172" s="5">
        <f t="shared" ref="S172" si="69">SUM(S162:S171)</f>
        <v>0</v>
      </c>
      <c r="T172" s="5">
        <f t="shared" si="67"/>
        <v>1</v>
      </c>
      <c r="U172" s="5">
        <f t="shared" si="67"/>
        <v>0</v>
      </c>
      <c r="V172" s="5">
        <f t="shared" si="67"/>
        <v>7</v>
      </c>
    </row>
    <row r="173" spans="1:22" x14ac:dyDescent="0.4">
      <c r="A173" s="55"/>
      <c r="B173" s="56"/>
      <c r="C173" s="56"/>
      <c r="D173" s="56"/>
      <c r="E173" s="5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x14ac:dyDescent="0.4">
      <c r="A174" s="11" t="s">
        <v>47</v>
      </c>
      <c r="B174" s="17" t="s">
        <v>72</v>
      </c>
      <c r="C174" s="50" t="s">
        <v>73</v>
      </c>
      <c r="D174" s="51"/>
      <c r="E174" s="6">
        <v>4</v>
      </c>
      <c r="F174" s="6">
        <v>6</v>
      </c>
      <c r="G174" s="6">
        <v>6</v>
      </c>
      <c r="H174" s="6">
        <v>3</v>
      </c>
      <c r="I174" s="6">
        <v>9</v>
      </c>
      <c r="J174" s="6">
        <v>12</v>
      </c>
      <c r="K174" s="6">
        <v>5</v>
      </c>
      <c r="L174" s="6">
        <v>12</v>
      </c>
      <c r="M174" s="6">
        <v>2</v>
      </c>
      <c r="N174" s="6">
        <v>1</v>
      </c>
      <c r="O174" s="6">
        <v>8</v>
      </c>
      <c r="P174" s="6">
        <v>3</v>
      </c>
      <c r="Q174" s="6">
        <v>5</v>
      </c>
      <c r="R174" s="6">
        <v>1</v>
      </c>
      <c r="S174" s="6">
        <v>1</v>
      </c>
      <c r="T174" s="6">
        <v>1</v>
      </c>
      <c r="U174" s="6">
        <v>1</v>
      </c>
      <c r="V174" s="5">
        <f t="shared" ref="V174:V183" si="70">SUM(E174:U174)</f>
        <v>80</v>
      </c>
    </row>
    <row r="175" spans="1:22" x14ac:dyDescent="0.4">
      <c r="A175" s="11" t="s">
        <v>49</v>
      </c>
      <c r="B175" s="46"/>
      <c r="C175" s="24" t="s">
        <v>193</v>
      </c>
      <c r="D175" s="45"/>
      <c r="E175" s="6">
        <v>3</v>
      </c>
      <c r="F175" s="6">
        <v>6</v>
      </c>
      <c r="G175" s="6">
        <v>6</v>
      </c>
      <c r="H175" s="6">
        <v>7</v>
      </c>
      <c r="I175" s="6">
        <v>2</v>
      </c>
      <c r="J175" s="6">
        <v>10</v>
      </c>
      <c r="K175" s="6">
        <v>2</v>
      </c>
      <c r="L175" s="6">
        <v>5</v>
      </c>
      <c r="M175" s="6">
        <v>0</v>
      </c>
      <c r="N175" s="6">
        <v>1</v>
      </c>
      <c r="O175" s="6">
        <v>3</v>
      </c>
      <c r="P175" s="6">
        <v>5</v>
      </c>
      <c r="Q175" s="6">
        <v>1</v>
      </c>
      <c r="R175" s="6">
        <v>0</v>
      </c>
      <c r="S175" s="6">
        <v>2</v>
      </c>
      <c r="T175" s="6">
        <v>1</v>
      </c>
      <c r="U175" s="6"/>
      <c r="V175" s="5">
        <f t="shared" si="70"/>
        <v>54</v>
      </c>
    </row>
    <row r="176" spans="1:22" x14ac:dyDescent="0.4">
      <c r="A176" s="7"/>
      <c r="B176" s="46"/>
      <c r="C176" s="24" t="s">
        <v>194</v>
      </c>
      <c r="D176" s="45"/>
      <c r="E176" s="6">
        <v>2</v>
      </c>
      <c r="F176" s="6">
        <v>2</v>
      </c>
      <c r="G176" s="6">
        <v>9</v>
      </c>
      <c r="H176" s="6">
        <v>16</v>
      </c>
      <c r="I176" s="6">
        <v>14</v>
      </c>
      <c r="J176" s="6">
        <v>23</v>
      </c>
      <c r="K176" s="6">
        <v>9</v>
      </c>
      <c r="L176" s="6">
        <v>38</v>
      </c>
      <c r="M176" s="6">
        <v>4</v>
      </c>
      <c r="N176" s="6">
        <v>2</v>
      </c>
      <c r="O176" s="6">
        <v>6</v>
      </c>
      <c r="P176" s="6">
        <v>5</v>
      </c>
      <c r="Q176" s="6">
        <v>2</v>
      </c>
      <c r="R176" s="6">
        <v>0</v>
      </c>
      <c r="S176" s="6">
        <v>1</v>
      </c>
      <c r="T176" s="6"/>
      <c r="U176" s="6"/>
      <c r="V176" s="5">
        <f t="shared" si="70"/>
        <v>133</v>
      </c>
    </row>
    <row r="177" spans="1:22" x14ac:dyDescent="0.4">
      <c r="A177" s="7"/>
      <c r="B177" s="46"/>
      <c r="C177" s="24" t="s">
        <v>195</v>
      </c>
      <c r="D177" s="45"/>
      <c r="E177" s="6">
        <v>0</v>
      </c>
      <c r="F177" s="6">
        <v>0</v>
      </c>
      <c r="G177" s="6">
        <v>2</v>
      </c>
      <c r="H177" s="6">
        <v>7</v>
      </c>
      <c r="I177" s="6">
        <v>0</v>
      </c>
      <c r="J177" s="6">
        <v>1</v>
      </c>
      <c r="K177" s="6">
        <v>0</v>
      </c>
      <c r="L177" s="6">
        <v>1</v>
      </c>
      <c r="M177" s="6">
        <v>0</v>
      </c>
      <c r="N177" s="6">
        <v>1</v>
      </c>
      <c r="O177" s="6">
        <v>0</v>
      </c>
      <c r="P177" s="6">
        <v>1</v>
      </c>
      <c r="Q177" s="6">
        <v>1</v>
      </c>
      <c r="R177" s="6">
        <v>0</v>
      </c>
      <c r="S177" s="6">
        <v>0</v>
      </c>
      <c r="T177" s="6">
        <v>1</v>
      </c>
      <c r="U177" s="6"/>
      <c r="V177" s="5">
        <f t="shared" si="70"/>
        <v>15</v>
      </c>
    </row>
    <row r="178" spans="1:22" x14ac:dyDescent="0.4">
      <c r="A178" s="7"/>
      <c r="B178" s="46"/>
      <c r="C178" s="24" t="s">
        <v>196</v>
      </c>
      <c r="D178" s="45"/>
      <c r="E178" s="6">
        <v>0</v>
      </c>
      <c r="F178" s="6">
        <v>0</v>
      </c>
      <c r="G178" s="6">
        <v>0</v>
      </c>
      <c r="H178" s="6">
        <v>2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2</v>
      </c>
      <c r="P178" s="6">
        <v>0</v>
      </c>
      <c r="Q178" s="6">
        <v>0</v>
      </c>
      <c r="R178" s="6">
        <v>0</v>
      </c>
      <c r="S178" s="6">
        <v>1</v>
      </c>
      <c r="T178" s="6"/>
      <c r="U178" s="6"/>
      <c r="V178" s="5">
        <f t="shared" si="70"/>
        <v>5</v>
      </c>
    </row>
    <row r="179" spans="1:22" x14ac:dyDescent="0.4">
      <c r="A179" s="7"/>
      <c r="B179" s="46"/>
      <c r="C179" s="24" t="s">
        <v>197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1</v>
      </c>
      <c r="R179" s="6">
        <v>0</v>
      </c>
      <c r="S179" s="6">
        <v>0</v>
      </c>
      <c r="T179" s="6"/>
      <c r="U179" s="6"/>
      <c r="V179" s="5">
        <f t="shared" si="70"/>
        <v>2</v>
      </c>
    </row>
    <row r="180" spans="1:22" ht="13.15" customHeight="1" x14ac:dyDescent="0.4">
      <c r="A180" s="7"/>
      <c r="B180" s="46"/>
      <c r="C180" s="24" t="s">
        <v>198</v>
      </c>
      <c r="D180" s="45"/>
      <c r="E180" s="6">
        <v>0</v>
      </c>
      <c r="F180" s="6">
        <v>0</v>
      </c>
      <c r="G180" s="6">
        <v>0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/>
      <c r="U180" s="6"/>
      <c r="V180" s="5">
        <f t="shared" si="70"/>
        <v>2</v>
      </c>
    </row>
    <row r="181" spans="1:22" x14ac:dyDescent="0.4">
      <c r="A181" s="7"/>
      <c r="B181" s="46"/>
      <c r="C181" s="24" t="s">
        <v>199</v>
      </c>
      <c r="D181" s="45"/>
      <c r="E181" s="6">
        <v>0</v>
      </c>
      <c r="F181" s="6">
        <v>0</v>
      </c>
      <c r="G181" s="6">
        <v>0</v>
      </c>
      <c r="H181" s="6">
        <v>1</v>
      </c>
      <c r="I181" s="6">
        <v>2</v>
      </c>
      <c r="J181" s="6">
        <v>0</v>
      </c>
      <c r="K181" s="6">
        <v>1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/>
      <c r="U181" s="6"/>
      <c r="V181" s="5">
        <f t="shared" si="70"/>
        <v>5</v>
      </c>
    </row>
    <row r="182" spans="1:22" x14ac:dyDescent="0.4">
      <c r="A182" s="7"/>
      <c r="B182" s="46"/>
      <c r="C182" s="24" t="s">
        <v>200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6"/>
      <c r="V182" s="5">
        <f t="shared" si="70"/>
        <v>0</v>
      </c>
    </row>
    <row r="183" spans="1:22" x14ac:dyDescent="0.4">
      <c r="A183" s="7"/>
      <c r="B183" s="46"/>
      <c r="C183" s="24" t="s">
        <v>201</v>
      </c>
      <c r="D183" s="45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1</v>
      </c>
      <c r="R183" s="6">
        <v>0</v>
      </c>
      <c r="S183" s="6">
        <v>0</v>
      </c>
      <c r="T183" s="6"/>
      <c r="U183" s="6"/>
      <c r="V183" s="5">
        <f t="shared" si="70"/>
        <v>3</v>
      </c>
    </row>
    <row r="184" spans="1:22" x14ac:dyDescent="0.4">
      <c r="A184" s="6" t="s">
        <v>25</v>
      </c>
      <c r="B184" s="52" t="s">
        <v>50</v>
      </c>
      <c r="C184" s="53"/>
      <c r="D184" s="54"/>
      <c r="E184" s="5">
        <f t="shared" ref="E184:V184" si="71">SUM(E174:E183)</f>
        <v>9</v>
      </c>
      <c r="F184" s="5">
        <f t="shared" si="71"/>
        <v>14</v>
      </c>
      <c r="G184" s="5">
        <f t="shared" si="71"/>
        <v>23</v>
      </c>
      <c r="H184" s="5">
        <f t="shared" si="71"/>
        <v>38</v>
      </c>
      <c r="I184" s="5">
        <f t="shared" si="71"/>
        <v>27</v>
      </c>
      <c r="J184" s="5">
        <f t="shared" si="71"/>
        <v>46</v>
      </c>
      <c r="K184" s="5">
        <f t="shared" si="71"/>
        <v>18</v>
      </c>
      <c r="L184" s="5">
        <f t="shared" si="71"/>
        <v>57</v>
      </c>
      <c r="M184" s="5">
        <f t="shared" si="71"/>
        <v>6</v>
      </c>
      <c r="N184" s="5">
        <f t="shared" ref="N184:P184" si="72">SUM(N174:N183)</f>
        <v>5</v>
      </c>
      <c r="O184" s="5">
        <f t="shared" si="72"/>
        <v>20</v>
      </c>
      <c r="P184" s="5">
        <f t="shared" si="72"/>
        <v>14</v>
      </c>
      <c r="Q184" s="5">
        <f t="shared" si="71"/>
        <v>11</v>
      </c>
      <c r="R184" s="5">
        <f t="shared" si="71"/>
        <v>1</v>
      </c>
      <c r="S184" s="5">
        <f t="shared" ref="S184" si="73">SUM(S174:S183)</f>
        <v>6</v>
      </c>
      <c r="T184" s="5">
        <f t="shared" si="71"/>
        <v>3</v>
      </c>
      <c r="U184" s="5">
        <f t="shared" si="71"/>
        <v>1</v>
      </c>
      <c r="V184" s="5">
        <f t="shared" si="71"/>
        <v>299</v>
      </c>
    </row>
    <row r="185" spans="1:22" x14ac:dyDescent="0.4">
      <c r="A185" s="55"/>
      <c r="B185" s="56"/>
      <c r="C185" s="56"/>
      <c r="D185" s="56"/>
      <c r="E185" s="5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 x14ac:dyDescent="0.4">
      <c r="A186" s="11" t="s">
        <v>47</v>
      </c>
      <c r="B186" s="17" t="s">
        <v>74</v>
      </c>
      <c r="C186" s="50" t="s">
        <v>75</v>
      </c>
      <c r="D186" s="51"/>
      <c r="E186" s="6">
        <v>1</v>
      </c>
      <c r="F186" s="6">
        <v>2</v>
      </c>
      <c r="G186" s="6">
        <v>0</v>
      </c>
      <c r="H186" s="6">
        <v>1</v>
      </c>
      <c r="I186" s="6">
        <v>0</v>
      </c>
      <c r="J186" s="6">
        <v>0</v>
      </c>
      <c r="K186" s="6">
        <v>2</v>
      </c>
      <c r="L186" s="6">
        <v>2</v>
      </c>
      <c r="M186" s="6">
        <v>1</v>
      </c>
      <c r="N186" s="6">
        <v>1</v>
      </c>
      <c r="O186" s="6">
        <v>5</v>
      </c>
      <c r="P186" s="6">
        <v>6</v>
      </c>
      <c r="Q186" s="6">
        <v>4</v>
      </c>
      <c r="R186" s="6">
        <v>1</v>
      </c>
      <c r="S186" s="6">
        <v>0</v>
      </c>
      <c r="T186" s="6"/>
      <c r="U186" s="6"/>
      <c r="V186" s="5">
        <f t="shared" ref="V186:V189" si="74">SUM(E186:U186)</f>
        <v>26</v>
      </c>
    </row>
    <row r="187" spans="1:22" x14ac:dyDescent="0.4">
      <c r="A187" s="11" t="s">
        <v>49</v>
      </c>
      <c r="B187" s="46"/>
      <c r="C187" s="24" t="s">
        <v>202</v>
      </c>
      <c r="D187" s="45"/>
      <c r="E187" s="6">
        <v>0</v>
      </c>
      <c r="F187" s="6">
        <v>0</v>
      </c>
      <c r="G187" s="6">
        <v>2</v>
      </c>
      <c r="H187" s="6">
        <v>3</v>
      </c>
      <c r="I187" s="6">
        <v>1</v>
      </c>
      <c r="J187" s="6">
        <v>2</v>
      </c>
      <c r="K187" s="6">
        <v>1</v>
      </c>
      <c r="L187" s="6">
        <v>1</v>
      </c>
      <c r="M187" s="6">
        <v>1</v>
      </c>
      <c r="N187" s="6">
        <v>0</v>
      </c>
      <c r="O187" s="6">
        <v>1</v>
      </c>
      <c r="P187" s="6">
        <v>1</v>
      </c>
      <c r="Q187" s="6">
        <v>0</v>
      </c>
      <c r="R187" s="6">
        <v>0</v>
      </c>
      <c r="S187" s="6">
        <v>0</v>
      </c>
      <c r="T187" s="6"/>
      <c r="U187" s="6"/>
      <c r="V187" s="5">
        <f t="shared" si="74"/>
        <v>13</v>
      </c>
    </row>
    <row r="188" spans="1:22" x14ac:dyDescent="0.4">
      <c r="A188" s="7"/>
      <c r="B188" s="46"/>
      <c r="C188" s="24" t="s">
        <v>203</v>
      </c>
      <c r="D188" s="45"/>
      <c r="E188" s="6">
        <v>0</v>
      </c>
      <c r="F188" s="6">
        <v>1</v>
      </c>
      <c r="G188" s="6">
        <v>0</v>
      </c>
      <c r="H188" s="6">
        <v>0</v>
      </c>
      <c r="I188" s="6">
        <v>1</v>
      </c>
      <c r="J188" s="6">
        <v>0</v>
      </c>
      <c r="K188" s="6">
        <v>2</v>
      </c>
      <c r="L188" s="6">
        <v>1</v>
      </c>
      <c r="M188" s="6">
        <v>2</v>
      </c>
      <c r="N188" s="6">
        <v>2</v>
      </c>
      <c r="O188" s="6">
        <v>1</v>
      </c>
      <c r="P188" s="6">
        <v>5</v>
      </c>
      <c r="Q188" s="6">
        <v>3</v>
      </c>
      <c r="R188" s="6">
        <v>3</v>
      </c>
      <c r="S188" s="6">
        <v>1</v>
      </c>
      <c r="T188" s="6">
        <v>2</v>
      </c>
      <c r="U188" s="6"/>
      <c r="V188" s="5">
        <f t="shared" si="74"/>
        <v>24</v>
      </c>
    </row>
    <row r="189" spans="1:22" x14ac:dyDescent="0.4">
      <c r="A189" s="7"/>
      <c r="B189" s="46"/>
      <c r="C189" s="24" t="s">
        <v>204</v>
      </c>
      <c r="D189" s="45"/>
      <c r="E189" s="6">
        <v>0</v>
      </c>
      <c r="F189" s="6">
        <v>1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/>
      <c r="U189" s="6"/>
      <c r="V189" s="5">
        <f t="shared" si="74"/>
        <v>3</v>
      </c>
    </row>
    <row r="190" spans="1:22" x14ac:dyDescent="0.4">
      <c r="A190" s="6" t="s">
        <v>25</v>
      </c>
      <c r="B190" s="52" t="s">
        <v>50</v>
      </c>
      <c r="C190" s="53"/>
      <c r="D190" s="54"/>
      <c r="E190" s="5">
        <f t="shared" ref="E190:V190" si="75">SUM(E186:E189)</f>
        <v>1</v>
      </c>
      <c r="F190" s="5">
        <f t="shared" si="75"/>
        <v>4</v>
      </c>
      <c r="G190" s="5">
        <f t="shared" si="75"/>
        <v>2</v>
      </c>
      <c r="H190" s="5">
        <f t="shared" si="75"/>
        <v>4</v>
      </c>
      <c r="I190" s="5">
        <f t="shared" si="75"/>
        <v>3</v>
      </c>
      <c r="J190" s="5">
        <f t="shared" si="75"/>
        <v>2</v>
      </c>
      <c r="K190" s="5">
        <f t="shared" si="75"/>
        <v>5</v>
      </c>
      <c r="L190" s="5">
        <f t="shared" si="75"/>
        <v>4</v>
      </c>
      <c r="M190" s="5">
        <f t="shared" si="75"/>
        <v>5</v>
      </c>
      <c r="N190" s="5">
        <f t="shared" si="75"/>
        <v>3</v>
      </c>
      <c r="O190" s="5">
        <f t="shared" si="75"/>
        <v>7</v>
      </c>
      <c r="P190" s="5">
        <f t="shared" si="75"/>
        <v>12</v>
      </c>
      <c r="Q190" s="5">
        <f t="shared" si="75"/>
        <v>7</v>
      </c>
      <c r="R190" s="5">
        <f t="shared" si="75"/>
        <v>4</v>
      </c>
      <c r="S190" s="5">
        <f t="shared" si="75"/>
        <v>1</v>
      </c>
      <c r="T190" s="5">
        <f t="shared" si="75"/>
        <v>2</v>
      </c>
      <c r="U190" s="5">
        <f t="shared" si="75"/>
        <v>0</v>
      </c>
      <c r="V190" s="5">
        <f t="shared" si="75"/>
        <v>66</v>
      </c>
    </row>
    <row r="191" spans="1:22" x14ac:dyDescent="0.4">
      <c r="A191" s="55"/>
      <c r="B191" s="56"/>
      <c r="C191" s="56"/>
      <c r="D191" s="56"/>
      <c r="E191" s="5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 x14ac:dyDescent="0.4">
      <c r="A192" s="11" t="s">
        <v>47</v>
      </c>
      <c r="B192" s="17" t="s">
        <v>76</v>
      </c>
      <c r="C192" s="50" t="s">
        <v>77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2</v>
      </c>
      <c r="J192" s="6">
        <v>0</v>
      </c>
      <c r="K192" s="6">
        <v>2</v>
      </c>
      <c r="L192" s="6">
        <v>0</v>
      </c>
      <c r="M192" s="6">
        <v>0</v>
      </c>
      <c r="N192" s="6">
        <v>0</v>
      </c>
      <c r="O192" s="6">
        <v>0</v>
      </c>
      <c r="P192" s="6">
        <v>1</v>
      </c>
      <c r="Q192" s="6">
        <v>0</v>
      </c>
      <c r="R192" s="6">
        <v>0</v>
      </c>
      <c r="S192" s="6">
        <v>0</v>
      </c>
      <c r="T192" s="6"/>
      <c r="U192" s="6"/>
      <c r="V192" s="5">
        <f t="shared" ref="V192:V196" si="76">SUM(E192:U192)</f>
        <v>5</v>
      </c>
    </row>
    <row r="193" spans="1:22" x14ac:dyDescent="0.4">
      <c r="A193" s="11" t="s">
        <v>49</v>
      </c>
      <c r="B193" s="46"/>
      <c r="C193" s="24" t="s">
        <v>205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  <c r="T193" s="6"/>
      <c r="U193" s="6"/>
      <c r="V193" s="5">
        <f t="shared" si="76"/>
        <v>1</v>
      </c>
    </row>
    <row r="194" spans="1:22" x14ac:dyDescent="0.4">
      <c r="A194" s="7"/>
      <c r="B194" s="46"/>
      <c r="C194" s="24" t="s">
        <v>206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/>
      <c r="U194" s="6"/>
      <c r="V194" s="5">
        <f t="shared" si="76"/>
        <v>0</v>
      </c>
    </row>
    <row r="195" spans="1:22" x14ac:dyDescent="0.4">
      <c r="A195" s="7"/>
      <c r="B195" s="46"/>
      <c r="C195" s="24" t="s">
        <v>207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1</v>
      </c>
      <c r="Q195" s="6">
        <v>1</v>
      </c>
      <c r="R195" s="6">
        <v>0</v>
      </c>
      <c r="S195" s="6">
        <v>0</v>
      </c>
      <c r="T195" s="6"/>
      <c r="U195" s="6"/>
      <c r="V195" s="5">
        <f t="shared" si="76"/>
        <v>2</v>
      </c>
    </row>
    <row r="196" spans="1:22" ht="13.15" customHeight="1" x14ac:dyDescent="0.4">
      <c r="A196" s="7"/>
      <c r="B196" s="46"/>
      <c r="C196" s="24" t="s">
        <v>208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1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/>
      <c r="U196" s="6"/>
      <c r="V196" s="5">
        <f t="shared" si="76"/>
        <v>1</v>
      </c>
    </row>
    <row r="197" spans="1:22" x14ac:dyDescent="0.4">
      <c r="A197" s="6" t="s">
        <v>25</v>
      </c>
      <c r="B197" s="52" t="s">
        <v>50</v>
      </c>
      <c r="C197" s="53"/>
      <c r="D197" s="54"/>
      <c r="E197" s="5">
        <f t="shared" ref="E197:V197" si="77">SUM(E192:E196)</f>
        <v>0</v>
      </c>
      <c r="F197" s="5">
        <f t="shared" si="77"/>
        <v>0</v>
      </c>
      <c r="G197" s="5">
        <f t="shared" si="77"/>
        <v>0</v>
      </c>
      <c r="H197" s="5">
        <f t="shared" si="77"/>
        <v>0</v>
      </c>
      <c r="I197" s="5">
        <f t="shared" si="77"/>
        <v>3</v>
      </c>
      <c r="J197" s="5">
        <f t="shared" si="77"/>
        <v>0</v>
      </c>
      <c r="K197" s="5">
        <f t="shared" si="77"/>
        <v>2</v>
      </c>
      <c r="L197" s="5">
        <f t="shared" si="77"/>
        <v>0</v>
      </c>
      <c r="M197" s="5">
        <f t="shared" si="77"/>
        <v>0</v>
      </c>
      <c r="N197" s="5">
        <f t="shared" si="77"/>
        <v>0</v>
      </c>
      <c r="O197" s="5">
        <f t="shared" si="77"/>
        <v>1</v>
      </c>
      <c r="P197" s="5">
        <f t="shared" si="77"/>
        <v>2</v>
      </c>
      <c r="Q197" s="5">
        <f t="shared" si="77"/>
        <v>1</v>
      </c>
      <c r="R197" s="5">
        <f t="shared" si="77"/>
        <v>0</v>
      </c>
      <c r="S197" s="5">
        <f t="shared" si="77"/>
        <v>0</v>
      </c>
      <c r="T197" s="5">
        <f t="shared" si="77"/>
        <v>0</v>
      </c>
      <c r="U197" s="5">
        <f t="shared" si="77"/>
        <v>0</v>
      </c>
      <c r="V197" s="5">
        <f t="shared" si="77"/>
        <v>9</v>
      </c>
    </row>
    <row r="198" spans="1:22" x14ac:dyDescent="0.4">
      <c r="A198" s="55"/>
      <c r="B198" s="56"/>
      <c r="C198" s="56"/>
      <c r="D198" s="56"/>
      <c r="E198" s="5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 x14ac:dyDescent="0.4">
      <c r="A199" s="11" t="s">
        <v>47</v>
      </c>
      <c r="B199" s="17" t="s">
        <v>78</v>
      </c>
      <c r="C199" s="50" t="s">
        <v>79</v>
      </c>
      <c r="D199" s="51"/>
      <c r="E199" s="6">
        <v>0</v>
      </c>
      <c r="F199" s="6">
        <v>1</v>
      </c>
      <c r="G199" s="6">
        <v>0</v>
      </c>
      <c r="H199" s="6">
        <v>1</v>
      </c>
      <c r="I199" s="6">
        <v>1</v>
      </c>
      <c r="J199" s="6">
        <v>0</v>
      </c>
      <c r="K199" s="6">
        <v>4</v>
      </c>
      <c r="L199" s="6">
        <v>0</v>
      </c>
      <c r="M199" s="6">
        <v>3</v>
      </c>
      <c r="N199" s="6">
        <v>2</v>
      </c>
      <c r="O199" s="6">
        <v>0</v>
      </c>
      <c r="P199" s="6">
        <v>1</v>
      </c>
      <c r="Q199" s="6">
        <v>1</v>
      </c>
      <c r="R199" s="6">
        <v>1</v>
      </c>
      <c r="S199" s="6">
        <v>1</v>
      </c>
      <c r="T199" s="6">
        <v>3</v>
      </c>
      <c r="U199" s="6">
        <v>1</v>
      </c>
      <c r="V199" s="5">
        <f t="shared" ref="V199:V208" si="78">SUM(E199:U199)</f>
        <v>20</v>
      </c>
    </row>
    <row r="200" spans="1:22" x14ac:dyDescent="0.4">
      <c r="A200" s="11" t="s">
        <v>49</v>
      </c>
      <c r="B200" s="46"/>
      <c r="C200" s="24" t="s">
        <v>209</v>
      </c>
      <c r="D200" s="45"/>
      <c r="E200" s="6">
        <v>0</v>
      </c>
      <c r="F200" s="6">
        <v>0</v>
      </c>
      <c r="G200" s="6">
        <v>0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6">
        <v>1</v>
      </c>
      <c r="N200" s="6">
        <v>1</v>
      </c>
      <c r="O200" s="6">
        <v>0</v>
      </c>
      <c r="P200" s="6">
        <v>1</v>
      </c>
      <c r="Q200" s="6">
        <v>0</v>
      </c>
      <c r="R200" s="6">
        <v>0</v>
      </c>
      <c r="S200" s="6">
        <v>0</v>
      </c>
      <c r="T200" s="6"/>
      <c r="U200" s="6"/>
      <c r="V200" s="5">
        <f t="shared" si="78"/>
        <v>4</v>
      </c>
    </row>
    <row r="201" spans="1:22" x14ac:dyDescent="0.4">
      <c r="A201" s="7"/>
      <c r="B201" s="46"/>
      <c r="C201" s="24" t="s">
        <v>210</v>
      </c>
      <c r="D201" s="45"/>
      <c r="E201" s="6">
        <v>9</v>
      </c>
      <c r="F201" s="6">
        <v>1</v>
      </c>
      <c r="G201" s="6">
        <v>0</v>
      </c>
      <c r="H201" s="6">
        <v>0</v>
      </c>
      <c r="I201" s="6">
        <v>2</v>
      </c>
      <c r="J201" s="6">
        <v>1</v>
      </c>
      <c r="K201" s="6">
        <v>2</v>
      </c>
      <c r="L201" s="6">
        <v>0</v>
      </c>
      <c r="M201" s="6">
        <v>0</v>
      </c>
      <c r="N201" s="6">
        <v>0</v>
      </c>
      <c r="O201" s="6">
        <v>0</v>
      </c>
      <c r="P201" s="6">
        <v>2</v>
      </c>
      <c r="Q201" s="6">
        <v>0</v>
      </c>
      <c r="R201" s="6">
        <v>14</v>
      </c>
      <c r="S201" s="6">
        <v>10</v>
      </c>
      <c r="T201" s="6">
        <v>7</v>
      </c>
      <c r="U201" s="6">
        <v>2</v>
      </c>
      <c r="V201" s="5">
        <f t="shared" si="78"/>
        <v>50</v>
      </c>
    </row>
    <row r="202" spans="1:22" ht="13.15" customHeight="1" x14ac:dyDescent="0.4">
      <c r="A202" s="7"/>
      <c r="B202" s="46"/>
      <c r="C202" s="24" t="s">
        <v>211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6"/>
      <c r="V202" s="5">
        <f t="shared" si="78"/>
        <v>0</v>
      </c>
    </row>
    <row r="203" spans="1:22" x14ac:dyDescent="0.4">
      <c r="A203" s="7"/>
      <c r="B203" s="46"/>
      <c r="C203" s="24" t="s">
        <v>212</v>
      </c>
      <c r="D203" s="45"/>
      <c r="E203" s="6">
        <v>1</v>
      </c>
      <c r="F203" s="6">
        <v>0</v>
      </c>
      <c r="G203" s="6">
        <v>1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1</v>
      </c>
      <c r="T203" s="6"/>
      <c r="U203" s="6"/>
      <c r="V203" s="5">
        <f t="shared" si="78"/>
        <v>4</v>
      </c>
    </row>
    <row r="204" spans="1:22" ht="12.75" customHeight="1" x14ac:dyDescent="0.4">
      <c r="A204" s="7"/>
      <c r="B204" s="46"/>
      <c r="C204" s="24" t="s">
        <v>213</v>
      </c>
      <c r="D204" s="45"/>
      <c r="E204" s="6">
        <v>1</v>
      </c>
      <c r="F204" s="6">
        <v>1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  <c r="M204" s="6">
        <v>0</v>
      </c>
      <c r="N204" s="6">
        <v>3</v>
      </c>
      <c r="O204" s="6">
        <v>2</v>
      </c>
      <c r="P204" s="6">
        <v>0</v>
      </c>
      <c r="Q204" s="6">
        <v>0</v>
      </c>
      <c r="R204" s="6">
        <v>0</v>
      </c>
      <c r="S204" s="6">
        <v>0</v>
      </c>
      <c r="T204" s="6">
        <v>1</v>
      </c>
      <c r="U204" s="6"/>
      <c r="V204" s="5">
        <f t="shared" si="78"/>
        <v>10</v>
      </c>
    </row>
    <row r="205" spans="1:22" x14ac:dyDescent="0.4">
      <c r="A205" s="7"/>
      <c r="B205" s="46"/>
      <c r="C205" s="24" t="s">
        <v>214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/>
      <c r="U205" s="6"/>
      <c r="V205" s="5">
        <f t="shared" si="78"/>
        <v>0</v>
      </c>
    </row>
    <row r="206" spans="1:22" x14ac:dyDescent="0.4">
      <c r="A206" s="7"/>
      <c r="B206" s="46"/>
      <c r="C206" s="24" t="s">
        <v>215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0</v>
      </c>
      <c r="Q206" s="6">
        <v>3</v>
      </c>
      <c r="R206" s="6">
        <v>0</v>
      </c>
      <c r="S206" s="6">
        <v>0</v>
      </c>
      <c r="T206" s="6"/>
      <c r="U206" s="6"/>
      <c r="V206" s="5">
        <f t="shared" si="78"/>
        <v>4</v>
      </c>
    </row>
    <row r="207" spans="1:22" x14ac:dyDescent="0.4">
      <c r="A207" s="7"/>
      <c r="B207" s="46"/>
      <c r="C207" s="24" t="s">
        <v>216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6"/>
      <c r="V207" s="5">
        <f t="shared" si="78"/>
        <v>0</v>
      </c>
    </row>
    <row r="208" spans="1:22" x14ac:dyDescent="0.4">
      <c r="A208" s="7"/>
      <c r="B208" s="46"/>
      <c r="C208" s="24" t="s">
        <v>217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/>
      <c r="U208" s="6"/>
      <c r="V208" s="5">
        <f t="shared" si="78"/>
        <v>1</v>
      </c>
    </row>
    <row r="209" spans="1:22" ht="12.75" customHeight="1" x14ac:dyDescent="0.4">
      <c r="A209" s="6" t="s">
        <v>25</v>
      </c>
      <c r="B209" s="52" t="s">
        <v>50</v>
      </c>
      <c r="C209" s="53"/>
      <c r="D209" s="54"/>
      <c r="E209" s="5">
        <f t="shared" ref="E209:V209" si="79">SUM(E199:E208)</f>
        <v>11</v>
      </c>
      <c r="F209" s="5">
        <f t="shared" si="79"/>
        <v>3</v>
      </c>
      <c r="G209" s="5">
        <f t="shared" si="79"/>
        <v>1</v>
      </c>
      <c r="H209" s="5">
        <f t="shared" si="79"/>
        <v>2</v>
      </c>
      <c r="I209" s="5">
        <f t="shared" si="79"/>
        <v>3</v>
      </c>
      <c r="J209" s="5">
        <f t="shared" si="79"/>
        <v>2</v>
      </c>
      <c r="K209" s="5">
        <f t="shared" si="79"/>
        <v>7</v>
      </c>
      <c r="L209" s="5">
        <f t="shared" si="79"/>
        <v>1</v>
      </c>
      <c r="M209" s="5">
        <f t="shared" si="79"/>
        <v>4</v>
      </c>
      <c r="N209" s="5">
        <f t="shared" ref="N209:P209" si="80">SUM(N199:N208)</f>
        <v>6</v>
      </c>
      <c r="O209" s="5">
        <f t="shared" si="80"/>
        <v>4</v>
      </c>
      <c r="P209" s="5">
        <f t="shared" si="80"/>
        <v>4</v>
      </c>
      <c r="Q209" s="5">
        <f t="shared" si="79"/>
        <v>4</v>
      </c>
      <c r="R209" s="5">
        <f t="shared" si="79"/>
        <v>15</v>
      </c>
      <c r="S209" s="5">
        <f t="shared" ref="S209" si="81">SUM(S199:S208)</f>
        <v>12</v>
      </c>
      <c r="T209" s="5">
        <f t="shared" si="79"/>
        <v>11</v>
      </c>
      <c r="U209" s="5">
        <f t="shared" si="79"/>
        <v>3</v>
      </c>
      <c r="V209" s="5">
        <f t="shared" si="79"/>
        <v>93</v>
      </c>
    </row>
    <row r="210" spans="1:22" x14ac:dyDescent="0.4">
      <c r="A210" s="55"/>
      <c r="B210" s="56"/>
      <c r="C210" s="56"/>
      <c r="D210" s="56"/>
      <c r="E210" s="57"/>
    </row>
    <row r="211" spans="1:22" x14ac:dyDescent="0.4">
      <c r="A211" s="11" t="s">
        <v>47</v>
      </c>
      <c r="B211" s="17" t="s">
        <v>80</v>
      </c>
      <c r="C211" s="50" t="s">
        <v>81</v>
      </c>
      <c r="D211" s="51"/>
      <c r="E211" s="6">
        <v>3</v>
      </c>
      <c r="F211" s="6">
        <v>0</v>
      </c>
      <c r="G211" s="6">
        <v>0</v>
      </c>
      <c r="H211" s="6">
        <v>2</v>
      </c>
      <c r="I211" s="6">
        <v>2</v>
      </c>
      <c r="J211" s="6">
        <v>1</v>
      </c>
      <c r="K211" s="6">
        <v>3</v>
      </c>
      <c r="L211" s="6">
        <v>1</v>
      </c>
      <c r="M211" s="6">
        <v>0</v>
      </c>
      <c r="N211" s="6">
        <v>2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/>
      <c r="U211" s="6"/>
      <c r="V211" s="5">
        <f t="shared" ref="V211:V214" si="82">SUM(E211:U211)</f>
        <v>14</v>
      </c>
    </row>
    <row r="212" spans="1:22" x14ac:dyDescent="0.4">
      <c r="A212" s="11" t="s">
        <v>49</v>
      </c>
      <c r="B212" s="46"/>
      <c r="C212" s="24" t="s">
        <v>218</v>
      </c>
      <c r="D212" s="45"/>
      <c r="E212" s="6">
        <v>4</v>
      </c>
      <c r="F212" s="6">
        <v>0</v>
      </c>
      <c r="G212" s="6">
        <v>5</v>
      </c>
      <c r="H212" s="6">
        <v>0</v>
      </c>
      <c r="I212" s="6">
        <v>0</v>
      </c>
      <c r="J212" s="6">
        <v>0</v>
      </c>
      <c r="K212" s="6">
        <v>5</v>
      </c>
      <c r="L212" s="6">
        <v>0</v>
      </c>
      <c r="M212" s="6">
        <v>0</v>
      </c>
      <c r="N212" s="6">
        <v>3</v>
      </c>
      <c r="O212" s="6">
        <v>0</v>
      </c>
      <c r="P212" s="6">
        <v>1</v>
      </c>
      <c r="Q212" s="6">
        <v>3</v>
      </c>
      <c r="R212" s="6">
        <v>0</v>
      </c>
      <c r="S212" s="6">
        <v>0</v>
      </c>
      <c r="T212" s="6"/>
      <c r="U212" s="6"/>
      <c r="V212" s="5">
        <f t="shared" si="82"/>
        <v>21</v>
      </c>
    </row>
    <row r="213" spans="1:22" x14ac:dyDescent="0.4">
      <c r="A213" s="7"/>
      <c r="B213" s="46"/>
      <c r="C213" s="24" t="s">
        <v>219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6"/>
      <c r="V213" s="5">
        <f t="shared" si="82"/>
        <v>0</v>
      </c>
    </row>
    <row r="214" spans="1:22" x14ac:dyDescent="0.4">
      <c r="A214" s="7"/>
      <c r="B214" s="46"/>
      <c r="C214" s="24" t="s">
        <v>220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1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/>
      <c r="U214" s="6"/>
      <c r="V214" s="5">
        <f t="shared" si="82"/>
        <v>1</v>
      </c>
    </row>
    <row r="215" spans="1:22" x14ac:dyDescent="0.4">
      <c r="A215" s="6" t="s">
        <v>25</v>
      </c>
      <c r="B215" s="52" t="s">
        <v>50</v>
      </c>
      <c r="C215" s="53"/>
      <c r="D215" s="54"/>
      <c r="E215" s="5">
        <f t="shared" ref="E215:V215" si="83">SUM(E211:E214)</f>
        <v>7</v>
      </c>
      <c r="F215" s="5">
        <f t="shared" si="83"/>
        <v>0</v>
      </c>
      <c r="G215" s="5">
        <f t="shared" si="83"/>
        <v>5</v>
      </c>
      <c r="H215" s="5">
        <f t="shared" si="83"/>
        <v>2</v>
      </c>
      <c r="I215" s="5">
        <f t="shared" si="83"/>
        <v>2</v>
      </c>
      <c r="J215" s="5">
        <f t="shared" si="83"/>
        <v>1</v>
      </c>
      <c r="K215" s="5">
        <f t="shared" si="83"/>
        <v>8</v>
      </c>
      <c r="L215" s="5">
        <f t="shared" si="83"/>
        <v>1</v>
      </c>
      <c r="M215" s="5">
        <f t="shared" si="83"/>
        <v>1</v>
      </c>
      <c r="N215" s="5">
        <f t="shared" si="83"/>
        <v>5</v>
      </c>
      <c r="O215" s="5">
        <f t="shared" si="83"/>
        <v>0</v>
      </c>
      <c r="P215" s="5">
        <f t="shared" si="83"/>
        <v>1</v>
      </c>
      <c r="Q215" s="5">
        <f t="shared" si="83"/>
        <v>3</v>
      </c>
      <c r="R215" s="5">
        <f t="shared" si="83"/>
        <v>0</v>
      </c>
      <c r="S215" s="5">
        <f t="shared" si="83"/>
        <v>0</v>
      </c>
      <c r="T215" s="5">
        <f t="shared" si="83"/>
        <v>0</v>
      </c>
      <c r="U215" s="5">
        <f t="shared" si="83"/>
        <v>0</v>
      </c>
      <c r="V215" s="5">
        <f t="shared" si="83"/>
        <v>36</v>
      </c>
    </row>
    <row r="217" spans="1:22" x14ac:dyDescent="0.4">
      <c r="A217" s="16" t="s">
        <v>82</v>
      </c>
      <c r="B217" s="60" t="s">
        <v>83</v>
      </c>
      <c r="C217" s="61"/>
      <c r="D217" s="62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15"/>
      <c r="S217" s="15"/>
      <c r="T217" s="15"/>
      <c r="U217" s="15"/>
      <c r="V217" s="5"/>
    </row>
    <row r="218" spans="1:22" x14ac:dyDescent="0.4">
      <c r="A218" s="16"/>
      <c r="B218" s="19" t="s">
        <v>84</v>
      </c>
      <c r="C218" s="58" t="s">
        <v>85</v>
      </c>
      <c r="D218" s="59"/>
      <c r="E218" s="6">
        <f t="shared" ref="E218:U218" si="84">E55+E67+E79+E91+E103+E108+E116+E128+E134+E144+E148+E160+E172+E184+E190+E197+E209+E215</f>
        <v>211</v>
      </c>
      <c r="F218" s="6">
        <f t="shared" si="84"/>
        <v>196</v>
      </c>
      <c r="G218" s="6">
        <f t="shared" si="84"/>
        <v>191</v>
      </c>
      <c r="H218" s="6">
        <f t="shared" si="84"/>
        <v>190</v>
      </c>
      <c r="I218" s="6">
        <f t="shared" si="84"/>
        <v>211</v>
      </c>
      <c r="J218" s="6">
        <f t="shared" si="84"/>
        <v>195</v>
      </c>
      <c r="K218" s="6">
        <f t="shared" si="84"/>
        <v>213</v>
      </c>
      <c r="L218" s="6">
        <f t="shared" si="84"/>
        <v>200</v>
      </c>
      <c r="M218" s="6">
        <f t="shared" si="84"/>
        <v>222</v>
      </c>
      <c r="N218" s="6">
        <f t="shared" si="84"/>
        <v>193</v>
      </c>
      <c r="O218" s="6">
        <f t="shared" si="84"/>
        <v>206</v>
      </c>
      <c r="P218" s="6">
        <f t="shared" si="84"/>
        <v>173</v>
      </c>
      <c r="Q218" s="6">
        <f t="shared" si="84"/>
        <v>128</v>
      </c>
      <c r="R218" s="6">
        <f t="shared" si="84"/>
        <v>226</v>
      </c>
      <c r="S218" s="6">
        <f t="shared" si="84"/>
        <v>245</v>
      </c>
      <c r="T218" s="6">
        <f t="shared" si="84"/>
        <v>211</v>
      </c>
      <c r="U218" s="6">
        <f t="shared" si="84"/>
        <v>117</v>
      </c>
      <c r="V218" s="5">
        <f>SUM(E218:U218)</f>
        <v>3328</v>
      </c>
    </row>
    <row r="219" spans="1:22" x14ac:dyDescent="0.4">
      <c r="A219" s="13"/>
      <c r="B219" s="19" t="s">
        <v>86</v>
      </c>
      <c r="C219" s="58" t="s">
        <v>87</v>
      </c>
      <c r="D219" s="59"/>
      <c r="E219" s="6">
        <v>28</v>
      </c>
      <c r="F219" s="6">
        <v>35</v>
      </c>
      <c r="G219" s="6">
        <v>52</v>
      </c>
      <c r="H219" s="6">
        <v>34</v>
      </c>
      <c r="I219" s="6">
        <v>27</v>
      </c>
      <c r="J219" s="6">
        <v>36</v>
      </c>
      <c r="K219" s="6">
        <v>38</v>
      </c>
      <c r="L219" s="6">
        <v>32</v>
      </c>
      <c r="M219" s="6">
        <v>23</v>
      </c>
      <c r="N219" s="6">
        <v>29</v>
      </c>
      <c r="O219" s="6">
        <v>40</v>
      </c>
      <c r="P219" s="6">
        <v>24</v>
      </c>
      <c r="Q219" s="6">
        <v>23</v>
      </c>
      <c r="R219" s="6">
        <v>13</v>
      </c>
      <c r="S219" s="6">
        <v>12</v>
      </c>
      <c r="T219" s="6">
        <v>11</v>
      </c>
      <c r="U219" s="6">
        <v>6</v>
      </c>
      <c r="V219" s="5">
        <f>SUM(E219:U219)</f>
        <v>463</v>
      </c>
    </row>
    <row r="220" spans="1:22" x14ac:dyDescent="0.4">
      <c r="A220" s="14"/>
      <c r="B220" s="19" t="s">
        <v>88</v>
      </c>
      <c r="C220" s="58" t="s">
        <v>89</v>
      </c>
      <c r="D220" s="59"/>
      <c r="E220" s="5">
        <f>SUM(E218:E219)</f>
        <v>239</v>
      </c>
      <c r="F220" s="5">
        <f t="shared" ref="F220:U220" si="85">SUM(F218:F219)</f>
        <v>231</v>
      </c>
      <c r="G220" s="5">
        <f t="shared" si="85"/>
        <v>243</v>
      </c>
      <c r="H220" s="5">
        <f t="shared" si="85"/>
        <v>224</v>
      </c>
      <c r="I220" s="5">
        <f t="shared" si="85"/>
        <v>238</v>
      </c>
      <c r="J220" s="5">
        <f t="shared" si="85"/>
        <v>231</v>
      </c>
      <c r="K220" s="5">
        <f t="shared" si="85"/>
        <v>251</v>
      </c>
      <c r="L220" s="5">
        <f t="shared" si="85"/>
        <v>232</v>
      </c>
      <c r="M220" s="5">
        <f t="shared" si="85"/>
        <v>245</v>
      </c>
      <c r="N220" s="5">
        <f t="shared" ref="N220:P220" si="86">SUM(N218:N219)</f>
        <v>222</v>
      </c>
      <c r="O220" s="5">
        <f t="shared" si="86"/>
        <v>246</v>
      </c>
      <c r="P220" s="5">
        <f t="shared" si="86"/>
        <v>197</v>
      </c>
      <c r="Q220" s="5">
        <f t="shared" si="85"/>
        <v>151</v>
      </c>
      <c r="R220" s="5">
        <f t="shared" si="85"/>
        <v>239</v>
      </c>
      <c r="S220" s="5">
        <f t="shared" ref="S220" si="87">SUM(S218:S219)</f>
        <v>257</v>
      </c>
      <c r="T220" s="5">
        <f t="shared" si="85"/>
        <v>222</v>
      </c>
      <c r="U220" s="5">
        <f t="shared" si="85"/>
        <v>123</v>
      </c>
      <c r="V220" s="5">
        <f>SUM(E220:U220)</f>
        <v>3791</v>
      </c>
    </row>
  </sheetData>
  <mergeCells count="86"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C220:D220"/>
    <mergeCell ref="A210:E210"/>
    <mergeCell ref="C211:D211"/>
    <mergeCell ref="B215:D215"/>
    <mergeCell ref="B217:D217"/>
    <mergeCell ref="C218:D218"/>
    <mergeCell ref="C219:D219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E37:I37"/>
    <mergeCell ref="B38:D38"/>
    <mergeCell ref="B39:C41"/>
    <mergeCell ref="A42:D42"/>
    <mergeCell ref="E42:I42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U12"/>
    <mergeCell ref="V12:V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U15">
    <cfRule type="containsBlanks" dxfId="32" priority="20">
      <formula>LEN(TRIM(E14))=0</formula>
    </cfRule>
  </conditionalFormatting>
  <conditionalFormatting sqref="E19:U20">
    <cfRule type="containsBlanks" dxfId="31" priority="23">
      <formula>LEN(TRIM(E19))=0</formula>
    </cfRule>
  </conditionalFormatting>
  <conditionalFormatting sqref="E22:U23 E25:U26 E33:U33 E35:U35 E39:U40">
    <cfRule type="containsBlanks" dxfId="30" priority="24">
      <formula>LEN(TRIM(E22))=0</formula>
    </cfRule>
  </conditionalFormatting>
  <conditionalFormatting sqref="E30:U30">
    <cfRule type="expression" dxfId="29" priority="25">
      <formula>E30&lt;&gt;E47</formula>
    </cfRule>
    <cfRule type="expression" dxfId="28" priority="26">
      <formula>E30&lt;&gt;E34</formula>
    </cfRule>
  </conditionalFormatting>
  <conditionalFormatting sqref="E34:U34">
    <cfRule type="expression" dxfId="27" priority="21">
      <formula>E30&lt;&gt;E34</formula>
    </cfRule>
    <cfRule type="expression" dxfId="26" priority="22">
      <formula>E30=E34</formula>
    </cfRule>
    <cfRule type="expression" dxfId="25" priority="27">
      <formula>E34&lt;&gt;E30</formula>
    </cfRule>
    <cfRule type="expression" dxfId="24" priority="29">
      <formula>E34&lt;&gt;E64</formula>
    </cfRule>
  </conditionalFormatting>
  <conditionalFormatting sqref="E45:U54">
    <cfRule type="containsBlanks" dxfId="23" priority="19">
      <formula>LEN(TRIM(E45))=0</formula>
    </cfRule>
  </conditionalFormatting>
  <conditionalFormatting sqref="E57:U66">
    <cfRule type="containsBlanks" dxfId="22" priority="18">
      <formula>LEN(TRIM(E57))=0</formula>
    </cfRule>
  </conditionalFormatting>
  <conditionalFormatting sqref="E69:U78">
    <cfRule type="containsBlanks" dxfId="21" priority="17">
      <formula>LEN(TRIM(E69))=0</formula>
    </cfRule>
  </conditionalFormatting>
  <conditionalFormatting sqref="E81:U90">
    <cfRule type="containsBlanks" dxfId="20" priority="16">
      <formula>LEN(TRIM(E81))=0</formula>
    </cfRule>
  </conditionalFormatting>
  <conditionalFormatting sqref="E93:U102">
    <cfRule type="containsBlanks" dxfId="19" priority="15">
      <formula>LEN(TRIM(E93))=0</formula>
    </cfRule>
  </conditionalFormatting>
  <conditionalFormatting sqref="E105:U107">
    <cfRule type="containsBlanks" dxfId="18" priority="14">
      <formula>LEN(TRIM(E105))=0</formula>
    </cfRule>
  </conditionalFormatting>
  <conditionalFormatting sqref="E110:U115">
    <cfRule type="containsBlanks" dxfId="17" priority="1">
      <formula>LEN(TRIM(E110))=0</formula>
    </cfRule>
  </conditionalFormatting>
  <conditionalFormatting sqref="E118:U127">
    <cfRule type="containsBlanks" dxfId="16" priority="13">
      <formula>LEN(TRIM(E118))=0</formula>
    </cfRule>
  </conditionalFormatting>
  <conditionalFormatting sqref="E130:U133">
    <cfRule type="containsBlanks" dxfId="15" priority="12">
      <formula>LEN(TRIM(E130))=0</formula>
    </cfRule>
  </conditionalFormatting>
  <conditionalFormatting sqref="E136:U143">
    <cfRule type="containsBlanks" dxfId="14" priority="3">
      <formula>LEN(TRIM(E136))=0</formula>
    </cfRule>
  </conditionalFormatting>
  <conditionalFormatting sqref="E146:U147">
    <cfRule type="containsBlanks" dxfId="0" priority="11">
      <formula>LEN(TRIM(E146))=0</formula>
    </cfRule>
  </conditionalFormatting>
  <conditionalFormatting sqref="E150:U159">
    <cfRule type="containsBlanks" dxfId="13" priority="10">
      <formula>LEN(TRIM(E150))=0</formula>
    </cfRule>
  </conditionalFormatting>
  <conditionalFormatting sqref="E162:U171">
    <cfRule type="containsBlanks" dxfId="12" priority="9">
      <formula>LEN(TRIM(E162))=0</formula>
    </cfRule>
  </conditionalFormatting>
  <conditionalFormatting sqref="E174:U183">
    <cfRule type="containsBlanks" dxfId="11" priority="8">
      <formula>LEN(TRIM(E174))=0</formula>
    </cfRule>
  </conditionalFormatting>
  <conditionalFormatting sqref="E186:U189">
    <cfRule type="containsBlanks" dxfId="10" priority="7">
      <formula>LEN(TRIM(E186))=0</formula>
    </cfRule>
  </conditionalFormatting>
  <conditionalFormatting sqref="E192:U196">
    <cfRule type="containsBlanks" dxfId="9" priority="6">
      <formula>LEN(TRIM(E192))=0</formula>
    </cfRule>
  </conditionalFormatting>
  <conditionalFormatting sqref="E199:U208">
    <cfRule type="containsBlanks" dxfId="8" priority="5">
      <formula>LEN(TRIM(E199))=0</formula>
    </cfRule>
  </conditionalFormatting>
  <conditionalFormatting sqref="E211:U214">
    <cfRule type="containsBlanks" dxfId="7" priority="4">
      <formula>LEN(TRIM(E211))=0</formula>
    </cfRule>
  </conditionalFormatting>
  <conditionalFormatting sqref="E218:U219">
    <cfRule type="containsBlanks" dxfId="6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DPRD PROVINSI</vt:lpstr>
      <vt:lpstr>BOYOLANGU</vt:lpstr>
      <vt:lpstr>GIRI</vt:lpstr>
      <vt:lpstr>GROGOL</vt:lpstr>
      <vt:lpstr>JAMBESARI</vt:lpstr>
      <vt:lpstr>MOJOPANGGUNG</vt:lpstr>
      <vt:lpstr>PENATABAN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2026-01-26T07:10:14Z</dcterms:modified>
</cp:coreProperties>
</file>