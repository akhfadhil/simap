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KALIPAIT" sheetId="2" r:id="rId5"/>
    <sheet state="visible" name="KEDUNGASRI" sheetId="3" r:id="rId6"/>
    <sheet state="visible" name="KEDUNGGEBANG" sheetId="4" r:id="rId7"/>
    <sheet state="visible" name="KEDUNGWUNGU" sheetId="5" r:id="rId8"/>
    <sheet state="visible" name="KENDALREJO" sheetId="6" r:id="rId9"/>
    <sheet state="visible" name="PURWOAGUNG" sheetId="7" r:id="rId10"/>
    <sheet state="visible" name="PURWOASRI" sheetId="8" r:id="rId11"/>
    <sheet state="visible" name="TEGALDLIMO" sheetId="9" r:id="rId12"/>
    <sheet state="visible" name="WRINGINPITU" sheetId="10" r:id="rId13"/>
  </sheets>
  <definedNames/>
  <calcPr/>
  <extLst>
    <ext uri="GoogleSheetsCustomDataVersion2">
      <go:sheetsCustomData xmlns:go="http://customooxmlschemas.google.com/" r:id="rId14" roundtripDataChecksum="ZuxJ16YWU+PgrJa1UK0ka/tCtSfy0jdej4gU94ZroTI="/>
    </ext>
  </extLst>
</workbook>
</file>

<file path=xl/sharedStrings.xml><?xml version="1.0" encoding="utf-8"?>
<sst xmlns="http://schemas.openxmlformats.org/spreadsheetml/2006/main" count="3082" uniqueCount="241">
  <si>
    <t>Kecamatan</t>
  </si>
  <si>
    <t>TEGALDLIMO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</si>
  <si>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</si>
  <si>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</si>
  <si>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</si>
  <si>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</si>
  <si>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</si>
  <si>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</si>
  <si>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</si>
  <si>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</si>
  <si>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</si>
  <si>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</si>
  <si>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</si>
  <si>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</si>
  <si>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</si>
  <si>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</si>
  <si>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</si>
  <si>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</si>
  <si>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</si>
  <si>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</si>
  <si>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</si>
  <si>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</si>
  <si>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</si>
  <si>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</si>
  <si>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</si>
  <si>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</si>
  <si>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</si>
  <si>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</si>
  <si>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</si>
  <si>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</si>
  <si>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</si>
  <si>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</si>
  <si>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</si>
  <si>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</si>
  <si>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</si>
  <si>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</si>
  <si>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</si>
  <si>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</si>
  <si>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</si>
  <si>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</si>
  <si>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</si>
  <si>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</si>
  <si>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</si>
  <si>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</si>
  <si>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</si>
  <si>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</si>
  <si>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</si>
  <si>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</si>
  <si>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</si>
  <si>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</si>
  <si>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</si>
  <si>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</si>
  <si>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</si>
  <si>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</si>
  <si>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</si>
  <si>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</si>
  <si>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</si>
  <si>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</si>
  <si>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</si>
  <si>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</si>
  <si>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</si>
  <si>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</si>
  <si>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</si>
  <si>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</si>
  <si>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</si>
  <si>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</si>
  <si>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</si>
  <si>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</si>
  <si>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</si>
  <si>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</si>
  <si>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</si>
  <si>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</si>
  <si>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</si>
  <si>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</si>
  <si>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</si>
  <si>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</si>
  <si>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</si>
  <si>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</si>
  <si>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</si>
  <si>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</si>
  <si>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</si>
  <si>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</si>
  <si>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</si>
  <si>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</si>
  <si>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</si>
  <si>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</si>
  <si>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</si>
  <si>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</si>
  <si>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</si>
  <si>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</si>
  <si>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</si>
  <si>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</si>
  <si>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</si>
  <si>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</si>
  <si>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</si>
  <si>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</si>
  <si>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</si>
  <si>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</si>
  <si>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</si>
  <si>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</si>
  <si>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</si>
  <si>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</si>
  <si>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</si>
  <si>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</si>
  <si>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</si>
  <si>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</si>
  <si>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</si>
  <si>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</si>
  <si>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</si>
  <si>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</si>
  <si>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</si>
  <si>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</si>
  <si>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</si>
  <si>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</si>
  <si>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</si>
  <si>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</si>
  <si>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</si>
  <si>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</si>
  <si>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</si>
  <si>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</si>
  <si>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</si>
  <si>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</si>
  <si>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</si>
  <si>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</si>
  <si>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</si>
  <si>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</si>
  <si>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</si>
  <si>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</si>
  <si>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</si>
  <si>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</si>
  <si>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</si>
  <si>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</si>
  <si>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</si>
  <si>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</si>
  <si>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</si>
  <si>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</si>
  <si>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</si>
  <si>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</si>
  <si>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</si>
  <si>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</si>
  <si>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</si>
  <si>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</si>
  <si>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</si>
  <si>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</si>
  <si>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</si>
  <si>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</si>
  <si>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</si>
  <si>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</si>
  <si>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</si>
  <si>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</si>
  <si>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</si>
  <si>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</si>
  <si>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</si>
  <si>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</si>
  <si>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</si>
  <si>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</si>
  <si>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</si>
  <si>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</si>
  <si>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</si>
  <si>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</si>
  <si>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</si>
  <si>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</si>
  <si>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</si>
  <si>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</si>
  <si>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</si>
  <si>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</si>
  <si>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</si>
  <si>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</si>
  <si>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</si>
  <si>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</si>
  <si>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</si>
  <si>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</si>
  <si>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</si>
  <si>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</si>
  <si>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</si>
  <si>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</si>
  <si>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</si>
  <si>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</si>
  <si>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</si>
  <si>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</si>
  <si>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</si>
  <si>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</si>
  <si>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</si>
  <si>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</si>
  <si>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</si>
  <si>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</si>
  <si>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</si>
  <si>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</si>
  <si>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</si>
  <si>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</si>
  <si>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</si>
  <si>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</si>
  <si>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</si>
  <si>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</si>
  <si>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</si>
  <si>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</si>
  <si>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</si>
  <si>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</si>
  <si>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</si>
  <si>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KALIPAIT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</si>
  <si>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</si>
  <si>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</si>
  <si>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</si>
  <si>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</si>
  <si>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</si>
  <si>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</si>
  <si>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</si>
  <si>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</si>
  <si>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</si>
  <si>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</si>
  <si>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</si>
  <si>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</si>
  <si>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</si>
  <si>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</si>
  <si>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</si>
  <si>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</si>
  <si>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</si>
  <si>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</si>
  <si>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</si>
  <si>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KEDUNGASRI</t>
  </si>
  <si>
    <t>TPS 020</t>
  </si>
  <si>
    <t>TPS 021</t>
  </si>
  <si>
    <t>TPS 022</t>
  </si>
  <si>
    <t>TPS 023</t>
  </si>
  <si>
    <t>TPS 024</t>
  </si>
  <si>
    <t>TPS 025</t>
  </si>
  <si>
    <t>KEDUNGGEBANG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</si>
  <si>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</si>
  <si>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</si>
  <si>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</si>
  <si>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</si>
  <si>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</si>
  <si>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</si>
  <si>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</si>
  <si>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</si>
  <si>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</si>
  <si>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KEDUNGWUNGU</t>
  </si>
  <si>
    <t>KENDALREJO</t>
  </si>
  <si>
    <t>PURWOAGUNG</t>
  </si>
  <si>
    <t>PURWOASRI</t>
  </si>
  <si>
    <t>WRINGINPITU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</si>
</sst>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3" numFmtId="0" xfId="0" applyAlignment="1" applyBorder="1" applyFont="1">
      <alignment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1" fillId="4" fontId="1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KALIPAIT!X14+KEDUNGASRI!AD14+KEDUNGGEBANG!AM14+KEDUNGWUNGU!AF14+KENDALREJO!V14+PURWOAGUNG!S14+PURWOASRI!S14+TEGALDLIMO!AF14+WRINGINPITU!AF14</f>
        <v>26681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KALIPAIT!X15+KEDUNGASRI!AD15+KEDUNGGEBANG!AM15+KEDUNGWUNGU!AF15+KENDALREJO!V15+PURWOAGUNG!S15+PURWOASRI!S15+TEGALDLIMO!AF15+WRINGINPITU!AF15</f>
        <v>26213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52894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KALIPAIT!X19+KEDUNGASRI!AD19+KEDUNGGEBANG!AM19+KEDUNGWUNGU!AF19+KENDALREJO!V19+PURWOAGUNG!S19+PURWOASRI!S19+TEGALDLIMO!AF19+WRINGINPITU!AF19</f>
        <v>20780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KALIPAIT!X20+KEDUNGASRI!AD20+KEDUNGGEBANG!AM20+KEDUNGWUNGU!AF20+KENDALREJO!V20+PURWOAGUNG!S20+PURWOASRI!S20+TEGALDLIMO!AF20+WRINGINPITU!AF20</f>
        <v>21181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41961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KALIPAIT!X22+KEDUNGASRI!AD22+KEDUNGGEBANG!AM22+KEDUNGWUNGU!AF22+KENDALREJO!V22+PURWOAGUNG!S22+PURWOASRI!S22+TEGALDLIMO!AF22+WRINGINPITU!AF22</f>
        <v>30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KALIPAIT!X23+KEDUNGASRI!AD23+KEDUNGGEBANG!AM23+KEDUNGWUNGU!AF23+KENDALREJO!V23+PURWOAGUNG!S23+PURWOASRI!S23+TEGALDLIMO!AF23+WRINGINPITU!AF23</f>
        <v>28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KALIPAIT!X25+KEDUNGASRI!AD25+KEDUNGGEBANG!AM25+KEDUNGWUNGU!AF25+KENDALREJO!V25+PURWOAGUNG!S25+PURWOASRI!S25+TEGALDLIMO!AF25+WRINGINPITU!AF25</f>
        <v>56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KALIPAIT!X26+KEDUNGASRI!AD26+KEDUNGGEBANG!AM26+KEDUNGWUNGU!AF26+KENDALREJO!V26+PURWOAGUNG!S26+PURWOASRI!S26+TEGALDLIMO!AF26+WRINGINPITU!AF26</f>
        <v>87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20866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21296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42162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KALIPAIT!X33+KEDUNGASRI!AD33+KEDUNGGEBANG!AM33+KEDUNGWUNGU!AF33+KENDALREJO!V33+PURWOAGUNG!S33+PURWOASRI!S33+TEGALDLIMO!AF33+WRINGINPITU!AF33</f>
        <v>54026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KALIPAIT!X34+KEDUNGASRI!AD34+KEDUNGGEBANG!AM34+KEDUNGWUNGU!AF34+KENDALREJO!V34+PURWOAGUNG!S34+PURWOASRI!S34+TEGALDLIMO!AF34+WRINGINPITU!AF34</f>
        <v>42162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KALIPAIT!X35+KEDUNGASRI!AD35+KEDUNGGEBANG!AM35+KEDUNGWUNGU!AF35+KENDALREJO!V35+PURWOAGUNG!S35+PURWOASRI!S35+TEGALDLIMO!AF35+WRINGINPITU!AF35</f>
        <v>66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11798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KALIPAIT!X39+KEDUNGASRI!AD39+KEDUNGGEBANG!AM39+KEDUNGWUNGU!AF39+KENDALREJO!V39+PURWOAGUNG!S39+PURWOASRI!S39+TEGALDLIMO!AF39+WRINGINPITU!AF39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KALIPAIT!X40+KEDUNGASRI!AD40+KEDUNGGEBANG!AM40+KEDUNGWUNGU!AF40+KENDALREJO!V40+PURWOAGUNG!S40+PURWOASRI!S40+TEGALDLIMO!AF40+WRINGINPITU!AF40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KALIPAIT!X45+KEDUNGASRI!AD45+KEDUNGGEBANG!AM45+KEDUNGWUNGU!AF45+KENDALREJO!V45+PURWOAGUNG!S45+PURWOASRI!S45+TEGALDLIMO!AF45+WRINGINPITU!AF45</f>
        <v>1231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KALIPAIT!X46+KEDUNGASRI!AD46+KEDUNGGEBANG!AM46+KEDUNGWUNGU!AF46+KENDALREJO!V46+PURWOAGUNG!S46+PURWOASRI!S46+TEGALDLIMO!AF46+WRINGINPITU!AF46</f>
        <v>1916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KALIPAIT!X47+KEDUNGASRI!AD47+KEDUNGGEBANG!AM47+KEDUNGWUNGU!AF47+KENDALREJO!V47+PURWOAGUNG!S47+PURWOASRI!S47+TEGALDLIMO!AF47+WRINGINPITU!AF47</f>
        <v>363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KALIPAIT!X48+KEDUNGASRI!AD48+KEDUNGGEBANG!AM48+KEDUNGWUNGU!AF48+KENDALREJO!V48+PURWOAGUNG!S48+PURWOASRI!S48+TEGALDLIMO!AF48+WRINGINPITU!AF48</f>
        <v>121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KALIPAIT!X49+KEDUNGASRI!AD49+KEDUNGGEBANG!AM49+KEDUNGWUNGU!AF49+KENDALREJO!V49+PURWOAGUNG!S49+PURWOASRI!S49+TEGALDLIMO!AF49+WRINGINPITU!AF49</f>
        <v>235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KALIPAIT!X50+KEDUNGASRI!AD50+KEDUNGGEBANG!AM50+KEDUNGWUNGU!AF50+KENDALREJO!V50+PURWOAGUNG!S50+PURWOASRI!S50+TEGALDLIMO!AF50+WRINGINPITU!AF50</f>
        <v>156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KALIPAIT!X51+KEDUNGASRI!AD51+KEDUNGGEBANG!AM51+KEDUNGWUNGU!AF51+KENDALREJO!V51+PURWOAGUNG!S51+PURWOASRI!S51+TEGALDLIMO!AF51+WRINGINPITU!AF51</f>
        <v>72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KALIPAIT!X52+KEDUNGASRI!AD52+KEDUNGGEBANG!AM52+KEDUNGWUNGU!AF52+KENDALREJO!V52+PURWOAGUNG!S52+PURWOASRI!S52+TEGALDLIMO!AF52+WRINGINPITU!AF52</f>
        <v>74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/>
      <c r="C53" s="50" t="s">
        <v>47</v>
      </c>
      <c r="D53" s="56"/>
      <c r="E53" s="24">
        <f>KALIPAIT!X53+KEDUNGASRI!AD53+KEDUNGGEBANG!AM53+KEDUNGWUNGU!AF53+KENDALREJO!V53+PURWOAGUNG!S53+PURWOASRI!S53+TEGALDLIMO!AF53+WRINGINPITU!AF53</f>
        <v>22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/>
      <c r="C54" s="50" t="s">
        <v>48</v>
      </c>
      <c r="D54" s="51"/>
      <c r="E54" s="24">
        <f>KALIPAIT!X54+KEDUNGASRI!AD54+KEDUNGGEBANG!AM54+KEDUNGWUNGU!AF54+KENDALREJO!V54+PURWOAGUNG!S54+PURWOASRI!S54+TEGALDLIMO!AF54+WRINGINPITU!AF54</f>
        <v>74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SUM(E45:E54)</f>
        <v>4264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KALIPAIT!X57+KEDUNGASRI!AD57+KEDUNGGEBANG!AM57+KEDUNGWUNGU!AF57+KENDALREJO!V57+PURWOAGUNG!S57+PURWOASRI!S57+TEGALDLIMO!AF57+WRINGINPITU!AF57</f>
        <v>1413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49"/>
      <c r="C58" s="50" t="s">
        <v>51</v>
      </c>
      <c r="D58" s="51"/>
      <c r="E58" s="24">
        <f>KALIPAIT!X58+KEDUNGASRI!AD58+KEDUNGGEBANG!AM58+KEDUNGWUNGU!AF58+KENDALREJO!V58+PURWOAGUNG!S58+PURWOASRI!S58+TEGALDLIMO!AF58+WRINGINPITU!AF58</f>
        <v>5421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52</v>
      </c>
      <c r="D59" s="51"/>
      <c r="E59" s="24">
        <f>KALIPAIT!X59+KEDUNGASRI!AD59+KEDUNGGEBANG!AM59+KEDUNGWUNGU!AF59+KENDALREJO!V59+PURWOAGUNG!S59+PURWOASRI!S59+TEGALDLIMO!AF59+WRINGINPITU!AF59</f>
        <v>807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53</v>
      </c>
      <c r="D60" s="51"/>
      <c r="E60" s="24">
        <f>KALIPAIT!X60+KEDUNGASRI!AD60+KEDUNGGEBANG!AM60+KEDUNGWUNGU!AF60+KENDALREJO!V60+PURWOAGUNG!S60+PURWOASRI!S60+TEGALDLIMO!AF60+WRINGINPITU!AF60</f>
        <v>271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54</v>
      </c>
      <c r="D61" s="51"/>
      <c r="E61" s="24">
        <f>KALIPAIT!X61+KEDUNGASRI!AD61+KEDUNGGEBANG!AM61+KEDUNGWUNGU!AF61+KENDALREJO!V61+PURWOAGUNG!S61+PURWOASRI!S61+TEGALDLIMO!AF61+WRINGINPITU!AF61</f>
        <v>1915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55</v>
      </c>
      <c r="D62" s="51"/>
      <c r="E62" s="24">
        <f>KALIPAIT!X62+KEDUNGASRI!AD62+KEDUNGGEBANG!AM62+KEDUNGWUNGU!AF62+KENDALREJO!V62+PURWOAGUNG!S62+PURWOASRI!S62+TEGALDLIMO!AF62+WRINGINPITU!AF62</f>
        <v>159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56</v>
      </c>
      <c r="D63" s="51"/>
      <c r="E63" s="24">
        <f>KALIPAIT!X63+KEDUNGASRI!AD63+KEDUNGGEBANG!AM63+KEDUNGWUNGU!AF63+KENDALREJO!V63+PURWOAGUNG!S63+PURWOASRI!S63+TEGALDLIMO!AF63+WRINGINPITU!AF63</f>
        <v>60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49"/>
      <c r="C64" s="50" t="s">
        <v>57</v>
      </c>
      <c r="D64" s="51"/>
      <c r="E64" s="24">
        <f>KALIPAIT!X64+KEDUNGASRI!AD64+KEDUNGGEBANG!AM64+KEDUNGWUNGU!AF64+KENDALREJO!V64+PURWOAGUNG!S64+PURWOASRI!S64+TEGALDLIMO!AF64+WRINGINPITU!AF64</f>
        <v>37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49"/>
      <c r="C65" s="50" t="s">
        <v>58</v>
      </c>
      <c r="D65" s="51"/>
      <c r="E65" s="24">
        <f>KALIPAIT!X65+KEDUNGASRI!AD65+KEDUNGGEBANG!AM65+KEDUNGWUNGU!AF65+KENDALREJO!V65+PURWOAGUNG!S65+PURWOASRI!S65+TEGALDLIMO!AF65+WRINGINPITU!AF65</f>
        <v>27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49"/>
      <c r="C66" s="50" t="s">
        <v>59</v>
      </c>
      <c r="D66" s="51"/>
      <c r="E66" s="24">
        <f>KALIPAIT!X66+KEDUNGASRI!AD66+KEDUNGGEBANG!AM66+KEDUNGWUNGU!AF66+KENDALREJO!V66+PURWOAGUNG!S66+PURWOASRI!S66+TEGALDLIMO!AF66+WRINGINPITU!AF66</f>
        <v>60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SUM(E57:E66)</f>
        <v>10170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KALIPAIT!X69+KEDUNGASRI!AD69+KEDUNGGEBANG!AM69+KEDUNGWUNGU!AF69+KENDALREJO!V69+PURWOAGUNG!S69+PURWOASRI!S69+TEGALDLIMO!AF69+WRINGINPITU!AF69</f>
        <v>1473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49"/>
      <c r="C70" s="50" t="s">
        <v>61</v>
      </c>
      <c r="D70" s="51"/>
      <c r="E70" s="24">
        <f>KALIPAIT!X70+KEDUNGASRI!AD70+KEDUNGGEBANG!AM70+KEDUNGWUNGU!AF70+KENDALREJO!V70+PURWOAGUNG!S70+PURWOASRI!S70+TEGALDLIMO!AF70+WRINGINPITU!AF70</f>
        <v>1001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62</v>
      </c>
      <c r="D71" s="51"/>
      <c r="E71" s="24">
        <f>KALIPAIT!X71+KEDUNGASRI!AD71+KEDUNGGEBANG!AM71+KEDUNGWUNGU!AF71+KENDALREJO!V71+PURWOAGUNG!S71+PURWOASRI!S71+TEGALDLIMO!AF71+WRINGINPITU!AF71</f>
        <v>1029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63</v>
      </c>
      <c r="D72" s="51"/>
      <c r="E72" s="24">
        <f>KALIPAIT!X72+KEDUNGASRI!AD72+KEDUNGGEBANG!AM72+KEDUNGWUNGU!AF72+KENDALREJO!V72+PURWOAGUNG!S72+PURWOASRI!S72+TEGALDLIMO!AF72+WRINGINPITU!AF72</f>
        <v>609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64</v>
      </c>
      <c r="D73" s="51"/>
      <c r="E73" s="24">
        <f>KALIPAIT!X73+KEDUNGASRI!AD73+KEDUNGGEBANG!AM73+KEDUNGWUNGU!AF73+KENDALREJO!V73+PURWOAGUNG!S73+PURWOASRI!S73+TEGALDLIMO!AF73+WRINGINPITU!AF73</f>
        <v>612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65</v>
      </c>
      <c r="D74" s="51"/>
      <c r="E74" s="24">
        <f>KALIPAIT!X74+KEDUNGASRI!AD74+KEDUNGGEBANG!AM74+KEDUNGWUNGU!AF74+KENDALREJO!V74+PURWOAGUNG!S74+PURWOASRI!S74+TEGALDLIMO!AF74+WRINGINPITU!AF74</f>
        <v>222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66</v>
      </c>
      <c r="D75" s="51"/>
      <c r="E75" s="24">
        <f>KALIPAIT!X75+KEDUNGASRI!AD75+KEDUNGGEBANG!AM75+KEDUNGWUNGU!AF75+KENDALREJO!V75+PURWOAGUNG!S75+PURWOASRI!S75+TEGALDLIMO!AF75+WRINGINPITU!AF75</f>
        <v>196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49"/>
      <c r="C76" s="50" t="s">
        <v>67</v>
      </c>
      <c r="D76" s="51"/>
      <c r="E76" s="24">
        <f>KALIPAIT!X76+KEDUNGASRI!AD76+KEDUNGGEBANG!AM76+KEDUNGWUNGU!AF76+KENDALREJO!V76+PURWOAGUNG!S76+PURWOASRI!S76+TEGALDLIMO!AF76+WRINGINPITU!AF76</f>
        <v>124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68</v>
      </c>
      <c r="D77" s="51"/>
      <c r="E77" s="24">
        <f>KALIPAIT!X77+KEDUNGASRI!AD77+KEDUNGGEBANG!AM77+KEDUNGWUNGU!AF77+KENDALREJO!V77+PURWOAGUNG!S77+PURWOASRI!S77+TEGALDLIMO!AF77+WRINGINPITU!AF77</f>
        <v>94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69</v>
      </c>
      <c r="D78" s="51"/>
      <c r="E78" s="24">
        <f>KALIPAIT!X78+KEDUNGASRI!AD78+KEDUNGGEBANG!AM78+KEDUNGWUNGU!AF78+KENDALREJO!V78+PURWOAGUNG!S78+PURWOASRI!S78+TEGALDLIMO!AF78+WRINGINPITU!AF78</f>
        <v>129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SUM(E69:E78)</f>
        <v>5489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KALIPAIT!X81+KEDUNGASRI!AD81+KEDUNGGEBANG!AM81+KEDUNGWUNGU!AF81+KENDALREJO!V81+PURWOAGUNG!S81+PURWOASRI!S81+TEGALDLIMO!AF81+WRINGINPITU!AF81</f>
        <v>593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/>
      <c r="C82" s="50" t="s">
        <v>71</v>
      </c>
      <c r="D82" s="51"/>
      <c r="E82" s="24">
        <f>KALIPAIT!X82+KEDUNGASRI!AD82+KEDUNGGEBANG!AM82+KEDUNGWUNGU!AF82+KENDALREJO!V82+PURWOAGUNG!S82+PURWOASRI!S82+TEGALDLIMO!AF82+WRINGINPITU!AF82</f>
        <v>1091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72</v>
      </c>
      <c r="D83" s="51"/>
      <c r="E83" s="24">
        <f>KALIPAIT!X83+KEDUNGASRI!AD83+KEDUNGGEBANG!AM83+KEDUNGWUNGU!AF83+KENDALREJO!V83+PURWOAGUNG!S83+PURWOASRI!S83+TEGALDLIMO!AF83+WRINGINPITU!AF83</f>
        <v>154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73</v>
      </c>
      <c r="D84" s="51"/>
      <c r="E84" s="24">
        <f>KALIPAIT!X84+KEDUNGASRI!AD84+KEDUNGGEBANG!AM84+KEDUNGWUNGU!AF84+KENDALREJO!V84+PURWOAGUNG!S84+PURWOASRI!S84+TEGALDLIMO!AF84+WRINGINPITU!AF84</f>
        <v>140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74</v>
      </c>
      <c r="D85" s="51"/>
      <c r="E85" s="24">
        <f>KALIPAIT!X85+KEDUNGASRI!AD85+KEDUNGGEBANG!AM85+KEDUNGWUNGU!AF85+KENDALREJO!V85+PURWOAGUNG!S85+PURWOASRI!S85+TEGALDLIMO!AF85+WRINGINPITU!AF85</f>
        <v>209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75</v>
      </c>
      <c r="D86" s="51"/>
      <c r="E86" s="24">
        <f>KALIPAIT!X86+KEDUNGASRI!AD86+KEDUNGGEBANG!AM86+KEDUNGWUNGU!AF86+KENDALREJO!V86+PURWOAGUNG!S86+PURWOASRI!S86+TEGALDLIMO!AF86+WRINGINPITU!AF86</f>
        <v>93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76</v>
      </c>
      <c r="D87" s="51"/>
      <c r="E87" s="24">
        <f>KALIPAIT!X87+KEDUNGASRI!AD87+KEDUNGGEBANG!AM87+KEDUNGWUNGU!AF87+KENDALREJO!V87+PURWOAGUNG!S87+PURWOASRI!S87+TEGALDLIMO!AF87+WRINGINPITU!AF87</f>
        <v>32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77</v>
      </c>
      <c r="D88" s="51"/>
      <c r="E88" s="24">
        <f>KALIPAIT!X88+KEDUNGASRI!AD88+KEDUNGGEBANG!AM88+KEDUNGWUNGU!AF88+KENDALREJO!V88+PURWOAGUNG!S88+PURWOASRI!S88+TEGALDLIMO!AF88+WRINGINPITU!AF88</f>
        <v>28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78</v>
      </c>
      <c r="D89" s="51"/>
      <c r="E89" s="24">
        <f>KALIPAIT!X89+KEDUNGASRI!AD89+KEDUNGGEBANG!AM89+KEDUNGWUNGU!AF89+KENDALREJO!V89+PURWOAGUNG!S89+PURWOASRI!S89+TEGALDLIMO!AF89+WRINGINPITU!AF89</f>
        <v>9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79</v>
      </c>
      <c r="D90" s="51"/>
      <c r="E90" s="24">
        <f>KALIPAIT!X90+KEDUNGASRI!AD90+KEDUNGGEBANG!AM90+KEDUNGWUNGU!AF90+KENDALREJO!V90+PURWOAGUNG!S90+PURWOASRI!S90+TEGALDLIMO!AF90+WRINGINPITU!AF90</f>
        <v>97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SUM(E81:E90)</f>
        <v>2446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KALIPAIT!X93+KEDUNGASRI!AD93+KEDUNGGEBANG!AM93+KEDUNGWUNGU!AF93+KENDALREJO!V93+PURWOAGUNG!S93+PURWOASRI!S93+TEGALDLIMO!AF93+WRINGINPITU!AF93</f>
        <v>283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49"/>
      <c r="C94" s="50" t="s">
        <v>82</v>
      </c>
      <c r="D94" s="56"/>
      <c r="E94" s="24">
        <f>KALIPAIT!X94+KEDUNGASRI!AD94+KEDUNGGEBANG!AM94+KEDUNGWUNGU!AF94+KENDALREJO!V94+PURWOAGUNG!S94+PURWOASRI!S94+TEGALDLIMO!AF94+WRINGINPITU!AF94</f>
        <v>2173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83</v>
      </c>
      <c r="D95" s="56"/>
      <c r="E95" s="24">
        <f>KALIPAIT!X95+KEDUNGASRI!AD95+KEDUNGGEBANG!AM95+KEDUNGWUNGU!AF95+KENDALREJO!V95+PURWOAGUNG!S95+PURWOASRI!S95+TEGALDLIMO!AF95+WRINGINPITU!AF95</f>
        <v>29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84</v>
      </c>
      <c r="D96" s="56"/>
      <c r="E96" s="24">
        <f>KALIPAIT!X96+KEDUNGASRI!AD96+KEDUNGGEBANG!AM96+KEDUNGWUNGU!AF96+KENDALREJO!V96+PURWOAGUNG!S96+PURWOASRI!S96+TEGALDLIMO!AF96+WRINGINPITU!AF96</f>
        <v>34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85</v>
      </c>
      <c r="D97" s="56"/>
      <c r="E97" s="24">
        <f>KALIPAIT!X97+KEDUNGASRI!AD97+KEDUNGGEBANG!AM97+KEDUNGWUNGU!AF97+KENDALREJO!V97+PURWOAGUNG!S97+PURWOASRI!S97+TEGALDLIMO!AF97+WRINGINPITU!AF97</f>
        <v>23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86</v>
      </c>
      <c r="D98" s="51"/>
      <c r="E98" s="24">
        <f>KALIPAIT!X98+KEDUNGASRI!AD98+KEDUNGGEBANG!AM98+KEDUNGWUNGU!AF98+KENDALREJO!V98+PURWOAGUNG!S98+PURWOASRI!S98+TEGALDLIMO!AF98+WRINGINPITU!AF98</f>
        <v>30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87</v>
      </c>
      <c r="D99" s="51"/>
      <c r="E99" s="24">
        <f>KALIPAIT!X99+KEDUNGASRI!AD99+KEDUNGGEBANG!AM99+KEDUNGWUNGU!AF99+KENDALREJO!V99+PURWOAGUNG!S99+PURWOASRI!S99+TEGALDLIMO!AF99+WRINGINPITU!AF99</f>
        <v>17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49"/>
      <c r="C100" s="50" t="s">
        <v>88</v>
      </c>
      <c r="D100" s="56"/>
      <c r="E100" s="24">
        <f>KALIPAIT!X100+KEDUNGASRI!AD100+KEDUNGGEBANG!AM100+KEDUNGWUNGU!AF100+KENDALREJO!V100+PURWOAGUNG!S100+PURWOASRI!S100+TEGALDLIMO!AF100+WRINGINPITU!AF100</f>
        <v>9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49"/>
      <c r="C101" s="50" t="s">
        <v>89</v>
      </c>
      <c r="D101" s="56"/>
      <c r="E101" s="24">
        <f>KALIPAIT!X101+KEDUNGASRI!AD101+KEDUNGGEBANG!AM101+KEDUNGWUNGU!AF101+KENDALREJO!V101+PURWOAGUNG!S101+PURWOASRI!S101+TEGALDLIMO!AF101+WRINGINPITU!AF101</f>
        <v>6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49"/>
      <c r="C102" s="50" t="s">
        <v>90</v>
      </c>
      <c r="D102" s="56"/>
      <c r="E102" s="24">
        <f>KALIPAIT!X102+KEDUNGASRI!AD102+KEDUNGGEBANG!AM102+KEDUNGWUNGU!AF102+KENDALREJO!V102+PURWOAGUNG!S102+PURWOASRI!S102+TEGALDLIMO!AF102+WRINGINPITU!AF102</f>
        <v>4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SUM(E93:E102)</f>
        <v>2608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KALIPAIT!X105+KEDUNGASRI!AD105+KEDUNGGEBANG!AM105+KEDUNGWUNGU!AF105+KENDALREJO!V105+PURWOAGUNG!S105+PURWOASRI!S105+TEGALDLIMO!AF105+WRINGINPITU!AF105</f>
        <v>102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49"/>
      <c r="C106" s="50" t="s">
        <v>93</v>
      </c>
      <c r="D106" s="51"/>
      <c r="E106" s="24">
        <f>KALIPAIT!X106+KEDUNGASRI!AD106+KEDUNGGEBANG!AM106+KEDUNGWUNGU!AF106+KENDALREJO!V106+PURWOAGUNG!S106+PURWOASRI!S106+TEGALDLIMO!AF106+WRINGINPITU!AF106</f>
        <v>39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94</v>
      </c>
      <c r="D107" s="51"/>
      <c r="E107" s="24">
        <f>KALIPAIT!X107+KEDUNGASRI!AD107+KEDUNGGEBANG!AM107+KEDUNGWUNGU!AF107+KENDALREJO!V107+PURWOAGUNG!S107+PURWOASRI!S107+TEGALDLIMO!AF107+WRINGINPITU!AF107</f>
        <v>18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7"/>
      <c r="C108" s="58"/>
      <c r="D108" s="59"/>
      <c r="E108" s="60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7"/>
      <c r="C109" s="58"/>
      <c r="D109" s="59"/>
      <c r="E109" s="60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7"/>
      <c r="C110" s="58"/>
      <c r="D110" s="59"/>
      <c r="E110" s="60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7"/>
      <c r="C111" s="58"/>
      <c r="D111" s="59"/>
      <c r="E111" s="60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7"/>
      <c r="C112" s="58"/>
      <c r="D112" s="59"/>
      <c r="E112" s="60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8"/>
      <c r="D113" s="59"/>
      <c r="E113" s="6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8"/>
      <c r="D114" s="59"/>
      <c r="E114" s="6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SUM(E105:E114)</f>
        <v>159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KALIPAIT!X117+KEDUNGASRI!AD117+KEDUNGGEBANG!AM117+KEDUNGWUNGU!AF117+KENDALREJO!V117+PURWOAGUNG!S117+PURWOASRI!S117+TEGALDLIMO!AF117+WRINGINPITU!AF117</f>
        <v>125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/>
      <c r="C118" s="50" t="s">
        <v>97</v>
      </c>
      <c r="D118" s="51"/>
      <c r="E118" s="24">
        <f>KALIPAIT!X118+KEDUNGASRI!AD118+KEDUNGGEBANG!AM118+KEDUNGWUNGU!AF118+KENDALREJO!V118+PURWOAGUNG!S118+PURWOASRI!S118+TEGALDLIMO!AF118+WRINGINPITU!AF118</f>
        <v>50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98</v>
      </c>
      <c r="D119" s="51"/>
      <c r="E119" s="24">
        <f>KALIPAIT!X119+KEDUNGASRI!AD119+KEDUNGGEBANG!AM119+KEDUNGWUNGU!AF119+KENDALREJO!V119+PURWOAGUNG!S119+PURWOASRI!S119+TEGALDLIMO!AF119+WRINGINPITU!AF119</f>
        <v>33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99</v>
      </c>
      <c r="D120" s="51"/>
      <c r="E120" s="24">
        <f>KALIPAIT!X120+KEDUNGASRI!AD120+KEDUNGGEBANG!AM120+KEDUNGWUNGU!AF120+KENDALREJO!V120+PURWOAGUNG!S120+PURWOASRI!S120+TEGALDLIMO!AF120+WRINGINPITU!AF120</f>
        <v>25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100</v>
      </c>
      <c r="D121" s="51"/>
      <c r="E121" s="24">
        <f>KALIPAIT!X121+KEDUNGASRI!AD121+KEDUNGGEBANG!AM121+KEDUNGWUNGU!AF121+KENDALREJO!V121+PURWOAGUNG!S121+PURWOASRI!S121+TEGALDLIMO!AF121+WRINGINPITU!AF121</f>
        <v>12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101</v>
      </c>
      <c r="D122" s="51"/>
      <c r="E122" s="24">
        <v>16.0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8"/>
      <c r="D123" s="59"/>
      <c r="E123" s="61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8"/>
      <c r="D124" s="59"/>
      <c r="E124" s="61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8"/>
      <c r="D125" s="59"/>
      <c r="E125" s="61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8"/>
      <c r="D126" s="59"/>
      <c r="E126" s="61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13">
        <f>SUM(E117:E126)</f>
        <v>261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KALIPAIT!X129+KEDUNGASRI!AD129+KEDUNGGEBANG!AM129+KEDUNGWUNGU!AF129+KENDALREJO!V129+PURWOAGUNG!S129+PURWOASRI!S129+TEGALDLIMO!AF129+WRINGINPITU!AF129</f>
        <v>73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49"/>
      <c r="C130" s="50" t="s">
        <v>104</v>
      </c>
      <c r="D130" s="51"/>
      <c r="E130" s="24">
        <f>KALIPAIT!X130+KEDUNGASRI!AD130+KEDUNGGEBANG!AM130+KEDUNGWUNGU!AF130+KENDALREJO!V130+PURWOAGUNG!S130+PURWOASRI!S130+TEGALDLIMO!AF130+WRINGINPITU!AF130</f>
        <v>200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105</v>
      </c>
      <c r="D131" s="51"/>
      <c r="E131" s="24">
        <f>KALIPAIT!X131+KEDUNGASRI!AD131+KEDUNGGEBANG!AM131+KEDUNGWUNGU!AF131+KENDALREJO!V131+PURWOAGUNG!S131+PURWOASRI!S131+TEGALDLIMO!AF131+WRINGINPITU!AF131</f>
        <v>21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106</v>
      </c>
      <c r="D132" s="51"/>
      <c r="E132" s="24">
        <f>KALIPAIT!X132+KEDUNGASRI!AD132+KEDUNGGEBANG!AM132+KEDUNGWUNGU!AF132+KENDALREJO!V132+PURWOAGUNG!S132+PURWOASRI!S132+TEGALDLIMO!AF132+WRINGINPITU!AF132</f>
        <v>13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107</v>
      </c>
      <c r="D133" s="51"/>
      <c r="E133" s="24">
        <f>KALIPAIT!X133+KEDUNGASRI!AD133+KEDUNGGEBANG!AM133+KEDUNGWUNGU!AF133+KENDALREJO!V133+PURWOAGUNG!S133+PURWOASRI!S133+TEGALDLIMO!AF133+WRINGINPITU!AF133</f>
        <v>13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108</v>
      </c>
      <c r="D134" s="51"/>
      <c r="E134" s="24">
        <f>KALIPAIT!X134+KEDUNGASRI!AD134+KEDUNGGEBANG!AM134+KEDUNGWUNGU!AF134+KENDALREJO!V134+PURWOAGUNG!S134+PURWOASRI!S134+TEGALDLIMO!AF134+WRINGINPITU!AF134</f>
        <v>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109</v>
      </c>
      <c r="D135" s="51"/>
      <c r="E135" s="24">
        <f>KALIPAIT!X135+KEDUNGASRI!AD135+KEDUNGGEBANG!AM135+KEDUNGWUNGU!AF135+KENDALREJO!V135+PURWOAGUNG!S135+PURWOASRI!S135+TEGALDLIMO!AF135+WRINGINPITU!AF135</f>
        <v>9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49"/>
      <c r="C136" s="50" t="s">
        <v>110</v>
      </c>
      <c r="D136" s="51"/>
      <c r="E136" s="24">
        <f>KALIPAIT!X136+KEDUNGASRI!AD136+KEDUNGGEBANG!AM136+KEDUNGWUNGU!AF136+KENDALREJO!V136+PURWOAGUNG!S136+PURWOASRI!S136+TEGALDLIMO!AF136+WRINGINPITU!AF136</f>
        <v>7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49"/>
      <c r="C137" s="50" t="s">
        <v>111</v>
      </c>
      <c r="D137" s="51"/>
      <c r="E137" s="24">
        <f>KALIPAIT!X137+KEDUNGASRI!AD137+KEDUNGGEBANG!AM137+KEDUNGWUNGU!AF137+KENDALREJO!V137+PURWOAGUNG!S137+PURWOASRI!S137+TEGALDLIMO!AF137+WRINGINPITU!AF137</f>
        <v>4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49"/>
      <c r="C138" s="50" t="s">
        <v>112</v>
      </c>
      <c r="D138" s="51"/>
      <c r="E138" s="24">
        <f>KALIPAIT!X138+KEDUNGASRI!AD138+KEDUNGGEBANG!AM138+KEDUNGWUNGU!AF138+KENDALREJO!V138+PURWOAGUNG!S138+PURWOASRI!S138+TEGALDLIMO!AF138+WRINGINPITU!AF138</f>
        <v>3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SUM(E129:E138)</f>
        <v>348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KALIPAIT!X141+KEDUNGASRI!AD141+KEDUNGGEBANG!AM141+KEDUNGWUNGU!AF141+KENDALREJO!V141+PURWOAGUNG!S141+PURWOASRI!S141+TEGALDLIMO!AF141+WRINGINPITU!AF141</f>
        <v>10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49"/>
      <c r="C142" s="50" t="s">
        <v>115</v>
      </c>
      <c r="D142" s="51"/>
      <c r="E142" s="24">
        <f>KALIPAIT!X142+KEDUNGASRI!AD142+KEDUNGGEBANG!AM142+KEDUNGWUNGU!AF142+KENDALREJO!V142+PURWOAGUNG!S142+PURWOASRI!S142+TEGALDLIMO!AF142+WRINGINPITU!AF142</f>
        <v>10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116</v>
      </c>
      <c r="D143" s="51"/>
      <c r="E143" s="24">
        <f>KALIPAIT!X143+KEDUNGASRI!AD143+KEDUNGGEBANG!AM143+KEDUNGWUNGU!AF143+KENDALREJO!V143+PURWOAGUNG!S143+PURWOASRI!S143+TEGALDLIMO!AF143+WRINGINPITU!AF143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117</v>
      </c>
      <c r="D144" s="51"/>
      <c r="E144" s="24">
        <f>KALIPAIT!X144+KEDUNGASRI!AD144+KEDUNGGEBANG!AM144+KEDUNGWUNGU!AF144+KENDALREJO!V144+PURWOAGUNG!S144+PURWOASRI!S144+TEGALDLIMO!AF144+WRINGINPITU!AF144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7"/>
      <c r="C145" s="58"/>
      <c r="D145" s="59"/>
      <c r="E145" s="60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7"/>
      <c r="C146" s="58"/>
      <c r="D146" s="59"/>
      <c r="E146" s="60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7"/>
      <c r="C147" s="58"/>
      <c r="D147" s="59"/>
      <c r="E147" s="60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7"/>
      <c r="C148" s="58"/>
      <c r="D148" s="59"/>
      <c r="E148" s="60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8"/>
      <c r="D149" s="59"/>
      <c r="E149" s="6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8"/>
      <c r="D150" s="59"/>
      <c r="E150" s="6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v>24.0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2" t="s">
        <v>119</v>
      </c>
      <c r="D153" s="23"/>
      <c r="E153" s="24">
        <f>KALIPAIT!X153+KEDUNGASRI!AD153+KEDUNGGEBANG!AM153+KEDUNGWUNGU!AF153+KENDALREJO!V153+PURWOAGUNG!S153+PURWOASRI!S153+TEGALDLIMO!AF153+WRINGINPITU!AF153</f>
        <v>26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3" t="s">
        <v>39</v>
      </c>
      <c r="B154" s="49"/>
      <c r="C154" s="50" t="s">
        <v>120</v>
      </c>
      <c r="D154" s="51"/>
      <c r="E154" s="24">
        <f>KALIPAIT!X154+KEDUNGASRI!AD154+KEDUNGGEBANG!AM154+KEDUNGWUNGU!AF154+KENDALREJO!V154+PURWOAGUNG!S154+PURWOASRI!S154+TEGALDLIMO!AF154+WRINGINPITU!AF154</f>
        <v>29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121</v>
      </c>
      <c r="D155" s="51"/>
      <c r="E155" s="24">
        <f>KALIPAIT!X155+KEDUNGASRI!AD155+KEDUNGGEBANG!AM155+KEDUNGWUNGU!AF155+KENDALREJO!V155+PURWOAGUNG!S155+PURWOASRI!S155+TEGALDLIMO!AF155+WRINGINPITU!AF155</f>
        <v>20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122</v>
      </c>
      <c r="D156" s="51"/>
      <c r="E156" s="24">
        <f>KALIPAIT!X156+KEDUNGASRI!AD156+KEDUNGGEBANG!AM156+KEDUNGWUNGU!AF156+KENDALREJO!V156+PURWOAGUNG!S156+PURWOASRI!S156+TEGALDLIMO!AF156+WRINGINPITU!AF156</f>
        <v>17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123</v>
      </c>
      <c r="D157" s="51"/>
      <c r="E157" s="24">
        <f>KALIPAIT!X157+KEDUNGASRI!AD157+KEDUNGGEBANG!AM157+KEDUNGWUNGU!AF157+KENDALREJO!V157+PURWOAGUNG!S157+PURWOASRI!S157+TEGALDLIMO!AF157+WRINGINPITU!AF157</f>
        <v>93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124</v>
      </c>
      <c r="D158" s="51"/>
      <c r="E158" s="24">
        <f>KALIPAIT!X158+KEDUNGASRI!AD158+KEDUNGGEBANG!AM158+KEDUNGWUNGU!AF158+KENDALREJO!V158+PURWOAGUNG!S158+PURWOASRI!S158+TEGALDLIMO!AF158+WRINGINPITU!AF158</f>
        <v>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125</v>
      </c>
      <c r="D159" s="51"/>
      <c r="E159" s="24">
        <f>KALIPAIT!X159+KEDUNGASRI!AD159+KEDUNGGEBANG!AM159+KEDUNGWUNGU!AF159+KENDALREJO!V159+PURWOAGUNG!S159+PURWOASRI!S159+TEGALDLIMO!AF159+WRINGINPITU!AF159</f>
        <v>34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49"/>
      <c r="C160" s="50" t="s">
        <v>126</v>
      </c>
      <c r="D160" s="51"/>
      <c r="E160" s="24">
        <f>KALIPAIT!X160+KEDUNGASRI!AD160+KEDUNGGEBANG!AM160+KEDUNGWUNGU!AF160+KENDALREJO!V160+PURWOAGUNG!S160+PURWOASRI!S160+TEGALDLIMO!AF160+WRINGINPITU!AF160</f>
        <v>24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4"/>
      <c r="D161" s="59"/>
      <c r="E161" s="60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4"/>
      <c r="D162" s="59"/>
      <c r="E162" s="61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5" t="s">
        <v>49</v>
      </c>
      <c r="C163" s="44"/>
      <c r="D163" s="28"/>
      <c r="E163" s="13">
        <f>SUM(E153:E162)</f>
        <v>243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KALIPAIT!X165+KEDUNGASRI!AD165+KEDUNGGEBANG!AM165+KEDUNGWUNGU!AF165+KENDALREJO!V165+PURWOAGUNG!S165+PURWOASRI!S165+TEGALDLIMO!AF165+WRINGINPITU!AF165</f>
        <v>46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49"/>
      <c r="C166" s="50" t="s">
        <v>129</v>
      </c>
      <c r="D166" s="51"/>
      <c r="E166" s="24">
        <f>KALIPAIT!X166+KEDUNGASRI!AD166+KEDUNGGEBANG!AM166+KEDUNGWUNGU!AF166+KENDALREJO!V166+PURWOAGUNG!S166+PURWOASRI!S166+TEGALDLIMO!AF166+WRINGINPITU!AF166</f>
        <v>38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7"/>
      <c r="C167" s="58"/>
      <c r="D167" s="59"/>
      <c r="E167" s="60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7"/>
      <c r="C168" s="58"/>
      <c r="D168" s="59"/>
      <c r="E168" s="60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7"/>
      <c r="C169" s="58"/>
      <c r="D169" s="59"/>
      <c r="E169" s="60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7"/>
      <c r="C170" s="58"/>
      <c r="D170" s="59"/>
      <c r="E170" s="60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7"/>
      <c r="C171" s="58"/>
      <c r="D171" s="59"/>
      <c r="E171" s="60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7"/>
      <c r="C172" s="58"/>
      <c r="D172" s="59"/>
      <c r="E172" s="60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7"/>
      <c r="C173" s="58"/>
      <c r="D173" s="59"/>
      <c r="E173" s="6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7"/>
      <c r="C174" s="58"/>
      <c r="D174" s="59"/>
      <c r="E174" s="6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SUM(E165:E174)</f>
        <v>84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KALIPAIT!X177+KEDUNGASRI!AD177+KEDUNGGEBANG!AM177+KEDUNGWUNGU!AF177+KENDALREJO!V177+PURWOAGUNG!S177+PURWOASRI!S177+TEGALDLIMO!AF177+WRINGINPITU!AF177</f>
        <v>93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49"/>
      <c r="C178" s="50" t="s">
        <v>132</v>
      </c>
      <c r="D178" s="51"/>
      <c r="E178" s="24">
        <f>KALIPAIT!X178+KEDUNGASRI!AD178+KEDUNGGEBANG!AM178+KEDUNGWUNGU!AF178+KENDALREJO!V178+PURWOAGUNG!S178+PURWOASRI!S178+TEGALDLIMO!AF178+WRINGINPITU!AF178</f>
        <v>290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133</v>
      </c>
      <c r="D179" s="51"/>
      <c r="E179" s="24">
        <f>KALIPAIT!X179+KEDUNGASRI!AD179+KEDUNGGEBANG!AM179+KEDUNGWUNGU!AF179+KENDALREJO!V179+PURWOAGUNG!S179+PURWOASRI!S179+TEGALDLIMO!AF179+WRINGINPITU!AF179</f>
        <v>19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134</v>
      </c>
      <c r="D180" s="51"/>
      <c r="E180" s="24">
        <f>KALIPAIT!X180+KEDUNGASRI!AD180+KEDUNGGEBANG!AM180+KEDUNGWUNGU!AF180+KENDALREJO!V180+PURWOAGUNG!S180+PURWOASRI!S180+TEGALDLIMO!AF180+WRINGINPITU!AF180</f>
        <v>65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135</v>
      </c>
      <c r="D181" s="51"/>
      <c r="E181" s="24">
        <f>KALIPAIT!X181+KEDUNGASRI!AD181+KEDUNGGEBANG!AM181+KEDUNGWUNGU!AF181+KENDALREJO!V181+PURWOAGUNG!S181+PURWOASRI!S181+TEGALDLIMO!AF181+WRINGINPITU!AF181</f>
        <v>26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49"/>
      <c r="C182" s="50" t="s">
        <v>136</v>
      </c>
      <c r="D182" s="51"/>
      <c r="E182" s="24">
        <f>KALIPAIT!X182+KEDUNGASRI!AD182+KEDUNGGEBANG!AM182+KEDUNGWUNGU!AF182+KENDALREJO!V182+PURWOAGUNG!S182+PURWOASRI!S182+TEGALDLIMO!AF182+WRINGINPITU!AF182</f>
        <v>22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49"/>
      <c r="C183" s="50" t="s">
        <v>137</v>
      </c>
      <c r="D183" s="51"/>
      <c r="E183" s="24">
        <f>KALIPAIT!X183+KEDUNGASRI!AD183+KEDUNGGEBANG!AM183+KEDUNGWUNGU!AF183+KENDALREJO!V183+PURWOAGUNG!S183+PURWOASRI!S183+TEGALDLIMO!AF183+WRINGINPITU!AF183</f>
        <v>14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49"/>
      <c r="C184" s="50" t="s">
        <v>138</v>
      </c>
      <c r="D184" s="51"/>
      <c r="E184" s="24">
        <f>KALIPAIT!X184+KEDUNGASRI!AD184+KEDUNGGEBANG!AM184+KEDUNGWUNGU!AF184+KENDALREJO!V184+PURWOAGUNG!S184+PURWOASRI!S184+TEGALDLIMO!AF184+WRINGINPITU!AF184</f>
        <v>12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49"/>
      <c r="C185" s="50" t="s">
        <v>139</v>
      </c>
      <c r="D185" s="51"/>
      <c r="E185" s="24">
        <f>KALIPAIT!X185+KEDUNGASRI!AD185+KEDUNGGEBANG!AM185+KEDUNGWUNGU!AF185+KENDALREJO!V185+PURWOAGUNG!S185+PURWOASRI!S185+TEGALDLIMO!AF185+WRINGINPITU!AF185</f>
        <v>9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49"/>
      <c r="C186" s="50" t="s">
        <v>140</v>
      </c>
      <c r="D186" s="51"/>
      <c r="E186" s="24">
        <f>KALIPAIT!X186+KEDUNGASRI!AD186+KEDUNGGEBANG!AM186+KEDUNGWUNGU!AF186+KENDALREJO!V186+PURWOAGUNG!S186+PURWOASRI!S186+TEGALDLIMO!AF186+WRINGINPITU!AF186</f>
        <v>8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SUM(E177:E186)</f>
        <v>558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KALIPAIT!X189+KEDUNGASRI!AD189+KEDUNGGEBANG!AM189+KEDUNGWUNGU!AF189+KENDALREJO!V189+PURWOAGUNG!S189+PURWOASRI!S189+TEGALDLIMO!AF189+WRINGINPITU!AF189</f>
        <v>23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49"/>
      <c r="C190" s="50" t="s">
        <v>143</v>
      </c>
      <c r="D190" s="51"/>
      <c r="E190" s="24">
        <f>KALIPAIT!X190+KEDUNGASRI!AD190+KEDUNGGEBANG!AM190+KEDUNGWUNGU!AF190+KENDALREJO!V190+PURWOAGUNG!S190+PURWOASRI!S190+TEGALDLIMO!AF190+WRINGINPITU!AF190</f>
        <v>15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144</v>
      </c>
      <c r="D191" s="51"/>
      <c r="E191" s="24">
        <f>KALIPAIT!X191+KEDUNGASRI!AD191+KEDUNGGEBANG!AM191+KEDUNGWUNGU!AF191+KENDALREJO!V191+PURWOAGUNG!S191+PURWOASRI!S191+TEGALDLIMO!AF191+WRINGINPITU!AF191</f>
        <v>18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145</v>
      </c>
      <c r="D192" s="51"/>
      <c r="E192" s="24">
        <f>KALIPAIT!X192+KEDUNGASRI!AD192+KEDUNGGEBANG!AM192+KEDUNGWUNGU!AF192+KENDALREJO!V192+PURWOAGUNG!S192+PURWOASRI!S192+TEGALDLIMO!AF192+WRINGINPITU!AF192</f>
        <v>19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146</v>
      </c>
      <c r="D193" s="51"/>
      <c r="E193" s="24">
        <f>KALIPAIT!X193+KEDUNGASRI!AD193+KEDUNGGEBANG!AM193+KEDUNGWUNGU!AF193+KENDALREJO!V193+PURWOAGUNG!S193+PURWOASRI!S193+TEGALDLIMO!AF193+WRINGINPITU!AF193</f>
        <v>5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147</v>
      </c>
      <c r="D194" s="51"/>
      <c r="E194" s="24">
        <f>KALIPAIT!X194+KEDUNGASRI!AD194+KEDUNGGEBANG!AM194+KEDUNGWUNGU!AF194+KENDALREJO!V194+PURWOAGUNG!S194+PURWOASRI!S194+TEGALDLIMO!AF194+WRINGINPITU!AF194</f>
        <v>6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148</v>
      </c>
      <c r="D195" s="51"/>
      <c r="E195" s="24">
        <f>KALIPAIT!X195+KEDUNGASRI!AD195+KEDUNGGEBANG!AM195+KEDUNGWUNGU!AF195+KENDALREJO!V195+PURWOAGUNG!S195+PURWOASRI!S195+TEGALDLIMO!AF195+WRINGINPITU!AF195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49"/>
      <c r="C196" s="50" t="s">
        <v>149</v>
      </c>
      <c r="D196" s="51"/>
      <c r="E196" s="24">
        <f>KALIPAIT!X196+KEDUNGASRI!AD196+KEDUNGGEBANG!AM196+KEDUNGWUNGU!AF196+KENDALREJO!V196+PURWOAGUNG!S196+PURWOASRI!S196+TEGALDLIMO!AF196+WRINGINPITU!AF196</f>
        <v>8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49"/>
      <c r="C197" s="50" t="s">
        <v>150</v>
      </c>
      <c r="D197" s="51"/>
      <c r="E197" s="24">
        <f>KALIPAIT!X197+KEDUNGASRI!AD197+KEDUNGGEBANG!AM197+KEDUNGWUNGU!AF197+KENDALREJO!V197+PURWOAGUNG!S197+PURWOASRI!S197+TEGALDLIMO!AF197+WRINGINPITU!AF197</f>
        <v>9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49"/>
      <c r="C198" s="50" t="s">
        <v>151</v>
      </c>
      <c r="D198" s="51"/>
      <c r="E198" s="24">
        <f>KALIPAIT!X198+KEDUNGASRI!AD198+KEDUNGGEBANG!AM198+KEDUNGWUNGU!AF198+KENDALREJO!V198+PURWOAGUNG!S198+PURWOASRI!S198+TEGALDLIMO!AF198+WRINGINPITU!AF198</f>
        <v>3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SUM(E189:E198)</f>
        <v>108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KALIPAIT!X201+KEDUNGASRI!AD201+KEDUNGGEBANG!AM201+KEDUNGWUNGU!AF201+KENDALREJO!V201+PURWOAGUNG!S201+PURWOASRI!S201+TEGALDLIMO!AF201+WRINGINPITU!AF201</f>
        <v>938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49"/>
      <c r="C202" s="50" t="s">
        <v>154</v>
      </c>
      <c r="D202" s="51"/>
      <c r="E202" s="24">
        <f>KALIPAIT!X202+KEDUNGASRI!AD202+KEDUNGGEBANG!AM202+KEDUNGWUNGU!AF202+KENDALREJO!V202+PURWOAGUNG!S202+PURWOASRI!S202+TEGALDLIMO!AF202+WRINGINPITU!AF202</f>
        <v>6993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155</v>
      </c>
      <c r="D203" s="51"/>
      <c r="E203" s="24">
        <f>KALIPAIT!X203+KEDUNGASRI!AD203+KEDUNGGEBANG!AM203+KEDUNGWUNGU!AF203+KENDALREJO!V203+PURWOAGUNG!S203+PURWOASRI!S203+TEGALDLIMO!AF203+WRINGINPITU!AF203</f>
        <v>523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156</v>
      </c>
      <c r="D204" s="51"/>
      <c r="E204" s="24">
        <f>KALIPAIT!X204+KEDUNGASRI!AD204+KEDUNGGEBANG!AM204+KEDUNGWUNGU!AF204+KENDALREJO!V204+PURWOAGUNG!S204+PURWOASRI!S204+TEGALDLIMO!AF204+WRINGINPITU!AF204</f>
        <v>74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157</v>
      </c>
      <c r="D205" s="51"/>
      <c r="E205" s="24">
        <f>KALIPAIT!X205+KEDUNGASRI!AD205+KEDUNGGEBANG!AM205+KEDUNGWUNGU!AF205+KENDALREJO!V205+PURWOAGUNG!S205+PURWOASRI!S205+TEGALDLIMO!AF205+WRINGINPITU!AF205</f>
        <v>44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158</v>
      </c>
      <c r="D206" s="51"/>
      <c r="E206" s="24">
        <f>KALIPAIT!X206+KEDUNGASRI!AD206+KEDUNGGEBANG!AM206+KEDUNGWUNGU!AF206+KENDALREJO!V206+PURWOAGUNG!S206+PURWOASRI!S206+TEGALDLIMO!AF206+WRINGINPITU!AF206</f>
        <v>20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159</v>
      </c>
      <c r="D207" s="51"/>
      <c r="E207" s="24">
        <f>KALIPAIT!X207+KEDUNGASRI!AD207+KEDUNGGEBANG!AM207+KEDUNGWUNGU!AF207+KENDALREJO!V207+PURWOAGUNG!S207+PURWOASRI!S207+TEGALDLIMO!AF207+WRINGINPITU!AF207</f>
        <v>87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49"/>
      <c r="C208" s="50" t="s">
        <v>160</v>
      </c>
      <c r="D208" s="51"/>
      <c r="E208" s="24">
        <f>KALIPAIT!X208+KEDUNGASRI!AD208+KEDUNGGEBANG!AM208+KEDUNGWUNGU!AF208+KENDALREJO!V208+PURWOAGUNG!S208+PURWOASRI!S208+TEGALDLIMO!AF208+WRINGINPITU!AF208</f>
        <v>62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49"/>
      <c r="C209" s="50" t="s">
        <v>161</v>
      </c>
      <c r="D209" s="51"/>
      <c r="E209" s="24">
        <f>KALIPAIT!X209+KEDUNGASRI!AD209+KEDUNGGEBANG!AM209+KEDUNGWUNGU!AF209+KENDALREJO!V209+PURWOAGUNG!S209+PURWOASRI!S209+TEGALDLIMO!AF209+WRINGINPITU!AF209</f>
        <v>5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49"/>
      <c r="C210" s="50" t="s">
        <v>162</v>
      </c>
      <c r="D210" s="51"/>
      <c r="E210" s="24">
        <f>KALIPAIT!X210+KEDUNGASRI!AD210+KEDUNGGEBANG!AM210+KEDUNGWUNGU!AF210+KENDALREJO!V210+PURWOAGUNG!S210+PURWOASRI!S210+TEGALDLIMO!AF210+WRINGINPITU!AF210</f>
        <v>36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SUM(E201:E210)</f>
        <v>8782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KALIPAIT!X213+KEDUNGASRI!AD213+KEDUNGGEBANG!AM213+KEDUNGWUNGU!AF213+KENDALREJO!V213+PURWOAGUNG!S213+PURWOASRI!S213+TEGALDLIMO!AF213+WRINGINPITU!AF213</f>
        <v>200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49"/>
      <c r="C214" s="50" t="s">
        <v>165</v>
      </c>
      <c r="D214" s="51"/>
      <c r="E214" s="24">
        <f>KALIPAIT!X214+KEDUNGASRI!AD214+KEDUNGGEBANG!AM214+KEDUNGWUNGU!AF214+KENDALREJO!V214+PURWOAGUNG!S214+PURWOASRI!S214+TEGALDLIMO!AF214+WRINGINPITU!AF214</f>
        <v>114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9"/>
      <c r="C215" s="50" t="s">
        <v>166</v>
      </c>
      <c r="D215" s="51"/>
      <c r="E215" s="24">
        <f>KALIPAIT!X215+KEDUNGASRI!AD215+KEDUNGGEBANG!AM215+KEDUNGWUNGU!AF215+KENDALREJO!V215+PURWOAGUNG!S215+PURWOASRI!S215+TEGALDLIMO!AF215+WRINGINPITU!AF215</f>
        <v>136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49"/>
      <c r="C216" s="50" t="s">
        <v>167</v>
      </c>
      <c r="D216" s="51"/>
      <c r="E216" s="24">
        <f>KALIPAIT!X216+KEDUNGASRI!AD216+KEDUNGGEBANG!AM216+KEDUNGWUNGU!AF216+KENDALREJO!V216+PURWOAGUNG!S216+PURWOASRI!S216+TEGALDLIMO!AF216+WRINGINPITU!AF216</f>
        <v>37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7"/>
      <c r="C217" s="58"/>
      <c r="D217" s="66"/>
      <c r="E217" s="60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7"/>
      <c r="C218" s="58"/>
      <c r="D218" s="66"/>
      <c r="E218" s="60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7"/>
      <c r="C219" s="58"/>
      <c r="D219" s="66"/>
      <c r="E219" s="60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7"/>
      <c r="C220" s="58"/>
      <c r="D220" s="66"/>
      <c r="E220" s="60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8"/>
      <c r="D221" s="66"/>
      <c r="E221" s="6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8"/>
      <c r="D222" s="66"/>
      <c r="E222" s="6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SUM(E213:E222)</f>
        <v>487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KALIPAIT!X225+KEDUNGASRI!AD225+KEDUNGGEBANG!AM225+KEDUNGWUNGU!AF225+KENDALREJO!V225+PURWOAGUNG!S225+PURWOASRI!S225+TEGALDLIMO!AF225+WRINGINPITU!AF225</f>
        <v>58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49"/>
      <c r="C226" s="50" t="s">
        <v>170</v>
      </c>
      <c r="D226" s="51"/>
      <c r="E226" s="24">
        <f>KALIPAIT!X226+KEDUNGASRI!AD226+KEDUNGGEBANG!AM226+KEDUNGWUNGU!AF226+KENDALREJO!V226+PURWOAGUNG!S226+PURWOASRI!S226+TEGALDLIMO!AF226+WRINGINPITU!AF226</f>
        <v>83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9"/>
      <c r="C227" s="50" t="s">
        <v>171</v>
      </c>
      <c r="D227" s="51"/>
      <c r="E227" s="24">
        <f>KALIPAIT!X227+KEDUNGASRI!AD227+KEDUNGGEBANG!AM227+KEDUNGWUNGU!AF227+KENDALREJO!V227+PURWOAGUNG!S227+PURWOASRI!S227+TEGALDLIMO!AF227+WRINGINPITU!AF227</f>
        <v>11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9"/>
      <c r="C228" s="50" t="s">
        <v>172</v>
      </c>
      <c r="D228" s="51"/>
      <c r="E228" s="24">
        <f>KALIPAIT!X228+KEDUNGASRI!AD228+KEDUNGGEBANG!AM228+KEDUNGWUNGU!AF228+KENDALREJO!V228+PURWOAGUNG!S228+PURWOASRI!S228+TEGALDLIMO!AF228+WRINGINPITU!AF228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49"/>
      <c r="C229" s="50" t="s">
        <v>173</v>
      </c>
      <c r="D229" s="51"/>
      <c r="E229" s="24">
        <f>KALIPAIT!X229+KEDUNGASRI!AD229+KEDUNGGEBANG!AM229+KEDUNGWUNGU!AF229+KENDALREJO!V229+PURWOAGUNG!S229+PURWOASRI!S229+TEGALDLIMO!AF229+WRINGINPITU!AF229</f>
        <v>9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7"/>
      <c r="C230" s="58"/>
      <c r="D230" s="59"/>
      <c r="E230" s="60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7"/>
      <c r="C231" s="58"/>
      <c r="D231" s="59"/>
      <c r="E231" s="60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7"/>
      <c r="C232" s="58"/>
      <c r="D232" s="59"/>
      <c r="E232" s="60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8"/>
      <c r="D233" s="59"/>
      <c r="E233" s="6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8"/>
      <c r="D234" s="59"/>
      <c r="E234" s="6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SUM(E225:E234)</f>
        <v>164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KALIPAIT!X237+KEDUNGASRI!AD237+KEDUNGGEBANG!AM237+KEDUNGWUNGU!AF237+KENDALREJO!V237+PURWOAGUNG!S237+PURWOASRI!S237+TEGALDLIMO!AF237+WRINGINPITU!AF237</f>
        <v>390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49"/>
      <c r="C238" s="50" t="s">
        <v>176</v>
      </c>
      <c r="D238" s="51"/>
      <c r="E238" s="24">
        <f>KALIPAIT!X238+KEDUNGASRI!AD238+KEDUNGGEBANG!AM238+KEDUNGWUNGU!AF238+KENDALREJO!V238+PURWOAGUNG!S238+PURWOASRI!S238+TEGALDLIMO!AF238+WRINGINPITU!AF238</f>
        <v>243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177</v>
      </c>
      <c r="D239" s="51"/>
      <c r="E239" s="24">
        <f>KALIPAIT!X239+KEDUNGASRI!AD239+KEDUNGGEBANG!AM239+KEDUNGWUNGU!AF239+KENDALREJO!V239+PURWOAGUNG!S239+PURWOASRI!S239+TEGALDLIMO!AF239+WRINGINPITU!AF239</f>
        <v>639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178</v>
      </c>
      <c r="D240" s="51"/>
      <c r="E240" s="24">
        <f>KALIPAIT!X240+KEDUNGASRI!AD240+KEDUNGGEBANG!AM240+KEDUNGWUNGU!AF240+KENDALREJO!V240+PURWOAGUNG!S240+PURWOASRI!S240+TEGALDLIMO!AF240+WRINGINPITU!AF240</f>
        <v>42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179</v>
      </c>
      <c r="D241" s="51"/>
      <c r="E241" s="24">
        <f>KALIPAIT!X241+KEDUNGASRI!AD241+KEDUNGGEBANG!AM241+KEDUNGWUNGU!AF241+KENDALREJO!V241+PURWOAGUNG!S241+PURWOASRI!S241+TEGALDLIMO!AF241+WRINGINPITU!AF241</f>
        <v>45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180</v>
      </c>
      <c r="D242" s="51"/>
      <c r="E242" s="24">
        <f>KALIPAIT!X242+KEDUNGASRI!AD242+KEDUNGGEBANG!AM242+KEDUNGWUNGU!AF242+KENDALREJO!V242+PURWOAGUNG!S242+PURWOASRI!S242+TEGALDLIMO!AF242+WRINGINPITU!AF242</f>
        <v>290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181</v>
      </c>
      <c r="D243" s="51"/>
      <c r="E243" s="24">
        <f>KALIPAIT!X243+KEDUNGASRI!AD243+KEDUNGGEBANG!AM243+KEDUNGWUNGU!AF243+KENDALREJO!V243+PURWOAGUNG!S243+PURWOASRI!S243+TEGALDLIMO!AF243+WRINGINPITU!AF243</f>
        <v>102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49"/>
      <c r="C244" s="50" t="s">
        <v>182</v>
      </c>
      <c r="D244" s="51"/>
      <c r="E244" s="24">
        <f>KALIPAIT!X244+KEDUNGASRI!AD244+KEDUNGGEBANG!AM244+KEDUNGWUNGU!AF244+KENDALREJO!V244+PURWOAGUNG!S244+PURWOASRI!S244+TEGALDLIMO!AF244+WRINGINPITU!AF244</f>
        <v>100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49"/>
      <c r="C245" s="50" t="s">
        <v>183</v>
      </c>
      <c r="D245" s="51"/>
      <c r="E245" s="24">
        <f>KALIPAIT!X245+KEDUNGASRI!AD245+KEDUNGGEBANG!AM245+KEDUNGWUNGU!AF245+KENDALREJO!V245+PURWOAGUNG!S245+PURWOASRI!S245+TEGALDLIMO!AF245+WRINGINPITU!AF245</f>
        <v>20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49"/>
      <c r="C246" s="50" t="s">
        <v>184</v>
      </c>
      <c r="D246" s="51"/>
      <c r="E246" s="24">
        <f>KALIPAIT!X246+KEDUNGASRI!AD246+KEDUNGGEBANG!AM246+KEDUNGWUNGU!AF246+KENDALREJO!V246+PURWOAGUNG!S246+PURWOASRI!S246+TEGALDLIMO!AF246+WRINGINPITU!AF246</f>
        <v>102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SUM(E237:E246)</f>
        <v>1973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KALIPAIT!X249+KEDUNGASRI!AD249+KEDUNGGEBANG!AM249+KEDUNGWUNGU!AF249+KENDALREJO!V249+PURWOAGUNG!S249+PURWOASRI!S249+TEGALDLIMO!AF249+WRINGINPITU!AF249</f>
        <v>35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49"/>
      <c r="C250" s="50" t="s">
        <v>187</v>
      </c>
      <c r="D250" s="51"/>
      <c r="E250" s="24">
        <f>KALIPAIT!X250+KEDUNGASRI!AD250+KEDUNGGEBANG!AM250+KEDUNGWUNGU!AF250+KENDALREJO!V250+PURWOAGUNG!S250+PURWOASRI!S250+TEGALDLIMO!AF250+WRINGINPITU!AF250</f>
        <v>87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49"/>
      <c r="C251" s="50" t="s">
        <v>188</v>
      </c>
      <c r="D251" s="51"/>
      <c r="E251" s="24">
        <f>KALIPAIT!X251+KEDUNGASRI!AD251+KEDUNGGEBANG!AM251+KEDUNGWUNGU!AF251+KENDALREJO!V251+PURWOAGUNG!S251+PURWOASRI!S251+TEGALDLIMO!AF251+WRINGINPITU!AF251</f>
        <v>10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49"/>
      <c r="C252" s="50" t="s">
        <v>189</v>
      </c>
      <c r="D252" s="51"/>
      <c r="E252" s="24">
        <f>KALIPAIT!X252+KEDUNGASRI!AD252+KEDUNGGEBANG!AM252+KEDUNGWUNGU!AF252+KENDALREJO!V252+PURWOAGUNG!S252+PURWOASRI!S252+TEGALDLIMO!AF252+WRINGINPITU!AF252</f>
        <v>4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7"/>
      <c r="C253" s="67"/>
      <c r="D253" s="59"/>
      <c r="E253" s="60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7"/>
      <c r="C254" s="67"/>
      <c r="D254" s="59"/>
      <c r="E254" s="60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7"/>
      <c r="C255" s="67"/>
      <c r="D255" s="59"/>
      <c r="E255" s="60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4"/>
      <c r="D256" s="59"/>
      <c r="E256" s="6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4"/>
      <c r="D257" s="59"/>
      <c r="E257" s="6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4"/>
      <c r="D258" s="59"/>
      <c r="E258" s="6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SUM(E249:E258)</f>
        <v>136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192</v>
      </c>
      <c r="C262" s="69" t="s">
        <v>193</v>
      </c>
      <c r="D262" s="16"/>
      <c r="E262" s="24">
        <f>KALIPAIT!X262+KEDUNGASRI!AD262+KEDUNGGEBANG!AM262+KEDUNGWUNGU!AF262+KENDALREJO!V262+PURWOAGUNG!S262+PURWOASRI!S262+TEGALDLIMO!AF262+WRINGINPITU!AF262</f>
        <v>38188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194</v>
      </c>
      <c r="C263" s="69" t="s">
        <v>195</v>
      </c>
      <c r="D263" s="16"/>
      <c r="E263" s="24">
        <f>KALIPAIT!X263+KEDUNGASRI!AD263+KEDUNGGEBANG!AM263+KEDUNGWUNGU!AF263+KENDALREJO!V263+PURWOAGUNG!S263+PURWOASRI!S263+TEGALDLIMO!AF263+WRINGINPITU!AF263</f>
        <v>3974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196</v>
      </c>
      <c r="C264" s="69" t="s">
        <v>197</v>
      </c>
      <c r="D264" s="16"/>
      <c r="E264" s="13">
        <f>SUM(E262:E263)</f>
        <v>42162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73">
        <v>120.0</v>
      </c>
      <c r="F14" s="73">
        <v>126.0</v>
      </c>
      <c r="G14" s="73">
        <v>116.0</v>
      </c>
      <c r="H14" s="73">
        <v>132.0</v>
      </c>
      <c r="I14" s="73">
        <v>127.0</v>
      </c>
      <c r="J14" s="73">
        <v>120.0</v>
      </c>
      <c r="K14" s="73">
        <v>130.0</v>
      </c>
      <c r="L14" s="73">
        <v>135.0</v>
      </c>
      <c r="M14" s="73">
        <v>143.0</v>
      </c>
      <c r="N14" s="73">
        <v>139.0</v>
      </c>
      <c r="O14" s="73">
        <v>138.0</v>
      </c>
      <c r="P14" s="73">
        <v>127.0</v>
      </c>
      <c r="Q14" s="73">
        <v>144.0</v>
      </c>
      <c r="R14" s="73">
        <v>134.0</v>
      </c>
      <c r="S14" s="73">
        <v>128.0</v>
      </c>
      <c r="T14" s="73">
        <v>125.0</v>
      </c>
      <c r="U14" s="73">
        <v>107.0</v>
      </c>
      <c r="V14" s="73">
        <v>136.0</v>
      </c>
      <c r="W14" s="73">
        <v>128.0</v>
      </c>
      <c r="X14" s="13">
        <f t="shared" ref="X14:X16" si="1">SUM(E14:W14)</f>
        <v>2455</v>
      </c>
    </row>
    <row r="15" ht="12.75" customHeight="1">
      <c r="A15" s="18"/>
      <c r="B15" s="26"/>
      <c r="C15" s="27"/>
      <c r="D15" s="19" t="s">
        <v>13</v>
      </c>
      <c r="E15" s="73">
        <v>130.0</v>
      </c>
      <c r="F15" s="73">
        <v>121.0</v>
      </c>
      <c r="G15" s="73">
        <v>128.0</v>
      </c>
      <c r="H15" s="73">
        <v>134.0</v>
      </c>
      <c r="I15" s="73">
        <v>133.0</v>
      </c>
      <c r="J15" s="73">
        <v>126.0</v>
      </c>
      <c r="K15" s="73">
        <v>121.0</v>
      </c>
      <c r="L15" s="73">
        <v>127.0</v>
      </c>
      <c r="M15" s="73">
        <v>116.0</v>
      </c>
      <c r="N15" s="73">
        <v>126.0</v>
      </c>
      <c r="O15" s="73">
        <v>135.0</v>
      </c>
      <c r="P15" s="73">
        <v>141.0</v>
      </c>
      <c r="Q15" s="73">
        <v>130.0</v>
      </c>
      <c r="R15" s="73">
        <v>117.0</v>
      </c>
      <c r="S15" s="73">
        <v>123.0</v>
      </c>
      <c r="T15" s="73">
        <v>119.0</v>
      </c>
      <c r="U15" s="73">
        <v>132.0</v>
      </c>
      <c r="V15" s="73">
        <v>130.0</v>
      </c>
      <c r="W15" s="73">
        <v>123.0</v>
      </c>
      <c r="X15" s="13">
        <f t="shared" si="1"/>
        <v>2412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250</v>
      </c>
      <c r="F16" s="13">
        <f t="shared" si="2"/>
        <v>247</v>
      </c>
      <c r="G16" s="13">
        <f t="shared" si="2"/>
        <v>244</v>
      </c>
      <c r="H16" s="13">
        <f t="shared" si="2"/>
        <v>266</v>
      </c>
      <c r="I16" s="13">
        <f t="shared" si="2"/>
        <v>260</v>
      </c>
      <c r="J16" s="13">
        <f t="shared" si="2"/>
        <v>246</v>
      </c>
      <c r="K16" s="13">
        <f t="shared" si="2"/>
        <v>251</v>
      </c>
      <c r="L16" s="13">
        <f t="shared" si="2"/>
        <v>262</v>
      </c>
      <c r="M16" s="13">
        <f t="shared" si="2"/>
        <v>259</v>
      </c>
      <c r="N16" s="13">
        <f t="shared" si="2"/>
        <v>265</v>
      </c>
      <c r="O16" s="13">
        <f t="shared" si="2"/>
        <v>273</v>
      </c>
      <c r="P16" s="13">
        <f t="shared" si="2"/>
        <v>268</v>
      </c>
      <c r="Q16" s="13">
        <f t="shared" si="2"/>
        <v>274</v>
      </c>
      <c r="R16" s="13">
        <f t="shared" si="2"/>
        <v>251</v>
      </c>
      <c r="S16" s="13">
        <f t="shared" si="2"/>
        <v>251</v>
      </c>
      <c r="T16" s="13">
        <f t="shared" si="2"/>
        <v>244</v>
      </c>
      <c r="U16" s="13">
        <f t="shared" si="2"/>
        <v>239</v>
      </c>
      <c r="V16" s="13">
        <f t="shared" si="2"/>
        <v>266</v>
      </c>
      <c r="W16" s="13">
        <f t="shared" si="2"/>
        <v>251</v>
      </c>
      <c r="X16" s="13">
        <f t="shared" si="1"/>
        <v>4867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19"/>
      <c r="T17" s="19"/>
      <c r="U17" s="19"/>
      <c r="V17" s="19"/>
      <c r="W17" s="19"/>
      <c r="X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19"/>
      <c r="T18" s="19"/>
      <c r="U18" s="19"/>
      <c r="V18" s="19"/>
      <c r="W18" s="19"/>
      <c r="X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94.0</v>
      </c>
      <c r="F19" s="73">
        <v>93.0</v>
      </c>
      <c r="G19" s="73">
        <v>93.0</v>
      </c>
      <c r="H19" s="73">
        <v>104.0</v>
      </c>
      <c r="I19" s="73">
        <v>101.0</v>
      </c>
      <c r="J19" s="73">
        <v>103.0</v>
      </c>
      <c r="K19" s="73">
        <v>109.0</v>
      </c>
      <c r="L19" s="73">
        <v>112.0</v>
      </c>
      <c r="M19" s="73">
        <v>107.0</v>
      </c>
      <c r="N19" s="73">
        <v>119.0</v>
      </c>
      <c r="O19" s="73">
        <v>123.0</v>
      </c>
      <c r="P19" s="73">
        <v>105.0</v>
      </c>
      <c r="Q19" s="73">
        <v>129.0</v>
      </c>
      <c r="R19" s="73">
        <v>109.0</v>
      </c>
      <c r="S19" s="73">
        <v>98.0</v>
      </c>
      <c r="T19" s="73">
        <v>103.0</v>
      </c>
      <c r="U19" s="73">
        <v>87.0</v>
      </c>
      <c r="V19" s="73">
        <v>113.0</v>
      </c>
      <c r="W19" s="73">
        <v>107.0</v>
      </c>
      <c r="X19" s="13">
        <f t="shared" ref="X19:X30" si="3">SUM(E19:W19)</f>
        <v>2009</v>
      </c>
    </row>
    <row r="20" ht="12.75" customHeight="1">
      <c r="A20" s="33"/>
      <c r="B20" s="27"/>
      <c r="C20" s="34"/>
      <c r="D20" s="19" t="s">
        <v>13</v>
      </c>
      <c r="E20" s="73">
        <v>117.0</v>
      </c>
      <c r="F20" s="73">
        <v>100.0</v>
      </c>
      <c r="G20" s="73">
        <v>104.0</v>
      </c>
      <c r="H20" s="73">
        <v>116.0</v>
      </c>
      <c r="I20" s="73">
        <v>118.0</v>
      </c>
      <c r="J20" s="73">
        <v>109.0</v>
      </c>
      <c r="K20" s="73">
        <v>106.0</v>
      </c>
      <c r="L20" s="73">
        <v>110.0</v>
      </c>
      <c r="M20" s="73">
        <v>93.0</v>
      </c>
      <c r="N20" s="73">
        <v>114.0</v>
      </c>
      <c r="O20" s="73">
        <v>110.0</v>
      </c>
      <c r="P20" s="73">
        <v>112.0</v>
      </c>
      <c r="Q20" s="73">
        <v>113.0</v>
      </c>
      <c r="R20" s="73">
        <v>95.0</v>
      </c>
      <c r="S20" s="73">
        <v>92.0</v>
      </c>
      <c r="T20" s="73">
        <v>100.0</v>
      </c>
      <c r="U20" s="73">
        <v>107.0</v>
      </c>
      <c r="V20" s="73">
        <v>107.0</v>
      </c>
      <c r="W20" s="73">
        <v>103.0</v>
      </c>
      <c r="X20" s="13">
        <f t="shared" si="3"/>
        <v>2026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211</v>
      </c>
      <c r="F21" s="13">
        <f t="shared" si="4"/>
        <v>193</v>
      </c>
      <c r="G21" s="13">
        <f t="shared" si="4"/>
        <v>197</v>
      </c>
      <c r="H21" s="13">
        <f t="shared" si="4"/>
        <v>220</v>
      </c>
      <c r="I21" s="13">
        <f t="shared" si="4"/>
        <v>219</v>
      </c>
      <c r="J21" s="13">
        <f t="shared" si="4"/>
        <v>212</v>
      </c>
      <c r="K21" s="13">
        <f t="shared" si="4"/>
        <v>215</v>
      </c>
      <c r="L21" s="13">
        <f t="shared" si="4"/>
        <v>222</v>
      </c>
      <c r="M21" s="13">
        <f t="shared" si="4"/>
        <v>200</v>
      </c>
      <c r="N21" s="13">
        <f t="shared" si="4"/>
        <v>233</v>
      </c>
      <c r="O21" s="13">
        <f t="shared" si="4"/>
        <v>233</v>
      </c>
      <c r="P21" s="13">
        <f t="shared" si="4"/>
        <v>217</v>
      </c>
      <c r="Q21" s="13">
        <f t="shared" si="4"/>
        <v>242</v>
      </c>
      <c r="R21" s="13">
        <f t="shared" si="4"/>
        <v>204</v>
      </c>
      <c r="S21" s="13">
        <f t="shared" si="4"/>
        <v>190</v>
      </c>
      <c r="T21" s="13">
        <f t="shared" si="4"/>
        <v>203</v>
      </c>
      <c r="U21" s="13">
        <f t="shared" si="4"/>
        <v>194</v>
      </c>
      <c r="V21" s="13">
        <f t="shared" si="4"/>
        <v>220</v>
      </c>
      <c r="W21" s="13">
        <f t="shared" si="4"/>
        <v>210</v>
      </c>
      <c r="X21" s="13">
        <f t="shared" si="3"/>
        <v>4035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1.0</v>
      </c>
      <c r="M22" s="73">
        <v>0.0</v>
      </c>
      <c r="N22" s="73">
        <v>0.0</v>
      </c>
      <c r="O22" s="73">
        <v>0.0</v>
      </c>
      <c r="P22" s="73">
        <v>0.0</v>
      </c>
      <c r="Q22" s="73">
        <v>1.0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1.0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2.0</v>
      </c>
      <c r="H25" s="73">
        <v>1.0</v>
      </c>
      <c r="I25" s="73">
        <v>2.0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2.0</v>
      </c>
      <c r="W25" s="73">
        <v>0.0</v>
      </c>
      <c r="X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2.0</v>
      </c>
      <c r="H26" s="73">
        <v>1.0</v>
      </c>
      <c r="I26" s="73">
        <v>0.0</v>
      </c>
      <c r="J26" s="73">
        <v>0.0</v>
      </c>
      <c r="K26" s="73">
        <v>0.0</v>
      </c>
      <c r="L26" s="73">
        <v>1.0</v>
      </c>
      <c r="M26" s="73">
        <v>0.0</v>
      </c>
      <c r="N26" s="73">
        <v>2.0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1.0</v>
      </c>
      <c r="U26" s="73">
        <v>0.0</v>
      </c>
      <c r="V26" s="73">
        <v>1.0</v>
      </c>
      <c r="W26" s="73">
        <v>0.0</v>
      </c>
      <c r="X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3</v>
      </c>
      <c r="W27" s="13">
        <f t="shared" si="6"/>
        <v>0</v>
      </c>
      <c r="X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94</v>
      </c>
      <c r="F28" s="13">
        <f t="shared" si="7"/>
        <v>94</v>
      </c>
      <c r="G28" s="13">
        <f t="shared" si="7"/>
        <v>95</v>
      </c>
      <c r="H28" s="13">
        <f t="shared" si="7"/>
        <v>105</v>
      </c>
      <c r="I28" s="13">
        <f t="shared" si="7"/>
        <v>103</v>
      </c>
      <c r="J28" s="13">
        <f t="shared" si="7"/>
        <v>103</v>
      </c>
      <c r="K28" s="13">
        <f t="shared" si="7"/>
        <v>109</v>
      </c>
      <c r="L28" s="13">
        <f t="shared" si="7"/>
        <v>113</v>
      </c>
      <c r="M28" s="13">
        <f t="shared" si="7"/>
        <v>107</v>
      </c>
      <c r="N28" s="13">
        <f t="shared" si="7"/>
        <v>119</v>
      </c>
      <c r="O28" s="13">
        <f t="shared" si="7"/>
        <v>123</v>
      </c>
      <c r="P28" s="13">
        <f t="shared" si="7"/>
        <v>105</v>
      </c>
      <c r="Q28" s="13">
        <f t="shared" si="7"/>
        <v>130</v>
      </c>
      <c r="R28" s="13">
        <f t="shared" si="7"/>
        <v>109</v>
      </c>
      <c r="S28" s="13">
        <f t="shared" si="7"/>
        <v>98</v>
      </c>
      <c r="T28" s="13">
        <f t="shared" si="7"/>
        <v>103</v>
      </c>
      <c r="U28" s="13">
        <f t="shared" si="7"/>
        <v>87</v>
      </c>
      <c r="V28" s="13">
        <f t="shared" si="7"/>
        <v>115</v>
      </c>
      <c r="W28" s="13">
        <f t="shared" si="7"/>
        <v>107</v>
      </c>
      <c r="X28" s="13">
        <f t="shared" si="3"/>
        <v>2019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117</v>
      </c>
      <c r="F29" s="13">
        <f t="shared" si="8"/>
        <v>100</v>
      </c>
      <c r="G29" s="13">
        <f t="shared" si="8"/>
        <v>106</v>
      </c>
      <c r="H29" s="13">
        <f t="shared" si="8"/>
        <v>117</v>
      </c>
      <c r="I29" s="13">
        <f t="shared" si="8"/>
        <v>118</v>
      </c>
      <c r="J29" s="13">
        <f t="shared" si="8"/>
        <v>109</v>
      </c>
      <c r="K29" s="13">
        <f t="shared" si="8"/>
        <v>106</v>
      </c>
      <c r="L29" s="13">
        <f t="shared" si="8"/>
        <v>111</v>
      </c>
      <c r="M29" s="13">
        <f t="shared" si="8"/>
        <v>94</v>
      </c>
      <c r="N29" s="13">
        <f t="shared" si="8"/>
        <v>116</v>
      </c>
      <c r="O29" s="13">
        <f t="shared" si="8"/>
        <v>110</v>
      </c>
      <c r="P29" s="13">
        <f t="shared" si="8"/>
        <v>112</v>
      </c>
      <c r="Q29" s="13">
        <f t="shared" si="8"/>
        <v>113</v>
      </c>
      <c r="R29" s="13">
        <f t="shared" si="8"/>
        <v>95</v>
      </c>
      <c r="S29" s="13">
        <f t="shared" si="8"/>
        <v>92</v>
      </c>
      <c r="T29" s="13">
        <f t="shared" si="8"/>
        <v>101</v>
      </c>
      <c r="U29" s="13">
        <f t="shared" si="8"/>
        <v>107</v>
      </c>
      <c r="V29" s="13">
        <f t="shared" si="8"/>
        <v>108</v>
      </c>
      <c r="W29" s="13">
        <f t="shared" si="8"/>
        <v>103</v>
      </c>
      <c r="X29" s="13">
        <f t="shared" si="3"/>
        <v>2035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211</v>
      </c>
      <c r="F30" s="13">
        <f t="shared" si="9"/>
        <v>194</v>
      </c>
      <c r="G30" s="13">
        <f t="shared" si="9"/>
        <v>201</v>
      </c>
      <c r="H30" s="13">
        <f t="shared" si="9"/>
        <v>222</v>
      </c>
      <c r="I30" s="13">
        <f t="shared" si="9"/>
        <v>221</v>
      </c>
      <c r="J30" s="13">
        <f t="shared" si="9"/>
        <v>212</v>
      </c>
      <c r="K30" s="13">
        <f t="shared" si="9"/>
        <v>215</v>
      </c>
      <c r="L30" s="13">
        <f t="shared" si="9"/>
        <v>224</v>
      </c>
      <c r="M30" s="13">
        <f t="shared" si="9"/>
        <v>201</v>
      </c>
      <c r="N30" s="13">
        <f t="shared" si="9"/>
        <v>235</v>
      </c>
      <c r="O30" s="13">
        <f t="shared" si="9"/>
        <v>233</v>
      </c>
      <c r="P30" s="13">
        <f t="shared" si="9"/>
        <v>217</v>
      </c>
      <c r="Q30" s="13">
        <f t="shared" si="9"/>
        <v>243</v>
      </c>
      <c r="R30" s="13">
        <f t="shared" si="9"/>
        <v>204</v>
      </c>
      <c r="S30" s="13">
        <f t="shared" si="9"/>
        <v>190</v>
      </c>
      <c r="T30" s="13">
        <f t="shared" si="9"/>
        <v>204</v>
      </c>
      <c r="U30" s="13">
        <f t="shared" si="9"/>
        <v>194</v>
      </c>
      <c r="V30" s="13">
        <f t="shared" si="9"/>
        <v>223</v>
      </c>
      <c r="W30" s="13">
        <f t="shared" si="9"/>
        <v>210</v>
      </c>
      <c r="X30" s="13">
        <f t="shared" si="3"/>
        <v>4054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19"/>
      <c r="T31" s="19"/>
      <c r="U31" s="19"/>
      <c r="V31" s="19"/>
      <c r="W31" s="19"/>
      <c r="X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13"/>
      <c r="T32" s="13"/>
      <c r="U32" s="13"/>
      <c r="V32" s="13"/>
      <c r="W32" s="13"/>
      <c r="X32" s="75"/>
    </row>
    <row r="33" ht="12.75" customHeight="1">
      <c r="A33" s="19">
        <v>1.0</v>
      </c>
      <c r="B33" s="20" t="s">
        <v>27</v>
      </c>
      <c r="C33" s="15"/>
      <c r="D33" s="16"/>
      <c r="E33" s="73">
        <v>255.0</v>
      </c>
      <c r="F33" s="73">
        <v>252.0</v>
      </c>
      <c r="G33" s="73">
        <v>250.0</v>
      </c>
      <c r="H33" s="73">
        <v>272.0</v>
      </c>
      <c r="I33" s="73">
        <v>266.0</v>
      </c>
      <c r="J33" s="73">
        <v>251.0</v>
      </c>
      <c r="K33" s="73">
        <v>257.0</v>
      </c>
      <c r="L33" s="73">
        <v>267.0</v>
      </c>
      <c r="M33" s="73">
        <v>265.0</v>
      </c>
      <c r="N33" s="73">
        <v>271.0</v>
      </c>
      <c r="O33" s="73">
        <v>279.0</v>
      </c>
      <c r="P33" s="73">
        <v>274.0</v>
      </c>
      <c r="Q33" s="73">
        <v>280.0</v>
      </c>
      <c r="R33" s="73">
        <v>257.0</v>
      </c>
      <c r="S33" s="73">
        <v>257.0</v>
      </c>
      <c r="T33" s="73">
        <v>248.0</v>
      </c>
      <c r="U33" s="73">
        <v>244.0</v>
      </c>
      <c r="V33" s="73">
        <v>272.0</v>
      </c>
      <c r="W33" s="73">
        <v>255.0</v>
      </c>
      <c r="X33" s="13">
        <f t="shared" ref="X33:X36" si="10">SUM(E33:W33)</f>
        <v>4972</v>
      </c>
    </row>
    <row r="34" ht="12.75" customHeight="1">
      <c r="A34" s="19">
        <v>2.0</v>
      </c>
      <c r="B34" s="20" t="s">
        <v>28</v>
      </c>
      <c r="C34" s="15"/>
      <c r="D34" s="16"/>
      <c r="E34" s="77">
        <v>211.0</v>
      </c>
      <c r="F34" s="77">
        <v>194.0</v>
      </c>
      <c r="G34" s="77">
        <v>201.0</v>
      </c>
      <c r="H34" s="77">
        <v>222.0</v>
      </c>
      <c r="I34" s="77">
        <v>221.0</v>
      </c>
      <c r="J34" s="77">
        <v>212.0</v>
      </c>
      <c r="K34" s="77">
        <v>215.0</v>
      </c>
      <c r="L34" s="77">
        <v>224.0</v>
      </c>
      <c r="M34" s="77">
        <v>201.0</v>
      </c>
      <c r="N34" s="77">
        <v>235.0</v>
      </c>
      <c r="O34" s="77">
        <v>233.0</v>
      </c>
      <c r="P34" s="77">
        <v>217.0</v>
      </c>
      <c r="Q34" s="77">
        <v>243.0</v>
      </c>
      <c r="R34" s="77">
        <v>204.0</v>
      </c>
      <c r="S34" s="77">
        <v>190.0</v>
      </c>
      <c r="T34" s="77">
        <v>204.0</v>
      </c>
      <c r="U34" s="77">
        <v>194.0</v>
      </c>
      <c r="V34" s="77">
        <v>223.0</v>
      </c>
      <c r="W34" s="77">
        <v>210.0</v>
      </c>
      <c r="X34" s="13">
        <f t="shared" si="10"/>
        <v>4054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1.0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44</v>
      </c>
      <c r="F36" s="13">
        <f t="shared" si="11"/>
        <v>58</v>
      </c>
      <c r="G36" s="13">
        <f t="shared" si="11"/>
        <v>49</v>
      </c>
      <c r="H36" s="13">
        <f t="shared" si="11"/>
        <v>50</v>
      </c>
      <c r="I36" s="13">
        <f t="shared" si="11"/>
        <v>44</v>
      </c>
      <c r="J36" s="13">
        <f t="shared" si="11"/>
        <v>39</v>
      </c>
      <c r="K36" s="13">
        <f t="shared" si="11"/>
        <v>42</v>
      </c>
      <c r="L36" s="13">
        <f t="shared" si="11"/>
        <v>43</v>
      </c>
      <c r="M36" s="13">
        <f t="shared" si="11"/>
        <v>64</v>
      </c>
      <c r="N36" s="13">
        <f t="shared" si="11"/>
        <v>36</v>
      </c>
      <c r="O36" s="13">
        <f t="shared" si="11"/>
        <v>46</v>
      </c>
      <c r="P36" s="13">
        <f t="shared" si="11"/>
        <v>57</v>
      </c>
      <c r="Q36" s="13">
        <f t="shared" si="11"/>
        <v>37</v>
      </c>
      <c r="R36" s="13">
        <f t="shared" si="11"/>
        <v>53</v>
      </c>
      <c r="S36" s="13">
        <f t="shared" si="11"/>
        <v>67</v>
      </c>
      <c r="T36" s="13">
        <f t="shared" si="11"/>
        <v>44</v>
      </c>
      <c r="U36" s="13">
        <f t="shared" si="11"/>
        <v>50</v>
      </c>
      <c r="V36" s="13">
        <f t="shared" si="11"/>
        <v>49</v>
      </c>
      <c r="W36" s="13">
        <f t="shared" si="11"/>
        <v>45</v>
      </c>
      <c r="X36" s="13">
        <f t="shared" si="10"/>
        <v>917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13"/>
      <c r="T38" s="13"/>
      <c r="U38" s="13"/>
      <c r="V38" s="13"/>
      <c r="W38" s="13"/>
      <c r="X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1.0</v>
      </c>
      <c r="U39" s="73">
        <v>0.0</v>
      </c>
      <c r="V39" s="73">
        <v>0.0</v>
      </c>
      <c r="W39" s="73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19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12.0</v>
      </c>
      <c r="F45" s="73">
        <v>7.0</v>
      </c>
      <c r="G45" s="73">
        <v>5.0</v>
      </c>
      <c r="H45" s="73">
        <v>10.0</v>
      </c>
      <c r="I45" s="73">
        <v>0.0</v>
      </c>
      <c r="J45" s="73">
        <v>0.0</v>
      </c>
      <c r="K45" s="73">
        <v>1.0</v>
      </c>
      <c r="L45" s="73">
        <v>2.0</v>
      </c>
      <c r="M45" s="73">
        <v>1.0</v>
      </c>
      <c r="N45" s="73">
        <v>0.0</v>
      </c>
      <c r="O45" s="73">
        <v>4.0</v>
      </c>
      <c r="P45" s="73">
        <v>11.0</v>
      </c>
      <c r="Q45" s="73">
        <v>7.0</v>
      </c>
      <c r="R45" s="73">
        <v>1.0</v>
      </c>
      <c r="S45" s="73">
        <v>3.0</v>
      </c>
      <c r="T45" s="73">
        <v>0.0</v>
      </c>
      <c r="U45" s="73">
        <v>5.0</v>
      </c>
      <c r="V45" s="73">
        <v>5.0</v>
      </c>
      <c r="W45" s="73">
        <v>4.0</v>
      </c>
      <c r="X45" s="13">
        <f t="shared" ref="X45:X54" si="14">SUM(E45:W45)</f>
        <v>78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31.0</v>
      </c>
      <c r="F46" s="73">
        <v>30.0</v>
      </c>
      <c r="G46" s="73">
        <v>23.0</v>
      </c>
      <c r="H46" s="73">
        <v>17.0</v>
      </c>
      <c r="I46" s="73">
        <v>12.0</v>
      </c>
      <c r="J46" s="73">
        <v>3.0</v>
      </c>
      <c r="K46" s="73">
        <v>3.0</v>
      </c>
      <c r="L46" s="73">
        <v>2.0</v>
      </c>
      <c r="M46" s="73">
        <v>1.0</v>
      </c>
      <c r="N46" s="73">
        <v>4.0</v>
      </c>
      <c r="O46" s="73">
        <v>4.0</v>
      </c>
      <c r="P46" s="73">
        <v>34.0</v>
      </c>
      <c r="Q46" s="73">
        <v>10.0</v>
      </c>
      <c r="R46" s="73">
        <v>12.0</v>
      </c>
      <c r="S46" s="73">
        <v>1.0</v>
      </c>
      <c r="T46" s="73">
        <v>9.0</v>
      </c>
      <c r="U46" s="73">
        <v>7.0</v>
      </c>
      <c r="V46" s="73">
        <v>5.0</v>
      </c>
      <c r="W46" s="73">
        <v>9.0</v>
      </c>
      <c r="X46" s="13">
        <f t="shared" si="14"/>
        <v>217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2.0</v>
      </c>
      <c r="G47" s="73">
        <v>0.0</v>
      </c>
      <c r="H47" s="73">
        <v>0.0</v>
      </c>
      <c r="I47" s="73">
        <v>0.0</v>
      </c>
      <c r="J47" s="73">
        <v>0.0</v>
      </c>
      <c r="K47" s="73">
        <v>0.0</v>
      </c>
      <c r="L47" s="73">
        <v>1.0</v>
      </c>
      <c r="M47" s="73">
        <v>1.0</v>
      </c>
      <c r="N47" s="73">
        <v>1.0</v>
      </c>
      <c r="O47" s="73">
        <v>1.0</v>
      </c>
      <c r="P47" s="73">
        <v>2.0</v>
      </c>
      <c r="Q47" s="73">
        <v>1.0</v>
      </c>
      <c r="R47" s="73">
        <v>1.0</v>
      </c>
      <c r="S47" s="73">
        <v>2.0</v>
      </c>
      <c r="T47" s="73">
        <v>0.0</v>
      </c>
      <c r="U47" s="73">
        <v>2.0</v>
      </c>
      <c r="V47" s="73">
        <v>1.0</v>
      </c>
      <c r="W47" s="73">
        <v>2.0</v>
      </c>
      <c r="X47" s="13">
        <f t="shared" si="14"/>
        <v>19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1.0</v>
      </c>
      <c r="H48" s="73">
        <v>0.0</v>
      </c>
      <c r="I48" s="73">
        <v>1.0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1.0</v>
      </c>
      <c r="R48" s="73">
        <v>0.0</v>
      </c>
      <c r="S48" s="73">
        <v>0.0</v>
      </c>
      <c r="T48" s="73">
        <v>0.0</v>
      </c>
      <c r="U48" s="73">
        <v>0.0</v>
      </c>
      <c r="V48" s="73">
        <v>2.0</v>
      </c>
      <c r="W48" s="73">
        <v>0.0</v>
      </c>
      <c r="X48" s="13">
        <f t="shared" si="14"/>
        <v>6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0.0</v>
      </c>
      <c r="G49" s="73">
        <v>2.0</v>
      </c>
      <c r="H49" s="73">
        <v>1.0</v>
      </c>
      <c r="I49" s="73">
        <v>2.0</v>
      </c>
      <c r="J49" s="73">
        <v>0.0</v>
      </c>
      <c r="K49" s="73">
        <v>1.0</v>
      </c>
      <c r="L49" s="73">
        <v>0.0</v>
      </c>
      <c r="M49" s="73">
        <v>0.0</v>
      </c>
      <c r="N49" s="73">
        <v>0.0</v>
      </c>
      <c r="O49" s="73">
        <v>0.0</v>
      </c>
      <c r="P49" s="73">
        <v>1.0</v>
      </c>
      <c r="Q49" s="73">
        <v>0.0</v>
      </c>
      <c r="R49" s="73">
        <v>2.0</v>
      </c>
      <c r="S49" s="73">
        <v>1.0</v>
      </c>
      <c r="T49" s="73">
        <v>1.0</v>
      </c>
      <c r="U49" s="73">
        <v>0.0</v>
      </c>
      <c r="V49" s="73">
        <v>0.0</v>
      </c>
      <c r="W49" s="73">
        <v>1.0</v>
      </c>
      <c r="X49" s="13">
        <f t="shared" si="14"/>
        <v>13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1.0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1.0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1.0</v>
      </c>
      <c r="R51" s="73">
        <v>0.0</v>
      </c>
      <c r="S51" s="73">
        <v>0.0</v>
      </c>
      <c r="T51" s="73">
        <v>1.0</v>
      </c>
      <c r="U51" s="73">
        <v>0.0</v>
      </c>
      <c r="V51" s="73">
        <v>0.0</v>
      </c>
      <c r="W51" s="73">
        <v>0.0</v>
      </c>
      <c r="X51" s="13">
        <f t="shared" si="14"/>
        <v>2</v>
      </c>
    </row>
    <row r="52" ht="12.75" customHeight="1">
      <c r="A52" s="18"/>
      <c r="B52" s="49"/>
      <c r="C52" s="50" t="s">
        <v>46</v>
      </c>
      <c r="D52" s="51"/>
      <c r="E52" s="73">
        <v>1.0</v>
      </c>
      <c r="F52" s="73">
        <v>0.0</v>
      </c>
      <c r="G52" s="73">
        <v>0.0</v>
      </c>
      <c r="H52" s="73">
        <v>0.0</v>
      </c>
      <c r="I52" s="73">
        <v>1.0</v>
      </c>
      <c r="J52" s="73">
        <v>0.0</v>
      </c>
      <c r="K52" s="73">
        <v>1.0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0.0</v>
      </c>
      <c r="V52" s="73">
        <v>1.0</v>
      </c>
      <c r="W52" s="73">
        <v>0.0</v>
      </c>
      <c r="X52" s="13">
        <f t="shared" si="14"/>
        <v>4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13">
        <f t="shared" si="14"/>
        <v>0</v>
      </c>
    </row>
    <row r="54" ht="12.75" customHeight="1">
      <c r="A54" s="18"/>
      <c r="B54" s="49"/>
      <c r="C54" s="50" t="s">
        <v>48</v>
      </c>
      <c r="D54" s="51"/>
      <c r="E54" s="73">
        <v>1.0</v>
      </c>
      <c r="F54" s="73">
        <v>0.0</v>
      </c>
      <c r="G54" s="73">
        <v>0.0</v>
      </c>
      <c r="H54" s="73">
        <v>0.0</v>
      </c>
      <c r="I54" s="73">
        <v>1.0</v>
      </c>
      <c r="J54" s="73">
        <v>1.0</v>
      </c>
      <c r="K54" s="73">
        <v>0.0</v>
      </c>
      <c r="L54" s="73">
        <v>0.0</v>
      </c>
      <c r="M54" s="73">
        <v>1.0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1.0</v>
      </c>
      <c r="V54" s="73">
        <v>0.0</v>
      </c>
      <c r="W54" s="73">
        <v>0.0</v>
      </c>
      <c r="X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X55" si="15">SUM(E45:E54)</f>
        <v>48</v>
      </c>
      <c r="F55" s="13">
        <f t="shared" si="15"/>
        <v>40</v>
      </c>
      <c r="G55" s="13">
        <f t="shared" si="15"/>
        <v>31</v>
      </c>
      <c r="H55" s="13">
        <f t="shared" si="15"/>
        <v>29</v>
      </c>
      <c r="I55" s="13">
        <f t="shared" si="15"/>
        <v>18</v>
      </c>
      <c r="J55" s="13">
        <f t="shared" si="15"/>
        <v>4</v>
      </c>
      <c r="K55" s="13">
        <f t="shared" si="15"/>
        <v>6</v>
      </c>
      <c r="L55" s="13">
        <f t="shared" si="15"/>
        <v>5</v>
      </c>
      <c r="M55" s="13">
        <f t="shared" si="15"/>
        <v>4</v>
      </c>
      <c r="N55" s="13">
        <f t="shared" si="15"/>
        <v>5</v>
      </c>
      <c r="O55" s="13">
        <f t="shared" si="15"/>
        <v>9</v>
      </c>
      <c r="P55" s="13">
        <f t="shared" si="15"/>
        <v>49</v>
      </c>
      <c r="Q55" s="13">
        <f t="shared" si="15"/>
        <v>20</v>
      </c>
      <c r="R55" s="13">
        <f t="shared" si="15"/>
        <v>16</v>
      </c>
      <c r="S55" s="13">
        <f t="shared" si="15"/>
        <v>7</v>
      </c>
      <c r="T55" s="13">
        <f t="shared" si="15"/>
        <v>11</v>
      </c>
      <c r="U55" s="13">
        <f t="shared" si="15"/>
        <v>15</v>
      </c>
      <c r="V55" s="13">
        <f t="shared" si="15"/>
        <v>14</v>
      </c>
      <c r="W55" s="13">
        <f t="shared" si="15"/>
        <v>16</v>
      </c>
      <c r="X55" s="13">
        <f t="shared" si="15"/>
        <v>347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10.0</v>
      </c>
      <c r="F57" s="73">
        <v>6.0</v>
      </c>
      <c r="G57" s="73">
        <v>5.0</v>
      </c>
      <c r="H57" s="73">
        <v>7.0</v>
      </c>
      <c r="I57" s="73">
        <v>6.0</v>
      </c>
      <c r="J57" s="73">
        <v>3.0</v>
      </c>
      <c r="K57" s="73">
        <v>3.0</v>
      </c>
      <c r="L57" s="73">
        <v>4.0</v>
      </c>
      <c r="M57" s="73">
        <v>4.0</v>
      </c>
      <c r="N57" s="73">
        <v>1.0</v>
      </c>
      <c r="O57" s="73">
        <v>9.0</v>
      </c>
      <c r="P57" s="73">
        <v>11.0</v>
      </c>
      <c r="Q57" s="73">
        <v>11.0</v>
      </c>
      <c r="R57" s="73">
        <v>13.0</v>
      </c>
      <c r="S57" s="73">
        <v>4.0</v>
      </c>
      <c r="T57" s="73">
        <v>4.0</v>
      </c>
      <c r="U57" s="73">
        <v>5.0</v>
      </c>
      <c r="V57" s="73">
        <v>3.0</v>
      </c>
      <c r="W57" s="73">
        <v>8.0</v>
      </c>
      <c r="X57" s="13">
        <f t="shared" ref="X57:X66" si="16">SUM(E57:W57)</f>
        <v>117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44.0</v>
      </c>
      <c r="F58" s="73">
        <v>24.0</v>
      </c>
      <c r="G58" s="73">
        <v>27.0</v>
      </c>
      <c r="H58" s="73">
        <v>10.0</v>
      </c>
      <c r="I58" s="73">
        <v>87.0</v>
      </c>
      <c r="J58" s="73">
        <v>164.0</v>
      </c>
      <c r="K58" s="73">
        <v>140.0</v>
      </c>
      <c r="L58" s="73">
        <v>157.0</v>
      </c>
      <c r="M58" s="73">
        <v>56.0</v>
      </c>
      <c r="N58" s="73">
        <v>43.0</v>
      </c>
      <c r="O58" s="73">
        <v>114.0</v>
      </c>
      <c r="P58" s="73">
        <v>53.0</v>
      </c>
      <c r="Q58" s="73">
        <v>140.0</v>
      </c>
      <c r="R58" s="73">
        <v>33.0</v>
      </c>
      <c r="S58" s="73">
        <v>74.0</v>
      </c>
      <c r="T58" s="73">
        <v>94.0</v>
      </c>
      <c r="U58" s="73">
        <v>39.0</v>
      </c>
      <c r="V58" s="73">
        <v>44.0</v>
      </c>
      <c r="W58" s="73">
        <v>110.0</v>
      </c>
      <c r="X58" s="13">
        <f t="shared" si="16"/>
        <v>1453</v>
      </c>
    </row>
    <row r="59" ht="12.75" customHeight="1">
      <c r="A59" s="18"/>
      <c r="B59" s="49"/>
      <c r="C59" s="50" t="s">
        <v>52</v>
      </c>
      <c r="D59" s="51"/>
      <c r="E59" s="73">
        <v>11.0</v>
      </c>
      <c r="F59" s="73">
        <v>2.0</v>
      </c>
      <c r="G59" s="73">
        <v>2.0</v>
      </c>
      <c r="H59" s="73">
        <v>4.0</v>
      </c>
      <c r="I59" s="73">
        <v>1.0</v>
      </c>
      <c r="J59" s="73">
        <v>3.0</v>
      </c>
      <c r="K59" s="73">
        <v>5.0</v>
      </c>
      <c r="L59" s="73">
        <v>1.0</v>
      </c>
      <c r="M59" s="73">
        <v>1.0</v>
      </c>
      <c r="N59" s="73">
        <v>3.0</v>
      </c>
      <c r="O59" s="73">
        <v>2.0</v>
      </c>
      <c r="P59" s="73">
        <v>6.0</v>
      </c>
      <c r="Q59" s="73">
        <v>1.0</v>
      </c>
      <c r="R59" s="73">
        <v>1.0</v>
      </c>
      <c r="S59" s="73">
        <v>3.0</v>
      </c>
      <c r="T59" s="73">
        <v>1.0</v>
      </c>
      <c r="U59" s="73">
        <v>1.0</v>
      </c>
      <c r="V59" s="73">
        <v>3.0</v>
      </c>
      <c r="W59" s="73">
        <v>1.0</v>
      </c>
      <c r="X59" s="13">
        <f t="shared" si="16"/>
        <v>52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2.0</v>
      </c>
      <c r="G60" s="73">
        <v>1.0</v>
      </c>
      <c r="H60" s="73">
        <v>0.0</v>
      </c>
      <c r="I60" s="73">
        <v>1.0</v>
      </c>
      <c r="J60" s="73">
        <v>1.0</v>
      </c>
      <c r="K60" s="73">
        <v>2.0</v>
      </c>
      <c r="L60" s="73">
        <v>0.0</v>
      </c>
      <c r="M60" s="73">
        <v>1.0</v>
      </c>
      <c r="N60" s="73">
        <v>0.0</v>
      </c>
      <c r="O60" s="73">
        <v>0.0</v>
      </c>
      <c r="P60" s="73">
        <v>2.0</v>
      </c>
      <c r="Q60" s="73">
        <v>1.0</v>
      </c>
      <c r="R60" s="73">
        <v>1.0</v>
      </c>
      <c r="S60" s="73">
        <v>1.0</v>
      </c>
      <c r="T60" s="73">
        <v>0.0</v>
      </c>
      <c r="U60" s="73">
        <v>2.0</v>
      </c>
      <c r="V60" s="73">
        <v>1.0</v>
      </c>
      <c r="W60" s="73">
        <v>1.0</v>
      </c>
      <c r="X60" s="13">
        <f t="shared" si="16"/>
        <v>18</v>
      </c>
    </row>
    <row r="61" ht="12.75" customHeight="1">
      <c r="A61" s="18"/>
      <c r="B61" s="49"/>
      <c r="C61" s="50" t="s">
        <v>54</v>
      </c>
      <c r="D61" s="51"/>
      <c r="E61" s="73">
        <v>6.0</v>
      </c>
      <c r="F61" s="73">
        <v>3.0</v>
      </c>
      <c r="G61" s="73">
        <v>32.0</v>
      </c>
      <c r="H61" s="73">
        <v>41.0</v>
      </c>
      <c r="I61" s="73">
        <v>28.0</v>
      </c>
      <c r="J61" s="73">
        <v>2.0</v>
      </c>
      <c r="K61" s="73">
        <v>1.0</v>
      </c>
      <c r="L61" s="73">
        <v>3.0</v>
      </c>
      <c r="M61" s="73">
        <v>56.0</v>
      </c>
      <c r="N61" s="73">
        <v>86.0</v>
      </c>
      <c r="O61" s="73">
        <v>37.0</v>
      </c>
      <c r="P61" s="73">
        <v>9.0</v>
      </c>
      <c r="Q61" s="73">
        <v>11.0</v>
      </c>
      <c r="R61" s="73">
        <v>28.0</v>
      </c>
      <c r="S61" s="73">
        <v>15.0</v>
      </c>
      <c r="T61" s="73">
        <v>18.0</v>
      </c>
      <c r="U61" s="73">
        <v>12.0</v>
      </c>
      <c r="V61" s="73">
        <v>12.0</v>
      </c>
      <c r="W61" s="73">
        <v>5.0</v>
      </c>
      <c r="X61" s="13">
        <f t="shared" si="16"/>
        <v>405</v>
      </c>
    </row>
    <row r="62" ht="12.75" customHeight="1">
      <c r="A62" s="18"/>
      <c r="B62" s="49"/>
      <c r="C62" s="50" t="s">
        <v>55</v>
      </c>
      <c r="D62" s="51"/>
      <c r="E62" s="73">
        <v>1.0</v>
      </c>
      <c r="F62" s="73">
        <v>0.0</v>
      </c>
      <c r="G62" s="73">
        <v>1.0</v>
      </c>
      <c r="H62" s="73">
        <v>1.0</v>
      </c>
      <c r="I62" s="73">
        <v>1.0</v>
      </c>
      <c r="J62" s="73">
        <v>0.0</v>
      </c>
      <c r="K62" s="73">
        <v>1.0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1.0</v>
      </c>
      <c r="R62" s="73">
        <v>1.0</v>
      </c>
      <c r="S62" s="73">
        <v>2.0</v>
      </c>
      <c r="T62" s="73">
        <v>0.0</v>
      </c>
      <c r="U62" s="73">
        <v>0.0</v>
      </c>
      <c r="V62" s="73">
        <v>1.0</v>
      </c>
      <c r="W62" s="73">
        <v>0.0</v>
      </c>
      <c r="X62" s="13">
        <f t="shared" si="16"/>
        <v>10</v>
      </c>
    </row>
    <row r="63" ht="12.75" customHeight="1">
      <c r="A63" s="18"/>
      <c r="B63" s="49"/>
      <c r="C63" s="50" t="s">
        <v>56</v>
      </c>
      <c r="D63" s="51"/>
      <c r="E63" s="73">
        <v>1.0</v>
      </c>
      <c r="F63" s="73">
        <v>0.0</v>
      </c>
      <c r="G63" s="73">
        <v>1.0</v>
      </c>
      <c r="H63" s="73">
        <v>1.0</v>
      </c>
      <c r="I63" s="73">
        <v>0.0</v>
      </c>
      <c r="J63" s="73">
        <v>1.0</v>
      </c>
      <c r="K63" s="73">
        <v>1.0</v>
      </c>
      <c r="L63" s="73">
        <v>1.0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1.0</v>
      </c>
      <c r="V63" s="73">
        <v>0.0</v>
      </c>
      <c r="W63" s="73">
        <v>0.0</v>
      </c>
      <c r="X63" s="13">
        <f t="shared" si="16"/>
        <v>8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1.0</v>
      </c>
      <c r="N64" s="73">
        <v>1.0</v>
      </c>
      <c r="O64" s="73">
        <v>0.0</v>
      </c>
      <c r="P64" s="73">
        <v>0.0</v>
      </c>
      <c r="Q64" s="73">
        <v>1.0</v>
      </c>
      <c r="R64" s="73">
        <v>0.0</v>
      </c>
      <c r="S64" s="73">
        <v>0.0</v>
      </c>
      <c r="T64" s="73">
        <v>0.0</v>
      </c>
      <c r="U64" s="73">
        <v>0.0</v>
      </c>
      <c r="V64" s="73">
        <v>1.0</v>
      </c>
      <c r="W64" s="73">
        <v>0.0</v>
      </c>
      <c r="X64" s="13">
        <f t="shared" si="16"/>
        <v>4</v>
      </c>
    </row>
    <row r="65" ht="12.75" customHeight="1">
      <c r="A65" s="18"/>
      <c r="B65" s="49"/>
      <c r="C65" s="50" t="s">
        <v>58</v>
      </c>
      <c r="D65" s="51"/>
      <c r="E65" s="73">
        <v>1.0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1.0</v>
      </c>
      <c r="Q65" s="73">
        <v>0.0</v>
      </c>
      <c r="R65" s="73">
        <v>0.0</v>
      </c>
      <c r="S65" s="73">
        <v>1.0</v>
      </c>
      <c r="T65" s="73">
        <v>0.0</v>
      </c>
      <c r="U65" s="73">
        <v>0.0</v>
      </c>
      <c r="V65" s="73">
        <v>1.0</v>
      </c>
      <c r="W65" s="73">
        <v>0.0</v>
      </c>
      <c r="X65" s="13">
        <f t="shared" si="16"/>
        <v>4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1.0</v>
      </c>
      <c r="I66" s="73">
        <v>0.0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0.0</v>
      </c>
      <c r="P66" s="73">
        <v>0.0</v>
      </c>
      <c r="Q66" s="73">
        <v>2.0</v>
      </c>
      <c r="R66" s="73">
        <v>1.0</v>
      </c>
      <c r="S66" s="73">
        <v>0.0</v>
      </c>
      <c r="T66" s="73">
        <v>1.0</v>
      </c>
      <c r="U66" s="73">
        <v>1.0</v>
      </c>
      <c r="V66" s="73">
        <v>0.0</v>
      </c>
      <c r="W66" s="73">
        <v>0.0</v>
      </c>
      <c r="X66" s="13">
        <f t="shared" si="16"/>
        <v>6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X67" si="17">SUM(E57:E66)</f>
        <v>75</v>
      </c>
      <c r="F67" s="13">
        <f t="shared" si="17"/>
        <v>37</v>
      </c>
      <c r="G67" s="13">
        <f t="shared" si="17"/>
        <v>69</v>
      </c>
      <c r="H67" s="13">
        <f t="shared" si="17"/>
        <v>65</v>
      </c>
      <c r="I67" s="13">
        <f t="shared" si="17"/>
        <v>124</v>
      </c>
      <c r="J67" s="13">
        <f t="shared" si="17"/>
        <v>174</v>
      </c>
      <c r="K67" s="13">
        <f t="shared" si="17"/>
        <v>153</v>
      </c>
      <c r="L67" s="13">
        <f t="shared" si="17"/>
        <v>166</v>
      </c>
      <c r="M67" s="13">
        <f t="shared" si="17"/>
        <v>120</v>
      </c>
      <c r="N67" s="13">
        <f t="shared" si="17"/>
        <v>134</v>
      </c>
      <c r="O67" s="13">
        <f t="shared" si="17"/>
        <v>162</v>
      </c>
      <c r="P67" s="13">
        <f t="shared" si="17"/>
        <v>82</v>
      </c>
      <c r="Q67" s="13">
        <f t="shared" si="17"/>
        <v>168</v>
      </c>
      <c r="R67" s="13">
        <f t="shared" si="17"/>
        <v>78</v>
      </c>
      <c r="S67" s="13">
        <f t="shared" si="17"/>
        <v>100</v>
      </c>
      <c r="T67" s="13">
        <f t="shared" si="17"/>
        <v>118</v>
      </c>
      <c r="U67" s="13">
        <f t="shared" si="17"/>
        <v>61</v>
      </c>
      <c r="V67" s="13">
        <f t="shared" si="17"/>
        <v>66</v>
      </c>
      <c r="W67" s="13">
        <f t="shared" si="17"/>
        <v>125</v>
      </c>
      <c r="X67" s="13">
        <f t="shared" si="17"/>
        <v>2077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4.0</v>
      </c>
      <c r="F69" s="73">
        <v>5.0</v>
      </c>
      <c r="G69" s="73">
        <v>6.0</v>
      </c>
      <c r="H69" s="73">
        <v>7.0</v>
      </c>
      <c r="I69" s="73">
        <v>9.0</v>
      </c>
      <c r="J69" s="73">
        <v>0.0</v>
      </c>
      <c r="K69" s="73">
        <v>3.0</v>
      </c>
      <c r="L69" s="73">
        <v>0.0</v>
      </c>
      <c r="M69" s="73">
        <v>2.0</v>
      </c>
      <c r="N69" s="73">
        <v>3.0</v>
      </c>
      <c r="O69" s="73">
        <v>0.0</v>
      </c>
      <c r="P69" s="73">
        <v>2.0</v>
      </c>
      <c r="Q69" s="73">
        <v>3.0</v>
      </c>
      <c r="R69" s="73">
        <v>8.0</v>
      </c>
      <c r="S69" s="73">
        <v>2.0</v>
      </c>
      <c r="T69" s="73">
        <v>4.0</v>
      </c>
      <c r="U69" s="73">
        <v>0.0</v>
      </c>
      <c r="V69" s="73">
        <v>5.0</v>
      </c>
      <c r="W69" s="73">
        <v>4.0</v>
      </c>
      <c r="X69" s="13">
        <f t="shared" ref="X69:X78" si="18">SUM(E69:W69)</f>
        <v>67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6.0</v>
      </c>
      <c r="F70" s="73">
        <v>3.0</v>
      </c>
      <c r="G70" s="73">
        <v>7.0</v>
      </c>
      <c r="H70" s="73">
        <v>10.0</v>
      </c>
      <c r="I70" s="73">
        <v>2.0</v>
      </c>
      <c r="J70" s="73">
        <v>1.0</v>
      </c>
      <c r="K70" s="73">
        <v>2.0</v>
      </c>
      <c r="L70" s="73">
        <v>4.0</v>
      </c>
      <c r="M70" s="73">
        <v>3.0</v>
      </c>
      <c r="N70" s="73">
        <v>4.0</v>
      </c>
      <c r="O70" s="73">
        <v>4.0</v>
      </c>
      <c r="P70" s="73">
        <v>4.0</v>
      </c>
      <c r="Q70" s="73">
        <v>1.0</v>
      </c>
      <c r="R70" s="73">
        <v>2.0</v>
      </c>
      <c r="S70" s="73">
        <v>3.0</v>
      </c>
      <c r="T70" s="73">
        <v>2.0</v>
      </c>
      <c r="U70" s="73">
        <v>2.0</v>
      </c>
      <c r="V70" s="73">
        <v>3.0</v>
      </c>
      <c r="W70" s="73">
        <v>1.0</v>
      </c>
      <c r="X70" s="13">
        <f t="shared" si="18"/>
        <v>64</v>
      </c>
    </row>
    <row r="71" ht="12.75" customHeight="1">
      <c r="A71" s="18"/>
      <c r="B71" s="49"/>
      <c r="C71" s="50" t="s">
        <v>62</v>
      </c>
      <c r="D71" s="51"/>
      <c r="E71" s="73">
        <v>5.0</v>
      </c>
      <c r="F71" s="73">
        <v>2.0</v>
      </c>
      <c r="G71" s="73">
        <v>16.0</v>
      </c>
      <c r="H71" s="73">
        <v>14.0</v>
      </c>
      <c r="I71" s="73">
        <v>6.0</v>
      </c>
      <c r="J71" s="73">
        <v>0.0</v>
      </c>
      <c r="K71" s="73">
        <v>7.0</v>
      </c>
      <c r="L71" s="73">
        <v>0.0</v>
      </c>
      <c r="M71" s="73">
        <v>4.0</v>
      </c>
      <c r="N71" s="73">
        <v>1.0</v>
      </c>
      <c r="O71" s="73">
        <v>2.0</v>
      </c>
      <c r="P71" s="73">
        <v>7.0</v>
      </c>
      <c r="Q71" s="73">
        <v>7.0</v>
      </c>
      <c r="R71" s="73">
        <v>6.0</v>
      </c>
      <c r="S71" s="73">
        <v>4.0</v>
      </c>
      <c r="T71" s="73">
        <v>6.0</v>
      </c>
      <c r="U71" s="73">
        <v>20.0</v>
      </c>
      <c r="V71" s="73">
        <v>7.0</v>
      </c>
      <c r="W71" s="73">
        <v>2.0</v>
      </c>
      <c r="X71" s="13">
        <f t="shared" si="18"/>
        <v>116</v>
      </c>
    </row>
    <row r="72" ht="12.75" customHeight="1">
      <c r="A72" s="18"/>
      <c r="B72" s="49"/>
      <c r="C72" s="50" t="s">
        <v>63</v>
      </c>
      <c r="D72" s="51"/>
      <c r="E72" s="73">
        <v>0.0</v>
      </c>
      <c r="F72" s="73">
        <v>2.0</v>
      </c>
      <c r="G72" s="73">
        <v>3.0</v>
      </c>
      <c r="H72" s="73">
        <v>1.0</v>
      </c>
      <c r="I72" s="73">
        <v>2.0</v>
      </c>
      <c r="J72" s="73">
        <v>0.0</v>
      </c>
      <c r="K72" s="73">
        <v>0.0</v>
      </c>
      <c r="L72" s="73">
        <v>1.0</v>
      </c>
      <c r="M72" s="73">
        <v>0.0</v>
      </c>
      <c r="N72" s="73">
        <v>0.0</v>
      </c>
      <c r="O72" s="73">
        <v>4.0</v>
      </c>
      <c r="P72" s="73">
        <v>1.0</v>
      </c>
      <c r="Q72" s="73">
        <v>0.0</v>
      </c>
      <c r="R72" s="73">
        <v>1.0</v>
      </c>
      <c r="S72" s="73">
        <v>2.0</v>
      </c>
      <c r="T72" s="73">
        <v>2.0</v>
      </c>
      <c r="U72" s="73">
        <v>2.0</v>
      </c>
      <c r="V72" s="73">
        <v>3.0</v>
      </c>
      <c r="W72" s="73">
        <v>2.0</v>
      </c>
      <c r="X72" s="13">
        <f t="shared" si="18"/>
        <v>26</v>
      </c>
    </row>
    <row r="73" ht="12.75" customHeight="1">
      <c r="A73" s="18"/>
      <c r="B73" s="49"/>
      <c r="C73" s="50" t="s">
        <v>64</v>
      </c>
      <c r="D73" s="51"/>
      <c r="E73" s="73">
        <v>1.0</v>
      </c>
      <c r="F73" s="73">
        <v>1.0</v>
      </c>
      <c r="G73" s="73">
        <v>2.0</v>
      </c>
      <c r="H73" s="73">
        <v>0.0</v>
      </c>
      <c r="I73" s="73">
        <v>0.0</v>
      </c>
      <c r="J73" s="73">
        <v>0.0</v>
      </c>
      <c r="K73" s="73">
        <v>3.0</v>
      </c>
      <c r="L73" s="73">
        <v>0.0</v>
      </c>
      <c r="M73" s="73">
        <v>7.0</v>
      </c>
      <c r="N73" s="73">
        <v>6.0</v>
      </c>
      <c r="O73" s="73">
        <v>3.0</v>
      </c>
      <c r="P73" s="73">
        <v>1.0</v>
      </c>
      <c r="Q73" s="73">
        <v>1.0</v>
      </c>
      <c r="R73" s="73">
        <v>3.0</v>
      </c>
      <c r="S73" s="73">
        <v>0.0</v>
      </c>
      <c r="T73" s="73">
        <v>0.0</v>
      </c>
      <c r="U73" s="73">
        <v>1.0</v>
      </c>
      <c r="V73" s="73">
        <v>5.0</v>
      </c>
      <c r="W73" s="73">
        <v>0.0</v>
      </c>
      <c r="X73" s="13">
        <f t="shared" si="18"/>
        <v>34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3.0</v>
      </c>
      <c r="G74" s="73">
        <v>2.0</v>
      </c>
      <c r="H74" s="73">
        <v>2.0</v>
      </c>
      <c r="I74" s="73">
        <v>3.0</v>
      </c>
      <c r="J74" s="73">
        <v>0.0</v>
      </c>
      <c r="K74" s="73">
        <v>0.0</v>
      </c>
      <c r="L74" s="73">
        <v>2.0</v>
      </c>
      <c r="M74" s="73">
        <v>1.0</v>
      </c>
      <c r="N74" s="73">
        <v>1.0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1.0</v>
      </c>
      <c r="U74" s="73">
        <v>1.0</v>
      </c>
      <c r="V74" s="73">
        <v>4.0</v>
      </c>
      <c r="W74" s="73">
        <v>1.0</v>
      </c>
      <c r="X74" s="13">
        <f t="shared" si="18"/>
        <v>21</v>
      </c>
    </row>
    <row r="75" ht="12.75" customHeight="1">
      <c r="A75" s="18"/>
      <c r="B75" s="49"/>
      <c r="C75" s="50" t="s">
        <v>66</v>
      </c>
      <c r="D75" s="51"/>
      <c r="E75" s="73">
        <v>1.0</v>
      </c>
      <c r="F75" s="73">
        <v>1.0</v>
      </c>
      <c r="G75" s="73">
        <v>3.0</v>
      </c>
      <c r="H75" s="73">
        <v>1.0</v>
      </c>
      <c r="I75" s="73">
        <v>2.0</v>
      </c>
      <c r="J75" s="73">
        <v>2.0</v>
      </c>
      <c r="K75" s="73">
        <v>0.0</v>
      </c>
      <c r="L75" s="73">
        <v>0.0</v>
      </c>
      <c r="M75" s="73">
        <v>0.0</v>
      </c>
      <c r="N75" s="73">
        <v>1.0</v>
      </c>
      <c r="O75" s="73">
        <v>0.0</v>
      </c>
      <c r="P75" s="73">
        <v>0.0</v>
      </c>
      <c r="Q75" s="73">
        <v>0.0</v>
      </c>
      <c r="R75" s="73">
        <v>1.0</v>
      </c>
      <c r="S75" s="73">
        <v>1.0</v>
      </c>
      <c r="T75" s="73">
        <v>0.0</v>
      </c>
      <c r="U75" s="73">
        <v>0.0</v>
      </c>
      <c r="V75" s="73">
        <v>0.0</v>
      </c>
      <c r="W75" s="73">
        <v>0.0</v>
      </c>
      <c r="X75" s="13">
        <f t="shared" si="18"/>
        <v>13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1.0</v>
      </c>
      <c r="R76" s="73">
        <v>1.0</v>
      </c>
      <c r="S76" s="73">
        <v>0.0</v>
      </c>
      <c r="T76" s="73">
        <v>0.0</v>
      </c>
      <c r="U76" s="73">
        <v>0.0</v>
      </c>
      <c r="V76" s="73">
        <v>3.0</v>
      </c>
      <c r="W76" s="73">
        <v>0.0</v>
      </c>
      <c r="X76" s="13">
        <f t="shared" si="18"/>
        <v>5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1.0</v>
      </c>
      <c r="H77" s="73">
        <v>0.0</v>
      </c>
      <c r="I77" s="73">
        <v>0.0</v>
      </c>
      <c r="J77" s="73">
        <v>0.0</v>
      </c>
      <c r="K77" s="73">
        <v>1.0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1.0</v>
      </c>
      <c r="R77" s="73">
        <v>0.0</v>
      </c>
      <c r="S77" s="73">
        <v>0.0</v>
      </c>
      <c r="T77" s="73">
        <v>1.0</v>
      </c>
      <c r="U77" s="73">
        <v>0.0</v>
      </c>
      <c r="V77" s="73">
        <v>0.0</v>
      </c>
      <c r="W77" s="73">
        <v>0.0</v>
      </c>
      <c r="X77" s="13">
        <f t="shared" si="18"/>
        <v>4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1.0</v>
      </c>
      <c r="G78" s="73">
        <v>1.0</v>
      </c>
      <c r="H78" s="73">
        <v>0.0</v>
      </c>
      <c r="I78" s="73">
        <v>1.0</v>
      </c>
      <c r="J78" s="73">
        <v>0.0</v>
      </c>
      <c r="K78" s="73">
        <v>2.0</v>
      </c>
      <c r="L78" s="73">
        <v>0.0</v>
      </c>
      <c r="M78" s="73">
        <v>0.0</v>
      </c>
      <c r="N78" s="73">
        <v>0.0</v>
      </c>
      <c r="O78" s="73">
        <v>0.0</v>
      </c>
      <c r="P78" s="73">
        <v>0.0</v>
      </c>
      <c r="Q78" s="73">
        <v>1.0</v>
      </c>
      <c r="R78" s="73">
        <v>0.0</v>
      </c>
      <c r="S78" s="73">
        <v>1.0</v>
      </c>
      <c r="T78" s="73">
        <v>0.0</v>
      </c>
      <c r="U78" s="73">
        <v>0.0</v>
      </c>
      <c r="V78" s="73">
        <v>0.0</v>
      </c>
      <c r="W78" s="73">
        <v>0.0</v>
      </c>
      <c r="X78" s="13">
        <f t="shared" si="18"/>
        <v>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X79" si="19">SUM(E69:E78)</f>
        <v>17</v>
      </c>
      <c r="F79" s="13">
        <f t="shared" si="19"/>
        <v>18</v>
      </c>
      <c r="G79" s="13">
        <f t="shared" si="19"/>
        <v>41</v>
      </c>
      <c r="H79" s="13">
        <f t="shared" si="19"/>
        <v>35</v>
      </c>
      <c r="I79" s="13">
        <f t="shared" si="19"/>
        <v>25</v>
      </c>
      <c r="J79" s="13">
        <f t="shared" si="19"/>
        <v>3</v>
      </c>
      <c r="K79" s="13">
        <f t="shared" si="19"/>
        <v>18</v>
      </c>
      <c r="L79" s="13">
        <f t="shared" si="19"/>
        <v>7</v>
      </c>
      <c r="M79" s="13">
        <f t="shared" si="19"/>
        <v>17</v>
      </c>
      <c r="N79" s="13">
        <f t="shared" si="19"/>
        <v>16</v>
      </c>
      <c r="O79" s="13">
        <f t="shared" si="19"/>
        <v>13</v>
      </c>
      <c r="P79" s="13">
        <f t="shared" si="19"/>
        <v>15</v>
      </c>
      <c r="Q79" s="13">
        <f t="shared" si="19"/>
        <v>15</v>
      </c>
      <c r="R79" s="13">
        <f t="shared" si="19"/>
        <v>22</v>
      </c>
      <c r="S79" s="13">
        <f t="shared" si="19"/>
        <v>13</v>
      </c>
      <c r="T79" s="13">
        <f t="shared" si="19"/>
        <v>16</v>
      </c>
      <c r="U79" s="13">
        <f t="shared" si="19"/>
        <v>26</v>
      </c>
      <c r="V79" s="13">
        <f t="shared" si="19"/>
        <v>30</v>
      </c>
      <c r="W79" s="13">
        <f t="shared" si="19"/>
        <v>10</v>
      </c>
      <c r="X79" s="13">
        <f t="shared" si="19"/>
        <v>357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3.0</v>
      </c>
      <c r="F81" s="73">
        <v>1.0</v>
      </c>
      <c r="G81" s="73">
        <v>2.0</v>
      </c>
      <c r="H81" s="73">
        <v>6.0</v>
      </c>
      <c r="I81" s="73">
        <v>2.0</v>
      </c>
      <c r="J81" s="73">
        <v>0.0</v>
      </c>
      <c r="K81" s="73">
        <v>0.0</v>
      </c>
      <c r="L81" s="73">
        <v>1.0</v>
      </c>
      <c r="M81" s="73">
        <v>0.0</v>
      </c>
      <c r="N81" s="73">
        <v>0.0</v>
      </c>
      <c r="O81" s="73">
        <v>3.0</v>
      </c>
      <c r="P81" s="73">
        <v>7.0</v>
      </c>
      <c r="Q81" s="73">
        <v>4.0</v>
      </c>
      <c r="R81" s="73">
        <v>7.0</v>
      </c>
      <c r="S81" s="73">
        <v>2.0</v>
      </c>
      <c r="T81" s="73">
        <v>2.0</v>
      </c>
      <c r="U81" s="73">
        <v>2.0</v>
      </c>
      <c r="V81" s="73">
        <v>6.0</v>
      </c>
      <c r="W81" s="73">
        <v>3.0</v>
      </c>
      <c r="X81" s="13">
        <f t="shared" ref="X81:X90" si="20">SUM(E81:W81)</f>
        <v>51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2.0</v>
      </c>
      <c r="F82" s="73">
        <v>7.0</v>
      </c>
      <c r="G82" s="73">
        <v>4.0</v>
      </c>
      <c r="H82" s="73">
        <v>1.0</v>
      </c>
      <c r="I82" s="73">
        <v>2.0</v>
      </c>
      <c r="J82" s="73">
        <v>0.0</v>
      </c>
      <c r="K82" s="73">
        <v>2.0</v>
      </c>
      <c r="L82" s="73">
        <v>4.0</v>
      </c>
      <c r="M82" s="73">
        <v>0.0</v>
      </c>
      <c r="N82" s="73">
        <v>0.0</v>
      </c>
      <c r="O82" s="73">
        <v>1.0</v>
      </c>
      <c r="P82" s="73">
        <v>3.0</v>
      </c>
      <c r="Q82" s="73">
        <v>3.0</v>
      </c>
      <c r="R82" s="73">
        <v>28.0</v>
      </c>
      <c r="S82" s="73">
        <v>12.0</v>
      </c>
      <c r="T82" s="73">
        <v>6.0</v>
      </c>
      <c r="U82" s="73">
        <v>10.0</v>
      </c>
      <c r="V82" s="73">
        <v>20.0</v>
      </c>
      <c r="W82" s="73">
        <v>1.0</v>
      </c>
      <c r="X82" s="13">
        <f t="shared" si="20"/>
        <v>106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3.0</v>
      </c>
      <c r="G83" s="73">
        <v>0.0</v>
      </c>
      <c r="H83" s="73">
        <v>0.0</v>
      </c>
      <c r="I83" s="73">
        <v>0.0</v>
      </c>
      <c r="J83" s="73">
        <v>0.0</v>
      </c>
      <c r="K83" s="73">
        <v>1.0</v>
      </c>
      <c r="L83" s="73">
        <v>0.0</v>
      </c>
      <c r="M83" s="73">
        <v>0.0</v>
      </c>
      <c r="N83" s="73">
        <v>0.0</v>
      </c>
      <c r="O83" s="73">
        <v>0.0</v>
      </c>
      <c r="P83" s="73">
        <v>3.0</v>
      </c>
      <c r="Q83" s="73">
        <v>2.0</v>
      </c>
      <c r="R83" s="73">
        <v>6.0</v>
      </c>
      <c r="S83" s="73">
        <v>0.0</v>
      </c>
      <c r="T83" s="73">
        <v>1.0</v>
      </c>
      <c r="U83" s="73">
        <v>1.0</v>
      </c>
      <c r="V83" s="73">
        <v>0.0</v>
      </c>
      <c r="W83" s="73">
        <v>1.0</v>
      </c>
      <c r="X83" s="13">
        <f t="shared" si="20"/>
        <v>18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1.0</v>
      </c>
      <c r="K84" s="73">
        <v>0.0</v>
      </c>
      <c r="L84" s="73">
        <v>0.0</v>
      </c>
      <c r="M84" s="73">
        <v>0.0</v>
      </c>
      <c r="N84" s="73">
        <v>1.0</v>
      </c>
      <c r="O84" s="73">
        <v>0.0</v>
      </c>
      <c r="P84" s="73">
        <v>2.0</v>
      </c>
      <c r="Q84" s="73">
        <v>2.0</v>
      </c>
      <c r="R84" s="73">
        <v>1.0</v>
      </c>
      <c r="S84" s="73">
        <v>3.0</v>
      </c>
      <c r="T84" s="73">
        <v>1.0</v>
      </c>
      <c r="U84" s="73">
        <v>0.0</v>
      </c>
      <c r="V84" s="73">
        <v>4.0</v>
      </c>
      <c r="W84" s="73">
        <v>1.0</v>
      </c>
      <c r="X84" s="13">
        <f t="shared" si="20"/>
        <v>16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1.0</v>
      </c>
      <c r="G85" s="73">
        <v>2.0</v>
      </c>
      <c r="H85" s="73">
        <v>2.0</v>
      </c>
      <c r="I85" s="73">
        <v>0.0</v>
      </c>
      <c r="J85" s="73">
        <v>1.0</v>
      </c>
      <c r="K85" s="73">
        <v>0.0</v>
      </c>
      <c r="L85" s="73">
        <v>0.0</v>
      </c>
      <c r="M85" s="73">
        <v>0.0</v>
      </c>
      <c r="N85" s="73">
        <v>1.0</v>
      </c>
      <c r="O85" s="73">
        <v>0.0</v>
      </c>
      <c r="P85" s="73">
        <v>1.0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1.0</v>
      </c>
      <c r="W85" s="73">
        <v>0.0</v>
      </c>
      <c r="X85" s="13">
        <f t="shared" si="20"/>
        <v>10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1.0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1.0</v>
      </c>
      <c r="X86" s="13">
        <f t="shared" si="20"/>
        <v>2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1.0</v>
      </c>
      <c r="O87" s="73">
        <v>0.0</v>
      </c>
      <c r="P87" s="73">
        <v>1.0</v>
      </c>
      <c r="Q87" s="73">
        <v>1.0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13">
        <f t="shared" si="20"/>
        <v>3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1.0</v>
      </c>
      <c r="H88" s="73">
        <v>0.0</v>
      </c>
      <c r="I88" s="73">
        <v>1.0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1.0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13">
        <f t="shared" si="20"/>
        <v>4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13">
        <f t="shared" si="20"/>
        <v>0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1.0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73">
        <v>1.0</v>
      </c>
      <c r="T90" s="73">
        <v>1.0</v>
      </c>
      <c r="U90" s="73">
        <v>0.0</v>
      </c>
      <c r="V90" s="73">
        <v>1.0</v>
      </c>
      <c r="W90" s="73">
        <v>0.0</v>
      </c>
      <c r="X90" s="13">
        <f t="shared" si="20"/>
        <v>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X91" si="21">SUM(E81:E90)</f>
        <v>6</v>
      </c>
      <c r="F91" s="13">
        <f t="shared" si="21"/>
        <v>13</v>
      </c>
      <c r="G91" s="13">
        <f t="shared" si="21"/>
        <v>9</v>
      </c>
      <c r="H91" s="13">
        <f t="shared" si="21"/>
        <v>9</v>
      </c>
      <c r="I91" s="13">
        <f t="shared" si="21"/>
        <v>5</v>
      </c>
      <c r="J91" s="13">
        <f t="shared" si="21"/>
        <v>3</v>
      </c>
      <c r="K91" s="13">
        <f t="shared" si="21"/>
        <v>3</v>
      </c>
      <c r="L91" s="13">
        <f t="shared" si="21"/>
        <v>5</v>
      </c>
      <c r="M91" s="13">
        <f t="shared" si="21"/>
        <v>0</v>
      </c>
      <c r="N91" s="13">
        <f t="shared" si="21"/>
        <v>3</v>
      </c>
      <c r="O91" s="13">
        <f t="shared" si="21"/>
        <v>5</v>
      </c>
      <c r="P91" s="13">
        <f t="shared" si="21"/>
        <v>17</v>
      </c>
      <c r="Q91" s="13">
        <f t="shared" si="21"/>
        <v>13</v>
      </c>
      <c r="R91" s="13">
        <f t="shared" si="21"/>
        <v>42</v>
      </c>
      <c r="S91" s="13">
        <f t="shared" si="21"/>
        <v>18</v>
      </c>
      <c r="T91" s="13">
        <f t="shared" si="21"/>
        <v>11</v>
      </c>
      <c r="U91" s="13">
        <f t="shared" si="21"/>
        <v>13</v>
      </c>
      <c r="V91" s="13">
        <f t="shared" si="21"/>
        <v>32</v>
      </c>
      <c r="W91" s="13">
        <f t="shared" si="21"/>
        <v>7</v>
      </c>
      <c r="X91" s="13">
        <f t="shared" si="21"/>
        <v>214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2.0</v>
      </c>
      <c r="F93" s="73">
        <v>1.0</v>
      </c>
      <c r="G93" s="73">
        <v>2.0</v>
      </c>
      <c r="H93" s="73">
        <v>1.0</v>
      </c>
      <c r="I93" s="73">
        <v>1.0</v>
      </c>
      <c r="J93" s="73">
        <v>0.0</v>
      </c>
      <c r="K93" s="73">
        <v>1.0</v>
      </c>
      <c r="L93" s="73">
        <v>0.0</v>
      </c>
      <c r="M93" s="73">
        <v>0.0</v>
      </c>
      <c r="N93" s="73">
        <v>0.0</v>
      </c>
      <c r="O93" s="73">
        <v>1.0</v>
      </c>
      <c r="P93" s="73">
        <v>0.0</v>
      </c>
      <c r="Q93" s="73">
        <v>0.0</v>
      </c>
      <c r="R93" s="73">
        <v>0.0</v>
      </c>
      <c r="S93" s="73">
        <v>0.0</v>
      </c>
      <c r="T93" s="73">
        <v>0.0</v>
      </c>
      <c r="U93" s="73">
        <v>0.0</v>
      </c>
      <c r="V93" s="73">
        <v>0.0</v>
      </c>
      <c r="W93" s="73">
        <v>0.0</v>
      </c>
      <c r="X93" s="13">
        <f t="shared" ref="X93:X102" si="22">SUM(E93:W93)</f>
        <v>9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1.0</v>
      </c>
      <c r="F94" s="73">
        <v>7.0</v>
      </c>
      <c r="G94" s="73">
        <v>5.0</v>
      </c>
      <c r="H94" s="73">
        <v>2.0</v>
      </c>
      <c r="I94" s="73">
        <v>4.0</v>
      </c>
      <c r="J94" s="73">
        <v>0.0</v>
      </c>
      <c r="K94" s="73">
        <v>1.0</v>
      </c>
      <c r="L94" s="73">
        <v>2.0</v>
      </c>
      <c r="M94" s="73">
        <v>1.0</v>
      </c>
      <c r="N94" s="73">
        <v>1.0</v>
      </c>
      <c r="O94" s="73">
        <v>1.0</v>
      </c>
      <c r="P94" s="73">
        <v>0.0</v>
      </c>
      <c r="Q94" s="73">
        <v>1.0</v>
      </c>
      <c r="R94" s="73">
        <v>0.0</v>
      </c>
      <c r="S94" s="73">
        <v>2.0</v>
      </c>
      <c r="T94" s="73">
        <v>7.0</v>
      </c>
      <c r="U94" s="73">
        <v>1.0</v>
      </c>
      <c r="V94" s="73">
        <v>2.0</v>
      </c>
      <c r="W94" s="73">
        <v>1.0</v>
      </c>
      <c r="X94" s="13">
        <f t="shared" si="22"/>
        <v>39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1.0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13">
        <f t="shared" si="22"/>
        <v>1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13">
        <f t="shared" si="22"/>
        <v>0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1.0</v>
      </c>
      <c r="R97" s="73">
        <v>1.0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13">
        <f t="shared" si="22"/>
        <v>2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13">
        <f t="shared" si="22"/>
        <v>0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1.0</v>
      </c>
      <c r="H99" s="73">
        <v>0.0</v>
      </c>
      <c r="I99" s="73">
        <v>0.0</v>
      </c>
      <c r="J99" s="73">
        <v>0.0</v>
      </c>
      <c r="K99" s="73">
        <v>1.0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13">
        <f t="shared" si="22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13">
        <f t="shared" si="22"/>
        <v>0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X103" si="23">SUM(E93:E102)</f>
        <v>3</v>
      </c>
      <c r="F103" s="13">
        <f t="shared" si="23"/>
        <v>8</v>
      </c>
      <c r="G103" s="13">
        <f t="shared" si="23"/>
        <v>9</v>
      </c>
      <c r="H103" s="13">
        <f t="shared" si="23"/>
        <v>3</v>
      </c>
      <c r="I103" s="13">
        <f t="shared" si="23"/>
        <v>5</v>
      </c>
      <c r="J103" s="13">
        <f t="shared" si="23"/>
        <v>0</v>
      </c>
      <c r="K103" s="13">
        <f t="shared" si="23"/>
        <v>3</v>
      </c>
      <c r="L103" s="13">
        <f t="shared" si="23"/>
        <v>2</v>
      </c>
      <c r="M103" s="13">
        <f t="shared" si="23"/>
        <v>1</v>
      </c>
      <c r="N103" s="13">
        <f t="shared" si="23"/>
        <v>1</v>
      </c>
      <c r="O103" s="13">
        <f t="shared" si="23"/>
        <v>2</v>
      </c>
      <c r="P103" s="13">
        <f t="shared" si="23"/>
        <v>0</v>
      </c>
      <c r="Q103" s="13">
        <f t="shared" si="23"/>
        <v>2</v>
      </c>
      <c r="R103" s="13">
        <f t="shared" si="23"/>
        <v>1</v>
      </c>
      <c r="S103" s="13">
        <f t="shared" si="23"/>
        <v>2</v>
      </c>
      <c r="T103" s="13">
        <f t="shared" si="23"/>
        <v>7</v>
      </c>
      <c r="U103" s="13">
        <f t="shared" si="23"/>
        <v>1</v>
      </c>
      <c r="V103" s="13">
        <f t="shared" si="23"/>
        <v>2</v>
      </c>
      <c r="W103" s="13">
        <f t="shared" si="23"/>
        <v>1</v>
      </c>
      <c r="X103" s="13">
        <f t="shared" si="23"/>
        <v>53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1.0</v>
      </c>
      <c r="R105" s="73">
        <v>0.0</v>
      </c>
      <c r="S105" s="73">
        <v>0.0</v>
      </c>
      <c r="T105" s="73">
        <v>0.0</v>
      </c>
      <c r="U105" s="73">
        <v>1.0</v>
      </c>
      <c r="V105" s="73">
        <v>0.0</v>
      </c>
      <c r="W105" s="73">
        <v>0.0</v>
      </c>
      <c r="X105" s="13">
        <f t="shared" ref="X105:X114" si="24">SUM(E105:W105)</f>
        <v>4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1.0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13">
        <f t="shared" si="24"/>
        <v>1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1.0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13">
        <f t="shared" si="24"/>
        <v>1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X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2.0</v>
      </c>
      <c r="G117" s="73">
        <v>1.0</v>
      </c>
      <c r="H117" s="73">
        <v>0.0</v>
      </c>
      <c r="I117" s="73">
        <v>0.0</v>
      </c>
      <c r="J117" s="73">
        <v>0.0</v>
      </c>
      <c r="K117" s="73">
        <v>0.0</v>
      </c>
      <c r="L117" s="73">
        <v>1.0</v>
      </c>
      <c r="M117" s="73">
        <v>1.0</v>
      </c>
      <c r="N117" s="73">
        <v>3.0</v>
      </c>
      <c r="O117" s="73">
        <v>2.0</v>
      </c>
      <c r="P117" s="73">
        <v>1.0</v>
      </c>
      <c r="Q117" s="73">
        <v>0.0</v>
      </c>
      <c r="R117" s="73">
        <v>0.0</v>
      </c>
      <c r="S117" s="73">
        <v>1.0</v>
      </c>
      <c r="T117" s="73">
        <v>1.0</v>
      </c>
      <c r="U117" s="73">
        <v>2.0</v>
      </c>
      <c r="V117" s="73">
        <v>0.0</v>
      </c>
      <c r="W117" s="73">
        <v>0.0</v>
      </c>
      <c r="X117" s="13">
        <f t="shared" ref="X117:X126" si="26">SUM(E117:W117)</f>
        <v>15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1.0</v>
      </c>
      <c r="I118" s="73">
        <v>1.0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2.0</v>
      </c>
      <c r="W118" s="73">
        <v>0.0</v>
      </c>
      <c r="X118" s="13">
        <f t="shared" si="26"/>
        <v>5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2.0</v>
      </c>
      <c r="I119" s="73">
        <v>1.0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1.0</v>
      </c>
      <c r="Q119" s="73">
        <v>0.0</v>
      </c>
      <c r="R119" s="73">
        <v>0.0</v>
      </c>
      <c r="S119" s="73">
        <v>0.0</v>
      </c>
      <c r="T119" s="73">
        <v>1.0</v>
      </c>
      <c r="U119" s="73">
        <v>0.0</v>
      </c>
      <c r="V119" s="73">
        <v>0.0</v>
      </c>
      <c r="W119" s="73">
        <v>1.0</v>
      </c>
      <c r="X119" s="13">
        <f t="shared" si="26"/>
        <v>6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1.0</v>
      </c>
      <c r="I120" s="73">
        <v>0.0</v>
      </c>
      <c r="J120" s="73">
        <v>0.0</v>
      </c>
      <c r="K120" s="73">
        <v>0.0</v>
      </c>
      <c r="L120" s="73">
        <v>1.0</v>
      </c>
      <c r="M120" s="73">
        <v>0.0</v>
      </c>
      <c r="N120" s="73">
        <v>1.0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13">
        <f t="shared" si="26"/>
        <v>3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1.0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1.0</v>
      </c>
      <c r="W122" s="73">
        <v>0.0</v>
      </c>
      <c r="X122" s="13">
        <f t="shared" si="26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X127" si="27">SUM(E117:E126)</f>
        <v>0</v>
      </c>
      <c r="F127" s="13">
        <f t="shared" si="27"/>
        <v>2</v>
      </c>
      <c r="G127" s="13">
        <f t="shared" si="27"/>
        <v>1</v>
      </c>
      <c r="H127" s="13">
        <f t="shared" si="27"/>
        <v>4</v>
      </c>
      <c r="I127" s="13">
        <f t="shared" si="27"/>
        <v>2</v>
      </c>
      <c r="J127" s="13">
        <f t="shared" si="27"/>
        <v>0</v>
      </c>
      <c r="K127" s="13">
        <f t="shared" si="27"/>
        <v>0</v>
      </c>
      <c r="L127" s="13">
        <f t="shared" si="27"/>
        <v>2</v>
      </c>
      <c r="M127" s="13">
        <f t="shared" si="27"/>
        <v>2</v>
      </c>
      <c r="N127" s="13">
        <f t="shared" si="27"/>
        <v>5</v>
      </c>
      <c r="O127" s="13">
        <f t="shared" si="27"/>
        <v>2</v>
      </c>
      <c r="P127" s="13">
        <f t="shared" si="27"/>
        <v>2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2</v>
      </c>
      <c r="U127" s="13">
        <f t="shared" si="27"/>
        <v>2</v>
      </c>
      <c r="V127" s="13">
        <f t="shared" si="27"/>
        <v>3</v>
      </c>
      <c r="W127" s="13">
        <f t="shared" si="27"/>
        <v>1</v>
      </c>
      <c r="X127" s="13">
        <f t="shared" si="27"/>
        <v>31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1.0</v>
      </c>
      <c r="H129" s="73">
        <v>2.0</v>
      </c>
      <c r="I129" s="73">
        <v>1.0</v>
      </c>
      <c r="J129" s="73">
        <v>0.0</v>
      </c>
      <c r="K129" s="73">
        <v>0.0</v>
      </c>
      <c r="L129" s="73">
        <v>0.0</v>
      </c>
      <c r="M129" s="73">
        <v>0.0</v>
      </c>
      <c r="N129" s="73">
        <v>1.0</v>
      </c>
      <c r="O129" s="73">
        <v>0.0</v>
      </c>
      <c r="P129" s="73">
        <v>1.0</v>
      </c>
      <c r="Q129" s="73">
        <v>0.0</v>
      </c>
      <c r="R129" s="73">
        <v>0.0</v>
      </c>
      <c r="S129" s="73">
        <v>0.0</v>
      </c>
      <c r="T129" s="73">
        <v>0.0</v>
      </c>
      <c r="U129" s="73">
        <v>0.0</v>
      </c>
      <c r="V129" s="73">
        <v>0.0</v>
      </c>
      <c r="W129" s="73">
        <v>0.0</v>
      </c>
      <c r="X129" s="13">
        <f t="shared" ref="X129:X138" si="28">SUM(E129:W129)</f>
        <v>6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0.0</v>
      </c>
      <c r="H130" s="73">
        <v>1.0</v>
      </c>
      <c r="I130" s="73">
        <v>0.0</v>
      </c>
      <c r="J130" s="73">
        <v>0.0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0.0</v>
      </c>
      <c r="Q130" s="73">
        <v>1.0</v>
      </c>
      <c r="R130" s="73">
        <v>0.0</v>
      </c>
      <c r="S130" s="73">
        <v>0.0</v>
      </c>
      <c r="T130" s="73">
        <v>0.0</v>
      </c>
      <c r="U130" s="73">
        <v>0.0</v>
      </c>
      <c r="V130" s="73">
        <v>0.0</v>
      </c>
      <c r="W130" s="73">
        <v>1.0</v>
      </c>
      <c r="X130" s="13">
        <f t="shared" si="28"/>
        <v>3</v>
      </c>
    </row>
    <row r="131" ht="12.75" customHeight="1">
      <c r="A131" s="18"/>
      <c r="B131" s="49"/>
      <c r="C131" s="50" t="s">
        <v>105</v>
      </c>
      <c r="D131" s="51"/>
      <c r="E131" s="73">
        <v>1.0</v>
      </c>
      <c r="F131" s="73">
        <v>0.0</v>
      </c>
      <c r="G131" s="73">
        <v>1.0</v>
      </c>
      <c r="H131" s="73">
        <v>0.0</v>
      </c>
      <c r="I131" s="73">
        <v>0.0</v>
      </c>
      <c r="J131" s="73">
        <v>0.0</v>
      </c>
      <c r="K131" s="73">
        <v>2.0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13">
        <f t="shared" si="28"/>
        <v>4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2.0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1.0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13">
        <f t="shared" si="28"/>
        <v>3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1.0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13">
        <f t="shared" si="28"/>
        <v>0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1.0</v>
      </c>
      <c r="V135" s="73">
        <v>0.0</v>
      </c>
      <c r="W135" s="73">
        <v>0.0</v>
      </c>
      <c r="X135" s="13">
        <f t="shared" si="28"/>
        <v>1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1.0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13">
        <f t="shared" si="28"/>
        <v>1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X139" si="29">SUM(E129:E138)</f>
        <v>1</v>
      </c>
      <c r="F139" s="13">
        <f t="shared" si="29"/>
        <v>0</v>
      </c>
      <c r="G139" s="13">
        <f t="shared" si="29"/>
        <v>3</v>
      </c>
      <c r="H139" s="13">
        <f t="shared" si="29"/>
        <v>3</v>
      </c>
      <c r="I139" s="13">
        <f t="shared" si="29"/>
        <v>3</v>
      </c>
      <c r="J139" s="13">
        <f t="shared" si="29"/>
        <v>0</v>
      </c>
      <c r="K139" s="13">
        <f t="shared" si="29"/>
        <v>3</v>
      </c>
      <c r="L139" s="13">
        <f t="shared" si="29"/>
        <v>0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1</v>
      </c>
      <c r="Q139" s="13">
        <f t="shared" si="29"/>
        <v>1</v>
      </c>
      <c r="R139" s="13">
        <f t="shared" si="29"/>
        <v>1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0</v>
      </c>
      <c r="W139" s="13">
        <f t="shared" si="29"/>
        <v>1</v>
      </c>
      <c r="X139" s="13">
        <f t="shared" si="29"/>
        <v>19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13">
        <f t="shared" ref="X141:X150" si="30">SUM(E141:W141)</f>
        <v>0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1.0</v>
      </c>
      <c r="L153" s="73">
        <v>0.0</v>
      </c>
      <c r="M153" s="73">
        <v>0.0</v>
      </c>
      <c r="N153" s="73">
        <v>0.0</v>
      </c>
      <c r="O153" s="73">
        <v>0.0</v>
      </c>
      <c r="P153" s="73">
        <v>1.0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13">
        <f t="shared" ref="X153:X162" si="32">SUM(E153:W153)</f>
        <v>2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1.0</v>
      </c>
      <c r="F154" s="73">
        <v>0.0</v>
      </c>
      <c r="G154" s="73">
        <v>0.0</v>
      </c>
      <c r="H154" s="73">
        <v>1.0</v>
      </c>
      <c r="I154" s="73">
        <v>0.0</v>
      </c>
      <c r="J154" s="73">
        <v>1.0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1.0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13">
        <f t="shared" si="32"/>
        <v>4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1.0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1.0</v>
      </c>
      <c r="W155" s="73">
        <v>0.0</v>
      </c>
      <c r="X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1.0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1.0</v>
      </c>
      <c r="W156" s="73">
        <v>0.0</v>
      </c>
      <c r="X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1.0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13">
        <f t="shared" si="32"/>
        <v>0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X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 t="shared" si="33"/>
        <v>2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2</v>
      </c>
      <c r="W163" s="13">
        <f t="shared" si="33"/>
        <v>0</v>
      </c>
      <c r="X163" s="13">
        <f t="shared" si="33"/>
        <v>11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13">
        <f t="shared" ref="X165:X174" si="34">SUM(E165:W165)</f>
        <v>2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1.0</v>
      </c>
      <c r="I166" s="73">
        <v>1.0</v>
      </c>
      <c r="J166" s="73">
        <v>0.0</v>
      </c>
      <c r="K166" s="73">
        <v>0.0</v>
      </c>
      <c r="L166" s="73">
        <v>0.0</v>
      </c>
      <c r="M166" s="73">
        <v>0.0</v>
      </c>
      <c r="N166" s="73">
        <v>1.0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13">
        <f t="shared" si="34"/>
        <v>3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X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5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2.0</v>
      </c>
      <c r="F177" s="73">
        <v>1.0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1.0</v>
      </c>
      <c r="P177" s="73">
        <v>0.0</v>
      </c>
      <c r="Q177" s="73">
        <v>0.0</v>
      </c>
      <c r="R177" s="73">
        <v>1.0</v>
      </c>
      <c r="S177" s="73">
        <v>0.0</v>
      </c>
      <c r="T177" s="73">
        <v>0.0</v>
      </c>
      <c r="U177" s="73">
        <v>0.0</v>
      </c>
      <c r="V177" s="73">
        <v>0.0</v>
      </c>
      <c r="W177" s="73">
        <v>0.0</v>
      </c>
      <c r="X177" s="13">
        <f t="shared" ref="X177:X186" si="36">SUM(E177:W177)</f>
        <v>5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3.0</v>
      </c>
      <c r="G178" s="73">
        <v>0.0</v>
      </c>
      <c r="H178" s="73">
        <v>0.0</v>
      </c>
      <c r="I178" s="73">
        <v>1.0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1.0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1.0</v>
      </c>
      <c r="W178" s="73">
        <v>0.0</v>
      </c>
      <c r="X178" s="13">
        <f t="shared" si="36"/>
        <v>6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1.0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13">
        <f t="shared" si="36"/>
        <v>1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2.0</v>
      </c>
      <c r="G180" s="73">
        <v>0.0</v>
      </c>
      <c r="H180" s="73">
        <v>0.0</v>
      </c>
      <c r="I180" s="73">
        <v>1.0</v>
      </c>
      <c r="J180" s="73">
        <v>0.0</v>
      </c>
      <c r="K180" s="73">
        <v>0.0</v>
      </c>
      <c r="L180" s="73">
        <v>0.0</v>
      </c>
      <c r="M180" s="73">
        <v>1.0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13">
        <f t="shared" si="36"/>
        <v>4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1.0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13">
        <f t="shared" si="36"/>
        <v>1</v>
      </c>
    </row>
    <row r="182" ht="12.75" customHeight="1">
      <c r="A182" s="18"/>
      <c r="B182" s="49"/>
      <c r="C182" s="50" t="s">
        <v>136</v>
      </c>
      <c r="D182" s="51"/>
      <c r="E182" s="73">
        <v>1.0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13">
        <f t="shared" si="36"/>
        <v>2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13">
        <f t="shared" si="36"/>
        <v>0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13">
        <f t="shared" si="36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13">
        <f t="shared" si="36"/>
        <v>0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1.0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13">
        <f t="shared" si="36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X187" si="37">SUM(E177:E186)</f>
        <v>3</v>
      </c>
      <c r="F187" s="13">
        <f t="shared" si="37"/>
        <v>7</v>
      </c>
      <c r="G187" s="13">
        <f t="shared" si="37"/>
        <v>0</v>
      </c>
      <c r="H187" s="13">
        <f t="shared" si="37"/>
        <v>1</v>
      </c>
      <c r="I187" s="13">
        <f t="shared" si="37"/>
        <v>2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1</v>
      </c>
      <c r="O187" s="13">
        <f t="shared" si="37"/>
        <v>2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1</v>
      </c>
      <c r="W187" s="13">
        <f t="shared" si="37"/>
        <v>0</v>
      </c>
      <c r="X187" s="13">
        <f t="shared" si="37"/>
        <v>20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13">
        <f t="shared" ref="X189:X198" si="38">SUM(E189:W189)</f>
        <v>0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1.0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13">
        <f t="shared" si="38"/>
        <v>1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13">
        <f t="shared" si="38"/>
        <v>0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2.0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13">
        <f t="shared" si="38"/>
        <v>2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13">
        <f t="shared" si="38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1.0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1.0</v>
      </c>
      <c r="S197" s="73">
        <v>0.0</v>
      </c>
      <c r="T197" s="73">
        <v>0.0</v>
      </c>
      <c r="U197" s="73">
        <v>0.0</v>
      </c>
      <c r="V197" s="73">
        <v>0.0</v>
      </c>
      <c r="W197" s="73">
        <v>1.0</v>
      </c>
      <c r="X197" s="13">
        <f t="shared" si="38"/>
        <v>2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13">
        <f t="shared" si="38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X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6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2.0</v>
      </c>
      <c r="F201" s="73">
        <v>1.0</v>
      </c>
      <c r="G201" s="73">
        <v>1.0</v>
      </c>
      <c r="H201" s="73">
        <v>3.0</v>
      </c>
      <c r="I201" s="73">
        <v>5.0</v>
      </c>
      <c r="J201" s="73">
        <v>1.0</v>
      </c>
      <c r="K201" s="73">
        <v>3.0</v>
      </c>
      <c r="L201" s="73">
        <v>1.0</v>
      </c>
      <c r="M201" s="73">
        <v>1.0</v>
      </c>
      <c r="N201" s="73">
        <v>3.0</v>
      </c>
      <c r="O201" s="73">
        <v>3.0</v>
      </c>
      <c r="P201" s="73">
        <v>5.0</v>
      </c>
      <c r="Q201" s="73">
        <v>0.0</v>
      </c>
      <c r="R201" s="73">
        <v>2.0</v>
      </c>
      <c r="S201" s="73">
        <v>3.0</v>
      </c>
      <c r="T201" s="73">
        <v>0.0</v>
      </c>
      <c r="U201" s="73">
        <v>7.0</v>
      </c>
      <c r="V201" s="73">
        <v>4.0</v>
      </c>
      <c r="W201" s="73">
        <v>3.0</v>
      </c>
      <c r="X201" s="13">
        <f t="shared" ref="X201:X210" si="40">SUM(E201:W201)</f>
        <v>48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5.0</v>
      </c>
      <c r="F202" s="73">
        <v>26.0</v>
      </c>
      <c r="G202" s="73">
        <v>17.0</v>
      </c>
      <c r="H202" s="73">
        <v>13.0</v>
      </c>
      <c r="I202" s="73">
        <v>15.0</v>
      </c>
      <c r="J202" s="73">
        <v>14.0</v>
      </c>
      <c r="K202" s="73">
        <v>10.0</v>
      </c>
      <c r="L202" s="73">
        <v>30.0</v>
      </c>
      <c r="M202" s="73">
        <v>46.0</v>
      </c>
      <c r="N202" s="73">
        <v>41.0</v>
      </c>
      <c r="O202" s="73">
        <v>13.0</v>
      </c>
      <c r="P202" s="73">
        <v>13.0</v>
      </c>
      <c r="Q202" s="73">
        <v>10.0</v>
      </c>
      <c r="R202" s="73">
        <v>21.0</v>
      </c>
      <c r="S202" s="73">
        <v>35.0</v>
      </c>
      <c r="T202" s="73">
        <v>16.0</v>
      </c>
      <c r="U202" s="73">
        <v>28.0</v>
      </c>
      <c r="V202" s="73">
        <v>22.0</v>
      </c>
      <c r="W202" s="73">
        <v>14.0</v>
      </c>
      <c r="X202" s="13">
        <f t="shared" si="40"/>
        <v>389</v>
      </c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10.0</v>
      </c>
      <c r="G203" s="73">
        <v>1.0</v>
      </c>
      <c r="H203" s="73">
        <v>0.0</v>
      </c>
      <c r="I203" s="73">
        <v>2.0</v>
      </c>
      <c r="J203" s="73">
        <v>1.0</v>
      </c>
      <c r="K203" s="73">
        <v>4.0</v>
      </c>
      <c r="L203" s="73">
        <v>1.0</v>
      </c>
      <c r="M203" s="73">
        <v>1.0</v>
      </c>
      <c r="N203" s="73">
        <v>5.0</v>
      </c>
      <c r="O203" s="73">
        <v>8.0</v>
      </c>
      <c r="P203" s="73">
        <v>3.0</v>
      </c>
      <c r="Q203" s="73">
        <v>0.0</v>
      </c>
      <c r="R203" s="73">
        <v>3.0</v>
      </c>
      <c r="S203" s="73">
        <v>4.0</v>
      </c>
      <c r="T203" s="73">
        <v>9.0</v>
      </c>
      <c r="U203" s="73">
        <v>3.0</v>
      </c>
      <c r="V203" s="73">
        <v>3.0</v>
      </c>
      <c r="W203" s="73">
        <v>3.0</v>
      </c>
      <c r="X203" s="13">
        <f t="shared" si="40"/>
        <v>61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1.0</v>
      </c>
      <c r="P204" s="73">
        <v>1.0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2.0</v>
      </c>
      <c r="W204" s="73">
        <v>0.0</v>
      </c>
      <c r="X204" s="13">
        <f t="shared" si="40"/>
        <v>6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1.0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1.0</v>
      </c>
      <c r="S205" s="73">
        <v>0.0</v>
      </c>
      <c r="T205" s="73">
        <v>1.0</v>
      </c>
      <c r="U205" s="73">
        <v>0.0</v>
      </c>
      <c r="V205" s="73">
        <v>1.0</v>
      </c>
      <c r="W205" s="73">
        <v>0.0</v>
      </c>
      <c r="X205" s="13">
        <f t="shared" si="40"/>
        <v>6</v>
      </c>
    </row>
    <row r="206" ht="12.75" customHeight="1">
      <c r="A206" s="18"/>
      <c r="B206" s="49"/>
      <c r="C206" s="50" t="s">
        <v>158</v>
      </c>
      <c r="D206" s="51"/>
      <c r="E206" s="73">
        <v>1.0</v>
      </c>
      <c r="F206" s="73">
        <v>0.0</v>
      </c>
      <c r="G206" s="73">
        <v>1.0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1.0</v>
      </c>
      <c r="U206" s="73">
        <v>0.0</v>
      </c>
      <c r="V206" s="73">
        <v>0.0</v>
      </c>
      <c r="W206" s="73">
        <v>0.0</v>
      </c>
      <c r="X206" s="13">
        <f t="shared" si="40"/>
        <v>3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1.0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1.0</v>
      </c>
      <c r="O207" s="73">
        <v>0.0</v>
      </c>
      <c r="P207" s="73">
        <v>1.0</v>
      </c>
      <c r="Q207" s="73">
        <v>0.0</v>
      </c>
      <c r="R207" s="73">
        <v>1.0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13">
        <f t="shared" si="40"/>
        <v>4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3.0</v>
      </c>
      <c r="I208" s="73">
        <v>0.0</v>
      </c>
      <c r="J208" s="73">
        <v>0.0</v>
      </c>
      <c r="K208" s="73">
        <v>1.0</v>
      </c>
      <c r="L208" s="73">
        <v>0.0</v>
      </c>
      <c r="M208" s="73">
        <v>0.0</v>
      </c>
      <c r="N208" s="73">
        <v>0.0</v>
      </c>
      <c r="O208" s="73">
        <v>0.0</v>
      </c>
      <c r="P208" s="73">
        <v>1.0</v>
      </c>
      <c r="Q208" s="73">
        <v>0.0</v>
      </c>
      <c r="R208" s="73">
        <v>0.0</v>
      </c>
      <c r="S208" s="73">
        <v>0.0</v>
      </c>
      <c r="T208" s="73">
        <v>0.0</v>
      </c>
      <c r="U208" s="73">
        <v>0.0</v>
      </c>
      <c r="V208" s="73">
        <v>2.0</v>
      </c>
      <c r="W208" s="73">
        <v>0.0</v>
      </c>
      <c r="X208" s="13">
        <f t="shared" si="40"/>
        <v>7</v>
      </c>
    </row>
    <row r="209" ht="12.75" customHeight="1">
      <c r="A209" s="18"/>
      <c r="B209" s="49"/>
      <c r="C209" s="50" t="s">
        <v>161</v>
      </c>
      <c r="D209" s="51"/>
      <c r="E209" s="73">
        <v>1.0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13">
        <f t="shared" si="40"/>
        <v>1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2.0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1.0</v>
      </c>
      <c r="O210" s="73">
        <v>0.0</v>
      </c>
      <c r="P210" s="73">
        <v>0.0</v>
      </c>
      <c r="Q210" s="73">
        <v>1.0</v>
      </c>
      <c r="R210" s="73">
        <v>1.0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13">
        <f t="shared" si="40"/>
        <v>5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X211" si="41">SUM(E201:E210)</f>
        <v>9</v>
      </c>
      <c r="F211" s="13">
        <f t="shared" si="41"/>
        <v>39</v>
      </c>
      <c r="G211" s="13">
        <f t="shared" si="41"/>
        <v>21</v>
      </c>
      <c r="H211" s="13">
        <f t="shared" si="41"/>
        <v>22</v>
      </c>
      <c r="I211" s="13">
        <f t="shared" si="41"/>
        <v>22</v>
      </c>
      <c r="J211" s="13">
        <f t="shared" si="41"/>
        <v>16</v>
      </c>
      <c r="K211" s="13">
        <f t="shared" si="41"/>
        <v>18</v>
      </c>
      <c r="L211" s="13">
        <f t="shared" si="41"/>
        <v>32</v>
      </c>
      <c r="M211" s="13">
        <f t="shared" si="41"/>
        <v>49</v>
      </c>
      <c r="N211" s="13">
        <f t="shared" si="41"/>
        <v>51</v>
      </c>
      <c r="O211" s="13">
        <f t="shared" si="41"/>
        <v>26</v>
      </c>
      <c r="P211" s="13">
        <f t="shared" si="41"/>
        <v>24</v>
      </c>
      <c r="Q211" s="13">
        <f t="shared" si="41"/>
        <v>11</v>
      </c>
      <c r="R211" s="13">
        <f t="shared" si="41"/>
        <v>29</v>
      </c>
      <c r="S211" s="13">
        <f t="shared" si="41"/>
        <v>42</v>
      </c>
      <c r="T211" s="13">
        <f t="shared" si="41"/>
        <v>27</v>
      </c>
      <c r="U211" s="13">
        <f t="shared" si="41"/>
        <v>38</v>
      </c>
      <c r="V211" s="13">
        <f t="shared" si="41"/>
        <v>34</v>
      </c>
      <c r="W211" s="13">
        <f t="shared" si="41"/>
        <v>20</v>
      </c>
      <c r="X211" s="13">
        <f t="shared" si="41"/>
        <v>530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0.0</v>
      </c>
      <c r="G213" s="73">
        <v>1.0</v>
      </c>
      <c r="H213" s="73">
        <v>3.0</v>
      </c>
      <c r="I213" s="73">
        <v>0.0</v>
      </c>
      <c r="J213" s="73">
        <v>0.0</v>
      </c>
      <c r="K213" s="73">
        <v>0.0</v>
      </c>
      <c r="L213" s="73">
        <v>0.0</v>
      </c>
      <c r="M213" s="73">
        <v>0.0</v>
      </c>
      <c r="N213" s="73">
        <v>0.0</v>
      </c>
      <c r="O213" s="73">
        <v>1.0</v>
      </c>
      <c r="P213" s="73">
        <v>0.0</v>
      </c>
      <c r="Q213" s="73">
        <v>0.0</v>
      </c>
      <c r="R213" s="73">
        <v>0.0</v>
      </c>
      <c r="S213" s="73">
        <v>0.0</v>
      </c>
      <c r="T213" s="73">
        <v>2.0</v>
      </c>
      <c r="U213" s="73">
        <v>2.0</v>
      </c>
      <c r="V213" s="73">
        <v>0.0</v>
      </c>
      <c r="W213" s="73">
        <v>0.0</v>
      </c>
      <c r="X213" s="13">
        <f t="shared" ref="X213:X222" si="42">SUM(E213:W213)</f>
        <v>11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1.0</v>
      </c>
      <c r="G214" s="73">
        <v>0.0</v>
      </c>
      <c r="H214" s="73">
        <v>0.0</v>
      </c>
      <c r="I214" s="73">
        <v>0.0</v>
      </c>
      <c r="J214" s="73">
        <v>0.0</v>
      </c>
      <c r="K214" s="73">
        <v>0.0</v>
      </c>
      <c r="L214" s="73">
        <v>0.0</v>
      </c>
      <c r="M214" s="73">
        <v>0.0</v>
      </c>
      <c r="N214" s="73">
        <v>0.0</v>
      </c>
      <c r="O214" s="73">
        <v>2.0</v>
      </c>
      <c r="P214" s="73">
        <v>1.0</v>
      </c>
      <c r="Q214" s="73">
        <v>0.0</v>
      </c>
      <c r="R214" s="73">
        <v>0.0</v>
      </c>
      <c r="S214" s="73">
        <v>1.0</v>
      </c>
      <c r="T214" s="73">
        <v>1.0</v>
      </c>
      <c r="U214" s="73">
        <v>2.0</v>
      </c>
      <c r="V214" s="73">
        <v>1.0</v>
      </c>
      <c r="W214" s="73">
        <v>1.0</v>
      </c>
      <c r="X214" s="13">
        <f t="shared" si="42"/>
        <v>10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0.0</v>
      </c>
      <c r="G215" s="73">
        <v>0.0</v>
      </c>
      <c r="H215" s="73">
        <v>0.0</v>
      </c>
      <c r="I215" s="73">
        <v>1.0</v>
      </c>
      <c r="J215" s="73">
        <v>0.0</v>
      </c>
      <c r="K215" s="73">
        <v>0.0</v>
      </c>
      <c r="L215" s="73">
        <v>0.0</v>
      </c>
      <c r="M215" s="73">
        <v>1.0</v>
      </c>
      <c r="N215" s="73">
        <v>0.0</v>
      </c>
      <c r="O215" s="73">
        <v>0.0</v>
      </c>
      <c r="P215" s="73">
        <v>0.0</v>
      </c>
      <c r="Q215" s="73">
        <v>0.0</v>
      </c>
      <c r="R215" s="73">
        <v>0.0</v>
      </c>
      <c r="S215" s="73">
        <v>2.0</v>
      </c>
      <c r="T215" s="73">
        <v>0.0</v>
      </c>
      <c r="U215" s="73">
        <v>0.0</v>
      </c>
      <c r="V215" s="73">
        <v>0.0</v>
      </c>
      <c r="W215" s="73">
        <v>1.0</v>
      </c>
      <c r="X215" s="13">
        <f t="shared" si="42"/>
        <v>5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13">
        <f t="shared" si="42"/>
        <v>0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X223" si="43">SUM(E213:E222)</f>
        <v>2</v>
      </c>
      <c r="F223" s="13">
        <f t="shared" si="43"/>
        <v>1</v>
      </c>
      <c r="G223" s="13">
        <f t="shared" si="43"/>
        <v>1</v>
      </c>
      <c r="H223" s="13">
        <f t="shared" si="43"/>
        <v>3</v>
      </c>
      <c r="I223" s="13">
        <f t="shared" si="43"/>
        <v>1</v>
      </c>
      <c r="J223" s="13">
        <f t="shared" si="43"/>
        <v>0</v>
      </c>
      <c r="K223" s="13">
        <f t="shared" si="43"/>
        <v>0</v>
      </c>
      <c r="L223" s="13">
        <f t="shared" si="43"/>
        <v>0</v>
      </c>
      <c r="M223" s="13">
        <f t="shared" si="43"/>
        <v>1</v>
      </c>
      <c r="N223" s="13">
        <f t="shared" si="43"/>
        <v>0</v>
      </c>
      <c r="O223" s="13">
        <f t="shared" si="43"/>
        <v>3</v>
      </c>
      <c r="P223" s="13">
        <f t="shared" si="43"/>
        <v>1</v>
      </c>
      <c r="Q223" s="13">
        <f t="shared" si="43"/>
        <v>0</v>
      </c>
      <c r="R223" s="13">
        <f t="shared" si="43"/>
        <v>0</v>
      </c>
      <c r="S223" s="13">
        <f t="shared" si="43"/>
        <v>3</v>
      </c>
      <c r="T223" s="13">
        <f t="shared" si="43"/>
        <v>3</v>
      </c>
      <c r="U223" s="13">
        <f t="shared" si="43"/>
        <v>4</v>
      </c>
      <c r="V223" s="13">
        <f t="shared" si="43"/>
        <v>1</v>
      </c>
      <c r="W223" s="13">
        <f t="shared" si="43"/>
        <v>2</v>
      </c>
      <c r="X223" s="13">
        <f t="shared" si="43"/>
        <v>26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3.0</v>
      </c>
      <c r="F225" s="73">
        <v>0.0</v>
      </c>
      <c r="G225" s="73">
        <v>0.0</v>
      </c>
      <c r="H225" s="73">
        <v>1.0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1.0</v>
      </c>
      <c r="W225" s="73">
        <v>0.0</v>
      </c>
      <c r="X225" s="13">
        <f t="shared" ref="X225:X234" si="44">SUM(E225:W225)</f>
        <v>5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2.0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1.0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1.0</v>
      </c>
      <c r="T226" s="73">
        <v>0.0</v>
      </c>
      <c r="U226" s="73">
        <v>0.0</v>
      </c>
      <c r="V226" s="73">
        <v>0.0</v>
      </c>
      <c r="W226" s="73">
        <v>0.0</v>
      </c>
      <c r="X226" s="13">
        <f t="shared" si="44"/>
        <v>4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13">
        <f t="shared" si="44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13">
        <f t="shared" si="44"/>
        <v>0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X235" si="45">SUM(E225:E234)</f>
        <v>5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4.0</v>
      </c>
      <c r="F237" s="73">
        <v>0.0</v>
      </c>
      <c r="G237" s="73">
        <v>0.0</v>
      </c>
      <c r="H237" s="73">
        <v>1.0</v>
      </c>
      <c r="I237" s="73">
        <v>1.0</v>
      </c>
      <c r="J237" s="73">
        <v>0.0</v>
      </c>
      <c r="K237" s="73">
        <v>0.0</v>
      </c>
      <c r="L237" s="73">
        <v>1.0</v>
      </c>
      <c r="M237" s="73">
        <v>1.0</v>
      </c>
      <c r="N237" s="73">
        <v>5.0</v>
      </c>
      <c r="O237" s="73">
        <v>0.0</v>
      </c>
      <c r="P237" s="73">
        <v>1.0</v>
      </c>
      <c r="Q237" s="73">
        <v>2.0</v>
      </c>
      <c r="R237" s="73">
        <v>1.0</v>
      </c>
      <c r="S237" s="73">
        <v>0.0</v>
      </c>
      <c r="T237" s="73">
        <v>0.0</v>
      </c>
      <c r="U237" s="73">
        <v>6.0</v>
      </c>
      <c r="V237" s="73">
        <v>2.0</v>
      </c>
      <c r="W237" s="73">
        <v>4.0</v>
      </c>
      <c r="X237" s="13">
        <f t="shared" ref="X237:X246" si="46">SUM(E237:W237)</f>
        <v>29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1.0</v>
      </c>
      <c r="F238" s="73">
        <v>2.0</v>
      </c>
      <c r="G238" s="73">
        <v>0.0</v>
      </c>
      <c r="H238" s="73">
        <v>0.0</v>
      </c>
      <c r="I238" s="73">
        <v>0.0</v>
      </c>
      <c r="J238" s="73">
        <v>2.0</v>
      </c>
      <c r="K238" s="73">
        <v>0.0</v>
      </c>
      <c r="L238" s="73">
        <v>0.0</v>
      </c>
      <c r="M238" s="73">
        <v>0.0</v>
      </c>
      <c r="N238" s="73">
        <v>0.0</v>
      </c>
      <c r="O238" s="73">
        <v>0.0</v>
      </c>
      <c r="P238" s="73">
        <v>1.0</v>
      </c>
      <c r="Q238" s="73">
        <v>1.0</v>
      </c>
      <c r="R238" s="73">
        <v>0.0</v>
      </c>
      <c r="S238" s="73">
        <v>0.0</v>
      </c>
      <c r="T238" s="73">
        <v>0.0</v>
      </c>
      <c r="U238" s="73">
        <v>2.0</v>
      </c>
      <c r="V238" s="73">
        <v>1.0</v>
      </c>
      <c r="W238" s="73">
        <v>1.0</v>
      </c>
      <c r="X238" s="13">
        <f t="shared" si="46"/>
        <v>11</v>
      </c>
    </row>
    <row r="239" ht="12.75" customHeight="1">
      <c r="A239" s="18"/>
      <c r="B239" s="49"/>
      <c r="C239" s="50" t="s">
        <v>177</v>
      </c>
      <c r="D239" s="51"/>
      <c r="E239" s="73">
        <v>1.0</v>
      </c>
      <c r="F239" s="73">
        <v>0.0</v>
      </c>
      <c r="G239" s="73">
        <v>0.0</v>
      </c>
      <c r="H239" s="73">
        <v>6.0</v>
      </c>
      <c r="I239" s="73">
        <v>0.0</v>
      </c>
      <c r="J239" s="73">
        <v>0.0</v>
      </c>
      <c r="K239" s="73">
        <v>1.0</v>
      </c>
      <c r="L239" s="73">
        <v>0.0</v>
      </c>
      <c r="M239" s="73">
        <v>1.0</v>
      </c>
      <c r="N239" s="73">
        <v>0.0</v>
      </c>
      <c r="O239" s="73">
        <v>0.0</v>
      </c>
      <c r="P239" s="73">
        <v>1.0</v>
      </c>
      <c r="Q239" s="73">
        <v>0.0</v>
      </c>
      <c r="R239" s="73">
        <v>0.0</v>
      </c>
      <c r="S239" s="73">
        <v>0.0</v>
      </c>
      <c r="T239" s="73">
        <v>0.0</v>
      </c>
      <c r="U239" s="73">
        <v>2.0</v>
      </c>
      <c r="V239" s="73">
        <v>0.0</v>
      </c>
      <c r="W239" s="73">
        <v>1.0</v>
      </c>
      <c r="X239" s="13">
        <f t="shared" si="46"/>
        <v>13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1.0</v>
      </c>
      <c r="V240" s="73">
        <v>0.0</v>
      </c>
      <c r="W240" s="73">
        <v>1.0</v>
      </c>
      <c r="X240" s="13">
        <f t="shared" si="46"/>
        <v>3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2.0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13">
        <f t="shared" si="46"/>
        <v>2</v>
      </c>
    </row>
    <row r="242" ht="12.75" customHeight="1">
      <c r="A242" s="18"/>
      <c r="B242" s="49"/>
      <c r="C242" s="50" t="s">
        <v>180</v>
      </c>
      <c r="D242" s="51"/>
      <c r="E242" s="73">
        <v>2.0</v>
      </c>
      <c r="F242" s="73">
        <v>2.0</v>
      </c>
      <c r="G242" s="73">
        <v>3.0</v>
      </c>
      <c r="H242" s="73">
        <v>2.0</v>
      </c>
      <c r="I242" s="73">
        <v>0.0</v>
      </c>
      <c r="J242" s="73">
        <v>1.0</v>
      </c>
      <c r="K242" s="73">
        <v>0.0</v>
      </c>
      <c r="L242" s="73">
        <v>0.0</v>
      </c>
      <c r="M242" s="73">
        <v>1.0</v>
      </c>
      <c r="N242" s="73">
        <v>2.0</v>
      </c>
      <c r="O242" s="73">
        <v>0.0</v>
      </c>
      <c r="P242" s="73">
        <v>1.0</v>
      </c>
      <c r="Q242" s="73">
        <v>0.0</v>
      </c>
      <c r="R242" s="73">
        <v>1.0</v>
      </c>
      <c r="S242" s="73">
        <v>0.0</v>
      </c>
      <c r="T242" s="73">
        <v>1.0</v>
      </c>
      <c r="U242" s="73">
        <v>1.0</v>
      </c>
      <c r="V242" s="73">
        <v>2.0</v>
      </c>
      <c r="W242" s="73">
        <v>1.0</v>
      </c>
      <c r="X242" s="13">
        <f t="shared" si="46"/>
        <v>20</v>
      </c>
    </row>
    <row r="243" ht="12.75" customHeight="1">
      <c r="A243" s="18"/>
      <c r="B243" s="49"/>
      <c r="C243" s="50" t="s">
        <v>181</v>
      </c>
      <c r="D243" s="51"/>
      <c r="E243" s="73">
        <v>2.0</v>
      </c>
      <c r="F243" s="73">
        <v>0.0</v>
      </c>
      <c r="G243" s="73">
        <v>0.0</v>
      </c>
      <c r="H243" s="73">
        <v>2.0</v>
      </c>
      <c r="I243" s="73">
        <v>0.0</v>
      </c>
      <c r="J243" s="73">
        <v>0.0</v>
      </c>
      <c r="K243" s="73">
        <v>0.0</v>
      </c>
      <c r="L243" s="73">
        <v>0.0</v>
      </c>
      <c r="M243" s="73">
        <v>2.0</v>
      </c>
      <c r="N243" s="73">
        <v>1.0</v>
      </c>
      <c r="O243" s="73">
        <v>0.0</v>
      </c>
      <c r="P243" s="73">
        <v>1.0</v>
      </c>
      <c r="Q243" s="73">
        <v>0.0</v>
      </c>
      <c r="R243" s="73">
        <v>1.0</v>
      </c>
      <c r="S243" s="73">
        <v>0.0</v>
      </c>
      <c r="T243" s="73">
        <v>0.0</v>
      </c>
      <c r="U243" s="73">
        <v>1.0</v>
      </c>
      <c r="V243" s="73">
        <v>2.0</v>
      </c>
      <c r="W243" s="73">
        <v>1.0</v>
      </c>
      <c r="X243" s="13">
        <f t="shared" si="46"/>
        <v>13</v>
      </c>
    </row>
    <row r="244" ht="12.75" customHeight="1">
      <c r="A244" s="18"/>
      <c r="B244" s="49"/>
      <c r="C244" s="50" t="s">
        <v>182</v>
      </c>
      <c r="D244" s="51"/>
      <c r="E244" s="73">
        <v>1.0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2.0</v>
      </c>
      <c r="O244" s="73">
        <v>0.0</v>
      </c>
      <c r="P244" s="73">
        <v>0.0</v>
      </c>
      <c r="Q244" s="73">
        <v>0.0</v>
      </c>
      <c r="R244" s="73">
        <v>1.0</v>
      </c>
      <c r="S244" s="73">
        <v>0.0</v>
      </c>
      <c r="T244" s="73">
        <v>0.0</v>
      </c>
      <c r="U244" s="73">
        <v>2.0</v>
      </c>
      <c r="V244" s="73">
        <v>2.0</v>
      </c>
      <c r="W244" s="73">
        <v>1.0</v>
      </c>
      <c r="X244" s="13">
        <f t="shared" si="46"/>
        <v>9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1.0</v>
      </c>
      <c r="Q245" s="73">
        <v>0.0</v>
      </c>
      <c r="R245" s="73">
        <v>0.0</v>
      </c>
      <c r="S245" s="73">
        <v>0.0</v>
      </c>
      <c r="T245" s="73">
        <v>0.0</v>
      </c>
      <c r="U245" s="73">
        <v>1.0</v>
      </c>
      <c r="V245" s="73">
        <v>0.0</v>
      </c>
      <c r="W245" s="73">
        <v>0.0</v>
      </c>
      <c r="X245" s="13">
        <f t="shared" si="46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1.0</v>
      </c>
      <c r="O246" s="73">
        <v>1.0</v>
      </c>
      <c r="P246" s="73">
        <v>1.0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1.0</v>
      </c>
      <c r="X246" s="13">
        <f t="shared" si="46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X247" si="47">SUM(E237:E246)</f>
        <v>11</v>
      </c>
      <c r="F247" s="13">
        <f t="shared" si="47"/>
        <v>4</v>
      </c>
      <c r="G247" s="13">
        <f t="shared" si="47"/>
        <v>3</v>
      </c>
      <c r="H247" s="13">
        <f t="shared" si="47"/>
        <v>11</v>
      </c>
      <c r="I247" s="13">
        <f t="shared" si="47"/>
        <v>1</v>
      </c>
      <c r="J247" s="13">
        <f t="shared" si="47"/>
        <v>3</v>
      </c>
      <c r="K247" s="13">
        <f t="shared" si="47"/>
        <v>1</v>
      </c>
      <c r="L247" s="13">
        <f t="shared" si="47"/>
        <v>1</v>
      </c>
      <c r="M247" s="13">
        <f t="shared" si="47"/>
        <v>5</v>
      </c>
      <c r="N247" s="13">
        <f t="shared" si="47"/>
        <v>14</v>
      </c>
      <c r="O247" s="13">
        <f t="shared" si="47"/>
        <v>1</v>
      </c>
      <c r="P247" s="13">
        <f t="shared" si="47"/>
        <v>7</v>
      </c>
      <c r="Q247" s="13">
        <f t="shared" si="47"/>
        <v>3</v>
      </c>
      <c r="R247" s="13">
        <f t="shared" si="47"/>
        <v>4</v>
      </c>
      <c r="S247" s="13">
        <f t="shared" si="47"/>
        <v>0</v>
      </c>
      <c r="T247" s="13">
        <f t="shared" si="47"/>
        <v>1</v>
      </c>
      <c r="U247" s="13">
        <f t="shared" si="47"/>
        <v>16</v>
      </c>
      <c r="V247" s="13">
        <f t="shared" si="47"/>
        <v>9</v>
      </c>
      <c r="W247" s="13">
        <f t="shared" si="47"/>
        <v>11</v>
      </c>
      <c r="X247" s="13">
        <f t="shared" si="47"/>
        <v>106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2.0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1.0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13">
        <f t="shared" ref="X249:X258" si="48">SUM(E249:W249)</f>
        <v>3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2.0</v>
      </c>
      <c r="F250" s="73">
        <v>2.0</v>
      </c>
      <c r="G250" s="73">
        <v>1.0</v>
      </c>
      <c r="H250" s="73">
        <v>3.0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13">
        <f t="shared" si="48"/>
        <v>8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2.0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1.0</v>
      </c>
      <c r="V251" s="73">
        <v>0.0</v>
      </c>
      <c r="W251" s="73">
        <v>0.0</v>
      </c>
      <c r="X251" s="13">
        <f t="shared" si="48"/>
        <v>3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13">
        <f t="shared" si="48"/>
        <v>0</v>
      </c>
    </row>
    <row r="253" ht="12.75" customHeight="1">
      <c r="A253" s="18"/>
      <c r="B253" s="57"/>
      <c r="C253" s="64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3">
        <f t="shared" si="48"/>
        <v>0</v>
      </c>
    </row>
    <row r="254" ht="12.75" customHeight="1">
      <c r="A254" s="18"/>
      <c r="B254" s="57"/>
      <c r="C254" s="64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3">
        <f t="shared" si="48"/>
        <v>0</v>
      </c>
    </row>
    <row r="255" ht="12.75" customHeight="1">
      <c r="A255" s="18"/>
      <c r="B255" s="57"/>
      <c r="C255" s="64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X259" si="49">SUM(E249:E258)</f>
        <v>4</v>
      </c>
      <c r="F259" s="13">
        <f t="shared" si="49"/>
        <v>2</v>
      </c>
      <c r="G259" s="13">
        <f t="shared" si="49"/>
        <v>1</v>
      </c>
      <c r="H259" s="13">
        <f t="shared" si="49"/>
        <v>5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W262" si="50">E55+E67+E79+E91+E103+E115+E127+E139+E151+E163+E175+E187+E199+E211+E223+E235+E247+E259</f>
        <v>186</v>
      </c>
      <c r="F262" s="19">
        <f t="shared" si="50"/>
        <v>171</v>
      </c>
      <c r="G262" s="19">
        <f t="shared" si="50"/>
        <v>190</v>
      </c>
      <c r="H262" s="19">
        <f t="shared" si="50"/>
        <v>196</v>
      </c>
      <c r="I262" s="19">
        <f t="shared" si="50"/>
        <v>210</v>
      </c>
      <c r="J262" s="19">
        <f t="shared" si="50"/>
        <v>205</v>
      </c>
      <c r="K262" s="19">
        <f t="shared" si="50"/>
        <v>209</v>
      </c>
      <c r="L262" s="19">
        <f t="shared" si="50"/>
        <v>221</v>
      </c>
      <c r="M262" s="19">
        <f t="shared" si="50"/>
        <v>200</v>
      </c>
      <c r="N262" s="19">
        <f t="shared" si="50"/>
        <v>232</v>
      </c>
      <c r="O262" s="19">
        <f t="shared" si="50"/>
        <v>228</v>
      </c>
      <c r="P262" s="19">
        <f t="shared" si="50"/>
        <v>201</v>
      </c>
      <c r="Q262" s="19">
        <f t="shared" si="50"/>
        <v>235</v>
      </c>
      <c r="R262" s="19">
        <f t="shared" si="50"/>
        <v>195</v>
      </c>
      <c r="S262" s="19">
        <f t="shared" si="50"/>
        <v>187</v>
      </c>
      <c r="T262" s="19">
        <f t="shared" si="50"/>
        <v>196</v>
      </c>
      <c r="U262" s="19">
        <f t="shared" si="50"/>
        <v>179</v>
      </c>
      <c r="V262" s="19">
        <f t="shared" si="50"/>
        <v>195</v>
      </c>
      <c r="W262" s="19">
        <f t="shared" si="50"/>
        <v>195</v>
      </c>
      <c r="X262" s="13">
        <f t="shared" ref="X262:X264" si="51">SUM(E262:W262)</f>
        <v>3831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25.0</v>
      </c>
      <c r="F263" s="73">
        <v>23.0</v>
      </c>
      <c r="G263" s="73">
        <v>11.0</v>
      </c>
      <c r="H263" s="73">
        <v>26.0</v>
      </c>
      <c r="I263" s="73">
        <v>11.0</v>
      </c>
      <c r="J263" s="73">
        <v>7.0</v>
      </c>
      <c r="K263" s="73">
        <v>6.0</v>
      </c>
      <c r="L263" s="73">
        <v>3.0</v>
      </c>
      <c r="M263" s="73">
        <v>1.0</v>
      </c>
      <c r="N263" s="73">
        <v>3.0</v>
      </c>
      <c r="O263" s="73">
        <v>5.0</v>
      </c>
      <c r="P263" s="73">
        <v>16.0</v>
      </c>
      <c r="Q263" s="73">
        <v>8.0</v>
      </c>
      <c r="R263" s="73">
        <v>9.0</v>
      </c>
      <c r="S263" s="73">
        <v>3.0</v>
      </c>
      <c r="T263" s="73">
        <v>8.0</v>
      </c>
      <c r="U263" s="73">
        <v>15.0</v>
      </c>
      <c r="V263" s="73">
        <v>28.0</v>
      </c>
      <c r="W263" s="73">
        <v>15.0</v>
      </c>
      <c r="X263" s="13">
        <f t="shared" si="51"/>
        <v>223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W264" si="52">SUM(E262:E263)</f>
        <v>211</v>
      </c>
      <c r="F264" s="13">
        <f t="shared" si="52"/>
        <v>194</v>
      </c>
      <c r="G264" s="13">
        <f t="shared" si="52"/>
        <v>201</v>
      </c>
      <c r="H264" s="13">
        <f t="shared" si="52"/>
        <v>222</v>
      </c>
      <c r="I264" s="13">
        <f t="shared" si="52"/>
        <v>221</v>
      </c>
      <c r="J264" s="13">
        <f t="shared" si="52"/>
        <v>212</v>
      </c>
      <c r="K264" s="13">
        <f t="shared" si="52"/>
        <v>215</v>
      </c>
      <c r="L264" s="13">
        <f t="shared" si="52"/>
        <v>224</v>
      </c>
      <c r="M264" s="13">
        <f t="shared" si="52"/>
        <v>201</v>
      </c>
      <c r="N264" s="13">
        <f t="shared" si="52"/>
        <v>235</v>
      </c>
      <c r="O264" s="13">
        <f t="shared" si="52"/>
        <v>233</v>
      </c>
      <c r="P264" s="13">
        <f t="shared" si="52"/>
        <v>217</v>
      </c>
      <c r="Q264" s="13">
        <f t="shared" si="52"/>
        <v>243</v>
      </c>
      <c r="R264" s="13">
        <f t="shared" si="52"/>
        <v>204</v>
      </c>
      <c r="S264" s="13">
        <f t="shared" si="52"/>
        <v>190</v>
      </c>
      <c r="T264" s="13">
        <f t="shared" si="52"/>
        <v>204</v>
      </c>
      <c r="U264" s="13">
        <f t="shared" si="52"/>
        <v>194</v>
      </c>
      <c r="V264" s="13">
        <f t="shared" si="52"/>
        <v>223</v>
      </c>
      <c r="W264" s="13">
        <f t="shared" si="52"/>
        <v>210</v>
      </c>
      <c r="X264" s="13">
        <f t="shared" si="51"/>
        <v>4054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W15 E19:W20 E22:W23 E25:W26 E33:W33 E35:W35 E39:W40 E45:W54 E57:W66 E69:W78 E81:W90 E93:W102 E105:W114 E117:W126 E129:W138 E141:W150 E153:W162 E165:W174 E177:W186 E189:W198 E201:W210 E213:W222 E225:W234 E237:W246 E249:W258 E262:W263">
    <cfRule type="containsBlanks" dxfId="1" priority="1">
      <formula>LEN(TRIM(E14))=0</formula>
    </cfRule>
  </conditionalFormatting>
  <conditionalFormatting sqref="E30:W30">
    <cfRule type="expression" dxfId="0" priority="2">
      <formula>E30&lt;&gt;E47</formula>
    </cfRule>
  </conditionalFormatting>
  <conditionalFormatting sqref="E30:W30">
    <cfRule type="expression" dxfId="0" priority="3">
      <formula>E30&lt;&gt;E34</formula>
    </cfRule>
  </conditionalFormatting>
  <conditionalFormatting sqref="E34:W34">
    <cfRule type="expression" dxfId="2" priority="4">
      <formula>E30&lt;&gt;E34</formula>
    </cfRule>
  </conditionalFormatting>
  <conditionalFormatting sqref="E34:W34">
    <cfRule type="expression" dxfId="3" priority="5">
      <formula>E30=E34</formula>
    </cfRule>
  </conditionalFormatting>
  <conditionalFormatting sqref="E34:W34">
    <cfRule type="expression" dxfId="0" priority="6">
      <formula>E34&lt;&gt;E30</formula>
    </cfRule>
  </conditionalFormatting>
  <conditionalFormatting sqref="E34:W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73">
        <v>138.0</v>
      </c>
      <c r="F14" s="73">
        <v>129.0</v>
      </c>
      <c r="G14" s="73">
        <v>132.0</v>
      </c>
      <c r="H14" s="73">
        <v>134.0</v>
      </c>
      <c r="I14" s="73">
        <v>116.0</v>
      </c>
      <c r="J14" s="73">
        <v>124.0</v>
      </c>
      <c r="K14" s="73">
        <v>130.0</v>
      </c>
      <c r="L14" s="73">
        <v>140.0</v>
      </c>
      <c r="M14" s="73">
        <v>136.0</v>
      </c>
      <c r="N14" s="73">
        <v>124.0</v>
      </c>
      <c r="O14" s="73">
        <v>126.0</v>
      </c>
      <c r="P14" s="73">
        <v>136.0</v>
      </c>
      <c r="Q14" s="73">
        <v>135.0</v>
      </c>
      <c r="R14" s="73">
        <v>132.0</v>
      </c>
      <c r="S14" s="73">
        <v>147.0</v>
      </c>
      <c r="T14" s="73">
        <v>130.0</v>
      </c>
      <c r="U14" s="73">
        <v>135.0</v>
      </c>
      <c r="V14" s="73">
        <v>149.0</v>
      </c>
      <c r="W14" s="73">
        <v>110.0</v>
      </c>
      <c r="X14" s="73">
        <v>88.0</v>
      </c>
      <c r="Y14" s="73">
        <v>127.0</v>
      </c>
      <c r="Z14" s="73">
        <v>128.0</v>
      </c>
      <c r="AA14" s="73">
        <v>142.0</v>
      </c>
      <c r="AB14" s="73">
        <v>134.0</v>
      </c>
      <c r="AC14" s="73">
        <v>127.0</v>
      </c>
      <c r="AD14" s="13">
        <f t="shared" ref="AD14:AD16" si="1">SUM(E14:AC14)</f>
        <v>3249</v>
      </c>
    </row>
    <row r="15" ht="12.75" customHeight="1">
      <c r="A15" s="18"/>
      <c r="B15" s="26"/>
      <c r="C15" s="27"/>
      <c r="D15" s="19" t="s">
        <v>13</v>
      </c>
      <c r="E15" s="73">
        <v>129.0</v>
      </c>
      <c r="F15" s="73">
        <v>136.0</v>
      </c>
      <c r="G15" s="73">
        <v>138.0</v>
      </c>
      <c r="H15" s="73">
        <v>132.0</v>
      </c>
      <c r="I15" s="73">
        <v>122.0</v>
      </c>
      <c r="J15" s="73">
        <v>126.0</v>
      </c>
      <c r="K15" s="73">
        <v>130.0</v>
      </c>
      <c r="L15" s="73">
        <v>137.0</v>
      </c>
      <c r="M15" s="73">
        <v>139.0</v>
      </c>
      <c r="N15" s="73">
        <v>139.0</v>
      </c>
      <c r="O15" s="73">
        <v>137.0</v>
      </c>
      <c r="P15" s="73">
        <v>130.0</v>
      </c>
      <c r="Q15" s="73">
        <v>129.0</v>
      </c>
      <c r="R15" s="73">
        <v>134.0</v>
      </c>
      <c r="S15" s="73">
        <v>135.0</v>
      </c>
      <c r="T15" s="73">
        <v>137.0</v>
      </c>
      <c r="U15" s="73">
        <v>136.0</v>
      </c>
      <c r="V15" s="73">
        <v>133.0</v>
      </c>
      <c r="W15" s="73">
        <v>111.0</v>
      </c>
      <c r="X15" s="73">
        <v>66.0</v>
      </c>
      <c r="Y15" s="73">
        <v>131.0</v>
      </c>
      <c r="Z15" s="73">
        <v>126.0</v>
      </c>
      <c r="AA15" s="73">
        <v>115.0</v>
      </c>
      <c r="AB15" s="73">
        <v>134.0</v>
      </c>
      <c r="AC15" s="73">
        <v>127.0</v>
      </c>
      <c r="AD15" s="13">
        <f t="shared" si="1"/>
        <v>3209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267</v>
      </c>
      <c r="F16" s="13">
        <f t="shared" si="2"/>
        <v>265</v>
      </c>
      <c r="G16" s="13">
        <f t="shared" si="2"/>
        <v>270</v>
      </c>
      <c r="H16" s="13">
        <f t="shared" si="2"/>
        <v>266</v>
      </c>
      <c r="I16" s="13">
        <f t="shared" si="2"/>
        <v>238</v>
      </c>
      <c r="J16" s="13">
        <f t="shared" si="2"/>
        <v>250</v>
      </c>
      <c r="K16" s="13">
        <f t="shared" si="2"/>
        <v>260</v>
      </c>
      <c r="L16" s="13">
        <f t="shared" si="2"/>
        <v>277</v>
      </c>
      <c r="M16" s="13">
        <f t="shared" si="2"/>
        <v>275</v>
      </c>
      <c r="N16" s="13">
        <f t="shared" si="2"/>
        <v>263</v>
      </c>
      <c r="O16" s="13">
        <f t="shared" si="2"/>
        <v>263</v>
      </c>
      <c r="P16" s="13">
        <f t="shared" si="2"/>
        <v>266</v>
      </c>
      <c r="Q16" s="13">
        <f t="shared" si="2"/>
        <v>264</v>
      </c>
      <c r="R16" s="13">
        <f t="shared" si="2"/>
        <v>266</v>
      </c>
      <c r="S16" s="13">
        <f t="shared" si="2"/>
        <v>282</v>
      </c>
      <c r="T16" s="13">
        <f t="shared" si="2"/>
        <v>267</v>
      </c>
      <c r="U16" s="13">
        <f t="shared" si="2"/>
        <v>271</v>
      </c>
      <c r="V16" s="13">
        <f t="shared" si="2"/>
        <v>282</v>
      </c>
      <c r="W16" s="13">
        <f t="shared" si="2"/>
        <v>221</v>
      </c>
      <c r="X16" s="13">
        <f t="shared" si="2"/>
        <v>154</v>
      </c>
      <c r="Y16" s="13">
        <f t="shared" si="2"/>
        <v>258</v>
      </c>
      <c r="Z16" s="13">
        <f t="shared" si="2"/>
        <v>254</v>
      </c>
      <c r="AA16" s="13">
        <f t="shared" si="2"/>
        <v>257</v>
      </c>
      <c r="AB16" s="13">
        <f t="shared" si="2"/>
        <v>268</v>
      </c>
      <c r="AC16" s="13">
        <f t="shared" si="2"/>
        <v>254</v>
      </c>
      <c r="AD16" s="13">
        <f t="shared" si="1"/>
        <v>6458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121.0</v>
      </c>
      <c r="F19" s="73">
        <v>98.0</v>
      </c>
      <c r="G19" s="73">
        <v>101.0</v>
      </c>
      <c r="H19" s="73">
        <v>107.0</v>
      </c>
      <c r="I19" s="73">
        <v>81.0</v>
      </c>
      <c r="J19" s="73">
        <v>101.0</v>
      </c>
      <c r="K19" s="73">
        <v>97.0</v>
      </c>
      <c r="L19" s="73">
        <v>123.0</v>
      </c>
      <c r="M19" s="73">
        <v>102.0</v>
      </c>
      <c r="N19" s="73">
        <v>90.0</v>
      </c>
      <c r="O19" s="73">
        <v>97.0</v>
      </c>
      <c r="P19" s="73">
        <v>110.0</v>
      </c>
      <c r="Q19" s="73">
        <v>102.0</v>
      </c>
      <c r="R19" s="73">
        <v>101.0</v>
      </c>
      <c r="S19" s="73">
        <v>103.0</v>
      </c>
      <c r="T19" s="73">
        <v>95.0</v>
      </c>
      <c r="U19" s="73">
        <v>118.0</v>
      </c>
      <c r="V19" s="73">
        <v>123.0</v>
      </c>
      <c r="W19" s="73">
        <v>88.0</v>
      </c>
      <c r="X19" s="73">
        <v>66.0</v>
      </c>
      <c r="Y19" s="73">
        <v>97.0</v>
      </c>
      <c r="Z19" s="73">
        <v>106.0</v>
      </c>
      <c r="AA19" s="73">
        <v>97.0</v>
      </c>
      <c r="AB19" s="73">
        <v>107.0</v>
      </c>
      <c r="AC19" s="73">
        <v>108.0</v>
      </c>
      <c r="AD19" s="13">
        <f t="shared" ref="AD19:AD30" si="3">SUM(E19:AC19)</f>
        <v>2539</v>
      </c>
    </row>
    <row r="20" ht="12.75" customHeight="1">
      <c r="A20" s="33"/>
      <c r="B20" s="27"/>
      <c r="C20" s="34"/>
      <c r="D20" s="19" t="s">
        <v>13</v>
      </c>
      <c r="E20" s="73">
        <v>117.0</v>
      </c>
      <c r="F20" s="73">
        <v>100.0</v>
      </c>
      <c r="G20" s="73">
        <v>108.0</v>
      </c>
      <c r="H20" s="73">
        <v>118.0</v>
      </c>
      <c r="I20" s="73">
        <v>97.0</v>
      </c>
      <c r="J20" s="73">
        <v>103.0</v>
      </c>
      <c r="K20" s="73">
        <v>106.0</v>
      </c>
      <c r="L20" s="73">
        <v>119.0</v>
      </c>
      <c r="M20" s="73">
        <v>108.0</v>
      </c>
      <c r="N20" s="73">
        <v>114.0</v>
      </c>
      <c r="O20" s="73">
        <v>112.0</v>
      </c>
      <c r="P20" s="73">
        <v>104.0</v>
      </c>
      <c r="Q20" s="73">
        <v>105.0</v>
      </c>
      <c r="R20" s="73">
        <v>108.0</v>
      </c>
      <c r="S20" s="73">
        <v>110.0</v>
      </c>
      <c r="T20" s="73">
        <v>108.0</v>
      </c>
      <c r="U20" s="73">
        <v>110.0</v>
      </c>
      <c r="V20" s="73">
        <v>106.0</v>
      </c>
      <c r="W20" s="73">
        <v>93.0</v>
      </c>
      <c r="X20" s="73">
        <v>55.0</v>
      </c>
      <c r="Y20" s="73">
        <v>106.0</v>
      </c>
      <c r="Z20" s="73">
        <v>99.0</v>
      </c>
      <c r="AA20" s="73">
        <v>92.0</v>
      </c>
      <c r="AB20" s="73">
        <v>115.0</v>
      </c>
      <c r="AC20" s="73">
        <v>114.0</v>
      </c>
      <c r="AD20" s="13">
        <f t="shared" si="3"/>
        <v>2627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238</v>
      </c>
      <c r="F21" s="13">
        <f t="shared" si="4"/>
        <v>198</v>
      </c>
      <c r="G21" s="13">
        <f t="shared" si="4"/>
        <v>209</v>
      </c>
      <c r="H21" s="13">
        <f t="shared" si="4"/>
        <v>225</v>
      </c>
      <c r="I21" s="13">
        <f t="shared" si="4"/>
        <v>178</v>
      </c>
      <c r="J21" s="13">
        <f t="shared" si="4"/>
        <v>204</v>
      </c>
      <c r="K21" s="13">
        <f t="shared" si="4"/>
        <v>203</v>
      </c>
      <c r="L21" s="13">
        <f t="shared" si="4"/>
        <v>242</v>
      </c>
      <c r="M21" s="13">
        <f t="shared" si="4"/>
        <v>210</v>
      </c>
      <c r="N21" s="13">
        <f t="shared" si="4"/>
        <v>204</v>
      </c>
      <c r="O21" s="13">
        <f t="shared" si="4"/>
        <v>209</v>
      </c>
      <c r="P21" s="13">
        <f t="shared" si="4"/>
        <v>214</v>
      </c>
      <c r="Q21" s="13">
        <f t="shared" si="4"/>
        <v>207</v>
      </c>
      <c r="R21" s="13">
        <f t="shared" si="4"/>
        <v>209</v>
      </c>
      <c r="S21" s="13">
        <f t="shared" si="4"/>
        <v>213</v>
      </c>
      <c r="T21" s="13">
        <f t="shared" si="4"/>
        <v>203</v>
      </c>
      <c r="U21" s="13">
        <f t="shared" si="4"/>
        <v>228</v>
      </c>
      <c r="V21" s="13">
        <f t="shared" si="4"/>
        <v>229</v>
      </c>
      <c r="W21" s="13">
        <f t="shared" si="4"/>
        <v>181</v>
      </c>
      <c r="X21" s="13">
        <f t="shared" si="4"/>
        <v>121</v>
      </c>
      <c r="Y21" s="13">
        <f t="shared" si="4"/>
        <v>203</v>
      </c>
      <c r="Z21" s="13">
        <f t="shared" si="4"/>
        <v>205</v>
      </c>
      <c r="AA21" s="13">
        <f t="shared" si="4"/>
        <v>189</v>
      </c>
      <c r="AB21" s="13">
        <f t="shared" si="4"/>
        <v>222</v>
      </c>
      <c r="AC21" s="13">
        <f t="shared" si="4"/>
        <v>222</v>
      </c>
      <c r="AD21" s="13">
        <f t="shared" si="3"/>
        <v>5166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0.0</v>
      </c>
      <c r="AC25" s="73">
        <v>1.0</v>
      </c>
      <c r="AD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0.0</v>
      </c>
      <c r="U26" s="73">
        <v>0.0</v>
      </c>
      <c r="V26" s="73">
        <v>0.0</v>
      </c>
      <c r="W26" s="73">
        <v>2.0</v>
      </c>
      <c r="X26" s="73">
        <v>0.0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13">
        <f t="shared" si="3"/>
        <v>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2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121</v>
      </c>
      <c r="F28" s="13">
        <f t="shared" si="7"/>
        <v>98</v>
      </c>
      <c r="G28" s="13">
        <f t="shared" si="7"/>
        <v>101</v>
      </c>
      <c r="H28" s="13">
        <f t="shared" si="7"/>
        <v>107</v>
      </c>
      <c r="I28" s="13">
        <f t="shared" si="7"/>
        <v>81</v>
      </c>
      <c r="J28" s="13">
        <f t="shared" si="7"/>
        <v>101</v>
      </c>
      <c r="K28" s="13">
        <f t="shared" si="7"/>
        <v>97</v>
      </c>
      <c r="L28" s="13">
        <f t="shared" si="7"/>
        <v>123</v>
      </c>
      <c r="M28" s="13">
        <f t="shared" si="7"/>
        <v>102</v>
      </c>
      <c r="N28" s="13">
        <f t="shared" si="7"/>
        <v>90</v>
      </c>
      <c r="O28" s="13">
        <f t="shared" si="7"/>
        <v>97</v>
      </c>
      <c r="P28" s="13">
        <f t="shared" si="7"/>
        <v>110</v>
      </c>
      <c r="Q28" s="13">
        <f t="shared" si="7"/>
        <v>102</v>
      </c>
      <c r="R28" s="13">
        <f t="shared" si="7"/>
        <v>101</v>
      </c>
      <c r="S28" s="13">
        <f t="shared" si="7"/>
        <v>103</v>
      </c>
      <c r="T28" s="13">
        <f t="shared" si="7"/>
        <v>95</v>
      </c>
      <c r="U28" s="13">
        <f t="shared" si="7"/>
        <v>118</v>
      </c>
      <c r="V28" s="13">
        <f t="shared" si="7"/>
        <v>123</v>
      </c>
      <c r="W28" s="13">
        <f t="shared" si="7"/>
        <v>88</v>
      </c>
      <c r="X28" s="13">
        <f t="shared" si="7"/>
        <v>66</v>
      </c>
      <c r="Y28" s="13">
        <f t="shared" si="7"/>
        <v>97</v>
      </c>
      <c r="Z28" s="13">
        <f t="shared" si="7"/>
        <v>106</v>
      </c>
      <c r="AA28" s="13">
        <f t="shared" si="7"/>
        <v>97</v>
      </c>
      <c r="AB28" s="13">
        <f t="shared" si="7"/>
        <v>107</v>
      </c>
      <c r="AC28" s="13">
        <f t="shared" si="7"/>
        <v>109</v>
      </c>
      <c r="AD28" s="13">
        <f t="shared" si="3"/>
        <v>2540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100</v>
      </c>
      <c r="G29" s="13">
        <f t="shared" si="8"/>
        <v>108</v>
      </c>
      <c r="H29" s="13">
        <f t="shared" si="8"/>
        <v>118</v>
      </c>
      <c r="I29" s="13">
        <f t="shared" si="8"/>
        <v>97</v>
      </c>
      <c r="J29" s="13">
        <f t="shared" si="8"/>
        <v>103</v>
      </c>
      <c r="K29" s="13">
        <f t="shared" si="8"/>
        <v>106</v>
      </c>
      <c r="L29" s="13">
        <f t="shared" si="8"/>
        <v>119</v>
      </c>
      <c r="M29" s="13">
        <f t="shared" si="8"/>
        <v>108</v>
      </c>
      <c r="N29" s="13">
        <f t="shared" si="8"/>
        <v>114</v>
      </c>
      <c r="O29" s="13">
        <f t="shared" si="8"/>
        <v>112</v>
      </c>
      <c r="P29" s="13">
        <f t="shared" si="8"/>
        <v>104</v>
      </c>
      <c r="Q29" s="13">
        <f t="shared" si="8"/>
        <v>105</v>
      </c>
      <c r="R29" s="13">
        <f t="shared" si="8"/>
        <v>108</v>
      </c>
      <c r="S29" s="13">
        <f t="shared" si="8"/>
        <v>110</v>
      </c>
      <c r="T29" s="13">
        <f t="shared" si="8"/>
        <v>108</v>
      </c>
      <c r="U29" s="13">
        <f t="shared" si="8"/>
        <v>110</v>
      </c>
      <c r="V29" s="13">
        <f t="shared" si="8"/>
        <v>106</v>
      </c>
      <c r="W29" s="13">
        <f t="shared" si="8"/>
        <v>95</v>
      </c>
      <c r="X29" s="13">
        <f t="shared" si="8"/>
        <v>55</v>
      </c>
      <c r="Y29" s="13">
        <f t="shared" si="8"/>
        <v>106</v>
      </c>
      <c r="Z29" s="13">
        <f t="shared" si="8"/>
        <v>99</v>
      </c>
      <c r="AA29" s="13">
        <f t="shared" si="8"/>
        <v>92</v>
      </c>
      <c r="AB29" s="13">
        <f t="shared" si="8"/>
        <v>115</v>
      </c>
      <c r="AC29" s="13">
        <f t="shared" si="8"/>
        <v>114</v>
      </c>
      <c r="AD29" s="13">
        <f t="shared" si="3"/>
        <v>2629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238</v>
      </c>
      <c r="F30" s="13">
        <f t="shared" si="9"/>
        <v>198</v>
      </c>
      <c r="G30" s="13">
        <f t="shared" si="9"/>
        <v>209</v>
      </c>
      <c r="H30" s="13">
        <f t="shared" si="9"/>
        <v>225</v>
      </c>
      <c r="I30" s="13">
        <f t="shared" si="9"/>
        <v>178</v>
      </c>
      <c r="J30" s="13">
        <f t="shared" si="9"/>
        <v>204</v>
      </c>
      <c r="K30" s="13">
        <f t="shared" si="9"/>
        <v>203</v>
      </c>
      <c r="L30" s="13">
        <f t="shared" si="9"/>
        <v>242</v>
      </c>
      <c r="M30" s="13">
        <f t="shared" si="9"/>
        <v>210</v>
      </c>
      <c r="N30" s="13">
        <f t="shared" si="9"/>
        <v>204</v>
      </c>
      <c r="O30" s="13">
        <f t="shared" si="9"/>
        <v>209</v>
      </c>
      <c r="P30" s="13">
        <f t="shared" si="9"/>
        <v>214</v>
      </c>
      <c r="Q30" s="13">
        <f t="shared" si="9"/>
        <v>207</v>
      </c>
      <c r="R30" s="13">
        <f t="shared" si="9"/>
        <v>209</v>
      </c>
      <c r="S30" s="13">
        <f t="shared" si="9"/>
        <v>213</v>
      </c>
      <c r="T30" s="13">
        <f t="shared" si="9"/>
        <v>203</v>
      </c>
      <c r="U30" s="13">
        <f t="shared" si="9"/>
        <v>228</v>
      </c>
      <c r="V30" s="13">
        <f t="shared" si="9"/>
        <v>229</v>
      </c>
      <c r="W30" s="13">
        <f t="shared" si="9"/>
        <v>183</v>
      </c>
      <c r="X30" s="13">
        <f t="shared" si="9"/>
        <v>121</v>
      </c>
      <c r="Y30" s="13">
        <f t="shared" si="9"/>
        <v>203</v>
      </c>
      <c r="Z30" s="13">
        <f t="shared" si="9"/>
        <v>205</v>
      </c>
      <c r="AA30" s="13">
        <f t="shared" si="9"/>
        <v>189</v>
      </c>
      <c r="AB30" s="13">
        <f t="shared" si="9"/>
        <v>222</v>
      </c>
      <c r="AC30" s="13">
        <f t="shared" si="9"/>
        <v>223</v>
      </c>
      <c r="AD30" s="13">
        <f t="shared" si="3"/>
        <v>5169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75"/>
    </row>
    <row r="33" ht="12.75" customHeight="1">
      <c r="A33" s="19">
        <v>1.0</v>
      </c>
      <c r="B33" s="20" t="s">
        <v>27</v>
      </c>
      <c r="C33" s="15"/>
      <c r="D33" s="16"/>
      <c r="E33" s="73">
        <v>273.0</v>
      </c>
      <c r="F33" s="73">
        <v>271.0</v>
      </c>
      <c r="G33" s="73">
        <v>276.0</v>
      </c>
      <c r="H33" s="73">
        <v>272.0</v>
      </c>
      <c r="I33" s="73">
        <v>243.0</v>
      </c>
      <c r="J33" s="73">
        <v>255.0</v>
      </c>
      <c r="K33" s="73">
        <v>266.0</v>
      </c>
      <c r="L33" s="73">
        <v>283.0</v>
      </c>
      <c r="M33" s="73">
        <v>281.0</v>
      </c>
      <c r="N33" s="73">
        <v>269.0</v>
      </c>
      <c r="O33" s="73">
        <v>269.0</v>
      </c>
      <c r="P33" s="73">
        <v>271.0</v>
      </c>
      <c r="Q33" s="73">
        <v>270.0</v>
      </c>
      <c r="R33" s="73">
        <v>272.0</v>
      </c>
      <c r="S33" s="73">
        <v>288.0</v>
      </c>
      <c r="T33" s="73">
        <v>272.0</v>
      </c>
      <c r="U33" s="73">
        <v>277.0</v>
      </c>
      <c r="V33" s="73">
        <v>288.0</v>
      </c>
      <c r="W33" s="73">
        <v>226.0</v>
      </c>
      <c r="X33" s="73">
        <v>158.0</v>
      </c>
      <c r="Y33" s="73">
        <v>264.0</v>
      </c>
      <c r="Z33" s="73">
        <v>260.0</v>
      </c>
      <c r="AA33" s="73">
        <v>263.0</v>
      </c>
      <c r="AB33" s="73">
        <v>273.0</v>
      </c>
      <c r="AC33" s="73">
        <v>260.0</v>
      </c>
      <c r="AD33" s="13">
        <f t="shared" ref="AD33:AD36" si="10">SUM(E33:AC33)</f>
        <v>6600</v>
      </c>
    </row>
    <row r="34" ht="12.75" customHeight="1">
      <c r="A34" s="19">
        <v>2.0</v>
      </c>
      <c r="B34" s="20" t="s">
        <v>28</v>
      </c>
      <c r="C34" s="15"/>
      <c r="D34" s="16"/>
      <c r="E34" s="77">
        <v>238.0</v>
      </c>
      <c r="F34" s="77">
        <v>198.0</v>
      </c>
      <c r="G34" s="77">
        <v>209.0</v>
      </c>
      <c r="H34" s="77">
        <v>225.0</v>
      </c>
      <c r="I34" s="77">
        <v>178.0</v>
      </c>
      <c r="J34" s="77">
        <v>204.0</v>
      </c>
      <c r="K34" s="77">
        <v>203.0</v>
      </c>
      <c r="L34" s="77">
        <v>242.0</v>
      </c>
      <c r="M34" s="77">
        <v>210.0</v>
      </c>
      <c r="N34" s="77">
        <v>204.0</v>
      </c>
      <c r="O34" s="77">
        <v>209.0</v>
      </c>
      <c r="P34" s="77">
        <v>214.0</v>
      </c>
      <c r="Q34" s="77">
        <v>207.0</v>
      </c>
      <c r="R34" s="77">
        <v>209.0</v>
      </c>
      <c r="S34" s="77">
        <v>213.0</v>
      </c>
      <c r="T34" s="77">
        <v>203.0</v>
      </c>
      <c r="U34" s="77">
        <v>228.0</v>
      </c>
      <c r="V34" s="77">
        <v>229.0</v>
      </c>
      <c r="W34" s="77">
        <v>183.0</v>
      </c>
      <c r="X34" s="77">
        <v>121.0</v>
      </c>
      <c r="Y34" s="77">
        <v>203.0</v>
      </c>
      <c r="Z34" s="77">
        <v>205.0</v>
      </c>
      <c r="AA34" s="77">
        <v>189.0</v>
      </c>
      <c r="AB34" s="77">
        <v>222.0</v>
      </c>
      <c r="AC34" s="77">
        <v>223.0</v>
      </c>
      <c r="AD34" s="13">
        <f t="shared" si="10"/>
        <v>5169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5.0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2.0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3.0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35</v>
      </c>
      <c r="F36" s="13">
        <f t="shared" si="11"/>
        <v>73</v>
      </c>
      <c r="G36" s="13">
        <f t="shared" si="11"/>
        <v>62</v>
      </c>
      <c r="H36" s="13">
        <f t="shared" si="11"/>
        <v>47</v>
      </c>
      <c r="I36" s="13">
        <f t="shared" si="11"/>
        <v>65</v>
      </c>
      <c r="J36" s="13">
        <f t="shared" si="11"/>
        <v>51</v>
      </c>
      <c r="K36" s="13">
        <f t="shared" si="11"/>
        <v>63</v>
      </c>
      <c r="L36" s="13">
        <f t="shared" si="11"/>
        <v>41</v>
      </c>
      <c r="M36" s="13">
        <f t="shared" si="11"/>
        <v>69</v>
      </c>
      <c r="N36" s="13">
        <f t="shared" si="11"/>
        <v>65</v>
      </c>
      <c r="O36" s="13">
        <f t="shared" si="11"/>
        <v>60</v>
      </c>
      <c r="P36" s="13">
        <f t="shared" si="11"/>
        <v>57</v>
      </c>
      <c r="Q36" s="13">
        <f t="shared" si="11"/>
        <v>63</v>
      </c>
      <c r="R36" s="13">
        <f t="shared" si="11"/>
        <v>63</v>
      </c>
      <c r="S36" s="13">
        <f t="shared" si="11"/>
        <v>75</v>
      </c>
      <c r="T36" s="13">
        <f t="shared" si="11"/>
        <v>69</v>
      </c>
      <c r="U36" s="13">
        <f t="shared" si="11"/>
        <v>49</v>
      </c>
      <c r="V36" s="13">
        <f t="shared" si="11"/>
        <v>59</v>
      </c>
      <c r="W36" s="13">
        <f t="shared" si="11"/>
        <v>43</v>
      </c>
      <c r="X36" s="13">
        <f t="shared" si="11"/>
        <v>34</v>
      </c>
      <c r="Y36" s="13">
        <f t="shared" si="11"/>
        <v>61</v>
      </c>
      <c r="Z36" s="13">
        <f t="shared" si="11"/>
        <v>55</v>
      </c>
      <c r="AA36" s="13">
        <f t="shared" si="11"/>
        <v>74</v>
      </c>
      <c r="AB36" s="13">
        <f t="shared" si="11"/>
        <v>51</v>
      </c>
      <c r="AC36" s="13">
        <f t="shared" si="11"/>
        <v>37</v>
      </c>
      <c r="AD36" s="13">
        <f t="shared" si="10"/>
        <v>1421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1.0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2.0</v>
      </c>
      <c r="AD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3</v>
      </c>
      <c r="AD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2.0</v>
      </c>
      <c r="F45" s="73">
        <v>1.0</v>
      </c>
      <c r="G45" s="73">
        <v>5.0</v>
      </c>
      <c r="H45" s="73">
        <v>0.0</v>
      </c>
      <c r="I45" s="73">
        <v>2.0</v>
      </c>
      <c r="J45" s="73">
        <v>3.0</v>
      </c>
      <c r="K45" s="73">
        <v>3.0</v>
      </c>
      <c r="L45" s="73">
        <v>1.0</v>
      </c>
      <c r="M45" s="73">
        <v>6.0</v>
      </c>
      <c r="N45" s="73">
        <v>0.0</v>
      </c>
      <c r="O45" s="73">
        <v>5.0</v>
      </c>
      <c r="P45" s="73">
        <v>3.0</v>
      </c>
      <c r="Q45" s="73">
        <v>7.0</v>
      </c>
      <c r="R45" s="73">
        <v>1.0</v>
      </c>
      <c r="S45" s="73">
        <v>5.0</v>
      </c>
      <c r="T45" s="73">
        <v>1.0</v>
      </c>
      <c r="U45" s="73">
        <v>4.0</v>
      </c>
      <c r="V45" s="73">
        <v>6.0</v>
      </c>
      <c r="W45" s="73">
        <v>2.0</v>
      </c>
      <c r="X45" s="73">
        <v>1.0</v>
      </c>
      <c r="Y45" s="73">
        <v>6.0</v>
      </c>
      <c r="Z45" s="73">
        <v>1.0</v>
      </c>
      <c r="AA45" s="73">
        <v>8.0</v>
      </c>
      <c r="AB45" s="73">
        <v>2.0</v>
      </c>
      <c r="AC45" s="73">
        <v>4.0</v>
      </c>
      <c r="AD45" s="13">
        <f t="shared" ref="AD45:AD54" si="14">SUM(E45:AC45)</f>
        <v>79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9.0</v>
      </c>
      <c r="G46" s="73">
        <v>10.0</v>
      </c>
      <c r="H46" s="73">
        <v>2.0</v>
      </c>
      <c r="I46" s="73">
        <v>2.0</v>
      </c>
      <c r="J46" s="73">
        <v>4.0</v>
      </c>
      <c r="K46" s="73">
        <v>7.0</v>
      </c>
      <c r="L46" s="73">
        <v>18.0</v>
      </c>
      <c r="M46" s="73">
        <v>3.0</v>
      </c>
      <c r="N46" s="73">
        <v>2.0</v>
      </c>
      <c r="O46" s="73">
        <v>5.0</v>
      </c>
      <c r="P46" s="73">
        <v>3.0</v>
      </c>
      <c r="Q46" s="73">
        <v>10.0</v>
      </c>
      <c r="R46" s="73">
        <v>3.0</v>
      </c>
      <c r="S46" s="73">
        <v>5.0</v>
      </c>
      <c r="T46" s="73">
        <v>9.0</v>
      </c>
      <c r="U46" s="73">
        <v>0.0</v>
      </c>
      <c r="V46" s="73">
        <v>3.0</v>
      </c>
      <c r="W46" s="73">
        <v>2.0</v>
      </c>
      <c r="X46" s="73">
        <v>1.0</v>
      </c>
      <c r="Y46" s="73">
        <v>6.0</v>
      </c>
      <c r="Z46" s="73">
        <v>1.0</v>
      </c>
      <c r="AA46" s="73">
        <v>11.0</v>
      </c>
      <c r="AB46" s="73">
        <v>9.0</v>
      </c>
      <c r="AC46" s="73">
        <v>12.0</v>
      </c>
      <c r="AD46" s="13">
        <f t="shared" si="14"/>
        <v>143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0.0</v>
      </c>
      <c r="G47" s="73">
        <v>1.0</v>
      </c>
      <c r="H47" s="73">
        <v>0.0</v>
      </c>
      <c r="I47" s="73">
        <v>0.0</v>
      </c>
      <c r="J47" s="73">
        <v>3.0</v>
      </c>
      <c r="K47" s="73">
        <v>0.0</v>
      </c>
      <c r="L47" s="73">
        <v>4.0</v>
      </c>
      <c r="M47" s="73">
        <v>2.0</v>
      </c>
      <c r="N47" s="73">
        <v>0.0</v>
      </c>
      <c r="O47" s="73">
        <v>1.0</v>
      </c>
      <c r="P47" s="73">
        <v>2.0</v>
      </c>
      <c r="Q47" s="73">
        <v>0.0</v>
      </c>
      <c r="R47" s="73">
        <v>1.0</v>
      </c>
      <c r="S47" s="73">
        <v>2.0</v>
      </c>
      <c r="T47" s="73">
        <v>2.0</v>
      </c>
      <c r="U47" s="73">
        <v>0.0</v>
      </c>
      <c r="V47" s="73">
        <v>1.0</v>
      </c>
      <c r="W47" s="73">
        <v>1.0</v>
      </c>
      <c r="X47" s="73">
        <v>1.0</v>
      </c>
      <c r="Y47" s="73">
        <v>1.0</v>
      </c>
      <c r="Z47" s="73">
        <v>2.0</v>
      </c>
      <c r="AA47" s="73">
        <v>4.0</v>
      </c>
      <c r="AB47" s="73">
        <v>1.0</v>
      </c>
      <c r="AC47" s="73">
        <v>3.0</v>
      </c>
      <c r="AD47" s="13">
        <f t="shared" si="14"/>
        <v>32</v>
      </c>
    </row>
    <row r="48" ht="12.75" customHeight="1">
      <c r="A48" s="18"/>
      <c r="B48" s="49"/>
      <c r="C48" s="50" t="s">
        <v>42</v>
      </c>
      <c r="D48" s="51"/>
      <c r="E48" s="73">
        <v>1.0</v>
      </c>
      <c r="F48" s="73">
        <v>2.0</v>
      </c>
      <c r="G48" s="73">
        <v>0.0</v>
      </c>
      <c r="H48" s="73">
        <v>0.0</v>
      </c>
      <c r="I48" s="73">
        <v>0.0</v>
      </c>
      <c r="J48" s="73">
        <v>0.0</v>
      </c>
      <c r="K48" s="73">
        <v>2.0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1.0</v>
      </c>
      <c r="S48" s="73">
        <v>0.0</v>
      </c>
      <c r="T48" s="73">
        <v>2.0</v>
      </c>
      <c r="U48" s="73">
        <v>0.0</v>
      </c>
      <c r="V48" s="73">
        <v>1.0</v>
      </c>
      <c r="W48" s="73">
        <v>0.0</v>
      </c>
      <c r="X48" s="73">
        <v>0.0</v>
      </c>
      <c r="Y48" s="73">
        <v>0.0</v>
      </c>
      <c r="Z48" s="73">
        <v>0.0</v>
      </c>
      <c r="AA48" s="73">
        <v>0.0</v>
      </c>
      <c r="AB48" s="73">
        <v>1.0</v>
      </c>
      <c r="AC48" s="73">
        <v>2.0</v>
      </c>
      <c r="AD48" s="13">
        <f t="shared" si="14"/>
        <v>12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1.0</v>
      </c>
      <c r="G49" s="73">
        <v>0.0</v>
      </c>
      <c r="H49" s="73">
        <v>0.0</v>
      </c>
      <c r="I49" s="73">
        <v>1.0</v>
      </c>
      <c r="J49" s="73">
        <v>0.0</v>
      </c>
      <c r="K49" s="73">
        <v>2.0</v>
      </c>
      <c r="L49" s="73">
        <v>0.0</v>
      </c>
      <c r="M49" s="73">
        <v>0.0</v>
      </c>
      <c r="N49" s="73">
        <v>0.0</v>
      </c>
      <c r="O49" s="73">
        <v>0.0</v>
      </c>
      <c r="P49" s="73">
        <v>0.0</v>
      </c>
      <c r="Q49" s="73">
        <v>0.0</v>
      </c>
      <c r="R49" s="73">
        <v>4.0</v>
      </c>
      <c r="S49" s="73">
        <v>3.0</v>
      </c>
      <c r="T49" s="73">
        <v>3.0</v>
      </c>
      <c r="U49" s="73">
        <v>1.0</v>
      </c>
      <c r="V49" s="73">
        <v>0.0</v>
      </c>
      <c r="W49" s="73">
        <v>3.0</v>
      </c>
      <c r="X49" s="73">
        <v>0.0</v>
      </c>
      <c r="Y49" s="73">
        <v>3.0</v>
      </c>
      <c r="Z49" s="73">
        <v>0.0</v>
      </c>
      <c r="AA49" s="73">
        <v>6.0</v>
      </c>
      <c r="AB49" s="73">
        <v>2.0</v>
      </c>
      <c r="AC49" s="73">
        <v>1.0</v>
      </c>
      <c r="AD49" s="13">
        <f t="shared" si="14"/>
        <v>31</v>
      </c>
    </row>
    <row r="50" ht="12.75" customHeight="1">
      <c r="A50" s="18"/>
      <c r="B50" s="49"/>
      <c r="C50" s="50" t="s">
        <v>44</v>
      </c>
      <c r="D50" s="51"/>
      <c r="E50" s="73">
        <v>7.0</v>
      </c>
      <c r="F50" s="73">
        <v>0.0</v>
      </c>
      <c r="G50" s="73">
        <v>0.0</v>
      </c>
      <c r="H50" s="73">
        <v>2.0</v>
      </c>
      <c r="I50" s="73">
        <v>0.0</v>
      </c>
      <c r="J50" s="73">
        <v>1.0</v>
      </c>
      <c r="K50" s="73">
        <v>4.0</v>
      </c>
      <c r="L50" s="73">
        <v>0.0</v>
      </c>
      <c r="M50" s="73">
        <v>0.0</v>
      </c>
      <c r="N50" s="73">
        <v>2.0</v>
      </c>
      <c r="O50" s="73">
        <v>1.0</v>
      </c>
      <c r="P50" s="73">
        <v>1.0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8.0</v>
      </c>
      <c r="W50" s="73">
        <v>0.0</v>
      </c>
      <c r="X50" s="73">
        <v>0.0</v>
      </c>
      <c r="Y50" s="73">
        <v>0.0</v>
      </c>
      <c r="Z50" s="73">
        <v>0.0</v>
      </c>
      <c r="AA50" s="73">
        <v>1.0</v>
      </c>
      <c r="AB50" s="73">
        <v>0.0</v>
      </c>
      <c r="AC50" s="73">
        <v>0.0</v>
      </c>
      <c r="AD50" s="13">
        <f t="shared" si="14"/>
        <v>27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0.0</v>
      </c>
      <c r="U51" s="73">
        <v>0.0</v>
      </c>
      <c r="V51" s="73">
        <v>0.0</v>
      </c>
      <c r="W51" s="73">
        <v>0.0</v>
      </c>
      <c r="X51" s="73">
        <v>1.0</v>
      </c>
      <c r="Y51" s="73">
        <v>3.0</v>
      </c>
      <c r="Z51" s="73">
        <v>0.0</v>
      </c>
      <c r="AA51" s="73">
        <v>1.0</v>
      </c>
      <c r="AB51" s="73">
        <v>0.0</v>
      </c>
      <c r="AC51" s="73">
        <v>2.0</v>
      </c>
      <c r="AD51" s="13">
        <f t="shared" si="14"/>
        <v>7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1.0</v>
      </c>
      <c r="G52" s="73">
        <v>0.0</v>
      </c>
      <c r="H52" s="73">
        <v>0.0</v>
      </c>
      <c r="I52" s="73">
        <v>1.0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1.0</v>
      </c>
      <c r="P52" s="73">
        <v>1.0</v>
      </c>
      <c r="Q52" s="73">
        <v>0.0</v>
      </c>
      <c r="R52" s="73">
        <v>0.0</v>
      </c>
      <c r="S52" s="73">
        <v>0.0</v>
      </c>
      <c r="T52" s="73">
        <v>0.0</v>
      </c>
      <c r="U52" s="73">
        <v>0.0</v>
      </c>
      <c r="V52" s="73">
        <v>1.0</v>
      </c>
      <c r="W52" s="73">
        <v>0.0</v>
      </c>
      <c r="X52" s="73">
        <v>0.0</v>
      </c>
      <c r="Y52" s="73">
        <v>0.0</v>
      </c>
      <c r="Z52" s="73">
        <v>1.0</v>
      </c>
      <c r="AA52" s="73">
        <v>0.0</v>
      </c>
      <c r="AB52" s="73">
        <v>0.0</v>
      </c>
      <c r="AC52" s="73">
        <v>0.0</v>
      </c>
      <c r="AD52" s="13">
        <f t="shared" si="14"/>
        <v>6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13">
        <f t="shared" si="14"/>
        <v>0</v>
      </c>
    </row>
    <row r="54" ht="12.75" customHeight="1">
      <c r="A54" s="18"/>
      <c r="B54" s="49"/>
      <c r="C54" s="50" t="s">
        <v>48</v>
      </c>
      <c r="D54" s="51"/>
      <c r="E54" s="73">
        <v>1.0</v>
      </c>
      <c r="F54" s="73">
        <v>1.0</v>
      </c>
      <c r="G54" s="73">
        <v>1.0</v>
      </c>
      <c r="H54" s="73">
        <v>0.0</v>
      </c>
      <c r="I54" s="73">
        <v>1.0</v>
      </c>
      <c r="J54" s="73">
        <v>0.0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0.0</v>
      </c>
      <c r="V54" s="73">
        <v>0.0</v>
      </c>
      <c r="W54" s="73">
        <v>0.0</v>
      </c>
      <c r="X54" s="73">
        <v>0.0</v>
      </c>
      <c r="Y54" s="73">
        <v>0.0</v>
      </c>
      <c r="Z54" s="73">
        <v>0.0</v>
      </c>
      <c r="AA54" s="73">
        <v>1.0</v>
      </c>
      <c r="AB54" s="73">
        <v>0.0</v>
      </c>
      <c r="AC54" s="73">
        <v>0.0</v>
      </c>
      <c r="AD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D55" si="15">SUM(E45:E54)</f>
        <v>18</v>
      </c>
      <c r="F55" s="13">
        <f t="shared" si="15"/>
        <v>15</v>
      </c>
      <c r="G55" s="13">
        <f t="shared" si="15"/>
        <v>17</v>
      </c>
      <c r="H55" s="13">
        <f t="shared" si="15"/>
        <v>4</v>
      </c>
      <c r="I55" s="13">
        <f t="shared" si="15"/>
        <v>7</v>
      </c>
      <c r="J55" s="13">
        <f t="shared" si="15"/>
        <v>11</v>
      </c>
      <c r="K55" s="13">
        <f t="shared" si="15"/>
        <v>18</v>
      </c>
      <c r="L55" s="13">
        <f t="shared" si="15"/>
        <v>23</v>
      </c>
      <c r="M55" s="13">
        <f t="shared" si="15"/>
        <v>11</v>
      </c>
      <c r="N55" s="13">
        <f t="shared" si="15"/>
        <v>4</v>
      </c>
      <c r="O55" s="13">
        <f t="shared" si="15"/>
        <v>13</v>
      </c>
      <c r="P55" s="13">
        <f t="shared" si="15"/>
        <v>10</v>
      </c>
      <c r="Q55" s="13">
        <f t="shared" si="15"/>
        <v>17</v>
      </c>
      <c r="R55" s="13">
        <f t="shared" si="15"/>
        <v>10</v>
      </c>
      <c r="S55" s="13">
        <f t="shared" si="15"/>
        <v>15</v>
      </c>
      <c r="T55" s="13">
        <f t="shared" si="15"/>
        <v>17</v>
      </c>
      <c r="U55" s="13">
        <f t="shared" si="15"/>
        <v>5</v>
      </c>
      <c r="V55" s="13">
        <f t="shared" si="15"/>
        <v>20</v>
      </c>
      <c r="W55" s="13">
        <f t="shared" si="15"/>
        <v>8</v>
      </c>
      <c r="X55" s="13">
        <f t="shared" si="15"/>
        <v>4</v>
      </c>
      <c r="Y55" s="13">
        <f t="shared" si="15"/>
        <v>19</v>
      </c>
      <c r="Z55" s="13">
        <f t="shared" si="15"/>
        <v>5</v>
      </c>
      <c r="AA55" s="13">
        <f t="shared" si="15"/>
        <v>32</v>
      </c>
      <c r="AB55" s="13">
        <f t="shared" si="15"/>
        <v>15</v>
      </c>
      <c r="AC55" s="13">
        <f t="shared" si="15"/>
        <v>24</v>
      </c>
      <c r="AD55" s="13">
        <f t="shared" si="15"/>
        <v>342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10.0</v>
      </c>
      <c r="F57" s="73">
        <v>8.0</v>
      </c>
      <c r="G57" s="73">
        <v>9.0</v>
      </c>
      <c r="H57" s="73">
        <v>4.0</v>
      </c>
      <c r="I57" s="73">
        <v>7.0</v>
      </c>
      <c r="J57" s="73">
        <v>1.0</v>
      </c>
      <c r="K57" s="73">
        <v>2.0</v>
      </c>
      <c r="L57" s="73">
        <v>11.0</v>
      </c>
      <c r="M57" s="73">
        <v>7.0</v>
      </c>
      <c r="N57" s="73">
        <v>6.0</v>
      </c>
      <c r="O57" s="73">
        <v>6.0</v>
      </c>
      <c r="P57" s="73">
        <v>11.0</v>
      </c>
      <c r="Q57" s="73">
        <v>6.0</v>
      </c>
      <c r="R57" s="73">
        <v>12.0</v>
      </c>
      <c r="S57" s="73">
        <v>10.0</v>
      </c>
      <c r="T57" s="73">
        <v>4.0</v>
      </c>
      <c r="U57" s="73">
        <v>5.0</v>
      </c>
      <c r="V57" s="73">
        <v>11.0</v>
      </c>
      <c r="W57" s="73">
        <v>5.0</v>
      </c>
      <c r="X57" s="73">
        <v>1.0</v>
      </c>
      <c r="Y57" s="73">
        <v>7.0</v>
      </c>
      <c r="Z57" s="73">
        <v>4.0</v>
      </c>
      <c r="AA57" s="73">
        <v>7.0</v>
      </c>
      <c r="AB57" s="73">
        <v>11.0</v>
      </c>
      <c r="AC57" s="73">
        <v>9.0</v>
      </c>
      <c r="AD57" s="13">
        <f t="shared" ref="AD57:AD66" si="16">SUM(E57:AC57)</f>
        <v>174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75.0</v>
      </c>
      <c r="F58" s="73">
        <v>112.0</v>
      </c>
      <c r="G58" s="73">
        <v>94.0</v>
      </c>
      <c r="H58" s="73">
        <v>13.0</v>
      </c>
      <c r="I58" s="73">
        <v>15.0</v>
      </c>
      <c r="J58" s="73">
        <v>15.0</v>
      </c>
      <c r="K58" s="73">
        <v>65.0</v>
      </c>
      <c r="L58" s="73">
        <v>68.0</v>
      </c>
      <c r="M58" s="73">
        <v>27.0</v>
      </c>
      <c r="N58" s="73">
        <v>14.0</v>
      </c>
      <c r="O58" s="73">
        <v>23.0</v>
      </c>
      <c r="P58" s="73">
        <v>58.0</v>
      </c>
      <c r="Q58" s="73">
        <v>36.0</v>
      </c>
      <c r="R58" s="73">
        <v>18.0</v>
      </c>
      <c r="S58" s="73">
        <v>25.0</v>
      </c>
      <c r="T58" s="73">
        <v>26.0</v>
      </c>
      <c r="U58" s="73">
        <v>5.0</v>
      </c>
      <c r="V58" s="73">
        <v>45.0</v>
      </c>
      <c r="W58" s="73">
        <v>36.0</v>
      </c>
      <c r="X58" s="73">
        <v>4.0</v>
      </c>
      <c r="Y58" s="73">
        <v>6.0</v>
      </c>
      <c r="Z58" s="73">
        <v>3.0</v>
      </c>
      <c r="AA58" s="73">
        <v>11.0</v>
      </c>
      <c r="AB58" s="73">
        <v>1.0</v>
      </c>
      <c r="AC58" s="73">
        <v>12.0</v>
      </c>
      <c r="AD58" s="13">
        <f t="shared" si="16"/>
        <v>807</v>
      </c>
    </row>
    <row r="59" ht="12.75" customHeight="1">
      <c r="A59" s="18"/>
      <c r="B59" s="49"/>
      <c r="C59" s="50" t="s">
        <v>52</v>
      </c>
      <c r="D59" s="51"/>
      <c r="E59" s="73">
        <v>3.0</v>
      </c>
      <c r="F59" s="73">
        <v>3.0</v>
      </c>
      <c r="G59" s="73">
        <v>3.0</v>
      </c>
      <c r="H59" s="73">
        <v>1.0</v>
      </c>
      <c r="I59" s="73">
        <v>0.0</v>
      </c>
      <c r="J59" s="73">
        <v>5.0</v>
      </c>
      <c r="K59" s="73">
        <v>0.0</v>
      </c>
      <c r="L59" s="73">
        <v>2.0</v>
      </c>
      <c r="M59" s="73">
        <v>2.0</v>
      </c>
      <c r="N59" s="73">
        <v>2.0</v>
      </c>
      <c r="O59" s="73">
        <v>2.0</v>
      </c>
      <c r="P59" s="73">
        <v>0.0</v>
      </c>
      <c r="Q59" s="73">
        <v>2.0</v>
      </c>
      <c r="R59" s="73">
        <v>6.0</v>
      </c>
      <c r="S59" s="73">
        <v>18.0</v>
      </c>
      <c r="T59" s="73">
        <v>0.0</v>
      </c>
      <c r="U59" s="73">
        <v>0.0</v>
      </c>
      <c r="V59" s="73">
        <v>2.0</v>
      </c>
      <c r="W59" s="73">
        <v>3.0</v>
      </c>
      <c r="X59" s="73">
        <v>5.0</v>
      </c>
      <c r="Y59" s="73">
        <v>5.0</v>
      </c>
      <c r="Z59" s="73">
        <v>1.0</v>
      </c>
      <c r="AA59" s="73">
        <v>4.0</v>
      </c>
      <c r="AB59" s="73">
        <v>6.0</v>
      </c>
      <c r="AC59" s="73">
        <v>3.0</v>
      </c>
      <c r="AD59" s="13">
        <f t="shared" si="16"/>
        <v>78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1.0</v>
      </c>
      <c r="G60" s="73">
        <v>1.0</v>
      </c>
      <c r="H60" s="73">
        <v>2.0</v>
      </c>
      <c r="I60" s="73">
        <v>1.0</v>
      </c>
      <c r="J60" s="73">
        <v>7.0</v>
      </c>
      <c r="K60" s="73">
        <v>1.0</v>
      </c>
      <c r="L60" s="73">
        <v>0.0</v>
      </c>
      <c r="M60" s="73">
        <v>1.0</v>
      </c>
      <c r="N60" s="73">
        <v>1.0</v>
      </c>
      <c r="O60" s="73">
        <v>1.0</v>
      </c>
      <c r="P60" s="73">
        <v>1.0</v>
      </c>
      <c r="Q60" s="73">
        <v>0.0</v>
      </c>
      <c r="R60" s="73">
        <v>2.0</v>
      </c>
      <c r="S60" s="73">
        <v>1.0</v>
      </c>
      <c r="T60" s="73">
        <v>0.0</v>
      </c>
      <c r="U60" s="73">
        <v>0.0</v>
      </c>
      <c r="V60" s="73">
        <v>3.0</v>
      </c>
      <c r="W60" s="73">
        <v>1.0</v>
      </c>
      <c r="X60" s="73">
        <v>1.0</v>
      </c>
      <c r="Y60" s="73">
        <v>1.0</v>
      </c>
      <c r="Z60" s="73">
        <v>3.0</v>
      </c>
      <c r="AA60" s="73">
        <v>2.0</v>
      </c>
      <c r="AB60" s="73">
        <v>1.0</v>
      </c>
      <c r="AC60" s="73">
        <v>1.0</v>
      </c>
      <c r="AD60" s="13">
        <f t="shared" si="16"/>
        <v>34</v>
      </c>
    </row>
    <row r="61" ht="12.75" customHeight="1">
      <c r="A61" s="18"/>
      <c r="B61" s="49"/>
      <c r="C61" s="50" t="s">
        <v>54</v>
      </c>
      <c r="D61" s="51"/>
      <c r="E61" s="73">
        <v>19.0</v>
      </c>
      <c r="F61" s="73">
        <v>2.0</v>
      </c>
      <c r="G61" s="73">
        <v>9.0</v>
      </c>
      <c r="H61" s="73">
        <v>50.0</v>
      </c>
      <c r="I61" s="73">
        <v>14.0</v>
      </c>
      <c r="J61" s="73">
        <v>9.0</v>
      </c>
      <c r="K61" s="73">
        <v>5.0</v>
      </c>
      <c r="L61" s="73">
        <v>27.0</v>
      </c>
      <c r="M61" s="73">
        <v>7.0</v>
      </c>
      <c r="N61" s="73">
        <v>2.0</v>
      </c>
      <c r="O61" s="73">
        <v>5.0</v>
      </c>
      <c r="P61" s="73">
        <v>1.0</v>
      </c>
      <c r="Q61" s="73">
        <v>1.0</v>
      </c>
      <c r="R61" s="73">
        <v>3.0</v>
      </c>
      <c r="S61" s="73">
        <v>0.0</v>
      </c>
      <c r="T61" s="73">
        <v>0.0</v>
      </c>
      <c r="U61" s="73">
        <v>0.0</v>
      </c>
      <c r="V61" s="73">
        <v>6.0</v>
      </c>
      <c r="W61" s="73">
        <v>1.0</v>
      </c>
      <c r="X61" s="73">
        <v>54.0</v>
      </c>
      <c r="Y61" s="73">
        <v>3.0</v>
      </c>
      <c r="Z61" s="73">
        <v>7.0</v>
      </c>
      <c r="AA61" s="73">
        <v>1.0</v>
      </c>
      <c r="AB61" s="73">
        <v>2.0</v>
      </c>
      <c r="AC61" s="73">
        <v>2.0</v>
      </c>
      <c r="AD61" s="13">
        <f t="shared" si="16"/>
        <v>230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0.0</v>
      </c>
      <c r="G62" s="73">
        <v>1.0</v>
      </c>
      <c r="H62" s="73">
        <v>0.0</v>
      </c>
      <c r="I62" s="73">
        <v>1.0</v>
      </c>
      <c r="J62" s="73">
        <v>0.0</v>
      </c>
      <c r="K62" s="73">
        <v>1.0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3.0</v>
      </c>
      <c r="R62" s="73">
        <v>0.0</v>
      </c>
      <c r="S62" s="73">
        <v>1.0</v>
      </c>
      <c r="T62" s="73">
        <v>1.0</v>
      </c>
      <c r="U62" s="73">
        <v>0.0</v>
      </c>
      <c r="V62" s="73">
        <v>0.0</v>
      </c>
      <c r="W62" s="73">
        <v>0.0</v>
      </c>
      <c r="X62" s="73">
        <v>0.0</v>
      </c>
      <c r="Y62" s="73">
        <v>2.0</v>
      </c>
      <c r="Z62" s="73">
        <v>1.0</v>
      </c>
      <c r="AA62" s="73">
        <v>1.0</v>
      </c>
      <c r="AB62" s="73">
        <v>2.0</v>
      </c>
      <c r="AC62" s="73">
        <v>2.0</v>
      </c>
      <c r="AD62" s="13">
        <f t="shared" si="16"/>
        <v>16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1.0</v>
      </c>
      <c r="G63" s="73">
        <v>0.0</v>
      </c>
      <c r="H63" s="73">
        <v>0.0</v>
      </c>
      <c r="I63" s="73">
        <v>0.0</v>
      </c>
      <c r="J63" s="73">
        <v>1.0</v>
      </c>
      <c r="K63" s="73">
        <v>0.0</v>
      </c>
      <c r="L63" s="73">
        <v>0.0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1.0</v>
      </c>
      <c r="U63" s="73">
        <v>0.0</v>
      </c>
      <c r="V63" s="73">
        <v>0.0</v>
      </c>
      <c r="W63" s="73">
        <v>0.0</v>
      </c>
      <c r="X63" s="73">
        <v>0.0</v>
      </c>
      <c r="Y63" s="73">
        <v>1.0</v>
      </c>
      <c r="Z63" s="73">
        <v>1.0</v>
      </c>
      <c r="AA63" s="73">
        <v>1.0</v>
      </c>
      <c r="AB63" s="73">
        <v>0.0</v>
      </c>
      <c r="AC63" s="73">
        <v>0.0</v>
      </c>
      <c r="AD63" s="13">
        <f t="shared" si="16"/>
        <v>7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1.0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1.0</v>
      </c>
      <c r="U64" s="73">
        <v>1.0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0.0</v>
      </c>
      <c r="AD64" s="13">
        <f t="shared" si="16"/>
        <v>3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1.0</v>
      </c>
      <c r="U65" s="73">
        <v>0.0</v>
      </c>
      <c r="V65" s="73">
        <v>0.0</v>
      </c>
      <c r="W65" s="73">
        <v>1.0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13">
        <f t="shared" si="16"/>
        <v>2</v>
      </c>
    </row>
    <row r="66" ht="12.75" customHeight="1">
      <c r="A66" s="18"/>
      <c r="B66" s="49"/>
      <c r="C66" s="50" t="s">
        <v>59</v>
      </c>
      <c r="D66" s="51"/>
      <c r="E66" s="73">
        <v>1.0</v>
      </c>
      <c r="F66" s="73">
        <v>1.0</v>
      </c>
      <c r="G66" s="73">
        <v>0.0</v>
      </c>
      <c r="H66" s="73">
        <v>0.0</v>
      </c>
      <c r="I66" s="73">
        <v>1.0</v>
      </c>
      <c r="J66" s="73">
        <v>2.0</v>
      </c>
      <c r="K66" s="73">
        <v>1.0</v>
      </c>
      <c r="L66" s="73">
        <v>0.0</v>
      </c>
      <c r="M66" s="73">
        <v>0.0</v>
      </c>
      <c r="N66" s="73">
        <v>2.0</v>
      </c>
      <c r="O66" s="73">
        <v>0.0</v>
      </c>
      <c r="P66" s="73">
        <v>0.0</v>
      </c>
      <c r="Q66" s="73">
        <v>0.0</v>
      </c>
      <c r="R66" s="73">
        <v>0.0</v>
      </c>
      <c r="S66" s="73">
        <v>0.0</v>
      </c>
      <c r="T66" s="73">
        <v>2.0</v>
      </c>
      <c r="U66" s="73">
        <v>0.0</v>
      </c>
      <c r="V66" s="73">
        <v>1.0</v>
      </c>
      <c r="W66" s="73">
        <v>0.0</v>
      </c>
      <c r="X66" s="73">
        <v>0.0</v>
      </c>
      <c r="Y66" s="73">
        <v>2.0</v>
      </c>
      <c r="Z66" s="73">
        <v>0.0</v>
      </c>
      <c r="AA66" s="73">
        <v>0.0</v>
      </c>
      <c r="AB66" s="73">
        <v>0.0</v>
      </c>
      <c r="AC66" s="73">
        <v>0.0</v>
      </c>
      <c r="AD66" s="13">
        <f t="shared" si="16"/>
        <v>13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D67" si="17">SUM(E57:E66)</f>
        <v>109</v>
      </c>
      <c r="F67" s="13">
        <f t="shared" si="17"/>
        <v>128</v>
      </c>
      <c r="G67" s="13">
        <f t="shared" si="17"/>
        <v>117</v>
      </c>
      <c r="H67" s="13">
        <f t="shared" si="17"/>
        <v>70</v>
      </c>
      <c r="I67" s="13">
        <f t="shared" si="17"/>
        <v>39</v>
      </c>
      <c r="J67" s="13">
        <f t="shared" si="17"/>
        <v>41</v>
      </c>
      <c r="K67" s="13">
        <f t="shared" si="17"/>
        <v>75</v>
      </c>
      <c r="L67" s="13">
        <f t="shared" si="17"/>
        <v>108</v>
      </c>
      <c r="M67" s="13">
        <f t="shared" si="17"/>
        <v>45</v>
      </c>
      <c r="N67" s="13">
        <f t="shared" si="17"/>
        <v>27</v>
      </c>
      <c r="O67" s="13">
        <f t="shared" si="17"/>
        <v>37</v>
      </c>
      <c r="P67" s="13">
        <f t="shared" si="17"/>
        <v>71</v>
      </c>
      <c r="Q67" s="13">
        <f t="shared" si="17"/>
        <v>48</v>
      </c>
      <c r="R67" s="13">
        <f t="shared" si="17"/>
        <v>41</v>
      </c>
      <c r="S67" s="13">
        <f t="shared" si="17"/>
        <v>55</v>
      </c>
      <c r="T67" s="13">
        <f t="shared" si="17"/>
        <v>36</v>
      </c>
      <c r="U67" s="13">
        <f t="shared" si="17"/>
        <v>11</v>
      </c>
      <c r="V67" s="13">
        <f t="shared" si="17"/>
        <v>68</v>
      </c>
      <c r="W67" s="13">
        <f t="shared" si="17"/>
        <v>47</v>
      </c>
      <c r="X67" s="13">
        <f t="shared" si="17"/>
        <v>65</v>
      </c>
      <c r="Y67" s="13">
        <f t="shared" si="17"/>
        <v>27</v>
      </c>
      <c r="Z67" s="13">
        <f t="shared" si="17"/>
        <v>20</v>
      </c>
      <c r="AA67" s="13">
        <f t="shared" si="17"/>
        <v>27</v>
      </c>
      <c r="AB67" s="13">
        <f t="shared" si="17"/>
        <v>23</v>
      </c>
      <c r="AC67" s="13">
        <f t="shared" si="17"/>
        <v>29</v>
      </c>
      <c r="AD67" s="13">
        <f t="shared" si="17"/>
        <v>1364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6.0</v>
      </c>
      <c r="F69" s="73">
        <v>7.0</v>
      </c>
      <c r="G69" s="73">
        <v>3.0</v>
      </c>
      <c r="H69" s="73">
        <v>14.0</v>
      </c>
      <c r="I69" s="73">
        <v>18.0</v>
      </c>
      <c r="J69" s="73">
        <v>16.0</v>
      </c>
      <c r="K69" s="73">
        <v>8.0</v>
      </c>
      <c r="L69" s="73">
        <v>7.0</v>
      </c>
      <c r="M69" s="73">
        <v>19.0</v>
      </c>
      <c r="N69" s="73">
        <v>4.0</v>
      </c>
      <c r="O69" s="73">
        <v>6.0</v>
      </c>
      <c r="P69" s="73">
        <v>9.0</v>
      </c>
      <c r="Q69" s="73">
        <v>11.0</v>
      </c>
      <c r="R69" s="73">
        <v>13.0</v>
      </c>
      <c r="S69" s="73">
        <v>22.0</v>
      </c>
      <c r="T69" s="73">
        <v>9.0</v>
      </c>
      <c r="U69" s="73">
        <v>8.0</v>
      </c>
      <c r="V69" s="73">
        <v>7.0</v>
      </c>
      <c r="W69" s="73">
        <v>2.0</v>
      </c>
      <c r="X69" s="73">
        <v>6.0</v>
      </c>
      <c r="Y69" s="73">
        <v>5.0</v>
      </c>
      <c r="Z69" s="73">
        <v>8.0</v>
      </c>
      <c r="AA69" s="73">
        <v>7.0</v>
      </c>
      <c r="AB69" s="73">
        <v>6.0</v>
      </c>
      <c r="AC69" s="73">
        <v>15.0</v>
      </c>
      <c r="AD69" s="13">
        <f t="shared" ref="AD69:AD78" si="18">SUM(E69:AC69)</f>
        <v>236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5.0</v>
      </c>
      <c r="F70" s="73">
        <v>2.0</v>
      </c>
      <c r="G70" s="73">
        <v>1.0</v>
      </c>
      <c r="H70" s="73">
        <v>8.0</v>
      </c>
      <c r="I70" s="73">
        <v>4.0</v>
      </c>
      <c r="J70" s="73">
        <v>7.0</v>
      </c>
      <c r="K70" s="73">
        <v>6.0</v>
      </c>
      <c r="L70" s="73">
        <v>3.0</v>
      </c>
      <c r="M70" s="73">
        <v>10.0</v>
      </c>
      <c r="N70" s="73">
        <v>8.0</v>
      </c>
      <c r="O70" s="73">
        <v>7.0</v>
      </c>
      <c r="P70" s="73">
        <v>4.0</v>
      </c>
      <c r="Q70" s="73">
        <v>14.0</v>
      </c>
      <c r="R70" s="73">
        <v>14.0</v>
      </c>
      <c r="S70" s="73">
        <v>13.0</v>
      </c>
      <c r="T70" s="73">
        <v>3.0</v>
      </c>
      <c r="U70" s="73">
        <v>2.0</v>
      </c>
      <c r="V70" s="73">
        <v>7.0</v>
      </c>
      <c r="W70" s="73">
        <v>4.0</v>
      </c>
      <c r="X70" s="73">
        <v>10.0</v>
      </c>
      <c r="Y70" s="73">
        <v>4.0</v>
      </c>
      <c r="Z70" s="73">
        <v>7.0</v>
      </c>
      <c r="AA70" s="73">
        <v>4.0</v>
      </c>
      <c r="AB70" s="73">
        <v>8.0</v>
      </c>
      <c r="AC70" s="73">
        <v>5.0</v>
      </c>
      <c r="AD70" s="13">
        <f t="shared" si="18"/>
        <v>160</v>
      </c>
    </row>
    <row r="71" ht="12.75" customHeight="1">
      <c r="A71" s="18"/>
      <c r="B71" s="49"/>
      <c r="C71" s="50" t="s">
        <v>62</v>
      </c>
      <c r="D71" s="51"/>
      <c r="E71" s="73">
        <v>3.0</v>
      </c>
      <c r="F71" s="73">
        <v>3.0</v>
      </c>
      <c r="G71" s="73">
        <v>4.0</v>
      </c>
      <c r="H71" s="73">
        <v>8.0</v>
      </c>
      <c r="I71" s="73">
        <v>7.0</v>
      </c>
      <c r="J71" s="73">
        <v>19.0</v>
      </c>
      <c r="K71" s="73">
        <v>5.0</v>
      </c>
      <c r="L71" s="73">
        <v>1.0</v>
      </c>
      <c r="M71" s="73">
        <v>3.0</v>
      </c>
      <c r="N71" s="73">
        <v>7.0</v>
      </c>
      <c r="O71" s="73">
        <v>6.0</v>
      </c>
      <c r="P71" s="73">
        <v>6.0</v>
      </c>
      <c r="Q71" s="73">
        <v>9.0</v>
      </c>
      <c r="R71" s="73">
        <v>15.0</v>
      </c>
      <c r="S71" s="73">
        <v>3.0</v>
      </c>
      <c r="T71" s="73">
        <v>2.0</v>
      </c>
      <c r="U71" s="73">
        <v>2.0</v>
      </c>
      <c r="V71" s="73">
        <v>8.0</v>
      </c>
      <c r="W71" s="73">
        <v>2.0</v>
      </c>
      <c r="X71" s="73">
        <v>4.0</v>
      </c>
      <c r="Y71" s="73">
        <v>8.0</v>
      </c>
      <c r="Z71" s="73">
        <v>10.0</v>
      </c>
      <c r="AA71" s="73">
        <v>6.0</v>
      </c>
      <c r="AB71" s="73">
        <v>6.0</v>
      </c>
      <c r="AC71" s="73">
        <v>14.0</v>
      </c>
      <c r="AD71" s="13">
        <f t="shared" si="18"/>
        <v>161</v>
      </c>
    </row>
    <row r="72" ht="12.75" customHeight="1">
      <c r="A72" s="18"/>
      <c r="B72" s="49"/>
      <c r="C72" s="50" t="s">
        <v>63</v>
      </c>
      <c r="D72" s="51"/>
      <c r="E72" s="73">
        <v>5.0</v>
      </c>
      <c r="F72" s="73">
        <v>3.0</v>
      </c>
      <c r="G72" s="73">
        <v>3.0</v>
      </c>
      <c r="H72" s="73">
        <v>4.0</v>
      </c>
      <c r="I72" s="73">
        <v>6.0</v>
      </c>
      <c r="J72" s="73">
        <v>5.0</v>
      </c>
      <c r="K72" s="73">
        <v>11.0</v>
      </c>
      <c r="L72" s="73">
        <v>2.0</v>
      </c>
      <c r="M72" s="73">
        <v>1.0</v>
      </c>
      <c r="N72" s="73">
        <v>2.0</v>
      </c>
      <c r="O72" s="73">
        <v>4.0</v>
      </c>
      <c r="P72" s="73">
        <v>3.0</v>
      </c>
      <c r="Q72" s="73">
        <v>3.0</v>
      </c>
      <c r="R72" s="73">
        <v>3.0</v>
      </c>
      <c r="S72" s="73">
        <v>3.0</v>
      </c>
      <c r="T72" s="73">
        <v>2.0</v>
      </c>
      <c r="U72" s="73">
        <v>1.0</v>
      </c>
      <c r="V72" s="73">
        <v>1.0</v>
      </c>
      <c r="W72" s="73">
        <v>2.0</v>
      </c>
      <c r="X72" s="73">
        <v>1.0</v>
      </c>
      <c r="Y72" s="73">
        <v>1.0</v>
      </c>
      <c r="Z72" s="73">
        <v>2.0</v>
      </c>
      <c r="AA72" s="73">
        <v>1.0</v>
      </c>
      <c r="AB72" s="73">
        <v>6.0</v>
      </c>
      <c r="AC72" s="73">
        <v>9.0</v>
      </c>
      <c r="AD72" s="13">
        <f t="shared" si="18"/>
        <v>84</v>
      </c>
    </row>
    <row r="73" ht="12.75" customHeight="1">
      <c r="A73" s="18"/>
      <c r="B73" s="49"/>
      <c r="C73" s="50" t="s">
        <v>64</v>
      </c>
      <c r="D73" s="51"/>
      <c r="E73" s="73">
        <v>6.0</v>
      </c>
      <c r="F73" s="73">
        <v>0.0</v>
      </c>
      <c r="G73" s="73">
        <v>1.0</v>
      </c>
      <c r="H73" s="73">
        <v>3.0</v>
      </c>
      <c r="I73" s="73">
        <v>2.0</v>
      </c>
      <c r="J73" s="73">
        <v>2.0</v>
      </c>
      <c r="K73" s="73">
        <v>2.0</v>
      </c>
      <c r="L73" s="73">
        <v>1.0</v>
      </c>
      <c r="M73" s="73">
        <v>2.0</v>
      </c>
      <c r="N73" s="73">
        <v>8.0</v>
      </c>
      <c r="O73" s="73">
        <v>3.0</v>
      </c>
      <c r="P73" s="73">
        <v>0.0</v>
      </c>
      <c r="Q73" s="73">
        <v>3.0</v>
      </c>
      <c r="R73" s="73">
        <v>5.0</v>
      </c>
      <c r="S73" s="73">
        <v>1.0</v>
      </c>
      <c r="T73" s="73">
        <v>1.0</v>
      </c>
      <c r="U73" s="73">
        <v>1.0</v>
      </c>
      <c r="V73" s="73">
        <v>2.0</v>
      </c>
      <c r="W73" s="73">
        <v>0.0</v>
      </c>
      <c r="X73" s="73">
        <v>0.0</v>
      </c>
      <c r="Y73" s="73">
        <v>1.0</v>
      </c>
      <c r="Z73" s="73">
        <v>9.0</v>
      </c>
      <c r="AA73" s="73">
        <v>3.0</v>
      </c>
      <c r="AB73" s="73">
        <v>3.0</v>
      </c>
      <c r="AC73" s="73">
        <v>2.0</v>
      </c>
      <c r="AD73" s="13">
        <f t="shared" si="18"/>
        <v>61</v>
      </c>
    </row>
    <row r="74" ht="12.75" customHeight="1">
      <c r="A74" s="18"/>
      <c r="B74" s="49"/>
      <c r="C74" s="50" t="s">
        <v>65</v>
      </c>
      <c r="D74" s="51"/>
      <c r="E74" s="73">
        <v>4.0</v>
      </c>
      <c r="F74" s="73">
        <v>2.0</v>
      </c>
      <c r="G74" s="73">
        <v>1.0</v>
      </c>
      <c r="H74" s="73">
        <v>3.0</v>
      </c>
      <c r="I74" s="73">
        <v>2.0</v>
      </c>
      <c r="J74" s="73">
        <v>1.0</v>
      </c>
      <c r="K74" s="73">
        <v>5.0</v>
      </c>
      <c r="L74" s="73">
        <v>2.0</v>
      </c>
      <c r="M74" s="73">
        <v>0.0</v>
      </c>
      <c r="N74" s="73">
        <v>3.0</v>
      </c>
      <c r="O74" s="73">
        <v>1.0</v>
      </c>
      <c r="P74" s="73">
        <v>1.0</v>
      </c>
      <c r="Q74" s="73">
        <v>1.0</v>
      </c>
      <c r="R74" s="73">
        <v>1.0</v>
      </c>
      <c r="S74" s="73">
        <v>0.0</v>
      </c>
      <c r="T74" s="73">
        <v>0.0</v>
      </c>
      <c r="U74" s="73">
        <v>0.0</v>
      </c>
      <c r="V74" s="73">
        <v>0.0</v>
      </c>
      <c r="W74" s="73">
        <v>1.0</v>
      </c>
      <c r="X74" s="73">
        <v>0.0</v>
      </c>
      <c r="Y74" s="73">
        <v>1.0</v>
      </c>
      <c r="Z74" s="73">
        <v>2.0</v>
      </c>
      <c r="AA74" s="73">
        <v>1.0</v>
      </c>
      <c r="AB74" s="73">
        <v>2.0</v>
      </c>
      <c r="AC74" s="73">
        <v>0.0</v>
      </c>
      <c r="AD74" s="13">
        <f t="shared" si="18"/>
        <v>34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1.0</v>
      </c>
      <c r="G75" s="73">
        <v>1.0</v>
      </c>
      <c r="H75" s="73">
        <v>1.0</v>
      </c>
      <c r="I75" s="73">
        <v>3.0</v>
      </c>
      <c r="J75" s="73">
        <v>3.0</v>
      </c>
      <c r="K75" s="73">
        <v>0.0</v>
      </c>
      <c r="L75" s="73">
        <v>0.0</v>
      </c>
      <c r="M75" s="73">
        <v>2.0</v>
      </c>
      <c r="N75" s="73">
        <v>3.0</v>
      </c>
      <c r="O75" s="73">
        <v>0.0</v>
      </c>
      <c r="P75" s="73">
        <v>0.0</v>
      </c>
      <c r="Q75" s="73">
        <v>1.0</v>
      </c>
      <c r="R75" s="73">
        <v>2.0</v>
      </c>
      <c r="S75" s="73">
        <v>1.0</v>
      </c>
      <c r="T75" s="73">
        <v>1.0</v>
      </c>
      <c r="U75" s="73">
        <v>0.0</v>
      </c>
      <c r="V75" s="73">
        <v>0.0</v>
      </c>
      <c r="W75" s="73">
        <v>1.0</v>
      </c>
      <c r="X75" s="73">
        <v>0.0</v>
      </c>
      <c r="Y75" s="73">
        <v>0.0</v>
      </c>
      <c r="Z75" s="73">
        <v>1.0</v>
      </c>
      <c r="AA75" s="73">
        <v>0.0</v>
      </c>
      <c r="AB75" s="73">
        <v>2.0</v>
      </c>
      <c r="AC75" s="73">
        <v>5.0</v>
      </c>
      <c r="AD75" s="13">
        <f t="shared" si="18"/>
        <v>28</v>
      </c>
    </row>
    <row r="76" ht="12.75" customHeight="1">
      <c r="A76" s="18"/>
      <c r="B76" s="49"/>
      <c r="C76" s="50" t="s">
        <v>67</v>
      </c>
      <c r="D76" s="51"/>
      <c r="E76" s="73">
        <v>1.0</v>
      </c>
      <c r="F76" s="73">
        <v>1.0</v>
      </c>
      <c r="G76" s="73">
        <v>2.0</v>
      </c>
      <c r="H76" s="73">
        <v>1.0</v>
      </c>
      <c r="I76" s="73">
        <v>2.0</v>
      </c>
      <c r="J76" s="73">
        <v>1.0</v>
      </c>
      <c r="K76" s="73">
        <v>0.0</v>
      </c>
      <c r="L76" s="73">
        <v>1.0</v>
      </c>
      <c r="M76" s="73">
        <v>0.0</v>
      </c>
      <c r="N76" s="73">
        <v>0.0</v>
      </c>
      <c r="O76" s="73">
        <v>1.0</v>
      </c>
      <c r="P76" s="73">
        <v>1.0</v>
      </c>
      <c r="Q76" s="73">
        <v>1.0</v>
      </c>
      <c r="R76" s="73">
        <v>1.0</v>
      </c>
      <c r="S76" s="73">
        <v>2.0</v>
      </c>
      <c r="T76" s="73">
        <v>0.0</v>
      </c>
      <c r="U76" s="73">
        <v>3.0</v>
      </c>
      <c r="V76" s="73">
        <v>1.0</v>
      </c>
      <c r="W76" s="73">
        <v>1.0</v>
      </c>
      <c r="X76" s="73">
        <v>0.0</v>
      </c>
      <c r="Y76" s="73">
        <v>2.0</v>
      </c>
      <c r="Z76" s="73">
        <v>2.0</v>
      </c>
      <c r="AA76" s="73">
        <v>1.0</v>
      </c>
      <c r="AB76" s="73">
        <v>1.0</v>
      </c>
      <c r="AC76" s="73">
        <v>0.0</v>
      </c>
      <c r="AD76" s="13">
        <f t="shared" si="18"/>
        <v>26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0.0</v>
      </c>
      <c r="H77" s="73">
        <v>1.0</v>
      </c>
      <c r="I77" s="73">
        <v>0.0</v>
      </c>
      <c r="J77" s="73">
        <v>1.0</v>
      </c>
      <c r="K77" s="73">
        <v>1.0</v>
      </c>
      <c r="L77" s="73">
        <v>0.0</v>
      </c>
      <c r="M77" s="73">
        <v>1.0</v>
      </c>
      <c r="N77" s="73">
        <v>0.0</v>
      </c>
      <c r="O77" s="73">
        <v>0.0</v>
      </c>
      <c r="P77" s="73">
        <v>1.0</v>
      </c>
      <c r="Q77" s="73">
        <v>0.0</v>
      </c>
      <c r="R77" s="73">
        <v>1.0</v>
      </c>
      <c r="S77" s="73">
        <v>2.0</v>
      </c>
      <c r="T77" s="73">
        <v>0.0</v>
      </c>
      <c r="U77" s="73">
        <v>0.0</v>
      </c>
      <c r="V77" s="73">
        <v>1.0</v>
      </c>
      <c r="W77" s="73">
        <v>0.0</v>
      </c>
      <c r="X77" s="73">
        <v>0.0</v>
      </c>
      <c r="Y77" s="73">
        <v>0.0</v>
      </c>
      <c r="Z77" s="73">
        <v>1.0</v>
      </c>
      <c r="AA77" s="73">
        <v>1.0</v>
      </c>
      <c r="AB77" s="73">
        <v>1.0</v>
      </c>
      <c r="AC77" s="73">
        <v>2.0</v>
      </c>
      <c r="AD77" s="13">
        <f t="shared" si="18"/>
        <v>14</v>
      </c>
    </row>
    <row r="78" ht="12.75" customHeight="1">
      <c r="A78" s="18"/>
      <c r="B78" s="49"/>
      <c r="C78" s="50" t="s">
        <v>69</v>
      </c>
      <c r="D78" s="51"/>
      <c r="E78" s="73">
        <v>1.0</v>
      </c>
      <c r="F78" s="73">
        <v>0.0</v>
      </c>
      <c r="G78" s="73">
        <v>0.0</v>
      </c>
      <c r="H78" s="73">
        <v>0.0</v>
      </c>
      <c r="I78" s="73">
        <v>0.0</v>
      </c>
      <c r="J78" s="73">
        <v>2.0</v>
      </c>
      <c r="K78" s="73">
        <v>1.0</v>
      </c>
      <c r="L78" s="73">
        <v>0.0</v>
      </c>
      <c r="M78" s="73">
        <v>1.0</v>
      </c>
      <c r="N78" s="73">
        <v>1.0</v>
      </c>
      <c r="O78" s="73">
        <v>0.0</v>
      </c>
      <c r="P78" s="73">
        <v>1.0</v>
      </c>
      <c r="Q78" s="73">
        <v>0.0</v>
      </c>
      <c r="R78" s="73">
        <v>1.0</v>
      </c>
      <c r="S78" s="73">
        <v>1.0</v>
      </c>
      <c r="T78" s="73">
        <v>1.0</v>
      </c>
      <c r="U78" s="73">
        <v>1.0</v>
      </c>
      <c r="V78" s="73">
        <v>1.0</v>
      </c>
      <c r="W78" s="73">
        <v>0.0</v>
      </c>
      <c r="X78" s="73">
        <v>0.0</v>
      </c>
      <c r="Y78" s="73">
        <v>1.0</v>
      </c>
      <c r="Z78" s="73">
        <v>0.0</v>
      </c>
      <c r="AA78" s="73">
        <v>0.0</v>
      </c>
      <c r="AB78" s="73">
        <v>1.0</v>
      </c>
      <c r="AC78" s="73">
        <v>2.0</v>
      </c>
      <c r="AD78" s="13">
        <f t="shared" si="18"/>
        <v>16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D79" si="19">SUM(E69:E78)</f>
        <v>31</v>
      </c>
      <c r="F79" s="13">
        <f t="shared" si="19"/>
        <v>19</v>
      </c>
      <c r="G79" s="13">
        <f t="shared" si="19"/>
        <v>16</v>
      </c>
      <c r="H79" s="13">
        <f t="shared" si="19"/>
        <v>43</v>
      </c>
      <c r="I79" s="13">
        <f t="shared" si="19"/>
        <v>44</v>
      </c>
      <c r="J79" s="13">
        <f t="shared" si="19"/>
        <v>57</v>
      </c>
      <c r="K79" s="13">
        <f t="shared" si="19"/>
        <v>39</v>
      </c>
      <c r="L79" s="13">
        <f t="shared" si="19"/>
        <v>17</v>
      </c>
      <c r="M79" s="13">
        <f t="shared" si="19"/>
        <v>39</v>
      </c>
      <c r="N79" s="13">
        <f t="shared" si="19"/>
        <v>36</v>
      </c>
      <c r="O79" s="13">
        <f t="shared" si="19"/>
        <v>28</v>
      </c>
      <c r="P79" s="13">
        <f t="shared" si="19"/>
        <v>26</v>
      </c>
      <c r="Q79" s="13">
        <f t="shared" si="19"/>
        <v>43</v>
      </c>
      <c r="R79" s="13">
        <f t="shared" si="19"/>
        <v>56</v>
      </c>
      <c r="S79" s="13">
        <f t="shared" si="19"/>
        <v>48</v>
      </c>
      <c r="T79" s="13">
        <f t="shared" si="19"/>
        <v>19</v>
      </c>
      <c r="U79" s="13">
        <f t="shared" si="19"/>
        <v>18</v>
      </c>
      <c r="V79" s="13">
        <f t="shared" si="19"/>
        <v>28</v>
      </c>
      <c r="W79" s="13">
        <f t="shared" si="19"/>
        <v>13</v>
      </c>
      <c r="X79" s="13">
        <f t="shared" si="19"/>
        <v>21</v>
      </c>
      <c r="Y79" s="13">
        <f t="shared" si="19"/>
        <v>23</v>
      </c>
      <c r="Z79" s="13">
        <f t="shared" si="19"/>
        <v>42</v>
      </c>
      <c r="AA79" s="13">
        <f t="shared" si="19"/>
        <v>24</v>
      </c>
      <c r="AB79" s="13">
        <f t="shared" si="19"/>
        <v>36</v>
      </c>
      <c r="AC79" s="13">
        <f t="shared" si="19"/>
        <v>54</v>
      </c>
      <c r="AD79" s="13">
        <f t="shared" si="19"/>
        <v>820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6.0</v>
      </c>
      <c r="F81" s="73">
        <v>5.0</v>
      </c>
      <c r="G81" s="73">
        <v>0.0</v>
      </c>
      <c r="H81" s="73">
        <v>2.0</v>
      </c>
      <c r="I81" s="73">
        <v>3.0</v>
      </c>
      <c r="J81" s="73">
        <v>3.0</v>
      </c>
      <c r="K81" s="73">
        <v>4.0</v>
      </c>
      <c r="L81" s="73">
        <v>1.0</v>
      </c>
      <c r="M81" s="73">
        <v>1.0</v>
      </c>
      <c r="N81" s="73">
        <v>1.0</v>
      </c>
      <c r="O81" s="73">
        <v>3.0</v>
      </c>
      <c r="P81" s="73">
        <v>1.0</v>
      </c>
      <c r="Q81" s="73">
        <v>2.0</v>
      </c>
      <c r="R81" s="73">
        <v>4.0</v>
      </c>
      <c r="S81" s="73">
        <v>4.0</v>
      </c>
      <c r="T81" s="73">
        <v>8.0</v>
      </c>
      <c r="U81" s="73">
        <v>2.0</v>
      </c>
      <c r="V81" s="73">
        <v>3.0</v>
      </c>
      <c r="W81" s="73">
        <v>2.0</v>
      </c>
      <c r="X81" s="73">
        <v>0.0</v>
      </c>
      <c r="Y81" s="73">
        <v>3.0</v>
      </c>
      <c r="Z81" s="73">
        <v>5.0</v>
      </c>
      <c r="AA81" s="73">
        <v>2.0</v>
      </c>
      <c r="AB81" s="73">
        <v>4.0</v>
      </c>
      <c r="AC81" s="73">
        <v>5.0</v>
      </c>
      <c r="AD81" s="13">
        <f t="shared" ref="AD81:AD90" si="20">SUM(E81:AC81)</f>
        <v>74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5.0</v>
      </c>
      <c r="F82" s="73">
        <v>0.0</v>
      </c>
      <c r="G82" s="73">
        <v>0.0</v>
      </c>
      <c r="H82" s="73">
        <v>5.0</v>
      </c>
      <c r="I82" s="73">
        <v>2.0</v>
      </c>
      <c r="J82" s="73">
        <v>7.0</v>
      </c>
      <c r="K82" s="73">
        <v>6.0</v>
      </c>
      <c r="L82" s="73">
        <v>0.0</v>
      </c>
      <c r="M82" s="73">
        <v>1.0</v>
      </c>
      <c r="N82" s="73">
        <v>1.0</v>
      </c>
      <c r="O82" s="73">
        <v>3.0</v>
      </c>
      <c r="P82" s="73">
        <v>1.0</v>
      </c>
      <c r="Q82" s="73">
        <v>3.0</v>
      </c>
      <c r="R82" s="73">
        <v>4.0</v>
      </c>
      <c r="S82" s="73">
        <v>4.0</v>
      </c>
      <c r="T82" s="73">
        <v>2.0</v>
      </c>
      <c r="U82" s="73">
        <v>68.0</v>
      </c>
      <c r="V82" s="73">
        <v>16.0</v>
      </c>
      <c r="W82" s="73">
        <v>39.0</v>
      </c>
      <c r="X82" s="73">
        <v>7.0</v>
      </c>
      <c r="Y82" s="73">
        <v>15.0</v>
      </c>
      <c r="Z82" s="73">
        <v>32.0</v>
      </c>
      <c r="AA82" s="73">
        <v>36.0</v>
      </c>
      <c r="AB82" s="73">
        <v>4.0</v>
      </c>
      <c r="AC82" s="73">
        <v>2.0</v>
      </c>
      <c r="AD82" s="13">
        <f t="shared" si="20"/>
        <v>263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0.0</v>
      </c>
      <c r="G83" s="73">
        <v>0.0</v>
      </c>
      <c r="H83" s="73">
        <v>0.0</v>
      </c>
      <c r="I83" s="73">
        <v>0.0</v>
      </c>
      <c r="J83" s="73">
        <v>1.0</v>
      </c>
      <c r="K83" s="73">
        <v>1.0</v>
      </c>
      <c r="L83" s="73">
        <v>1.0</v>
      </c>
      <c r="M83" s="73">
        <v>1.0</v>
      </c>
      <c r="N83" s="73">
        <v>1.0</v>
      </c>
      <c r="O83" s="73">
        <v>4.0</v>
      </c>
      <c r="P83" s="73">
        <v>3.0</v>
      </c>
      <c r="Q83" s="73">
        <v>0.0</v>
      </c>
      <c r="R83" s="73">
        <v>0.0</v>
      </c>
      <c r="S83" s="73">
        <v>1.0</v>
      </c>
      <c r="T83" s="73">
        <v>1.0</v>
      </c>
      <c r="U83" s="73">
        <v>0.0</v>
      </c>
      <c r="V83" s="73">
        <v>1.0</v>
      </c>
      <c r="W83" s="73">
        <v>0.0</v>
      </c>
      <c r="X83" s="73">
        <v>0.0</v>
      </c>
      <c r="Y83" s="73">
        <v>1.0</v>
      </c>
      <c r="Z83" s="73">
        <v>1.0</v>
      </c>
      <c r="AA83" s="73">
        <v>3.0</v>
      </c>
      <c r="AB83" s="73">
        <v>1.0</v>
      </c>
      <c r="AC83" s="73">
        <v>1.0</v>
      </c>
      <c r="AD83" s="13">
        <f t="shared" si="20"/>
        <v>23</v>
      </c>
    </row>
    <row r="84" ht="12.75" customHeight="1">
      <c r="A84" s="18"/>
      <c r="B84" s="49"/>
      <c r="C84" s="50" t="s">
        <v>73</v>
      </c>
      <c r="D84" s="51"/>
      <c r="E84" s="73">
        <v>2.0</v>
      </c>
      <c r="F84" s="73">
        <v>0.0</v>
      </c>
      <c r="G84" s="73">
        <v>1.0</v>
      </c>
      <c r="H84" s="73">
        <v>1.0</v>
      </c>
      <c r="I84" s="73">
        <v>1.0</v>
      </c>
      <c r="J84" s="73">
        <v>2.0</v>
      </c>
      <c r="K84" s="73">
        <v>1.0</v>
      </c>
      <c r="L84" s="73">
        <v>0.0</v>
      </c>
      <c r="M84" s="73">
        <v>0.0</v>
      </c>
      <c r="N84" s="73">
        <v>0.0</v>
      </c>
      <c r="O84" s="73">
        <v>3.0</v>
      </c>
      <c r="P84" s="73">
        <v>0.0</v>
      </c>
      <c r="Q84" s="73">
        <v>1.0</v>
      </c>
      <c r="R84" s="73">
        <v>1.0</v>
      </c>
      <c r="S84" s="73">
        <v>1.0</v>
      </c>
      <c r="T84" s="73">
        <v>2.0</v>
      </c>
      <c r="U84" s="73">
        <v>0.0</v>
      </c>
      <c r="V84" s="73">
        <v>0.0</v>
      </c>
      <c r="W84" s="73">
        <v>0.0</v>
      </c>
      <c r="X84" s="73">
        <v>1.0</v>
      </c>
      <c r="Y84" s="73">
        <v>1.0</v>
      </c>
      <c r="Z84" s="73">
        <v>3.0</v>
      </c>
      <c r="AA84" s="73">
        <v>2.0</v>
      </c>
      <c r="AB84" s="73">
        <v>2.0</v>
      </c>
      <c r="AC84" s="73">
        <v>1.0</v>
      </c>
      <c r="AD84" s="13">
        <f t="shared" si="20"/>
        <v>26</v>
      </c>
    </row>
    <row r="85" ht="12.75" customHeight="1">
      <c r="A85" s="18"/>
      <c r="B85" s="49"/>
      <c r="C85" s="50" t="s">
        <v>74</v>
      </c>
      <c r="D85" s="51"/>
      <c r="E85" s="73">
        <v>0.0</v>
      </c>
      <c r="F85" s="73">
        <v>1.0</v>
      </c>
      <c r="G85" s="73">
        <v>1.0</v>
      </c>
      <c r="H85" s="73">
        <v>0.0</v>
      </c>
      <c r="I85" s="73">
        <v>0.0</v>
      </c>
      <c r="J85" s="73">
        <v>3.0</v>
      </c>
      <c r="K85" s="73">
        <v>0.0</v>
      </c>
      <c r="L85" s="73">
        <v>0.0</v>
      </c>
      <c r="M85" s="73">
        <v>2.0</v>
      </c>
      <c r="N85" s="73">
        <v>0.0</v>
      </c>
      <c r="O85" s="73">
        <v>0.0</v>
      </c>
      <c r="P85" s="73">
        <v>1.0</v>
      </c>
      <c r="Q85" s="73">
        <v>0.0</v>
      </c>
      <c r="R85" s="73">
        <v>2.0</v>
      </c>
      <c r="S85" s="73">
        <v>2.0</v>
      </c>
      <c r="T85" s="73">
        <v>0.0</v>
      </c>
      <c r="U85" s="73">
        <v>0.0</v>
      </c>
      <c r="V85" s="73">
        <v>1.0</v>
      </c>
      <c r="W85" s="73">
        <v>0.0</v>
      </c>
      <c r="X85" s="73">
        <v>0.0</v>
      </c>
      <c r="Y85" s="73">
        <v>1.0</v>
      </c>
      <c r="Z85" s="73">
        <v>1.0</v>
      </c>
      <c r="AA85" s="73">
        <v>0.0</v>
      </c>
      <c r="AB85" s="73">
        <v>0.0</v>
      </c>
      <c r="AC85" s="73">
        <v>3.0</v>
      </c>
      <c r="AD85" s="13">
        <f t="shared" si="20"/>
        <v>18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0.0</v>
      </c>
      <c r="H86" s="73">
        <v>1.0</v>
      </c>
      <c r="I86" s="73">
        <v>0.0</v>
      </c>
      <c r="J86" s="73">
        <v>1.0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1.0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1.0</v>
      </c>
      <c r="W86" s="73">
        <v>0.0</v>
      </c>
      <c r="X86" s="73">
        <v>0.0</v>
      </c>
      <c r="Y86" s="73">
        <v>1.0</v>
      </c>
      <c r="Z86" s="73">
        <v>1.0</v>
      </c>
      <c r="AA86" s="73">
        <v>2.0</v>
      </c>
      <c r="AB86" s="73">
        <v>2.0</v>
      </c>
      <c r="AC86" s="73">
        <v>0.0</v>
      </c>
      <c r="AD86" s="13">
        <f t="shared" si="20"/>
        <v>10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1.0</v>
      </c>
      <c r="L87" s="73">
        <v>1.0</v>
      </c>
      <c r="M87" s="73">
        <v>0.0</v>
      </c>
      <c r="N87" s="73">
        <v>0.0</v>
      </c>
      <c r="O87" s="73">
        <v>1.0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1.0</v>
      </c>
      <c r="AB87" s="73">
        <v>1.0</v>
      </c>
      <c r="AC87" s="73">
        <v>0.0</v>
      </c>
      <c r="AD87" s="13">
        <f t="shared" si="20"/>
        <v>5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1.0</v>
      </c>
      <c r="S88" s="73">
        <v>2.0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1.0</v>
      </c>
      <c r="Z88" s="73">
        <v>0.0</v>
      </c>
      <c r="AA88" s="73">
        <v>0.0</v>
      </c>
      <c r="AB88" s="73">
        <v>0.0</v>
      </c>
      <c r="AC88" s="73">
        <v>0.0</v>
      </c>
      <c r="AD88" s="13">
        <f t="shared" si="20"/>
        <v>4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13">
        <f t="shared" si="20"/>
        <v>0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1.0</v>
      </c>
      <c r="L90" s="73">
        <v>1.0</v>
      </c>
      <c r="M90" s="73">
        <v>1.0</v>
      </c>
      <c r="N90" s="73">
        <v>0.0</v>
      </c>
      <c r="O90" s="73">
        <v>2.0</v>
      </c>
      <c r="P90" s="73">
        <v>2.0</v>
      </c>
      <c r="Q90" s="73">
        <v>1.0</v>
      </c>
      <c r="R90" s="73">
        <v>0.0</v>
      </c>
      <c r="S90" s="73">
        <v>3.0</v>
      </c>
      <c r="T90" s="73">
        <v>1.0</v>
      </c>
      <c r="U90" s="73">
        <v>0.0</v>
      </c>
      <c r="V90" s="73">
        <v>0.0</v>
      </c>
      <c r="W90" s="73">
        <v>0.0</v>
      </c>
      <c r="X90" s="73">
        <v>0.0</v>
      </c>
      <c r="Y90" s="73">
        <v>1.0</v>
      </c>
      <c r="Z90" s="73">
        <v>0.0</v>
      </c>
      <c r="AA90" s="73">
        <v>0.0</v>
      </c>
      <c r="AB90" s="73">
        <v>0.0</v>
      </c>
      <c r="AC90" s="73">
        <v>1.0</v>
      </c>
      <c r="AD90" s="13">
        <f t="shared" si="20"/>
        <v>14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D91" si="21">SUM(E81:E90)</f>
        <v>14</v>
      </c>
      <c r="F91" s="13">
        <f t="shared" si="21"/>
        <v>6</v>
      </c>
      <c r="G91" s="13">
        <f t="shared" si="21"/>
        <v>2</v>
      </c>
      <c r="H91" s="13">
        <f t="shared" si="21"/>
        <v>9</v>
      </c>
      <c r="I91" s="13">
        <f t="shared" si="21"/>
        <v>6</v>
      </c>
      <c r="J91" s="13">
        <f t="shared" si="21"/>
        <v>17</v>
      </c>
      <c r="K91" s="13">
        <f t="shared" si="21"/>
        <v>14</v>
      </c>
      <c r="L91" s="13">
        <f t="shared" si="21"/>
        <v>4</v>
      </c>
      <c r="M91" s="13">
        <f t="shared" si="21"/>
        <v>6</v>
      </c>
      <c r="N91" s="13">
        <f t="shared" si="21"/>
        <v>3</v>
      </c>
      <c r="O91" s="13">
        <f t="shared" si="21"/>
        <v>16</v>
      </c>
      <c r="P91" s="13">
        <f t="shared" si="21"/>
        <v>9</v>
      </c>
      <c r="Q91" s="13">
        <f t="shared" si="21"/>
        <v>7</v>
      </c>
      <c r="R91" s="13">
        <f t="shared" si="21"/>
        <v>12</v>
      </c>
      <c r="S91" s="13">
        <f t="shared" si="21"/>
        <v>17</v>
      </c>
      <c r="T91" s="13">
        <f t="shared" si="21"/>
        <v>14</v>
      </c>
      <c r="U91" s="13">
        <f t="shared" si="21"/>
        <v>70</v>
      </c>
      <c r="V91" s="13">
        <f t="shared" si="21"/>
        <v>22</v>
      </c>
      <c r="W91" s="13">
        <f t="shared" si="21"/>
        <v>41</v>
      </c>
      <c r="X91" s="13">
        <f t="shared" si="21"/>
        <v>8</v>
      </c>
      <c r="Y91" s="13">
        <f t="shared" si="21"/>
        <v>24</v>
      </c>
      <c r="Z91" s="13">
        <f t="shared" si="21"/>
        <v>43</v>
      </c>
      <c r="AA91" s="13">
        <f t="shared" si="21"/>
        <v>46</v>
      </c>
      <c r="AB91" s="13">
        <f t="shared" si="21"/>
        <v>14</v>
      </c>
      <c r="AC91" s="13">
        <f t="shared" si="21"/>
        <v>13</v>
      </c>
      <c r="AD91" s="13">
        <f t="shared" si="21"/>
        <v>437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2.0</v>
      </c>
      <c r="H93" s="73">
        <v>1.0</v>
      </c>
      <c r="I93" s="73">
        <v>1.0</v>
      </c>
      <c r="J93" s="73">
        <v>0.0</v>
      </c>
      <c r="K93" s="73">
        <v>0.0</v>
      </c>
      <c r="L93" s="73">
        <v>0.0</v>
      </c>
      <c r="M93" s="73">
        <v>0.0</v>
      </c>
      <c r="N93" s="73">
        <v>0.0</v>
      </c>
      <c r="O93" s="73">
        <v>0.0</v>
      </c>
      <c r="P93" s="73">
        <v>0.0</v>
      </c>
      <c r="Q93" s="73">
        <v>0.0</v>
      </c>
      <c r="R93" s="73">
        <v>0.0</v>
      </c>
      <c r="S93" s="73">
        <v>1.0</v>
      </c>
      <c r="T93" s="73">
        <v>0.0</v>
      </c>
      <c r="U93" s="73">
        <v>0.0</v>
      </c>
      <c r="V93" s="73">
        <v>0.0</v>
      </c>
      <c r="W93" s="73">
        <v>0.0</v>
      </c>
      <c r="X93" s="73">
        <v>0.0</v>
      </c>
      <c r="Y93" s="73">
        <v>1.0</v>
      </c>
      <c r="Z93" s="73">
        <v>0.0</v>
      </c>
      <c r="AA93" s="73">
        <v>0.0</v>
      </c>
      <c r="AB93" s="73">
        <v>0.0</v>
      </c>
      <c r="AC93" s="73">
        <v>2.0</v>
      </c>
      <c r="AD93" s="13">
        <f t="shared" ref="AD93:AD102" si="22">SUM(E93:AC93)</f>
        <v>8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0.0</v>
      </c>
      <c r="F94" s="73">
        <v>2.0</v>
      </c>
      <c r="G94" s="73">
        <v>1.0</v>
      </c>
      <c r="H94" s="73">
        <v>2.0</v>
      </c>
      <c r="I94" s="73">
        <v>2.0</v>
      </c>
      <c r="J94" s="73">
        <v>3.0</v>
      </c>
      <c r="K94" s="73">
        <v>0.0</v>
      </c>
      <c r="L94" s="73">
        <v>2.0</v>
      </c>
      <c r="M94" s="73">
        <v>1.0</v>
      </c>
      <c r="N94" s="73">
        <v>4.0</v>
      </c>
      <c r="O94" s="73">
        <v>2.0</v>
      </c>
      <c r="P94" s="73">
        <v>0.0</v>
      </c>
      <c r="Q94" s="73">
        <v>0.0</v>
      </c>
      <c r="R94" s="73">
        <v>2.0</v>
      </c>
      <c r="S94" s="73">
        <v>6.0</v>
      </c>
      <c r="T94" s="73">
        <v>1.0</v>
      </c>
      <c r="U94" s="73">
        <v>1.0</v>
      </c>
      <c r="V94" s="73">
        <v>4.0</v>
      </c>
      <c r="W94" s="73">
        <v>6.0</v>
      </c>
      <c r="X94" s="73">
        <v>1.0</v>
      </c>
      <c r="Y94" s="73">
        <v>2.0</v>
      </c>
      <c r="Z94" s="73">
        <v>3.0</v>
      </c>
      <c r="AA94" s="73">
        <v>3.0</v>
      </c>
      <c r="AB94" s="73">
        <v>0.0</v>
      </c>
      <c r="AC94" s="73">
        <v>5.0</v>
      </c>
      <c r="AD94" s="13">
        <f t="shared" si="22"/>
        <v>53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2.0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1.0</v>
      </c>
      <c r="Z95" s="73">
        <v>0.0</v>
      </c>
      <c r="AA95" s="73">
        <v>0.0</v>
      </c>
      <c r="AB95" s="73">
        <v>0.0</v>
      </c>
      <c r="AC95" s="73">
        <v>1.0</v>
      </c>
      <c r="AD95" s="13">
        <f t="shared" si="22"/>
        <v>4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1.0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1.0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1.0</v>
      </c>
      <c r="AA96" s="73">
        <v>1.0</v>
      </c>
      <c r="AB96" s="73">
        <v>0.0</v>
      </c>
      <c r="AC96" s="73">
        <v>0.0</v>
      </c>
      <c r="AD96" s="13">
        <f t="shared" si="22"/>
        <v>4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1.0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1.0</v>
      </c>
      <c r="Z97" s="73">
        <v>0.0</v>
      </c>
      <c r="AA97" s="73">
        <v>0.0</v>
      </c>
      <c r="AB97" s="73">
        <v>1.0</v>
      </c>
      <c r="AC97" s="73">
        <v>0.0</v>
      </c>
      <c r="AD97" s="13">
        <f t="shared" si="22"/>
        <v>4</v>
      </c>
    </row>
    <row r="98" ht="12.75" customHeight="1">
      <c r="A98" s="18"/>
      <c r="B98" s="49"/>
      <c r="C98" s="50" t="s">
        <v>86</v>
      </c>
      <c r="D98" s="51"/>
      <c r="E98" s="73">
        <v>1.0</v>
      </c>
      <c r="F98" s="73">
        <v>0.0</v>
      </c>
      <c r="G98" s="73">
        <v>1.0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13">
        <f t="shared" si="22"/>
        <v>2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1.0</v>
      </c>
      <c r="Z99" s="73">
        <v>0.0</v>
      </c>
      <c r="AA99" s="73">
        <v>0.0</v>
      </c>
      <c r="AB99" s="73">
        <v>0.0</v>
      </c>
      <c r="AC99" s="73">
        <v>0.0</v>
      </c>
      <c r="AD99" s="13">
        <f t="shared" si="22"/>
        <v>1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1.0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1.0</v>
      </c>
      <c r="AD100" s="13">
        <f t="shared" si="22"/>
        <v>2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1.0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D103" si="23">SUM(E93:E102)</f>
        <v>1</v>
      </c>
      <c r="F103" s="13">
        <f t="shared" si="23"/>
        <v>3</v>
      </c>
      <c r="G103" s="13">
        <f t="shared" si="23"/>
        <v>4</v>
      </c>
      <c r="H103" s="13">
        <f t="shared" si="23"/>
        <v>4</v>
      </c>
      <c r="I103" s="13">
        <f t="shared" si="23"/>
        <v>3</v>
      </c>
      <c r="J103" s="13">
        <f t="shared" si="23"/>
        <v>3</v>
      </c>
      <c r="K103" s="13">
        <f t="shared" si="23"/>
        <v>1</v>
      </c>
      <c r="L103" s="13">
        <f t="shared" si="23"/>
        <v>2</v>
      </c>
      <c r="M103" s="13">
        <f t="shared" si="23"/>
        <v>1</v>
      </c>
      <c r="N103" s="13">
        <f t="shared" si="23"/>
        <v>4</v>
      </c>
      <c r="O103" s="13">
        <f t="shared" si="23"/>
        <v>2</v>
      </c>
      <c r="P103" s="13">
        <f t="shared" si="23"/>
        <v>3</v>
      </c>
      <c r="Q103" s="13">
        <f t="shared" si="23"/>
        <v>1</v>
      </c>
      <c r="R103" s="13">
        <f t="shared" si="23"/>
        <v>2</v>
      </c>
      <c r="S103" s="13">
        <f t="shared" si="23"/>
        <v>7</v>
      </c>
      <c r="T103" s="13">
        <f t="shared" si="23"/>
        <v>2</v>
      </c>
      <c r="U103" s="13">
        <f t="shared" si="23"/>
        <v>1</v>
      </c>
      <c r="V103" s="13">
        <f t="shared" si="23"/>
        <v>4</v>
      </c>
      <c r="W103" s="13">
        <f t="shared" si="23"/>
        <v>6</v>
      </c>
      <c r="X103" s="13">
        <f t="shared" si="23"/>
        <v>1</v>
      </c>
      <c r="Y103" s="13">
        <f t="shared" si="23"/>
        <v>6</v>
      </c>
      <c r="Z103" s="13">
        <f t="shared" si="23"/>
        <v>4</v>
      </c>
      <c r="AA103" s="13">
        <f t="shared" si="23"/>
        <v>4</v>
      </c>
      <c r="AB103" s="13">
        <f t="shared" si="23"/>
        <v>1</v>
      </c>
      <c r="AC103" s="13">
        <f t="shared" si="23"/>
        <v>9</v>
      </c>
      <c r="AD103" s="13">
        <f t="shared" si="23"/>
        <v>79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0.0</v>
      </c>
      <c r="H105" s="73">
        <v>2.0</v>
      </c>
      <c r="I105" s="73">
        <v>0.0</v>
      </c>
      <c r="J105" s="73">
        <v>0.0</v>
      </c>
      <c r="K105" s="73">
        <v>1.0</v>
      </c>
      <c r="L105" s="73">
        <v>0.0</v>
      </c>
      <c r="M105" s="73">
        <v>0.0</v>
      </c>
      <c r="N105" s="73">
        <v>0.0</v>
      </c>
      <c r="O105" s="73">
        <v>2.0</v>
      </c>
      <c r="P105" s="73">
        <v>0.0</v>
      </c>
      <c r="Q105" s="73">
        <v>0.0</v>
      </c>
      <c r="R105" s="73">
        <v>1.0</v>
      </c>
      <c r="S105" s="73">
        <v>0.0</v>
      </c>
      <c r="T105" s="73">
        <v>1.0</v>
      </c>
      <c r="U105" s="73">
        <v>0.0</v>
      </c>
      <c r="V105" s="73">
        <v>1.0</v>
      </c>
      <c r="W105" s="73">
        <v>0.0</v>
      </c>
      <c r="X105" s="73">
        <v>0.0</v>
      </c>
      <c r="Y105" s="73">
        <v>5.0</v>
      </c>
      <c r="Z105" s="73">
        <v>0.0</v>
      </c>
      <c r="AA105" s="73">
        <v>2.0</v>
      </c>
      <c r="AB105" s="73">
        <v>1.0</v>
      </c>
      <c r="AC105" s="73">
        <v>1.0</v>
      </c>
      <c r="AD105" s="13">
        <f t="shared" ref="AD105:AD114" si="24">SUM(E105:AC105)</f>
        <v>18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1.0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1.0</v>
      </c>
      <c r="Y106" s="73">
        <v>1.0</v>
      </c>
      <c r="Z106" s="73">
        <v>1.0</v>
      </c>
      <c r="AA106" s="73">
        <v>0.0</v>
      </c>
      <c r="AB106" s="73">
        <v>0.0</v>
      </c>
      <c r="AC106" s="73">
        <v>1.0</v>
      </c>
      <c r="AD106" s="13">
        <f t="shared" si="24"/>
        <v>7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1.0</v>
      </c>
      <c r="K107" s="73">
        <v>1.0</v>
      </c>
      <c r="L107" s="73">
        <v>0.0</v>
      </c>
      <c r="M107" s="73">
        <v>0.0</v>
      </c>
      <c r="N107" s="73">
        <v>1.0</v>
      </c>
      <c r="O107" s="73">
        <v>0.0</v>
      </c>
      <c r="P107" s="73">
        <v>0.0</v>
      </c>
      <c r="Q107" s="73">
        <v>0.0</v>
      </c>
      <c r="R107" s="73">
        <v>1.0</v>
      </c>
      <c r="S107" s="73">
        <v>0.0</v>
      </c>
      <c r="T107" s="73">
        <v>0.0</v>
      </c>
      <c r="U107" s="73">
        <v>0.0</v>
      </c>
      <c r="V107" s="73">
        <v>1.0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1.0</v>
      </c>
      <c r="AB107" s="73">
        <v>0.0</v>
      </c>
      <c r="AC107" s="73">
        <v>0.0</v>
      </c>
      <c r="AD107" s="13">
        <f t="shared" si="24"/>
        <v>6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D115" si="25">SUM(E105:E114)</f>
        <v>2</v>
      </c>
      <c r="F115" s="13">
        <f t="shared" si="25"/>
        <v>0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1</v>
      </c>
      <c r="K115" s="13">
        <f t="shared" si="25"/>
        <v>3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1</v>
      </c>
      <c r="Y115" s="13">
        <f t="shared" si="25"/>
        <v>6</v>
      </c>
      <c r="Z115" s="13">
        <f t="shared" si="25"/>
        <v>1</v>
      </c>
      <c r="AA115" s="13">
        <f t="shared" si="25"/>
        <v>3</v>
      </c>
      <c r="AB115" s="13">
        <f t="shared" si="25"/>
        <v>1</v>
      </c>
      <c r="AC115" s="13">
        <f t="shared" si="25"/>
        <v>2</v>
      </c>
      <c r="AD115" s="13">
        <f t="shared" si="25"/>
        <v>31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1.0</v>
      </c>
      <c r="G117" s="73">
        <v>0.0</v>
      </c>
      <c r="H117" s="73">
        <v>1.0</v>
      </c>
      <c r="I117" s="73">
        <v>0.0</v>
      </c>
      <c r="J117" s="73">
        <v>0.0</v>
      </c>
      <c r="K117" s="73">
        <v>0.0</v>
      </c>
      <c r="L117" s="73">
        <v>0.0</v>
      </c>
      <c r="M117" s="73">
        <v>1.0</v>
      </c>
      <c r="N117" s="73">
        <v>0.0</v>
      </c>
      <c r="O117" s="73">
        <v>1.0</v>
      </c>
      <c r="P117" s="73">
        <v>1.0</v>
      </c>
      <c r="Q117" s="73">
        <v>2.0</v>
      </c>
      <c r="R117" s="73">
        <v>1.0</v>
      </c>
      <c r="S117" s="73">
        <v>0.0</v>
      </c>
      <c r="T117" s="73">
        <v>1.0</v>
      </c>
      <c r="U117" s="73">
        <v>0.0</v>
      </c>
      <c r="V117" s="73">
        <v>0.0</v>
      </c>
      <c r="W117" s="73">
        <v>2.0</v>
      </c>
      <c r="X117" s="73">
        <v>2.0</v>
      </c>
      <c r="Y117" s="73">
        <v>0.0</v>
      </c>
      <c r="Z117" s="73">
        <v>0.0</v>
      </c>
      <c r="AA117" s="73">
        <v>0.0</v>
      </c>
      <c r="AB117" s="73">
        <v>1.0</v>
      </c>
      <c r="AC117" s="73">
        <v>4.0</v>
      </c>
      <c r="AD117" s="13">
        <f t="shared" ref="AD117:AD126" si="26">SUM(E117:AC117)</f>
        <v>19</v>
      </c>
      <c r="AE117" s="5"/>
      <c r="AF117" s="5"/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2.0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0.0</v>
      </c>
      <c r="R118" s="73">
        <v>0.0</v>
      </c>
      <c r="S118" s="73">
        <v>1.0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1.0</v>
      </c>
      <c r="AC118" s="73">
        <v>1.0</v>
      </c>
      <c r="AD118" s="13">
        <f t="shared" si="26"/>
        <v>6</v>
      </c>
      <c r="AE118" s="5"/>
      <c r="AF118" s="5"/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1.0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1.0</v>
      </c>
      <c r="P119" s="73">
        <v>0.0</v>
      </c>
      <c r="Q119" s="73">
        <v>0.0</v>
      </c>
      <c r="R119" s="73">
        <v>2.0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1.0</v>
      </c>
      <c r="AD119" s="13">
        <f t="shared" si="26"/>
        <v>5</v>
      </c>
      <c r="AE119" s="5"/>
      <c r="AF119" s="5"/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1.0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1.0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1.0</v>
      </c>
      <c r="AD120" s="13">
        <f t="shared" si="26"/>
        <v>3</v>
      </c>
      <c r="AE120" s="5"/>
      <c r="AF120" s="5"/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1.0</v>
      </c>
      <c r="AD121" s="13">
        <f t="shared" si="26"/>
        <v>1</v>
      </c>
      <c r="AE121" s="5"/>
      <c r="AF121" s="5"/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13">
        <f t="shared" si="26"/>
        <v>0</v>
      </c>
      <c r="AE122" s="5"/>
      <c r="AF122" s="5"/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13">
        <f t="shared" si="26"/>
        <v>0</v>
      </c>
      <c r="AE123" s="5"/>
      <c r="AF123" s="5"/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13">
        <f t="shared" si="26"/>
        <v>0</v>
      </c>
      <c r="AE124" s="5"/>
      <c r="AF124" s="5"/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13">
        <f t="shared" si="26"/>
        <v>0</v>
      </c>
      <c r="AE125" s="5"/>
      <c r="AF125" s="5"/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13">
        <f t="shared" si="26"/>
        <v>0</v>
      </c>
      <c r="AE126" s="5"/>
      <c r="AF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D127" si="27">SUM(E117:E126)</f>
        <v>1</v>
      </c>
      <c r="F127" s="13">
        <f t="shared" si="27"/>
        <v>1</v>
      </c>
      <c r="G127" s="13">
        <f t="shared" si="27"/>
        <v>3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2</v>
      </c>
      <c r="P127" s="13">
        <f t="shared" si="27"/>
        <v>2</v>
      </c>
      <c r="Q127" s="13">
        <f t="shared" si="27"/>
        <v>2</v>
      </c>
      <c r="R127" s="13">
        <f t="shared" si="27"/>
        <v>3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2</v>
      </c>
      <c r="X127" s="13">
        <f t="shared" si="27"/>
        <v>2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2</v>
      </c>
      <c r="AC127" s="13">
        <f t="shared" si="27"/>
        <v>8</v>
      </c>
      <c r="AD127" s="13">
        <f t="shared" si="27"/>
        <v>34</v>
      </c>
      <c r="AE127" s="5"/>
      <c r="AF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5"/>
      <c r="AF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1.0</v>
      </c>
      <c r="S129" s="73">
        <v>0.0</v>
      </c>
      <c r="T129" s="73">
        <v>0.0</v>
      </c>
      <c r="U129" s="73">
        <v>0.0</v>
      </c>
      <c r="V129" s="73">
        <v>0.0</v>
      </c>
      <c r="W129" s="73">
        <v>0.0</v>
      </c>
      <c r="X129" s="73">
        <v>0.0</v>
      </c>
      <c r="Y129" s="73">
        <v>1.0</v>
      </c>
      <c r="Z129" s="73">
        <v>0.0</v>
      </c>
      <c r="AA129" s="73">
        <v>1.0</v>
      </c>
      <c r="AB129" s="73">
        <v>0.0</v>
      </c>
      <c r="AC129" s="73">
        <v>0.0</v>
      </c>
      <c r="AD129" s="13">
        <f t="shared" ref="AD129:AD138" si="28">SUM(E129:AC129)</f>
        <v>3</v>
      </c>
      <c r="AE129" s="5"/>
      <c r="AF129" s="5"/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2.0</v>
      </c>
      <c r="G130" s="73">
        <v>4.0</v>
      </c>
      <c r="H130" s="73">
        <v>4.0</v>
      </c>
      <c r="I130" s="73">
        <v>1.0</v>
      </c>
      <c r="J130" s="73">
        <v>1.0</v>
      </c>
      <c r="K130" s="73">
        <v>0.0</v>
      </c>
      <c r="L130" s="73">
        <v>1.0</v>
      </c>
      <c r="M130" s="73">
        <v>0.0</v>
      </c>
      <c r="N130" s="73">
        <v>1.0</v>
      </c>
      <c r="O130" s="73">
        <v>2.0</v>
      </c>
      <c r="P130" s="73">
        <v>1.0</v>
      </c>
      <c r="Q130" s="73">
        <v>0.0</v>
      </c>
      <c r="R130" s="73">
        <v>2.0</v>
      </c>
      <c r="S130" s="73">
        <v>0.0</v>
      </c>
      <c r="T130" s="73">
        <v>3.0</v>
      </c>
      <c r="U130" s="73">
        <v>2.0</v>
      </c>
      <c r="V130" s="73">
        <v>0.0</v>
      </c>
      <c r="W130" s="73">
        <v>0.0</v>
      </c>
      <c r="X130" s="73">
        <v>1.0</v>
      </c>
      <c r="Y130" s="73">
        <v>4.0</v>
      </c>
      <c r="Z130" s="73">
        <v>0.0</v>
      </c>
      <c r="AA130" s="73">
        <v>5.0</v>
      </c>
      <c r="AB130" s="73">
        <v>0.0</v>
      </c>
      <c r="AC130" s="73">
        <v>0.0</v>
      </c>
      <c r="AD130" s="13">
        <f t="shared" si="28"/>
        <v>35</v>
      </c>
      <c r="AE130" s="1"/>
      <c r="AF130" s="1"/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1.0</v>
      </c>
      <c r="Q131" s="73">
        <v>0.0</v>
      </c>
      <c r="R131" s="73">
        <v>1.0</v>
      </c>
      <c r="S131" s="73">
        <v>0.0</v>
      </c>
      <c r="T131" s="73">
        <v>0.0</v>
      </c>
      <c r="U131" s="73">
        <v>0.0</v>
      </c>
      <c r="V131" s="73">
        <v>0.0</v>
      </c>
      <c r="W131" s="73">
        <v>1.0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13">
        <f t="shared" si="28"/>
        <v>4</v>
      </c>
      <c r="AE131" s="53"/>
      <c r="AF131" s="53"/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1.0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13">
        <f t="shared" si="28"/>
        <v>1</v>
      </c>
      <c r="AE132" s="5"/>
      <c r="AF132" s="5"/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1.0</v>
      </c>
      <c r="Q133" s="73">
        <v>0.0</v>
      </c>
      <c r="R133" s="73">
        <v>0.0</v>
      </c>
      <c r="S133" s="73">
        <v>1.0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1.0</v>
      </c>
      <c r="AC133" s="73">
        <v>0.0</v>
      </c>
      <c r="AD133" s="13">
        <f t="shared" si="28"/>
        <v>3</v>
      </c>
      <c r="AE133" s="5"/>
      <c r="AF133" s="5"/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13">
        <f t="shared" si="28"/>
        <v>0</v>
      </c>
      <c r="AE134" s="5"/>
      <c r="AF134" s="5"/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1.0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1.0</v>
      </c>
      <c r="AB135" s="73">
        <v>0.0</v>
      </c>
      <c r="AC135" s="73">
        <v>0.0</v>
      </c>
      <c r="AD135" s="13">
        <f t="shared" si="28"/>
        <v>2</v>
      </c>
      <c r="AE135" s="5"/>
      <c r="AF135" s="5"/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13">
        <f t="shared" si="28"/>
        <v>0</v>
      </c>
      <c r="AE136" s="5"/>
      <c r="AF136" s="5"/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1.0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13">
        <f t="shared" si="28"/>
        <v>1</v>
      </c>
      <c r="AE137" s="5"/>
      <c r="AF137" s="5"/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13">
        <f t="shared" si="28"/>
        <v>0</v>
      </c>
      <c r="AE138" s="5"/>
      <c r="AF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D139" si="29">SUM(E129:E138)</f>
        <v>1</v>
      </c>
      <c r="F139" s="13">
        <f t="shared" si="29"/>
        <v>2</v>
      </c>
      <c r="G139" s="13">
        <f t="shared" si="29"/>
        <v>4</v>
      </c>
      <c r="H139" s="13">
        <f t="shared" si="29"/>
        <v>4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1</v>
      </c>
      <c r="M139" s="13">
        <f t="shared" si="29"/>
        <v>0</v>
      </c>
      <c r="N139" s="13">
        <f t="shared" si="29"/>
        <v>2</v>
      </c>
      <c r="O139" s="13">
        <f t="shared" si="29"/>
        <v>2</v>
      </c>
      <c r="P139" s="13">
        <f t="shared" si="29"/>
        <v>4</v>
      </c>
      <c r="Q139" s="13">
        <f t="shared" si="29"/>
        <v>0</v>
      </c>
      <c r="R139" s="13">
        <f t="shared" si="29"/>
        <v>4</v>
      </c>
      <c r="S139" s="13">
        <f t="shared" si="29"/>
        <v>1</v>
      </c>
      <c r="T139" s="13">
        <f t="shared" si="29"/>
        <v>3</v>
      </c>
      <c r="U139" s="13">
        <f t="shared" si="29"/>
        <v>2</v>
      </c>
      <c r="V139" s="13">
        <f t="shared" si="29"/>
        <v>0</v>
      </c>
      <c r="W139" s="13">
        <f t="shared" si="29"/>
        <v>1</v>
      </c>
      <c r="X139" s="13">
        <f t="shared" si="29"/>
        <v>1</v>
      </c>
      <c r="Y139" s="13">
        <f t="shared" si="29"/>
        <v>5</v>
      </c>
      <c r="Z139" s="13">
        <f t="shared" si="29"/>
        <v>0</v>
      </c>
      <c r="AA139" s="13">
        <f t="shared" si="29"/>
        <v>7</v>
      </c>
      <c r="AB139" s="13">
        <f t="shared" si="29"/>
        <v>1</v>
      </c>
      <c r="AC139" s="13">
        <f t="shared" si="29"/>
        <v>0</v>
      </c>
      <c r="AD139" s="13">
        <f t="shared" si="29"/>
        <v>49</v>
      </c>
      <c r="AE139" s="5"/>
      <c r="AF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5"/>
      <c r="AF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1.0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1.0</v>
      </c>
      <c r="R141" s="73">
        <v>0.0</v>
      </c>
      <c r="S141" s="73">
        <v>0.0</v>
      </c>
      <c r="T141" s="73">
        <v>1.0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13">
        <f t="shared" ref="AD141:AD150" si="30">SUM(E141:AC141)</f>
        <v>3</v>
      </c>
      <c r="AE141" s="1"/>
      <c r="AF141" s="1"/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1.0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1.0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13">
        <f t="shared" si="30"/>
        <v>2</v>
      </c>
      <c r="AE142" s="53"/>
      <c r="AF142" s="53"/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13">
        <f t="shared" si="30"/>
        <v>0</v>
      </c>
      <c r="AE143" s="5"/>
      <c r="AF143" s="5"/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13">
        <f t="shared" si="30"/>
        <v>0</v>
      </c>
      <c r="AE144" s="5"/>
      <c r="AF144" s="5"/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3">
        <f t="shared" si="30"/>
        <v>0</v>
      </c>
      <c r="AE145" s="5"/>
      <c r="AF145" s="5"/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3">
        <f t="shared" si="30"/>
        <v>0</v>
      </c>
      <c r="AE146" s="5"/>
      <c r="AF146" s="5"/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3">
        <f t="shared" si="30"/>
        <v>0</v>
      </c>
      <c r="AE147" s="5"/>
      <c r="AF147" s="5"/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3">
        <f t="shared" si="30"/>
        <v>0</v>
      </c>
      <c r="AE148" s="5"/>
      <c r="AF148" s="5"/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3">
        <f t="shared" si="30"/>
        <v>0</v>
      </c>
      <c r="AE149" s="5"/>
      <c r="AF149" s="5"/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3">
        <f t="shared" si="30"/>
        <v>0</v>
      </c>
      <c r="AE150" s="5"/>
      <c r="AF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D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5</v>
      </c>
      <c r="AE151" s="1"/>
      <c r="AF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13"/>
      <c r="AE152" s="53"/>
      <c r="AF152" s="5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1.0</v>
      </c>
      <c r="AD153" s="13">
        <f t="shared" ref="AD153:AD156" si="32">SUM(E154:AC154)</f>
        <v>1</v>
      </c>
      <c r="AE153" s="5"/>
      <c r="AF153" s="5"/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13">
        <f t="shared" si="32"/>
        <v>8</v>
      </c>
      <c r="AE154" s="5"/>
      <c r="AF154" s="5"/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1.0</v>
      </c>
      <c r="H155" s="73">
        <v>1.0</v>
      </c>
      <c r="I155" s="73">
        <v>0.0</v>
      </c>
      <c r="J155" s="73">
        <v>1.0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1.0</v>
      </c>
      <c r="U155" s="73">
        <v>0.0</v>
      </c>
      <c r="V155" s="73">
        <v>1.0</v>
      </c>
      <c r="W155" s="73">
        <v>0.0</v>
      </c>
      <c r="X155" s="73">
        <v>0.0</v>
      </c>
      <c r="Y155" s="73">
        <v>3.0</v>
      </c>
      <c r="Z155" s="73">
        <v>0.0</v>
      </c>
      <c r="AA155" s="73">
        <v>0.0</v>
      </c>
      <c r="AB155" s="73">
        <v>0.0</v>
      </c>
      <c r="AC155" s="73">
        <v>0.0</v>
      </c>
      <c r="AD155" s="13">
        <f t="shared" si="32"/>
        <v>5</v>
      </c>
      <c r="AE155" s="5"/>
      <c r="AF155" s="5"/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1.0</v>
      </c>
      <c r="I156" s="73">
        <v>0.0</v>
      </c>
      <c r="J156" s="73">
        <v>1.0</v>
      </c>
      <c r="K156" s="73">
        <v>0.0</v>
      </c>
      <c r="L156" s="73">
        <v>0.0</v>
      </c>
      <c r="M156" s="73">
        <v>0.0</v>
      </c>
      <c r="N156" s="73">
        <v>1.0</v>
      </c>
      <c r="O156" s="73">
        <v>0.0</v>
      </c>
      <c r="P156" s="73">
        <v>1.0</v>
      </c>
      <c r="Q156" s="73">
        <v>0.0</v>
      </c>
      <c r="R156" s="73">
        <v>0.0</v>
      </c>
      <c r="S156" s="73">
        <v>1.0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13">
        <f t="shared" si="32"/>
        <v>1</v>
      </c>
      <c r="AE156" s="5"/>
      <c r="AF156" s="5"/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1.0</v>
      </c>
      <c r="Z157" s="73">
        <v>0.0</v>
      </c>
      <c r="AA157" s="73">
        <v>0.0</v>
      </c>
      <c r="AB157" s="73">
        <v>0.0</v>
      </c>
      <c r="AC157" s="73">
        <v>0.0</v>
      </c>
      <c r="AD157" s="13">
        <f t="shared" ref="AD157:AD162" si="33">SUM(E163:AC163)</f>
        <v>19</v>
      </c>
      <c r="AE157" s="5"/>
      <c r="AF157" s="5"/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1.0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13">
        <f t="shared" si="33"/>
        <v>0</v>
      </c>
      <c r="AE158" s="5"/>
      <c r="AF158" s="5"/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13">
        <f t="shared" si="33"/>
        <v>6</v>
      </c>
      <c r="AE159" s="5"/>
      <c r="AF159" s="5"/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1.0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13">
        <f t="shared" si="33"/>
        <v>4</v>
      </c>
      <c r="AE160" s="5"/>
      <c r="AF160" s="5"/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3">
        <f t="shared" si="33"/>
        <v>0</v>
      </c>
      <c r="AE161" s="5"/>
      <c r="AF161" s="5"/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3">
        <f t="shared" si="33"/>
        <v>0</v>
      </c>
      <c r="AE162" s="5"/>
      <c r="AF162" s="5"/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D163" si="34">SUM(E153:E162)</f>
        <v>0</v>
      </c>
      <c r="F163" s="13">
        <f t="shared" si="34"/>
        <v>0</v>
      </c>
      <c r="G163" s="13">
        <f t="shared" si="34"/>
        <v>1</v>
      </c>
      <c r="H163" s="13">
        <f t="shared" si="34"/>
        <v>3</v>
      </c>
      <c r="I163" s="13">
        <f t="shared" si="34"/>
        <v>1</v>
      </c>
      <c r="J163" s="13">
        <f t="shared" si="34"/>
        <v>2</v>
      </c>
      <c r="K163" s="13">
        <f t="shared" si="34"/>
        <v>0</v>
      </c>
      <c r="L163" s="13">
        <f t="shared" si="34"/>
        <v>1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1</v>
      </c>
      <c r="Q163" s="13">
        <f t="shared" si="34"/>
        <v>0</v>
      </c>
      <c r="R163" s="13">
        <f t="shared" si="34"/>
        <v>0</v>
      </c>
      <c r="S163" s="13">
        <f t="shared" si="34"/>
        <v>1</v>
      </c>
      <c r="T163" s="13">
        <f t="shared" si="34"/>
        <v>1</v>
      </c>
      <c r="U163" s="13">
        <f t="shared" si="34"/>
        <v>0</v>
      </c>
      <c r="V163" s="13">
        <f t="shared" si="34"/>
        <v>2</v>
      </c>
      <c r="W163" s="13">
        <f t="shared" si="34"/>
        <v>0</v>
      </c>
      <c r="X163" s="13">
        <f t="shared" si="34"/>
        <v>0</v>
      </c>
      <c r="Y163" s="13">
        <f t="shared" si="34"/>
        <v>4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1</v>
      </c>
      <c r="AD163" s="13">
        <f t="shared" si="34"/>
        <v>44</v>
      </c>
      <c r="AE163" s="5"/>
      <c r="AF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5"/>
      <c r="AF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1.0</v>
      </c>
      <c r="O165" s="73">
        <v>2.0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2.0</v>
      </c>
      <c r="Z165" s="73">
        <v>0.0</v>
      </c>
      <c r="AA165" s="73">
        <v>0.0</v>
      </c>
      <c r="AB165" s="73">
        <v>0.0</v>
      </c>
      <c r="AC165" s="73">
        <v>0.0</v>
      </c>
      <c r="AD165" s="13">
        <f t="shared" ref="AD165:AD174" si="35">SUM(E165:AC165)</f>
        <v>6</v>
      </c>
      <c r="AE165" s="1"/>
      <c r="AF165" s="1"/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0.0</v>
      </c>
      <c r="J166" s="73">
        <v>1.0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2.0</v>
      </c>
      <c r="Z166" s="73">
        <v>0.0</v>
      </c>
      <c r="AA166" s="73">
        <v>0.0</v>
      </c>
      <c r="AB166" s="73">
        <v>0.0</v>
      </c>
      <c r="AC166" s="73">
        <v>1.0</v>
      </c>
      <c r="AD166" s="13">
        <f t="shared" si="35"/>
        <v>4</v>
      </c>
      <c r="AE166" s="53"/>
      <c r="AF166" s="53"/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3">
        <f t="shared" si="35"/>
        <v>0</v>
      </c>
      <c r="AE167" s="5"/>
      <c r="AF167" s="5"/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3">
        <f t="shared" si="35"/>
        <v>0</v>
      </c>
      <c r="AE168" s="5"/>
      <c r="AF168" s="5"/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3">
        <f t="shared" si="35"/>
        <v>0</v>
      </c>
      <c r="AE169" s="5"/>
      <c r="AF169" s="5"/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3">
        <f t="shared" si="35"/>
        <v>0</v>
      </c>
      <c r="AE170" s="5"/>
      <c r="AF170" s="5"/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3">
        <f t="shared" si="35"/>
        <v>0</v>
      </c>
      <c r="AE171" s="5"/>
      <c r="AF171" s="5"/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3">
        <f t="shared" si="35"/>
        <v>0</v>
      </c>
      <c r="AE172" s="5"/>
      <c r="AF172" s="5"/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3">
        <f t="shared" si="35"/>
        <v>0</v>
      </c>
      <c r="AE173" s="5"/>
      <c r="AF173" s="5"/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3">
        <f t="shared" si="35"/>
        <v>0</v>
      </c>
      <c r="AE174" s="5"/>
      <c r="AF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D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1</v>
      </c>
      <c r="N175" s="13">
        <f t="shared" si="36"/>
        <v>1</v>
      </c>
      <c r="O175" s="13">
        <f t="shared" si="36"/>
        <v>2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4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1</v>
      </c>
      <c r="AD175" s="13">
        <f t="shared" si="36"/>
        <v>10</v>
      </c>
      <c r="AE175" s="5"/>
      <c r="AF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1"/>
      <c r="AF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1.0</v>
      </c>
      <c r="P177" s="73">
        <v>2.0</v>
      </c>
      <c r="Q177" s="73">
        <v>0.0</v>
      </c>
      <c r="R177" s="73">
        <v>1.0</v>
      </c>
      <c r="S177" s="73">
        <v>0.0</v>
      </c>
      <c r="T177" s="73">
        <v>0.0</v>
      </c>
      <c r="U177" s="73">
        <v>0.0</v>
      </c>
      <c r="V177" s="73">
        <v>2.0</v>
      </c>
      <c r="W177" s="73">
        <v>0.0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1.0</v>
      </c>
      <c r="AD177" s="13">
        <f t="shared" ref="AD177:AD186" si="37">SUM(E177:AC177)</f>
        <v>9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1.0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1.0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1.0</v>
      </c>
      <c r="Z178" s="73">
        <v>0.0</v>
      </c>
      <c r="AA178" s="73">
        <v>0.0</v>
      </c>
      <c r="AB178" s="73">
        <v>0.0</v>
      </c>
      <c r="AC178" s="73">
        <v>1.0</v>
      </c>
      <c r="AD178" s="13">
        <f t="shared" si="37"/>
        <v>4</v>
      </c>
      <c r="AE178" s="5"/>
      <c r="AF178" s="5"/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1.0</v>
      </c>
      <c r="AD179" s="13">
        <f t="shared" si="37"/>
        <v>1</v>
      </c>
      <c r="AE179" s="5"/>
      <c r="AF179" s="5"/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1.0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1.0</v>
      </c>
      <c r="P180" s="73">
        <v>2.0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1.0</v>
      </c>
      <c r="AD180" s="13">
        <f t="shared" si="37"/>
        <v>5</v>
      </c>
      <c r="AE180" s="5"/>
      <c r="AF180" s="5"/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1.0</v>
      </c>
      <c r="H181" s="73">
        <v>1.0</v>
      </c>
      <c r="I181" s="73">
        <v>0.0</v>
      </c>
      <c r="J181" s="73">
        <v>1.0</v>
      </c>
      <c r="K181" s="73">
        <v>0.0</v>
      </c>
      <c r="L181" s="73">
        <v>0.0</v>
      </c>
      <c r="M181" s="73">
        <v>1.0</v>
      </c>
      <c r="N181" s="73">
        <v>0.0</v>
      </c>
      <c r="O181" s="73">
        <v>0.0</v>
      </c>
      <c r="P181" s="73">
        <v>1.0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1.0</v>
      </c>
      <c r="AA181" s="73">
        <v>0.0</v>
      </c>
      <c r="AB181" s="73">
        <v>0.0</v>
      </c>
      <c r="AC181" s="73">
        <v>0.0</v>
      </c>
      <c r="AD181" s="13">
        <f t="shared" si="37"/>
        <v>6</v>
      </c>
      <c r="AE181" s="5"/>
      <c r="AF181" s="5"/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1.0</v>
      </c>
      <c r="N182" s="73">
        <v>0.0</v>
      </c>
      <c r="O182" s="73">
        <v>0.0</v>
      </c>
      <c r="P182" s="73">
        <v>1.0</v>
      </c>
      <c r="Q182" s="73">
        <v>0.0</v>
      </c>
      <c r="R182" s="73">
        <v>1.0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13">
        <f t="shared" si="37"/>
        <v>3</v>
      </c>
      <c r="AE182" s="5"/>
      <c r="AF182" s="5"/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1.0</v>
      </c>
      <c r="R183" s="73">
        <v>0.0</v>
      </c>
      <c r="S183" s="73">
        <v>0.0</v>
      </c>
      <c r="T183" s="73">
        <v>0.0</v>
      </c>
      <c r="U183" s="73">
        <v>0.0</v>
      </c>
      <c r="V183" s="73">
        <v>1.0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13">
        <f t="shared" si="37"/>
        <v>2</v>
      </c>
      <c r="AE183" s="5"/>
      <c r="AF183" s="5"/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13">
        <f t="shared" si="37"/>
        <v>0</v>
      </c>
      <c r="AE184" s="5"/>
      <c r="AF184" s="5"/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13">
        <f t="shared" si="37"/>
        <v>0</v>
      </c>
      <c r="AE185" s="5"/>
      <c r="AF185" s="5"/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13">
        <f t="shared" si="37"/>
        <v>0</v>
      </c>
      <c r="AE186" s="5"/>
      <c r="AF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D187" si="38">SUM(E177:E186)</f>
        <v>0</v>
      </c>
      <c r="F187" s="13">
        <f t="shared" si="38"/>
        <v>0</v>
      </c>
      <c r="G187" s="13">
        <f t="shared" si="38"/>
        <v>1</v>
      </c>
      <c r="H187" s="13">
        <f t="shared" si="38"/>
        <v>1</v>
      </c>
      <c r="I187" s="13">
        <f t="shared" si="38"/>
        <v>2</v>
      </c>
      <c r="J187" s="13">
        <f t="shared" si="38"/>
        <v>2</v>
      </c>
      <c r="K187" s="13">
        <f t="shared" si="38"/>
        <v>0</v>
      </c>
      <c r="L187" s="13">
        <f t="shared" si="38"/>
        <v>0</v>
      </c>
      <c r="M187" s="13">
        <f t="shared" si="38"/>
        <v>2</v>
      </c>
      <c r="N187" s="13">
        <f t="shared" si="38"/>
        <v>1</v>
      </c>
      <c r="O187" s="13">
        <f t="shared" si="38"/>
        <v>2</v>
      </c>
      <c r="P187" s="13">
        <f t="shared" si="38"/>
        <v>6</v>
      </c>
      <c r="Q187" s="13">
        <f t="shared" si="38"/>
        <v>1</v>
      </c>
      <c r="R187" s="13">
        <f t="shared" si="38"/>
        <v>3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3</v>
      </c>
      <c r="W187" s="13">
        <f t="shared" si="38"/>
        <v>0</v>
      </c>
      <c r="X187" s="13">
        <f t="shared" si="38"/>
        <v>0</v>
      </c>
      <c r="Y187" s="13">
        <f t="shared" si="38"/>
        <v>1</v>
      </c>
      <c r="Z187" s="13">
        <f t="shared" si="38"/>
        <v>1</v>
      </c>
      <c r="AA187" s="13">
        <f t="shared" si="38"/>
        <v>0</v>
      </c>
      <c r="AB187" s="13">
        <f t="shared" si="38"/>
        <v>0</v>
      </c>
      <c r="AC187" s="13">
        <f t="shared" si="38"/>
        <v>4</v>
      </c>
      <c r="AD187" s="13">
        <f t="shared" si="38"/>
        <v>30</v>
      </c>
      <c r="AE187" s="1"/>
      <c r="AF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1.0</v>
      </c>
      <c r="AD189" s="13">
        <f t="shared" ref="AD189:AD198" si="39">SUM(E189:AC189)</f>
        <v>1</v>
      </c>
      <c r="AE189" s="5"/>
      <c r="AF189" s="5"/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1.0</v>
      </c>
      <c r="Z190" s="73">
        <v>0.0</v>
      </c>
      <c r="AA190" s="73">
        <v>0.0</v>
      </c>
      <c r="AB190" s="73">
        <v>0.0</v>
      </c>
      <c r="AC190" s="73">
        <v>0.0</v>
      </c>
      <c r="AD190" s="13">
        <f t="shared" si="39"/>
        <v>1</v>
      </c>
      <c r="AE190" s="5"/>
      <c r="AF190" s="5"/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1.0</v>
      </c>
      <c r="V191" s="73">
        <v>0.0</v>
      </c>
      <c r="W191" s="73">
        <v>1.0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1.0</v>
      </c>
      <c r="AC191" s="73">
        <v>0.0</v>
      </c>
      <c r="AD191" s="13">
        <f t="shared" si="39"/>
        <v>3</v>
      </c>
      <c r="AE191" s="5"/>
      <c r="AF191" s="5"/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1.0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1.0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2.0</v>
      </c>
      <c r="AB192" s="73">
        <v>0.0</v>
      </c>
      <c r="AC192" s="73">
        <v>1.0</v>
      </c>
      <c r="AD192" s="13">
        <f t="shared" si="39"/>
        <v>5</v>
      </c>
      <c r="AE192" s="5"/>
      <c r="AF192" s="5"/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1.0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13">
        <f t="shared" si="39"/>
        <v>1</v>
      </c>
      <c r="AE193" s="5"/>
      <c r="AF193" s="5"/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1.0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1.0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13">
        <f t="shared" si="39"/>
        <v>2</v>
      </c>
      <c r="AE194" s="5"/>
      <c r="AF194" s="5"/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13">
        <f t="shared" si="39"/>
        <v>0</v>
      </c>
      <c r="AE195" s="5"/>
      <c r="AF195" s="5"/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1.0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13">
        <f t="shared" si="39"/>
        <v>1</v>
      </c>
      <c r="AE196" s="1"/>
      <c r="AF196" s="1"/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1.0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13">
        <f t="shared" si="39"/>
        <v>1</v>
      </c>
      <c r="AE197" s="1"/>
      <c r="AF197" s="1"/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1.0</v>
      </c>
      <c r="AB198" s="73">
        <v>0.0</v>
      </c>
      <c r="AC198" s="73">
        <v>0.0</v>
      </c>
      <c r="AD198" s="13">
        <f t="shared" si="39"/>
        <v>1</v>
      </c>
      <c r="AE198" s="1"/>
      <c r="AF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D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2</v>
      </c>
      <c r="J199" s="13">
        <f t="shared" si="40"/>
        <v>0</v>
      </c>
      <c r="K199" s="13">
        <f t="shared" si="40"/>
        <v>0</v>
      </c>
      <c r="L199" s="13">
        <f t="shared" si="40"/>
        <v>1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0</v>
      </c>
      <c r="T199" s="13">
        <f t="shared" si="40"/>
        <v>0</v>
      </c>
      <c r="U199" s="13">
        <f t="shared" si="40"/>
        <v>2</v>
      </c>
      <c r="V199" s="13">
        <f t="shared" si="40"/>
        <v>1</v>
      </c>
      <c r="W199" s="13">
        <f t="shared" si="40"/>
        <v>2</v>
      </c>
      <c r="X199" s="13">
        <f t="shared" si="40"/>
        <v>0</v>
      </c>
      <c r="Y199" s="13">
        <f t="shared" si="40"/>
        <v>1</v>
      </c>
      <c r="Z199" s="13">
        <f t="shared" si="40"/>
        <v>0</v>
      </c>
      <c r="AA199" s="13">
        <f t="shared" si="40"/>
        <v>3</v>
      </c>
      <c r="AB199" s="13">
        <f t="shared" si="40"/>
        <v>1</v>
      </c>
      <c r="AC199" s="13">
        <f t="shared" si="40"/>
        <v>2</v>
      </c>
      <c r="AD199" s="13">
        <f t="shared" si="40"/>
        <v>16</v>
      </c>
      <c r="AE199" s="53"/>
      <c r="AF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5"/>
      <c r="AF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5.0</v>
      </c>
      <c r="F201" s="73">
        <v>3.0</v>
      </c>
      <c r="G201" s="73">
        <v>0.0</v>
      </c>
      <c r="H201" s="73">
        <v>6.0</v>
      </c>
      <c r="I201" s="73">
        <v>7.0</v>
      </c>
      <c r="J201" s="73">
        <v>4.0</v>
      </c>
      <c r="K201" s="73">
        <v>2.0</v>
      </c>
      <c r="L201" s="73">
        <v>7.0</v>
      </c>
      <c r="M201" s="73">
        <v>15.0</v>
      </c>
      <c r="N201" s="73">
        <v>3.0</v>
      </c>
      <c r="O201" s="73">
        <v>5.0</v>
      </c>
      <c r="P201" s="73">
        <v>3.0</v>
      </c>
      <c r="Q201" s="73">
        <v>7.0</v>
      </c>
      <c r="R201" s="73">
        <v>4.0</v>
      </c>
      <c r="S201" s="73">
        <v>5.0</v>
      </c>
      <c r="T201" s="73">
        <v>11.0</v>
      </c>
      <c r="U201" s="73">
        <v>3.0</v>
      </c>
      <c r="V201" s="73">
        <v>5.0</v>
      </c>
      <c r="W201" s="73">
        <v>2.0</v>
      </c>
      <c r="X201" s="73">
        <v>1.0</v>
      </c>
      <c r="Y201" s="73">
        <v>3.0</v>
      </c>
      <c r="Z201" s="73">
        <v>5.0</v>
      </c>
      <c r="AA201" s="73">
        <v>2.0</v>
      </c>
      <c r="AB201" s="73">
        <v>10.0</v>
      </c>
      <c r="AC201" s="73">
        <v>2.0</v>
      </c>
      <c r="AD201" s="13">
        <f t="shared" ref="AD201:AD210" si="41">SUM(E201:AC201)</f>
        <v>120</v>
      </c>
      <c r="AE201" s="5"/>
      <c r="AF201" s="5"/>
    </row>
    <row r="202" ht="12.75" customHeight="1">
      <c r="A202" s="30" t="s">
        <v>39</v>
      </c>
      <c r="B202" s="49"/>
      <c r="C202" s="50" t="s">
        <v>154</v>
      </c>
      <c r="D202" s="51"/>
      <c r="E202" s="73">
        <v>16.0</v>
      </c>
      <c r="F202" s="73">
        <v>5.0</v>
      </c>
      <c r="G202" s="73">
        <v>7.0</v>
      </c>
      <c r="H202" s="73">
        <v>54.0</v>
      </c>
      <c r="I202" s="73">
        <v>25.0</v>
      </c>
      <c r="J202" s="73">
        <v>16.0</v>
      </c>
      <c r="K202" s="73">
        <v>18.0</v>
      </c>
      <c r="L202" s="73">
        <v>18.0</v>
      </c>
      <c r="M202" s="73">
        <v>40.0</v>
      </c>
      <c r="N202" s="73">
        <v>82.0</v>
      </c>
      <c r="O202" s="73">
        <v>68.0</v>
      </c>
      <c r="P202" s="73">
        <v>38.0</v>
      </c>
      <c r="Q202" s="73">
        <v>47.0</v>
      </c>
      <c r="R202" s="73">
        <v>38.0</v>
      </c>
      <c r="S202" s="73">
        <v>20.0</v>
      </c>
      <c r="T202" s="73">
        <v>41.0</v>
      </c>
      <c r="U202" s="73">
        <v>104.0</v>
      </c>
      <c r="V202" s="73">
        <v>17.0</v>
      </c>
      <c r="W202" s="73">
        <v>6.0</v>
      </c>
      <c r="X202" s="73">
        <v>6.0</v>
      </c>
      <c r="Y202" s="73">
        <v>5.0</v>
      </c>
      <c r="Z202" s="73">
        <v>4.0</v>
      </c>
      <c r="AA202" s="73">
        <v>13.0</v>
      </c>
      <c r="AB202" s="73">
        <v>2.0</v>
      </c>
      <c r="AC202" s="73">
        <v>7.0</v>
      </c>
      <c r="AD202" s="13">
        <f t="shared" si="41"/>
        <v>697</v>
      </c>
      <c r="AE202" s="5"/>
      <c r="AF202" s="5"/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0.0</v>
      </c>
      <c r="G203" s="73">
        <v>4.0</v>
      </c>
      <c r="H203" s="73">
        <v>3.0</v>
      </c>
      <c r="I203" s="73">
        <v>8.0</v>
      </c>
      <c r="J203" s="73">
        <v>4.0</v>
      </c>
      <c r="K203" s="73">
        <v>0.0</v>
      </c>
      <c r="L203" s="73">
        <v>16.0</v>
      </c>
      <c r="M203" s="73">
        <v>4.0</v>
      </c>
      <c r="N203" s="73">
        <v>6.0</v>
      </c>
      <c r="O203" s="73">
        <v>2.0</v>
      </c>
      <c r="P203" s="73">
        <v>1.0</v>
      </c>
      <c r="Q203" s="73">
        <v>2.0</v>
      </c>
      <c r="R203" s="73">
        <v>1.0</v>
      </c>
      <c r="S203" s="73">
        <v>3.0</v>
      </c>
      <c r="T203" s="73">
        <v>11.0</v>
      </c>
      <c r="U203" s="73">
        <v>1.0</v>
      </c>
      <c r="V203" s="73">
        <v>3.0</v>
      </c>
      <c r="W203" s="73">
        <v>0.0</v>
      </c>
      <c r="X203" s="73">
        <v>1.0</v>
      </c>
      <c r="Y203" s="73">
        <v>4.0</v>
      </c>
      <c r="Z203" s="73">
        <v>1.0</v>
      </c>
      <c r="AA203" s="73">
        <v>2.0</v>
      </c>
      <c r="AB203" s="73">
        <v>0.0</v>
      </c>
      <c r="AC203" s="73">
        <v>0.0</v>
      </c>
      <c r="AD203" s="13">
        <f t="shared" si="41"/>
        <v>77</v>
      </c>
      <c r="AE203" s="5"/>
      <c r="AF203" s="5"/>
    </row>
    <row r="204" ht="12.75" customHeight="1">
      <c r="A204" s="18"/>
      <c r="B204" s="49"/>
      <c r="C204" s="50" t="s">
        <v>156</v>
      </c>
      <c r="D204" s="51"/>
      <c r="E204" s="73">
        <v>2.0</v>
      </c>
      <c r="F204" s="73">
        <v>0.0</v>
      </c>
      <c r="G204" s="73">
        <v>0.0</v>
      </c>
      <c r="H204" s="73">
        <v>0.0</v>
      </c>
      <c r="I204" s="73">
        <v>1.0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2.0</v>
      </c>
      <c r="S204" s="73">
        <v>0.0</v>
      </c>
      <c r="T204" s="73">
        <v>0.0</v>
      </c>
      <c r="U204" s="73">
        <v>0.0</v>
      </c>
      <c r="V204" s="73">
        <v>0.0</v>
      </c>
      <c r="W204" s="73">
        <v>1.0</v>
      </c>
      <c r="X204" s="73">
        <v>0.0</v>
      </c>
      <c r="Y204" s="73">
        <v>1.0</v>
      </c>
      <c r="Z204" s="73">
        <v>0.0</v>
      </c>
      <c r="AA204" s="73">
        <v>0.0</v>
      </c>
      <c r="AB204" s="73">
        <v>0.0</v>
      </c>
      <c r="AC204" s="73">
        <v>1.0</v>
      </c>
      <c r="AD204" s="13">
        <f t="shared" si="41"/>
        <v>8</v>
      </c>
      <c r="AE204" s="5"/>
      <c r="AF204" s="5"/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1.0</v>
      </c>
      <c r="AA205" s="73">
        <v>0.0</v>
      </c>
      <c r="AB205" s="73">
        <v>0.0</v>
      </c>
      <c r="AC205" s="73">
        <v>0.0</v>
      </c>
      <c r="AD205" s="13">
        <f t="shared" si="41"/>
        <v>4</v>
      </c>
      <c r="AE205" s="5"/>
      <c r="AF205" s="5"/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1.0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1.0</v>
      </c>
      <c r="P206" s="73">
        <v>0.0</v>
      </c>
      <c r="Q206" s="73">
        <v>0.0</v>
      </c>
      <c r="R206" s="73">
        <v>0.0</v>
      </c>
      <c r="S206" s="73">
        <v>1.0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13">
        <f t="shared" si="41"/>
        <v>3</v>
      </c>
      <c r="AE206" s="5"/>
      <c r="AF206" s="5"/>
    </row>
    <row r="207" ht="12.75" customHeight="1">
      <c r="A207" s="18"/>
      <c r="B207" s="49"/>
      <c r="C207" s="50" t="s">
        <v>159</v>
      </c>
      <c r="D207" s="51"/>
      <c r="E207" s="73">
        <v>1.0</v>
      </c>
      <c r="F207" s="73">
        <v>1.0</v>
      </c>
      <c r="G207" s="73">
        <v>0.0</v>
      </c>
      <c r="H207" s="73">
        <v>0.0</v>
      </c>
      <c r="I207" s="73">
        <v>1.0</v>
      </c>
      <c r="J207" s="73">
        <v>1.0</v>
      </c>
      <c r="K207" s="73">
        <v>0.0</v>
      </c>
      <c r="L207" s="73">
        <v>1.0</v>
      </c>
      <c r="M207" s="73">
        <v>1.0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1.0</v>
      </c>
      <c r="V207" s="73">
        <v>0.0</v>
      </c>
      <c r="W207" s="73">
        <v>1.0</v>
      </c>
      <c r="X207" s="73">
        <v>1.0</v>
      </c>
      <c r="Y207" s="73">
        <v>2.0</v>
      </c>
      <c r="Z207" s="73">
        <v>1.0</v>
      </c>
      <c r="AA207" s="73">
        <v>1.0</v>
      </c>
      <c r="AB207" s="73">
        <v>0.0</v>
      </c>
      <c r="AC207" s="73">
        <v>1.0</v>
      </c>
      <c r="AD207" s="13">
        <f t="shared" si="41"/>
        <v>14</v>
      </c>
      <c r="AE207" s="1"/>
      <c r="AF207" s="1"/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1.0</v>
      </c>
      <c r="I208" s="73">
        <v>0.0</v>
      </c>
      <c r="J208" s="73">
        <v>0.0</v>
      </c>
      <c r="K208" s="73">
        <v>0.0</v>
      </c>
      <c r="L208" s="73">
        <v>1.0</v>
      </c>
      <c r="M208" s="73">
        <v>0.0</v>
      </c>
      <c r="N208" s="73">
        <v>0.0</v>
      </c>
      <c r="O208" s="73">
        <v>2.0</v>
      </c>
      <c r="P208" s="73">
        <v>0.0</v>
      </c>
      <c r="Q208" s="73">
        <v>0.0</v>
      </c>
      <c r="R208" s="73">
        <v>0.0</v>
      </c>
      <c r="S208" s="73">
        <v>0.0</v>
      </c>
      <c r="T208" s="73">
        <v>1.0</v>
      </c>
      <c r="U208" s="73">
        <v>0.0</v>
      </c>
      <c r="V208" s="73">
        <v>1.0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0.0</v>
      </c>
      <c r="AB208" s="73">
        <v>0.0</v>
      </c>
      <c r="AC208" s="73">
        <v>0.0</v>
      </c>
      <c r="AD208" s="13">
        <f t="shared" si="41"/>
        <v>6</v>
      </c>
      <c r="AE208" s="53"/>
      <c r="AF208" s="53"/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1.0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13">
        <f t="shared" si="41"/>
        <v>1</v>
      </c>
      <c r="AE209" s="53"/>
      <c r="AF209" s="53"/>
    </row>
    <row r="210" ht="12.75" customHeight="1">
      <c r="A210" s="18"/>
      <c r="B210" s="49"/>
      <c r="C210" s="50" t="s">
        <v>162</v>
      </c>
      <c r="D210" s="51"/>
      <c r="E210" s="73">
        <v>1.0</v>
      </c>
      <c r="F210" s="73">
        <v>0.0</v>
      </c>
      <c r="G210" s="73">
        <v>1.0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1.0</v>
      </c>
      <c r="O210" s="73">
        <v>1.0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1.0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13">
        <f t="shared" si="41"/>
        <v>5</v>
      </c>
      <c r="AE210" s="53"/>
      <c r="AF210" s="53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D211" si="42">SUM(E201:E210)</f>
        <v>25</v>
      </c>
      <c r="F211" s="13">
        <f t="shared" si="42"/>
        <v>9</v>
      </c>
      <c r="G211" s="13">
        <f t="shared" si="42"/>
        <v>13</v>
      </c>
      <c r="H211" s="13">
        <f t="shared" si="42"/>
        <v>64</v>
      </c>
      <c r="I211" s="13">
        <f t="shared" si="42"/>
        <v>43</v>
      </c>
      <c r="J211" s="13">
        <f t="shared" si="42"/>
        <v>26</v>
      </c>
      <c r="K211" s="13">
        <f t="shared" si="42"/>
        <v>20</v>
      </c>
      <c r="L211" s="13">
        <f t="shared" si="42"/>
        <v>43</v>
      </c>
      <c r="M211" s="13">
        <f t="shared" si="42"/>
        <v>60</v>
      </c>
      <c r="N211" s="13">
        <f t="shared" si="42"/>
        <v>92</v>
      </c>
      <c r="O211" s="13">
        <f t="shared" si="42"/>
        <v>80</v>
      </c>
      <c r="P211" s="13">
        <f t="shared" si="42"/>
        <v>42</v>
      </c>
      <c r="Q211" s="13">
        <f t="shared" si="42"/>
        <v>56</v>
      </c>
      <c r="R211" s="13">
        <f t="shared" si="42"/>
        <v>45</v>
      </c>
      <c r="S211" s="13">
        <f t="shared" si="42"/>
        <v>30</v>
      </c>
      <c r="T211" s="13">
        <f t="shared" si="42"/>
        <v>64</v>
      </c>
      <c r="U211" s="13">
        <f t="shared" si="42"/>
        <v>109</v>
      </c>
      <c r="V211" s="13">
        <f t="shared" si="42"/>
        <v>27</v>
      </c>
      <c r="W211" s="13">
        <f t="shared" si="42"/>
        <v>10</v>
      </c>
      <c r="X211" s="13">
        <f t="shared" si="42"/>
        <v>9</v>
      </c>
      <c r="Y211" s="13">
        <f t="shared" si="42"/>
        <v>15</v>
      </c>
      <c r="Z211" s="13">
        <f t="shared" si="42"/>
        <v>12</v>
      </c>
      <c r="AA211" s="13">
        <f t="shared" si="42"/>
        <v>18</v>
      </c>
      <c r="AB211" s="13">
        <f t="shared" si="42"/>
        <v>12</v>
      </c>
      <c r="AC211" s="13">
        <f t="shared" si="42"/>
        <v>11</v>
      </c>
      <c r="AD211" s="13">
        <f t="shared" si="42"/>
        <v>935</v>
      </c>
      <c r="AE211" s="5"/>
      <c r="AF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5"/>
      <c r="AF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0.0</v>
      </c>
      <c r="G213" s="73">
        <v>2.0</v>
      </c>
      <c r="H213" s="73">
        <v>0.0</v>
      </c>
      <c r="I213" s="73">
        <v>3.0</v>
      </c>
      <c r="J213" s="73">
        <v>1.0</v>
      </c>
      <c r="K213" s="73">
        <v>3.0</v>
      </c>
      <c r="L213" s="73">
        <v>3.0</v>
      </c>
      <c r="M213" s="73">
        <v>0.0</v>
      </c>
      <c r="N213" s="73">
        <v>0.0</v>
      </c>
      <c r="O213" s="73">
        <v>4.0</v>
      </c>
      <c r="P213" s="73">
        <v>1.0</v>
      </c>
      <c r="Q213" s="73">
        <v>0.0</v>
      </c>
      <c r="R213" s="73">
        <v>0.0</v>
      </c>
      <c r="S213" s="73">
        <v>5.0</v>
      </c>
      <c r="T213" s="73">
        <v>0.0</v>
      </c>
      <c r="U213" s="73">
        <v>0.0</v>
      </c>
      <c r="V213" s="73">
        <v>0.0</v>
      </c>
      <c r="W213" s="73">
        <v>0.0</v>
      </c>
      <c r="X213" s="73">
        <v>0.0</v>
      </c>
      <c r="Y213" s="73">
        <v>1.0</v>
      </c>
      <c r="Z213" s="73">
        <v>0.0</v>
      </c>
      <c r="AA213" s="73">
        <v>2.0</v>
      </c>
      <c r="AB213" s="73">
        <v>5.0</v>
      </c>
      <c r="AC213" s="73">
        <v>0.0</v>
      </c>
      <c r="AD213" s="13">
        <f t="shared" ref="AD213:AD222" si="43">SUM(E213:AC213)</f>
        <v>30</v>
      </c>
      <c r="AE213" s="5"/>
      <c r="AF213" s="5"/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0.0</v>
      </c>
      <c r="H214" s="73">
        <v>4.0</v>
      </c>
      <c r="I214" s="73">
        <v>0.0</v>
      </c>
      <c r="J214" s="73">
        <v>0.0</v>
      </c>
      <c r="K214" s="73">
        <v>0.0</v>
      </c>
      <c r="L214" s="73">
        <v>1.0</v>
      </c>
      <c r="M214" s="73">
        <v>0.0</v>
      </c>
      <c r="N214" s="73">
        <v>0.0</v>
      </c>
      <c r="O214" s="73">
        <v>0.0</v>
      </c>
      <c r="P214" s="73">
        <v>0.0</v>
      </c>
      <c r="Q214" s="73">
        <v>3.0</v>
      </c>
      <c r="R214" s="73">
        <v>0.0</v>
      </c>
      <c r="S214" s="73">
        <v>1.0</v>
      </c>
      <c r="T214" s="73">
        <v>1.0</v>
      </c>
      <c r="U214" s="73">
        <v>0.0</v>
      </c>
      <c r="V214" s="73">
        <v>1.0</v>
      </c>
      <c r="W214" s="73">
        <v>0.0</v>
      </c>
      <c r="X214" s="73">
        <v>0.0</v>
      </c>
      <c r="Y214" s="73">
        <v>0.0</v>
      </c>
      <c r="Z214" s="73">
        <v>0.0</v>
      </c>
      <c r="AA214" s="73">
        <v>0.0</v>
      </c>
      <c r="AB214" s="73">
        <v>1.0</v>
      </c>
      <c r="AC214" s="73">
        <v>3.0</v>
      </c>
      <c r="AD214" s="13">
        <f t="shared" si="43"/>
        <v>15</v>
      </c>
      <c r="AE214" s="5"/>
      <c r="AF214" s="5"/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1.0</v>
      </c>
      <c r="G215" s="73">
        <v>0.0</v>
      </c>
      <c r="H215" s="73">
        <v>0.0</v>
      </c>
      <c r="I215" s="73">
        <v>0.0</v>
      </c>
      <c r="J215" s="73">
        <v>1.0</v>
      </c>
      <c r="K215" s="73">
        <v>2.0</v>
      </c>
      <c r="L215" s="73">
        <v>1.0</v>
      </c>
      <c r="M215" s="73">
        <v>0.0</v>
      </c>
      <c r="N215" s="73">
        <v>0.0</v>
      </c>
      <c r="O215" s="73">
        <v>1.0</v>
      </c>
      <c r="P215" s="73">
        <v>0.0</v>
      </c>
      <c r="Q215" s="73">
        <v>0.0</v>
      </c>
      <c r="R215" s="73">
        <v>1.0</v>
      </c>
      <c r="S215" s="73">
        <v>0.0</v>
      </c>
      <c r="T215" s="73">
        <v>2.0</v>
      </c>
      <c r="U215" s="73">
        <v>0.0</v>
      </c>
      <c r="V215" s="73">
        <v>0.0</v>
      </c>
      <c r="W215" s="73">
        <v>0.0</v>
      </c>
      <c r="X215" s="73">
        <v>0.0</v>
      </c>
      <c r="Y215" s="73">
        <v>3.0</v>
      </c>
      <c r="Z215" s="73">
        <v>0.0</v>
      </c>
      <c r="AA215" s="73">
        <v>1.0</v>
      </c>
      <c r="AB215" s="73">
        <v>2.0</v>
      </c>
      <c r="AC215" s="73">
        <v>1.0</v>
      </c>
      <c r="AD215" s="13">
        <f t="shared" si="43"/>
        <v>17</v>
      </c>
      <c r="AE215" s="5"/>
      <c r="AF215" s="5"/>
    </row>
    <row r="216" ht="12.75" customHeight="1">
      <c r="A216" s="18"/>
      <c r="B216" s="49"/>
      <c r="C216" s="50" t="s">
        <v>167</v>
      </c>
      <c r="D216" s="51"/>
      <c r="E216" s="73">
        <v>1.0</v>
      </c>
      <c r="F216" s="73">
        <v>0.0</v>
      </c>
      <c r="G216" s="73">
        <v>0.0</v>
      </c>
      <c r="H216" s="73">
        <v>0.0</v>
      </c>
      <c r="I216" s="73">
        <v>0.0</v>
      </c>
      <c r="J216" s="73">
        <v>1.0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1.0</v>
      </c>
      <c r="V216" s="73">
        <v>1.0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1.0</v>
      </c>
      <c r="AC216" s="73">
        <v>0.0</v>
      </c>
      <c r="AD216" s="13">
        <f t="shared" si="43"/>
        <v>5</v>
      </c>
      <c r="AE216" s="5"/>
      <c r="AF216" s="5"/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3">
        <f t="shared" si="43"/>
        <v>0</v>
      </c>
      <c r="AE217" s="5"/>
      <c r="AF217" s="5"/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3">
        <f t="shared" si="43"/>
        <v>0</v>
      </c>
      <c r="AE218" s="1"/>
      <c r="AF218" s="1"/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3">
        <f t="shared" si="43"/>
        <v>0</v>
      </c>
      <c r="AE219" s="53"/>
      <c r="AF219" s="53"/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3">
        <f t="shared" si="43"/>
        <v>0</v>
      </c>
      <c r="AE220" s="5"/>
      <c r="AF220" s="5"/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3">
        <f t="shared" si="43"/>
        <v>0</v>
      </c>
      <c r="AE221" s="5"/>
      <c r="AF221" s="5"/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3">
        <f t="shared" si="43"/>
        <v>0</v>
      </c>
      <c r="AE222" s="5"/>
      <c r="AF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D223" si="44">SUM(E213:E222)</f>
        <v>2</v>
      </c>
      <c r="F223" s="13">
        <f t="shared" si="44"/>
        <v>1</v>
      </c>
      <c r="G223" s="13">
        <f t="shared" si="44"/>
        <v>2</v>
      </c>
      <c r="H223" s="13">
        <f t="shared" si="44"/>
        <v>4</v>
      </c>
      <c r="I223" s="13">
        <f t="shared" si="44"/>
        <v>3</v>
      </c>
      <c r="J223" s="13">
        <f t="shared" si="44"/>
        <v>3</v>
      </c>
      <c r="K223" s="13">
        <f t="shared" si="44"/>
        <v>5</v>
      </c>
      <c r="L223" s="13">
        <f t="shared" si="44"/>
        <v>5</v>
      </c>
      <c r="M223" s="13">
        <f t="shared" si="44"/>
        <v>0</v>
      </c>
      <c r="N223" s="13">
        <f t="shared" si="44"/>
        <v>0</v>
      </c>
      <c r="O223" s="13">
        <f t="shared" si="44"/>
        <v>5</v>
      </c>
      <c r="P223" s="13">
        <f t="shared" si="44"/>
        <v>1</v>
      </c>
      <c r="Q223" s="13">
        <f t="shared" si="44"/>
        <v>3</v>
      </c>
      <c r="R223" s="13">
        <f t="shared" si="44"/>
        <v>1</v>
      </c>
      <c r="S223" s="13">
        <f t="shared" si="44"/>
        <v>6</v>
      </c>
      <c r="T223" s="13">
        <f t="shared" si="44"/>
        <v>3</v>
      </c>
      <c r="U223" s="13">
        <f t="shared" si="44"/>
        <v>1</v>
      </c>
      <c r="V223" s="13">
        <f t="shared" si="44"/>
        <v>2</v>
      </c>
      <c r="W223" s="13">
        <f t="shared" si="44"/>
        <v>0</v>
      </c>
      <c r="X223" s="13">
        <f t="shared" si="44"/>
        <v>0</v>
      </c>
      <c r="Y223" s="13">
        <f t="shared" si="44"/>
        <v>4</v>
      </c>
      <c r="Z223" s="13">
        <f t="shared" si="44"/>
        <v>0</v>
      </c>
      <c r="AA223" s="13">
        <f t="shared" si="44"/>
        <v>3</v>
      </c>
      <c r="AB223" s="13">
        <f t="shared" si="44"/>
        <v>9</v>
      </c>
      <c r="AC223" s="13">
        <f t="shared" si="44"/>
        <v>4</v>
      </c>
      <c r="AD223" s="13">
        <f t="shared" si="44"/>
        <v>67</v>
      </c>
      <c r="AE223" s="5"/>
      <c r="AF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5"/>
      <c r="AF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1.0</v>
      </c>
      <c r="H225" s="73">
        <v>1.0</v>
      </c>
      <c r="I225" s="73">
        <v>1.0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1.0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13">
        <f t="shared" ref="AD225:AD234" si="45">SUM(E225:AC225)</f>
        <v>5</v>
      </c>
      <c r="AE225" s="5"/>
      <c r="AF225" s="5"/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1.0</v>
      </c>
      <c r="K226" s="73">
        <v>0.0</v>
      </c>
      <c r="L226" s="73">
        <v>0.0</v>
      </c>
      <c r="M226" s="73">
        <v>4.0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2.0</v>
      </c>
      <c r="Z226" s="73">
        <v>0.0</v>
      </c>
      <c r="AA226" s="73">
        <v>0.0</v>
      </c>
      <c r="AB226" s="73">
        <v>0.0</v>
      </c>
      <c r="AC226" s="73">
        <v>0.0</v>
      </c>
      <c r="AD226" s="13">
        <f t="shared" si="45"/>
        <v>7</v>
      </c>
      <c r="AE226" s="5"/>
      <c r="AF226" s="5"/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1.0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13">
        <f t="shared" si="45"/>
        <v>1</v>
      </c>
      <c r="AE227" s="5"/>
      <c r="AF227" s="5"/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13">
        <f t="shared" si="45"/>
        <v>0</v>
      </c>
      <c r="AE228" s="5"/>
      <c r="AF228" s="5"/>
    </row>
    <row r="229" ht="12.75" customHeight="1">
      <c r="A229" s="18"/>
      <c r="B229" s="49"/>
      <c r="C229" s="50" t="s">
        <v>173</v>
      </c>
      <c r="D229" s="51"/>
      <c r="E229" s="73">
        <v>1.0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1.0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13">
        <f t="shared" si="45"/>
        <v>2</v>
      </c>
      <c r="AE229" s="1"/>
      <c r="AF229" s="1"/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3">
        <f t="shared" si="45"/>
        <v>0</v>
      </c>
      <c r="AE230" s="53"/>
      <c r="AF230" s="53"/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3">
        <f t="shared" si="45"/>
        <v>0</v>
      </c>
      <c r="AE231" s="5"/>
      <c r="AF231" s="5"/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3">
        <f t="shared" si="45"/>
        <v>0</v>
      </c>
      <c r="AE232" s="5"/>
      <c r="AF232" s="5"/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3">
        <f t="shared" si="45"/>
        <v>0</v>
      </c>
      <c r="AE233" s="5"/>
      <c r="AF233" s="5"/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3">
        <f t="shared" si="45"/>
        <v>0</v>
      </c>
      <c r="AE234" s="5"/>
      <c r="AF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D235" si="46">SUM(E225:E234)</f>
        <v>1</v>
      </c>
      <c r="F235" s="13">
        <f t="shared" si="46"/>
        <v>0</v>
      </c>
      <c r="G235" s="13">
        <f t="shared" si="46"/>
        <v>1</v>
      </c>
      <c r="H235" s="13">
        <f t="shared" si="46"/>
        <v>1</v>
      </c>
      <c r="I235" s="13">
        <f t="shared" si="46"/>
        <v>1</v>
      </c>
      <c r="J235" s="13">
        <f t="shared" si="46"/>
        <v>1</v>
      </c>
      <c r="K235" s="13">
        <f t="shared" si="46"/>
        <v>0</v>
      </c>
      <c r="L235" s="13">
        <f t="shared" si="46"/>
        <v>0</v>
      </c>
      <c r="M235" s="13">
        <f t="shared" si="46"/>
        <v>5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1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1</v>
      </c>
      <c r="Y235" s="13">
        <f t="shared" si="46"/>
        <v>2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0</v>
      </c>
      <c r="AD235" s="13">
        <f t="shared" si="46"/>
        <v>15</v>
      </c>
      <c r="AE235" s="5"/>
      <c r="AF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5"/>
      <c r="AF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3.0</v>
      </c>
      <c r="G237" s="73">
        <v>2.0</v>
      </c>
      <c r="H237" s="73">
        <v>0.0</v>
      </c>
      <c r="I237" s="73">
        <v>1.0</v>
      </c>
      <c r="J237" s="73">
        <v>2.0</v>
      </c>
      <c r="K237" s="73">
        <v>3.0</v>
      </c>
      <c r="L237" s="73">
        <v>0.0</v>
      </c>
      <c r="M237" s="73">
        <v>3.0</v>
      </c>
      <c r="N237" s="73">
        <v>1.0</v>
      </c>
      <c r="O237" s="73">
        <v>1.0</v>
      </c>
      <c r="P237" s="73">
        <v>1.0</v>
      </c>
      <c r="Q237" s="73">
        <v>3.0</v>
      </c>
      <c r="R237" s="73">
        <v>3.0</v>
      </c>
      <c r="S237" s="73">
        <v>2.0</v>
      </c>
      <c r="T237" s="73">
        <v>3.0</v>
      </c>
      <c r="U237" s="73">
        <v>0.0</v>
      </c>
      <c r="V237" s="73">
        <v>1.0</v>
      </c>
      <c r="W237" s="73">
        <v>3.0</v>
      </c>
      <c r="X237" s="73">
        <v>1.0</v>
      </c>
      <c r="Y237" s="73">
        <v>7.0</v>
      </c>
      <c r="Z237" s="73">
        <v>2.0</v>
      </c>
      <c r="AA237" s="73">
        <v>1.0</v>
      </c>
      <c r="AB237" s="73">
        <v>6.0</v>
      </c>
      <c r="AC237" s="73">
        <v>6.0</v>
      </c>
      <c r="AD237" s="13">
        <f t="shared" ref="AD237:AD246" si="47">SUM(E237:AC237)</f>
        <v>56</v>
      </c>
      <c r="AE237" s="5"/>
      <c r="AF237" s="5"/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2.0</v>
      </c>
      <c r="G238" s="73">
        <v>0.0</v>
      </c>
      <c r="H238" s="73">
        <v>0.0</v>
      </c>
      <c r="I238" s="73">
        <v>2.0</v>
      </c>
      <c r="J238" s="73">
        <v>2.0</v>
      </c>
      <c r="K238" s="73">
        <v>0.0</v>
      </c>
      <c r="L238" s="73">
        <v>0.0</v>
      </c>
      <c r="M238" s="73">
        <v>1.0</v>
      </c>
      <c r="N238" s="73">
        <v>0.0</v>
      </c>
      <c r="O238" s="73">
        <v>0.0</v>
      </c>
      <c r="P238" s="73">
        <v>0.0</v>
      </c>
      <c r="Q238" s="73">
        <v>0.0</v>
      </c>
      <c r="R238" s="73">
        <v>1.0</v>
      </c>
      <c r="S238" s="73">
        <v>1.0</v>
      </c>
      <c r="T238" s="73">
        <v>1.0</v>
      </c>
      <c r="U238" s="73">
        <v>0.0</v>
      </c>
      <c r="V238" s="73">
        <v>0.0</v>
      </c>
      <c r="W238" s="73">
        <v>3.0</v>
      </c>
      <c r="X238" s="73">
        <v>1.0</v>
      </c>
      <c r="Y238" s="73">
        <v>6.0</v>
      </c>
      <c r="Z238" s="73">
        <v>5.0</v>
      </c>
      <c r="AA238" s="73">
        <v>0.0</v>
      </c>
      <c r="AB238" s="73">
        <v>0.0</v>
      </c>
      <c r="AC238" s="73">
        <v>1.0</v>
      </c>
      <c r="AD238" s="13">
        <f t="shared" si="47"/>
        <v>26</v>
      </c>
      <c r="AE238" s="5"/>
      <c r="AF238" s="5"/>
    </row>
    <row r="239" ht="12.75" customHeight="1">
      <c r="A239" s="18"/>
      <c r="B239" s="49"/>
      <c r="C239" s="50" t="s">
        <v>177</v>
      </c>
      <c r="D239" s="51"/>
      <c r="E239" s="73">
        <v>3.0</v>
      </c>
      <c r="F239" s="73">
        <v>0.0</v>
      </c>
      <c r="G239" s="73">
        <v>0.0</v>
      </c>
      <c r="H239" s="73">
        <v>0.0</v>
      </c>
      <c r="I239" s="73">
        <v>0.0</v>
      </c>
      <c r="J239" s="73">
        <v>0.0</v>
      </c>
      <c r="K239" s="73">
        <v>1.0</v>
      </c>
      <c r="L239" s="73">
        <v>11.0</v>
      </c>
      <c r="M239" s="73">
        <v>3.0</v>
      </c>
      <c r="N239" s="73">
        <v>0.0</v>
      </c>
      <c r="O239" s="73">
        <v>2.0</v>
      </c>
      <c r="P239" s="73">
        <v>1.0</v>
      </c>
      <c r="Q239" s="73">
        <v>0.0</v>
      </c>
      <c r="R239" s="73">
        <v>2.0</v>
      </c>
      <c r="S239" s="73">
        <v>1.0</v>
      </c>
      <c r="T239" s="73">
        <v>2.0</v>
      </c>
      <c r="U239" s="73">
        <v>0.0</v>
      </c>
      <c r="V239" s="73">
        <v>0.0</v>
      </c>
      <c r="W239" s="73">
        <v>30.0</v>
      </c>
      <c r="X239" s="73">
        <v>2.0</v>
      </c>
      <c r="Y239" s="73">
        <v>12.0</v>
      </c>
      <c r="Z239" s="73">
        <v>43.0</v>
      </c>
      <c r="AA239" s="73">
        <v>2.0</v>
      </c>
      <c r="AB239" s="73">
        <v>27.0</v>
      </c>
      <c r="AC239" s="73">
        <v>4.0</v>
      </c>
      <c r="AD239" s="13">
        <f t="shared" si="47"/>
        <v>146</v>
      </c>
      <c r="AE239" s="5"/>
      <c r="AF239" s="5"/>
    </row>
    <row r="240" ht="12.75" customHeight="1">
      <c r="A240" s="18"/>
      <c r="B240" s="49"/>
      <c r="C240" s="50" t="s">
        <v>178</v>
      </c>
      <c r="D240" s="51"/>
      <c r="E240" s="73">
        <v>1.0</v>
      </c>
      <c r="F240" s="73">
        <v>1.0</v>
      </c>
      <c r="G240" s="73">
        <v>0.0</v>
      </c>
      <c r="H240" s="73">
        <v>1.0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1.0</v>
      </c>
      <c r="O240" s="73">
        <v>1.0</v>
      </c>
      <c r="P240" s="73">
        <v>0.0</v>
      </c>
      <c r="Q240" s="73">
        <v>1.0</v>
      </c>
      <c r="R240" s="73">
        <v>0.0</v>
      </c>
      <c r="S240" s="73">
        <v>0.0</v>
      </c>
      <c r="T240" s="73">
        <v>2.0</v>
      </c>
      <c r="U240" s="73">
        <v>1.0</v>
      </c>
      <c r="V240" s="73">
        <v>1.0</v>
      </c>
      <c r="W240" s="73">
        <v>0.0</v>
      </c>
      <c r="X240" s="73">
        <v>0.0</v>
      </c>
      <c r="Y240" s="73">
        <v>1.0</v>
      </c>
      <c r="Z240" s="73">
        <v>0.0</v>
      </c>
      <c r="AA240" s="73">
        <v>0.0</v>
      </c>
      <c r="AB240" s="73">
        <v>0.0</v>
      </c>
      <c r="AC240" s="73">
        <v>2.0</v>
      </c>
      <c r="AD240" s="13">
        <f t="shared" si="47"/>
        <v>13</v>
      </c>
      <c r="AE240" s="1"/>
      <c r="AF240" s="1"/>
    </row>
    <row r="241" ht="12.75" customHeight="1">
      <c r="A241" s="18"/>
      <c r="B241" s="49"/>
      <c r="C241" s="50" t="s">
        <v>179</v>
      </c>
      <c r="D241" s="51"/>
      <c r="E241" s="73">
        <v>1.0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73">
        <v>0.0</v>
      </c>
      <c r="T241" s="73">
        <v>0.0</v>
      </c>
      <c r="U241" s="73">
        <v>0.0</v>
      </c>
      <c r="V241" s="73">
        <v>1.0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1.0</v>
      </c>
      <c r="AC241" s="73">
        <v>0.0</v>
      </c>
      <c r="AD241" s="13">
        <f t="shared" si="47"/>
        <v>5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3.0</v>
      </c>
      <c r="G242" s="73">
        <v>4.0</v>
      </c>
      <c r="H242" s="73">
        <v>1.0</v>
      </c>
      <c r="I242" s="73">
        <v>0.0</v>
      </c>
      <c r="J242" s="73">
        <v>4.0</v>
      </c>
      <c r="K242" s="73">
        <v>1.0</v>
      </c>
      <c r="L242" s="73">
        <v>2.0</v>
      </c>
      <c r="M242" s="73">
        <v>0.0</v>
      </c>
      <c r="N242" s="73">
        <v>3.0</v>
      </c>
      <c r="O242" s="73">
        <v>0.0</v>
      </c>
      <c r="P242" s="73">
        <v>2.0</v>
      </c>
      <c r="Q242" s="73">
        <v>0.0</v>
      </c>
      <c r="R242" s="73">
        <v>2.0</v>
      </c>
      <c r="S242" s="73">
        <v>0.0</v>
      </c>
      <c r="T242" s="73">
        <v>4.0</v>
      </c>
      <c r="U242" s="73">
        <v>1.0</v>
      </c>
      <c r="V242" s="73">
        <v>0.0</v>
      </c>
      <c r="W242" s="73">
        <v>3.0</v>
      </c>
      <c r="X242" s="73">
        <v>1.0</v>
      </c>
      <c r="Y242" s="73">
        <v>7.0</v>
      </c>
      <c r="Z242" s="73">
        <v>1.0</v>
      </c>
      <c r="AA242" s="73">
        <v>5.0</v>
      </c>
      <c r="AB242" s="73">
        <v>4.0</v>
      </c>
      <c r="AC242" s="73">
        <v>4.0</v>
      </c>
      <c r="AD242" s="13">
        <f t="shared" si="47"/>
        <v>52</v>
      </c>
    </row>
    <row r="243" ht="12.75" customHeight="1">
      <c r="A243" s="18"/>
      <c r="B243" s="49"/>
      <c r="C243" s="50" t="s">
        <v>181</v>
      </c>
      <c r="D243" s="51"/>
      <c r="E243" s="73">
        <v>1.0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73">
        <v>1.0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1.0</v>
      </c>
      <c r="U243" s="73">
        <v>0.0</v>
      </c>
      <c r="V243" s="73">
        <v>2.0</v>
      </c>
      <c r="W243" s="73">
        <v>0.0</v>
      </c>
      <c r="X243" s="73">
        <v>0.0</v>
      </c>
      <c r="Y243" s="73">
        <v>1.0</v>
      </c>
      <c r="Z243" s="73">
        <v>1.0</v>
      </c>
      <c r="AA243" s="73">
        <v>1.0</v>
      </c>
      <c r="AB243" s="73">
        <v>1.0</v>
      </c>
      <c r="AC243" s="73">
        <v>0.0</v>
      </c>
      <c r="AD243" s="13">
        <f t="shared" si="47"/>
        <v>10</v>
      </c>
    </row>
    <row r="244" ht="12.75" customHeight="1">
      <c r="A244" s="18"/>
      <c r="B244" s="49"/>
      <c r="C244" s="50" t="s">
        <v>182</v>
      </c>
      <c r="D244" s="51"/>
      <c r="E244" s="73">
        <v>1.0</v>
      </c>
      <c r="F244" s="73">
        <v>0.0</v>
      </c>
      <c r="G244" s="73">
        <v>1.0</v>
      </c>
      <c r="H244" s="73">
        <v>0.0</v>
      </c>
      <c r="I244" s="73">
        <v>0.0</v>
      </c>
      <c r="J244" s="73">
        <v>0.0</v>
      </c>
      <c r="K244" s="73">
        <v>1.0</v>
      </c>
      <c r="L244" s="73">
        <v>1.0</v>
      </c>
      <c r="M244" s="73">
        <v>1.0</v>
      </c>
      <c r="N244" s="73">
        <v>3.0</v>
      </c>
      <c r="O244" s="73">
        <v>1.0</v>
      </c>
      <c r="P244" s="73">
        <v>2.0</v>
      </c>
      <c r="Q244" s="73">
        <v>0.0</v>
      </c>
      <c r="R244" s="73">
        <v>1.0</v>
      </c>
      <c r="S244" s="73">
        <v>1.0</v>
      </c>
      <c r="T244" s="73">
        <v>1.0</v>
      </c>
      <c r="U244" s="73">
        <v>0.0</v>
      </c>
      <c r="V244" s="73">
        <v>1.0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3.0</v>
      </c>
      <c r="AD244" s="13">
        <f t="shared" si="47"/>
        <v>18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1.0</v>
      </c>
      <c r="K245" s="73">
        <v>1.0</v>
      </c>
      <c r="L245" s="73">
        <v>1.0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13">
        <f t="shared" si="47"/>
        <v>3</v>
      </c>
    </row>
    <row r="246" ht="12.75" customHeight="1">
      <c r="A246" s="18"/>
      <c r="B246" s="49"/>
      <c r="C246" s="50" t="s">
        <v>184</v>
      </c>
      <c r="D246" s="51"/>
      <c r="E246" s="73">
        <v>2.0</v>
      </c>
      <c r="F246" s="73">
        <v>0.0</v>
      </c>
      <c r="G246" s="73">
        <v>0.0</v>
      </c>
      <c r="H246" s="73">
        <v>0.0</v>
      </c>
      <c r="I246" s="73">
        <v>0.0</v>
      </c>
      <c r="J246" s="73">
        <v>1.0</v>
      </c>
      <c r="K246" s="73">
        <v>1.0</v>
      </c>
      <c r="L246" s="73">
        <v>1.0</v>
      </c>
      <c r="M246" s="73">
        <v>0.0</v>
      </c>
      <c r="N246" s="73">
        <v>0.0</v>
      </c>
      <c r="O246" s="73">
        <v>0.0</v>
      </c>
      <c r="P246" s="73">
        <v>1.0</v>
      </c>
      <c r="Q246" s="73">
        <v>0.0</v>
      </c>
      <c r="R246" s="73">
        <v>2.0</v>
      </c>
      <c r="S246" s="73">
        <v>0.0</v>
      </c>
      <c r="T246" s="73">
        <v>1.0</v>
      </c>
      <c r="U246" s="73">
        <v>0.0</v>
      </c>
      <c r="V246" s="73">
        <v>2.0</v>
      </c>
      <c r="W246" s="73">
        <v>3.0</v>
      </c>
      <c r="X246" s="73">
        <v>0.0</v>
      </c>
      <c r="Y246" s="73">
        <v>3.0</v>
      </c>
      <c r="Z246" s="73">
        <v>0.0</v>
      </c>
      <c r="AA246" s="73">
        <v>1.0</v>
      </c>
      <c r="AB246" s="73">
        <v>0.0</v>
      </c>
      <c r="AC246" s="73">
        <v>1.0</v>
      </c>
      <c r="AD246" s="13">
        <f t="shared" si="47"/>
        <v>19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D247" si="48">SUM(E237:E246)</f>
        <v>10</v>
      </c>
      <c r="F247" s="13">
        <f t="shared" si="48"/>
        <v>9</v>
      </c>
      <c r="G247" s="13">
        <f t="shared" si="48"/>
        <v>7</v>
      </c>
      <c r="H247" s="13">
        <f t="shared" si="48"/>
        <v>2</v>
      </c>
      <c r="I247" s="13">
        <f t="shared" si="48"/>
        <v>3</v>
      </c>
      <c r="J247" s="13">
        <f t="shared" si="48"/>
        <v>10</v>
      </c>
      <c r="K247" s="13">
        <f t="shared" si="48"/>
        <v>9</v>
      </c>
      <c r="L247" s="13">
        <f t="shared" si="48"/>
        <v>17</v>
      </c>
      <c r="M247" s="13">
        <f t="shared" si="48"/>
        <v>9</v>
      </c>
      <c r="N247" s="13">
        <f t="shared" si="48"/>
        <v>8</v>
      </c>
      <c r="O247" s="13">
        <f t="shared" si="48"/>
        <v>5</v>
      </c>
      <c r="P247" s="13">
        <f t="shared" si="48"/>
        <v>7</v>
      </c>
      <c r="Q247" s="13">
        <f t="shared" si="48"/>
        <v>5</v>
      </c>
      <c r="R247" s="13">
        <f t="shared" si="48"/>
        <v>11</v>
      </c>
      <c r="S247" s="13">
        <f t="shared" si="48"/>
        <v>5</v>
      </c>
      <c r="T247" s="13">
        <f t="shared" si="48"/>
        <v>15</v>
      </c>
      <c r="U247" s="13">
        <f t="shared" si="48"/>
        <v>2</v>
      </c>
      <c r="V247" s="13">
        <f t="shared" si="48"/>
        <v>8</v>
      </c>
      <c r="W247" s="13">
        <f t="shared" si="48"/>
        <v>42</v>
      </c>
      <c r="X247" s="13">
        <f t="shared" si="48"/>
        <v>5</v>
      </c>
      <c r="Y247" s="13">
        <f t="shared" si="48"/>
        <v>37</v>
      </c>
      <c r="Z247" s="13">
        <f t="shared" si="48"/>
        <v>52</v>
      </c>
      <c r="AA247" s="13">
        <f t="shared" si="48"/>
        <v>10</v>
      </c>
      <c r="AB247" s="13">
        <f t="shared" si="48"/>
        <v>39</v>
      </c>
      <c r="AC247" s="13">
        <f t="shared" si="48"/>
        <v>21</v>
      </c>
      <c r="AD247" s="13">
        <f t="shared" si="48"/>
        <v>348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2.0</v>
      </c>
      <c r="AC249" s="73">
        <v>0.0</v>
      </c>
      <c r="AD249" s="13">
        <f t="shared" ref="AD249:AD258" si="49">SUM(E249:AC249)</f>
        <v>2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2.0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1.0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1.0</v>
      </c>
      <c r="AD250" s="13">
        <f t="shared" si="49"/>
        <v>4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1.0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13">
        <f t="shared" si="49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13">
        <f t="shared" si="49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D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3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1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2</v>
      </c>
      <c r="AC259" s="13">
        <f t="shared" si="50"/>
        <v>1</v>
      </c>
      <c r="AD259" s="13">
        <f t="shared" si="50"/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C262" si="51">E55+E67+E79+E91+E103+E115+E127+E139+E151+E163+E175+E187+E199+E211+E223+E235+E247+E259</f>
        <v>215</v>
      </c>
      <c r="F262" s="19">
        <f t="shared" si="51"/>
        <v>193</v>
      </c>
      <c r="G262" s="19">
        <f t="shared" si="51"/>
        <v>189</v>
      </c>
      <c r="H262" s="19">
        <f t="shared" si="51"/>
        <v>217</v>
      </c>
      <c r="I262" s="19">
        <f t="shared" si="51"/>
        <v>155</v>
      </c>
      <c r="J262" s="19">
        <f t="shared" si="51"/>
        <v>177</v>
      </c>
      <c r="K262" s="19">
        <f t="shared" si="51"/>
        <v>185</v>
      </c>
      <c r="L262" s="19">
        <f t="shared" si="51"/>
        <v>222</v>
      </c>
      <c r="M262" s="19">
        <f t="shared" si="51"/>
        <v>180</v>
      </c>
      <c r="N262" s="19">
        <f t="shared" si="51"/>
        <v>182</v>
      </c>
      <c r="O262" s="19">
        <f t="shared" si="51"/>
        <v>196</v>
      </c>
      <c r="P262" s="19">
        <f t="shared" si="51"/>
        <v>185</v>
      </c>
      <c r="Q262" s="19">
        <f t="shared" si="51"/>
        <v>184</v>
      </c>
      <c r="R262" s="19">
        <f t="shared" si="51"/>
        <v>192</v>
      </c>
      <c r="S262" s="19">
        <f t="shared" si="51"/>
        <v>186</v>
      </c>
      <c r="T262" s="19">
        <f t="shared" si="51"/>
        <v>177</v>
      </c>
      <c r="U262" s="19">
        <f t="shared" si="51"/>
        <v>221</v>
      </c>
      <c r="V262" s="19">
        <f t="shared" si="51"/>
        <v>187</v>
      </c>
      <c r="W262" s="19">
        <f t="shared" si="51"/>
        <v>172</v>
      </c>
      <c r="X262" s="19">
        <f t="shared" si="51"/>
        <v>118</v>
      </c>
      <c r="Y262" s="19">
        <f t="shared" si="51"/>
        <v>178</v>
      </c>
      <c r="Z262" s="19">
        <f t="shared" si="51"/>
        <v>180</v>
      </c>
      <c r="AA262" s="19">
        <f t="shared" si="51"/>
        <v>177</v>
      </c>
      <c r="AB262" s="19">
        <f t="shared" si="51"/>
        <v>156</v>
      </c>
      <c r="AC262" s="19">
        <f t="shared" si="51"/>
        <v>184</v>
      </c>
      <c r="AD262" s="13">
        <f t="shared" ref="AD262:AD264" si="52">SUM(E262:AC262)</f>
        <v>4608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23.0</v>
      </c>
      <c r="F263" s="73">
        <v>5.0</v>
      </c>
      <c r="G263" s="73">
        <v>20.0</v>
      </c>
      <c r="H263" s="73">
        <v>8.0</v>
      </c>
      <c r="I263" s="73">
        <v>23.0</v>
      </c>
      <c r="J263" s="73">
        <v>27.0</v>
      </c>
      <c r="K263" s="73">
        <v>18.0</v>
      </c>
      <c r="L263" s="73">
        <v>20.0</v>
      </c>
      <c r="M263" s="73">
        <v>30.0</v>
      </c>
      <c r="N263" s="73">
        <v>22.0</v>
      </c>
      <c r="O263" s="73">
        <v>13.0</v>
      </c>
      <c r="P263" s="73">
        <v>29.0</v>
      </c>
      <c r="Q263" s="73">
        <v>23.0</v>
      </c>
      <c r="R263" s="73">
        <v>17.0</v>
      </c>
      <c r="S263" s="73">
        <v>27.0</v>
      </c>
      <c r="T263" s="73">
        <v>26.0</v>
      </c>
      <c r="U263" s="73">
        <v>7.0</v>
      </c>
      <c r="V263" s="73">
        <v>42.0</v>
      </c>
      <c r="W263" s="73">
        <v>11.0</v>
      </c>
      <c r="X263" s="73">
        <v>3.0</v>
      </c>
      <c r="Y263" s="73">
        <v>25.0</v>
      </c>
      <c r="Z263" s="73">
        <v>25.0</v>
      </c>
      <c r="AA263" s="73">
        <v>12.0</v>
      </c>
      <c r="AB263" s="73">
        <v>66.0</v>
      </c>
      <c r="AC263" s="73">
        <v>39.0</v>
      </c>
      <c r="AD263" s="13">
        <f t="shared" si="52"/>
        <v>561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C264" si="53">SUM(E262:E263)</f>
        <v>238</v>
      </c>
      <c r="F264" s="13">
        <f t="shared" si="53"/>
        <v>198</v>
      </c>
      <c r="G264" s="13">
        <f t="shared" si="53"/>
        <v>209</v>
      </c>
      <c r="H264" s="13">
        <f t="shared" si="53"/>
        <v>225</v>
      </c>
      <c r="I264" s="13">
        <f t="shared" si="53"/>
        <v>178</v>
      </c>
      <c r="J264" s="13">
        <f t="shared" si="53"/>
        <v>204</v>
      </c>
      <c r="K264" s="13">
        <f t="shared" si="53"/>
        <v>203</v>
      </c>
      <c r="L264" s="13">
        <f t="shared" si="53"/>
        <v>242</v>
      </c>
      <c r="M264" s="13">
        <f t="shared" si="53"/>
        <v>210</v>
      </c>
      <c r="N264" s="13">
        <f t="shared" si="53"/>
        <v>204</v>
      </c>
      <c r="O264" s="13">
        <f t="shared" si="53"/>
        <v>209</v>
      </c>
      <c r="P264" s="13">
        <f t="shared" si="53"/>
        <v>214</v>
      </c>
      <c r="Q264" s="13">
        <f t="shared" si="53"/>
        <v>207</v>
      </c>
      <c r="R264" s="13">
        <f t="shared" si="53"/>
        <v>209</v>
      </c>
      <c r="S264" s="13">
        <f t="shared" si="53"/>
        <v>213</v>
      </c>
      <c r="T264" s="13">
        <f t="shared" si="53"/>
        <v>203</v>
      </c>
      <c r="U264" s="13">
        <f t="shared" si="53"/>
        <v>228</v>
      </c>
      <c r="V264" s="13">
        <f t="shared" si="53"/>
        <v>229</v>
      </c>
      <c r="W264" s="13">
        <f t="shared" si="53"/>
        <v>183</v>
      </c>
      <c r="X264" s="13">
        <f t="shared" si="53"/>
        <v>121</v>
      </c>
      <c r="Y264" s="13">
        <f t="shared" si="53"/>
        <v>203</v>
      </c>
      <c r="Z264" s="13">
        <f t="shared" si="53"/>
        <v>205</v>
      </c>
      <c r="AA264" s="13">
        <f t="shared" si="53"/>
        <v>189</v>
      </c>
      <c r="AB264" s="13">
        <f t="shared" si="53"/>
        <v>222</v>
      </c>
      <c r="AC264" s="13">
        <f t="shared" si="53"/>
        <v>223</v>
      </c>
      <c r="AD264" s="13">
        <f t="shared" si="52"/>
        <v>5169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C37"/>
    <mergeCell ref="B38:D38"/>
    <mergeCell ref="B39:C41"/>
    <mergeCell ref="A42:D42"/>
    <mergeCell ref="E42:AC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V11" s="1"/>
      <c r="W11" s="1"/>
      <c r="X11" s="1"/>
      <c r="Y11" s="1"/>
      <c r="Z11" s="1"/>
      <c r="AA11" s="1"/>
      <c r="AB11" s="1"/>
      <c r="AC11" s="1"/>
      <c r="AD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73">
        <v>147.0</v>
      </c>
      <c r="F14" s="73">
        <v>147.0</v>
      </c>
      <c r="G14" s="73">
        <v>137.0</v>
      </c>
      <c r="H14" s="73">
        <v>154.0</v>
      </c>
      <c r="I14" s="73">
        <v>140.0</v>
      </c>
      <c r="J14" s="73">
        <v>139.0</v>
      </c>
      <c r="K14" s="73">
        <v>139.0</v>
      </c>
      <c r="L14" s="73">
        <v>148.0</v>
      </c>
      <c r="M14" s="73">
        <v>144.0</v>
      </c>
      <c r="N14" s="73">
        <v>94.0</v>
      </c>
      <c r="O14" s="73">
        <v>105.0</v>
      </c>
      <c r="P14" s="73">
        <v>134.0</v>
      </c>
      <c r="Q14" s="73">
        <v>117.0</v>
      </c>
      <c r="R14" s="73">
        <v>130.0</v>
      </c>
      <c r="S14" s="73">
        <v>131.0</v>
      </c>
      <c r="T14" s="73">
        <v>129.0</v>
      </c>
      <c r="U14" s="73">
        <v>129.0</v>
      </c>
      <c r="V14" s="73">
        <v>132.0</v>
      </c>
      <c r="W14" s="73">
        <v>133.0</v>
      </c>
      <c r="X14" s="73">
        <v>139.0</v>
      </c>
      <c r="Y14" s="73">
        <v>138.0</v>
      </c>
      <c r="Z14" s="73">
        <v>131.0</v>
      </c>
      <c r="AA14" s="73">
        <v>122.0</v>
      </c>
      <c r="AB14" s="73">
        <v>144.0</v>
      </c>
      <c r="AC14" s="73">
        <v>132.0</v>
      </c>
      <c r="AD14" s="73">
        <v>127.0</v>
      </c>
      <c r="AE14" s="73">
        <v>129.0</v>
      </c>
      <c r="AF14" s="73">
        <v>127.0</v>
      </c>
      <c r="AG14" s="73">
        <v>121.0</v>
      </c>
      <c r="AH14" s="73">
        <v>119.0</v>
      </c>
      <c r="AI14" s="73">
        <v>131.0</v>
      </c>
      <c r="AJ14" s="73">
        <v>131.0</v>
      </c>
      <c r="AK14" s="73">
        <v>116.0</v>
      </c>
      <c r="AL14" s="73">
        <v>123.0</v>
      </c>
      <c r="AM14" s="13">
        <f t="shared" ref="AM14:AM16" si="1">SUM(E14:AL14)</f>
        <v>4459</v>
      </c>
    </row>
    <row r="15" ht="12.75" customHeight="1">
      <c r="A15" s="18"/>
      <c r="B15" s="26"/>
      <c r="C15" s="27"/>
      <c r="D15" s="19" t="s">
        <v>13</v>
      </c>
      <c r="E15" s="73">
        <v>140.0</v>
      </c>
      <c r="F15" s="73">
        <v>146.0</v>
      </c>
      <c r="G15" s="73">
        <v>149.0</v>
      </c>
      <c r="H15" s="73">
        <v>140.0</v>
      </c>
      <c r="I15" s="73">
        <v>140.0</v>
      </c>
      <c r="J15" s="73">
        <v>138.0</v>
      </c>
      <c r="K15" s="73">
        <v>124.0</v>
      </c>
      <c r="L15" s="73">
        <v>143.0</v>
      </c>
      <c r="M15" s="73">
        <v>143.0</v>
      </c>
      <c r="N15" s="73">
        <v>91.0</v>
      </c>
      <c r="O15" s="73">
        <v>91.0</v>
      </c>
      <c r="P15" s="73">
        <v>126.0</v>
      </c>
      <c r="Q15" s="73">
        <v>134.0</v>
      </c>
      <c r="R15" s="73">
        <v>126.0</v>
      </c>
      <c r="S15" s="73">
        <v>124.0</v>
      </c>
      <c r="T15" s="73">
        <v>124.0</v>
      </c>
      <c r="U15" s="73">
        <v>122.0</v>
      </c>
      <c r="V15" s="73">
        <v>124.0</v>
      </c>
      <c r="W15" s="73">
        <v>118.0</v>
      </c>
      <c r="X15" s="73">
        <v>125.0</v>
      </c>
      <c r="Y15" s="73">
        <v>116.0</v>
      </c>
      <c r="Z15" s="73">
        <v>118.0</v>
      </c>
      <c r="AA15" s="73">
        <v>120.0</v>
      </c>
      <c r="AB15" s="73">
        <v>123.0</v>
      </c>
      <c r="AC15" s="73">
        <v>128.0</v>
      </c>
      <c r="AD15" s="73">
        <v>138.0</v>
      </c>
      <c r="AE15" s="73">
        <v>122.0</v>
      </c>
      <c r="AF15" s="73">
        <v>133.0</v>
      </c>
      <c r="AG15" s="73">
        <v>121.0</v>
      </c>
      <c r="AH15" s="73">
        <v>129.0</v>
      </c>
      <c r="AI15" s="73">
        <v>128.0</v>
      </c>
      <c r="AJ15" s="73">
        <v>128.0</v>
      </c>
      <c r="AK15" s="73">
        <v>126.0</v>
      </c>
      <c r="AL15" s="73">
        <v>123.0</v>
      </c>
      <c r="AM15" s="13">
        <f t="shared" si="1"/>
        <v>4321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287</v>
      </c>
      <c r="F16" s="13">
        <f t="shared" si="2"/>
        <v>293</v>
      </c>
      <c r="G16" s="13">
        <f t="shared" si="2"/>
        <v>286</v>
      </c>
      <c r="H16" s="13">
        <f t="shared" si="2"/>
        <v>294</v>
      </c>
      <c r="I16" s="13">
        <f t="shared" si="2"/>
        <v>280</v>
      </c>
      <c r="J16" s="13">
        <f t="shared" si="2"/>
        <v>277</v>
      </c>
      <c r="K16" s="13">
        <f t="shared" si="2"/>
        <v>263</v>
      </c>
      <c r="L16" s="13">
        <f t="shared" si="2"/>
        <v>291</v>
      </c>
      <c r="M16" s="13">
        <f t="shared" si="2"/>
        <v>287</v>
      </c>
      <c r="N16" s="13">
        <f t="shared" si="2"/>
        <v>185</v>
      </c>
      <c r="O16" s="13">
        <f t="shared" si="2"/>
        <v>196</v>
      </c>
      <c r="P16" s="13">
        <f t="shared" si="2"/>
        <v>260</v>
      </c>
      <c r="Q16" s="13">
        <f t="shared" si="2"/>
        <v>251</v>
      </c>
      <c r="R16" s="13">
        <f t="shared" si="2"/>
        <v>256</v>
      </c>
      <c r="S16" s="13">
        <f t="shared" si="2"/>
        <v>255</v>
      </c>
      <c r="T16" s="13">
        <f t="shared" si="2"/>
        <v>253</v>
      </c>
      <c r="U16" s="13">
        <f t="shared" si="2"/>
        <v>251</v>
      </c>
      <c r="V16" s="13">
        <f t="shared" si="2"/>
        <v>256</v>
      </c>
      <c r="W16" s="13">
        <f t="shared" si="2"/>
        <v>251</v>
      </c>
      <c r="X16" s="13">
        <f t="shared" si="2"/>
        <v>264</v>
      </c>
      <c r="Y16" s="13">
        <f t="shared" si="2"/>
        <v>254</v>
      </c>
      <c r="Z16" s="13">
        <f t="shared" si="2"/>
        <v>249</v>
      </c>
      <c r="AA16" s="13">
        <f t="shared" si="2"/>
        <v>242</v>
      </c>
      <c r="AB16" s="13">
        <f t="shared" si="2"/>
        <v>267</v>
      </c>
      <c r="AC16" s="13">
        <f t="shared" si="2"/>
        <v>260</v>
      </c>
      <c r="AD16" s="13">
        <f t="shared" si="2"/>
        <v>265</v>
      </c>
      <c r="AE16" s="13">
        <f t="shared" si="2"/>
        <v>251</v>
      </c>
      <c r="AF16" s="13">
        <f t="shared" si="2"/>
        <v>260</v>
      </c>
      <c r="AG16" s="13">
        <f t="shared" si="2"/>
        <v>242</v>
      </c>
      <c r="AH16" s="13">
        <f t="shared" si="2"/>
        <v>248</v>
      </c>
      <c r="AI16" s="13">
        <f t="shared" si="2"/>
        <v>259</v>
      </c>
      <c r="AJ16" s="13">
        <f t="shared" si="2"/>
        <v>259</v>
      </c>
      <c r="AK16" s="13">
        <f t="shared" si="2"/>
        <v>242</v>
      </c>
      <c r="AL16" s="13">
        <f t="shared" si="2"/>
        <v>246</v>
      </c>
      <c r="AM16" s="13">
        <f t="shared" si="1"/>
        <v>8780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19"/>
      <c r="W17" s="19"/>
      <c r="X17" s="19"/>
      <c r="Y17" s="19"/>
      <c r="Z17" s="19"/>
      <c r="AA17" s="19"/>
      <c r="AB17" s="19"/>
      <c r="AC17" s="19"/>
      <c r="AD17" s="74"/>
      <c r="AE17" s="74"/>
      <c r="AF17" s="74"/>
      <c r="AG17" s="74"/>
      <c r="AH17" s="74"/>
      <c r="AI17" s="74"/>
      <c r="AJ17" s="74"/>
      <c r="AK17" s="74"/>
      <c r="AL17" s="74"/>
      <c r="AM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19"/>
      <c r="W18" s="19"/>
      <c r="X18" s="19"/>
      <c r="Y18" s="19"/>
      <c r="Z18" s="19"/>
      <c r="AA18" s="19"/>
      <c r="AB18" s="19"/>
      <c r="AC18" s="19"/>
      <c r="AD18" s="74"/>
      <c r="AE18" s="74"/>
      <c r="AF18" s="74"/>
      <c r="AG18" s="74"/>
      <c r="AH18" s="74"/>
      <c r="AI18" s="74"/>
      <c r="AJ18" s="74"/>
      <c r="AK18" s="74"/>
      <c r="AL18" s="74"/>
      <c r="AM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106.0</v>
      </c>
      <c r="F19" s="73">
        <v>100.0</v>
      </c>
      <c r="G19" s="73">
        <v>99.0</v>
      </c>
      <c r="H19" s="73">
        <v>118.0</v>
      </c>
      <c r="I19" s="73">
        <v>107.0</v>
      </c>
      <c r="J19" s="73">
        <v>112.0</v>
      </c>
      <c r="K19" s="73">
        <v>112.0</v>
      </c>
      <c r="L19" s="73">
        <v>117.0</v>
      </c>
      <c r="M19" s="73">
        <v>104.0</v>
      </c>
      <c r="N19" s="73">
        <v>72.0</v>
      </c>
      <c r="O19" s="73">
        <v>71.0</v>
      </c>
      <c r="P19" s="73">
        <v>100.0</v>
      </c>
      <c r="Q19" s="73">
        <v>98.0</v>
      </c>
      <c r="R19" s="73">
        <v>110.0</v>
      </c>
      <c r="S19" s="73">
        <v>100.0</v>
      </c>
      <c r="T19" s="73">
        <v>101.0</v>
      </c>
      <c r="U19" s="73">
        <v>85.0</v>
      </c>
      <c r="V19" s="73">
        <v>112.0</v>
      </c>
      <c r="W19" s="73">
        <v>90.0</v>
      </c>
      <c r="X19" s="73">
        <v>112.0</v>
      </c>
      <c r="Y19" s="73">
        <v>111.0</v>
      </c>
      <c r="Z19" s="73">
        <v>96.0</v>
      </c>
      <c r="AA19" s="73">
        <v>92.0</v>
      </c>
      <c r="AB19" s="73">
        <v>112.0</v>
      </c>
      <c r="AC19" s="73">
        <v>102.0</v>
      </c>
      <c r="AD19" s="73">
        <v>89.0</v>
      </c>
      <c r="AE19" s="73">
        <v>101.0</v>
      </c>
      <c r="AF19" s="73">
        <v>96.0</v>
      </c>
      <c r="AG19" s="73">
        <v>90.0</v>
      </c>
      <c r="AH19" s="73">
        <v>97.0</v>
      </c>
      <c r="AI19" s="73">
        <v>93.0</v>
      </c>
      <c r="AJ19" s="73">
        <v>104.0</v>
      </c>
      <c r="AK19" s="73">
        <v>88.0</v>
      </c>
      <c r="AL19" s="73">
        <v>94.0</v>
      </c>
      <c r="AM19" s="13">
        <f t="shared" ref="AM19:AM30" si="3">SUM(E19:AL19)</f>
        <v>3391</v>
      </c>
    </row>
    <row r="20" ht="12.75" customHeight="1">
      <c r="A20" s="33"/>
      <c r="B20" s="27"/>
      <c r="C20" s="34"/>
      <c r="D20" s="19" t="s">
        <v>13</v>
      </c>
      <c r="E20" s="73">
        <v>118.0</v>
      </c>
      <c r="F20" s="73">
        <v>112.0</v>
      </c>
      <c r="G20" s="73">
        <v>110.0</v>
      </c>
      <c r="H20" s="73">
        <v>109.0</v>
      </c>
      <c r="I20" s="73">
        <v>124.0</v>
      </c>
      <c r="J20" s="73">
        <v>113.0</v>
      </c>
      <c r="K20" s="73">
        <v>108.0</v>
      </c>
      <c r="L20" s="73">
        <v>124.0</v>
      </c>
      <c r="M20" s="73">
        <v>110.0</v>
      </c>
      <c r="N20" s="73">
        <v>70.0</v>
      </c>
      <c r="O20" s="73">
        <v>64.0</v>
      </c>
      <c r="P20" s="73">
        <v>105.0</v>
      </c>
      <c r="Q20" s="73">
        <v>108.0</v>
      </c>
      <c r="R20" s="73">
        <v>102.0</v>
      </c>
      <c r="S20" s="73">
        <v>92.0</v>
      </c>
      <c r="T20" s="73">
        <v>108.0</v>
      </c>
      <c r="U20" s="73">
        <v>101.0</v>
      </c>
      <c r="V20" s="73">
        <v>103.0</v>
      </c>
      <c r="W20" s="73">
        <v>86.0</v>
      </c>
      <c r="X20" s="73">
        <v>110.0</v>
      </c>
      <c r="Y20" s="73">
        <v>94.0</v>
      </c>
      <c r="Z20" s="73">
        <v>95.0</v>
      </c>
      <c r="AA20" s="73">
        <v>99.0</v>
      </c>
      <c r="AB20" s="73">
        <v>102.0</v>
      </c>
      <c r="AC20" s="73">
        <v>109.0</v>
      </c>
      <c r="AD20" s="73">
        <v>113.0</v>
      </c>
      <c r="AE20" s="73">
        <v>101.0</v>
      </c>
      <c r="AF20" s="73">
        <v>115.0</v>
      </c>
      <c r="AG20" s="73">
        <v>104.0</v>
      </c>
      <c r="AH20" s="73">
        <v>106.0</v>
      </c>
      <c r="AI20" s="73">
        <v>102.0</v>
      </c>
      <c r="AJ20" s="73">
        <v>104.0</v>
      </c>
      <c r="AK20" s="73">
        <v>103.0</v>
      </c>
      <c r="AL20" s="73">
        <v>105.0</v>
      </c>
      <c r="AM20" s="13">
        <f t="shared" si="3"/>
        <v>3529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224</v>
      </c>
      <c r="F21" s="13">
        <f t="shared" si="4"/>
        <v>212</v>
      </c>
      <c r="G21" s="13">
        <f t="shared" si="4"/>
        <v>209</v>
      </c>
      <c r="H21" s="13">
        <f t="shared" si="4"/>
        <v>227</v>
      </c>
      <c r="I21" s="13">
        <f t="shared" si="4"/>
        <v>231</v>
      </c>
      <c r="J21" s="13">
        <f t="shared" si="4"/>
        <v>225</v>
      </c>
      <c r="K21" s="13">
        <f t="shared" si="4"/>
        <v>220</v>
      </c>
      <c r="L21" s="13">
        <f t="shared" si="4"/>
        <v>241</v>
      </c>
      <c r="M21" s="13">
        <f t="shared" si="4"/>
        <v>214</v>
      </c>
      <c r="N21" s="13">
        <f t="shared" si="4"/>
        <v>142</v>
      </c>
      <c r="O21" s="13">
        <f t="shared" si="4"/>
        <v>135</v>
      </c>
      <c r="P21" s="13">
        <f t="shared" si="4"/>
        <v>205</v>
      </c>
      <c r="Q21" s="13">
        <f t="shared" si="4"/>
        <v>206</v>
      </c>
      <c r="R21" s="13">
        <f t="shared" si="4"/>
        <v>212</v>
      </c>
      <c r="S21" s="13">
        <f t="shared" si="4"/>
        <v>192</v>
      </c>
      <c r="T21" s="13">
        <f t="shared" si="4"/>
        <v>209</v>
      </c>
      <c r="U21" s="13">
        <f t="shared" si="4"/>
        <v>186</v>
      </c>
      <c r="V21" s="13">
        <f t="shared" si="4"/>
        <v>215</v>
      </c>
      <c r="W21" s="13">
        <f t="shared" si="4"/>
        <v>176</v>
      </c>
      <c r="X21" s="13">
        <f t="shared" si="4"/>
        <v>222</v>
      </c>
      <c r="Y21" s="13">
        <f t="shared" si="4"/>
        <v>205</v>
      </c>
      <c r="Z21" s="13">
        <f t="shared" si="4"/>
        <v>191</v>
      </c>
      <c r="AA21" s="13">
        <f t="shared" si="4"/>
        <v>191</v>
      </c>
      <c r="AB21" s="13">
        <f t="shared" si="4"/>
        <v>214</v>
      </c>
      <c r="AC21" s="13">
        <f t="shared" si="4"/>
        <v>211</v>
      </c>
      <c r="AD21" s="13">
        <f t="shared" si="4"/>
        <v>202</v>
      </c>
      <c r="AE21" s="13">
        <f t="shared" si="4"/>
        <v>202</v>
      </c>
      <c r="AF21" s="13">
        <f t="shared" si="4"/>
        <v>211</v>
      </c>
      <c r="AG21" s="13">
        <f t="shared" si="4"/>
        <v>194</v>
      </c>
      <c r="AH21" s="13">
        <f t="shared" si="4"/>
        <v>203</v>
      </c>
      <c r="AI21" s="13">
        <f t="shared" si="4"/>
        <v>195</v>
      </c>
      <c r="AJ21" s="13">
        <f t="shared" si="4"/>
        <v>208</v>
      </c>
      <c r="AK21" s="13">
        <f t="shared" si="4"/>
        <v>191</v>
      </c>
      <c r="AL21" s="13">
        <f t="shared" si="4"/>
        <v>199</v>
      </c>
      <c r="AM21" s="13">
        <f t="shared" si="3"/>
        <v>6920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1.0</v>
      </c>
      <c r="F22" s="73">
        <v>0.0</v>
      </c>
      <c r="G22" s="73">
        <v>0.0</v>
      </c>
      <c r="H22" s="73">
        <v>1.0</v>
      </c>
      <c r="I22" s="73">
        <v>1.0</v>
      </c>
      <c r="J22" s="73">
        <v>0.0</v>
      </c>
      <c r="K22" s="73">
        <v>0.0</v>
      </c>
      <c r="L22" s="73">
        <v>0.0</v>
      </c>
      <c r="M22" s="73">
        <v>2.0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1.0</v>
      </c>
      <c r="AE22" s="73">
        <v>1.0</v>
      </c>
      <c r="AF22" s="73">
        <v>0.0</v>
      </c>
      <c r="AG22" s="73">
        <v>0.0</v>
      </c>
      <c r="AH22" s="73">
        <v>2.0</v>
      </c>
      <c r="AI22" s="73">
        <v>0.0</v>
      </c>
      <c r="AJ22" s="73">
        <v>0.0</v>
      </c>
      <c r="AK22" s="73">
        <v>0.0</v>
      </c>
      <c r="AL22" s="73">
        <v>0.0</v>
      </c>
      <c r="AM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1.0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1.0</v>
      </c>
      <c r="N23" s="73">
        <v>0.0</v>
      </c>
      <c r="O23" s="73">
        <v>1.0</v>
      </c>
      <c r="P23" s="73">
        <v>0.0</v>
      </c>
      <c r="Q23" s="73">
        <v>0.0</v>
      </c>
      <c r="R23" s="73">
        <v>1.0</v>
      </c>
      <c r="S23" s="73">
        <v>0.0</v>
      </c>
      <c r="T23" s="73">
        <v>1.0</v>
      </c>
      <c r="U23" s="73">
        <v>1.0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1.0</v>
      </c>
      <c r="AC23" s="73">
        <v>0.0</v>
      </c>
      <c r="AD23" s="73">
        <v>1.0</v>
      </c>
      <c r="AE23" s="73">
        <v>0.0</v>
      </c>
      <c r="AF23" s="73">
        <v>0.0</v>
      </c>
      <c r="AG23" s="73">
        <v>0.0</v>
      </c>
      <c r="AH23" s="73">
        <v>1.0</v>
      </c>
      <c r="AI23" s="73">
        <v>0.0</v>
      </c>
      <c r="AJ23" s="73">
        <v>0.0</v>
      </c>
      <c r="AK23" s="73">
        <v>0.0</v>
      </c>
      <c r="AL23" s="73">
        <v>0.0</v>
      </c>
      <c r="AM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2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3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4.0</v>
      </c>
      <c r="M25" s="73">
        <v>3.0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1.0</v>
      </c>
      <c r="T25" s="73">
        <v>0.0</v>
      </c>
      <c r="U25" s="73">
        <v>1.0</v>
      </c>
      <c r="V25" s="73">
        <v>2.0</v>
      </c>
      <c r="W25" s="73">
        <v>0.0</v>
      </c>
      <c r="X25" s="73">
        <v>0.0</v>
      </c>
      <c r="Y25" s="73">
        <v>1.0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1.0</v>
      </c>
      <c r="AH25" s="73">
        <v>0.0</v>
      </c>
      <c r="AI25" s="73">
        <v>0.0</v>
      </c>
      <c r="AJ25" s="73">
        <v>0.0</v>
      </c>
      <c r="AK25" s="73">
        <v>0.0</v>
      </c>
      <c r="AL25" s="73">
        <v>0.0</v>
      </c>
      <c r="AM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3.0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4.0</v>
      </c>
      <c r="M26" s="73">
        <v>2.0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4.0</v>
      </c>
      <c r="T26" s="73">
        <v>0.0</v>
      </c>
      <c r="U26" s="73">
        <v>5.0</v>
      </c>
      <c r="V26" s="73">
        <v>4.0</v>
      </c>
      <c r="W26" s="73">
        <v>0.0</v>
      </c>
      <c r="X26" s="73">
        <v>0.0</v>
      </c>
      <c r="Y26" s="73">
        <v>1.0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2.0</v>
      </c>
      <c r="AH26" s="73">
        <v>0.0</v>
      </c>
      <c r="AI26" s="73">
        <v>0.0</v>
      </c>
      <c r="AJ26" s="73">
        <v>0.0</v>
      </c>
      <c r="AK26" s="73">
        <v>0.0</v>
      </c>
      <c r="AL26" s="73">
        <v>1.0</v>
      </c>
      <c r="AM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8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6</v>
      </c>
      <c r="V27" s="13">
        <f t="shared" si="6"/>
        <v>6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3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107</v>
      </c>
      <c r="F28" s="13">
        <f t="shared" si="7"/>
        <v>101</v>
      </c>
      <c r="G28" s="13">
        <f t="shared" si="7"/>
        <v>99</v>
      </c>
      <c r="H28" s="13">
        <f t="shared" si="7"/>
        <v>119</v>
      </c>
      <c r="I28" s="13">
        <f t="shared" si="7"/>
        <v>108</v>
      </c>
      <c r="J28" s="13">
        <f t="shared" si="7"/>
        <v>112</v>
      </c>
      <c r="K28" s="13">
        <f t="shared" si="7"/>
        <v>112</v>
      </c>
      <c r="L28" s="13">
        <f t="shared" si="7"/>
        <v>121</v>
      </c>
      <c r="M28" s="13">
        <f t="shared" si="7"/>
        <v>109</v>
      </c>
      <c r="N28" s="13">
        <f t="shared" si="7"/>
        <v>72</v>
      </c>
      <c r="O28" s="13">
        <f t="shared" si="7"/>
        <v>71</v>
      </c>
      <c r="P28" s="13">
        <f t="shared" si="7"/>
        <v>100</v>
      </c>
      <c r="Q28" s="13">
        <f t="shared" si="7"/>
        <v>98</v>
      </c>
      <c r="R28" s="13">
        <f t="shared" si="7"/>
        <v>110</v>
      </c>
      <c r="S28" s="13">
        <f t="shared" si="7"/>
        <v>101</v>
      </c>
      <c r="T28" s="13">
        <f t="shared" si="7"/>
        <v>101</v>
      </c>
      <c r="U28" s="13">
        <f t="shared" si="7"/>
        <v>86</v>
      </c>
      <c r="V28" s="13">
        <f t="shared" si="7"/>
        <v>114</v>
      </c>
      <c r="W28" s="13">
        <f t="shared" si="7"/>
        <v>90</v>
      </c>
      <c r="X28" s="13">
        <f t="shared" si="7"/>
        <v>112</v>
      </c>
      <c r="Y28" s="13">
        <f t="shared" si="7"/>
        <v>112</v>
      </c>
      <c r="Z28" s="13">
        <f t="shared" si="7"/>
        <v>96</v>
      </c>
      <c r="AA28" s="13">
        <f t="shared" si="7"/>
        <v>92</v>
      </c>
      <c r="AB28" s="13">
        <f t="shared" si="7"/>
        <v>113</v>
      </c>
      <c r="AC28" s="13">
        <f t="shared" si="7"/>
        <v>102</v>
      </c>
      <c r="AD28" s="13">
        <f t="shared" si="7"/>
        <v>90</v>
      </c>
      <c r="AE28" s="13">
        <f t="shared" si="7"/>
        <v>102</v>
      </c>
      <c r="AF28" s="13">
        <f t="shared" si="7"/>
        <v>96</v>
      </c>
      <c r="AG28" s="13">
        <f t="shared" si="7"/>
        <v>91</v>
      </c>
      <c r="AH28" s="13">
        <f t="shared" si="7"/>
        <v>99</v>
      </c>
      <c r="AI28" s="13">
        <f t="shared" si="7"/>
        <v>93</v>
      </c>
      <c r="AJ28" s="13">
        <f t="shared" si="7"/>
        <v>104</v>
      </c>
      <c r="AK28" s="13">
        <f t="shared" si="7"/>
        <v>88</v>
      </c>
      <c r="AL28" s="13">
        <f t="shared" si="7"/>
        <v>94</v>
      </c>
      <c r="AM28" s="13">
        <f t="shared" si="3"/>
        <v>3415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118</v>
      </c>
      <c r="F29" s="13">
        <f t="shared" si="8"/>
        <v>115</v>
      </c>
      <c r="G29" s="13">
        <f t="shared" si="8"/>
        <v>111</v>
      </c>
      <c r="H29" s="13">
        <f t="shared" si="8"/>
        <v>109</v>
      </c>
      <c r="I29" s="13">
        <f t="shared" si="8"/>
        <v>124</v>
      </c>
      <c r="J29" s="13">
        <f t="shared" si="8"/>
        <v>113</v>
      </c>
      <c r="K29" s="13">
        <f t="shared" si="8"/>
        <v>108</v>
      </c>
      <c r="L29" s="13">
        <f t="shared" si="8"/>
        <v>128</v>
      </c>
      <c r="M29" s="13">
        <f t="shared" si="8"/>
        <v>113</v>
      </c>
      <c r="N29" s="13">
        <f t="shared" si="8"/>
        <v>70</v>
      </c>
      <c r="O29" s="13">
        <f t="shared" si="8"/>
        <v>65</v>
      </c>
      <c r="P29" s="13">
        <f t="shared" si="8"/>
        <v>105</v>
      </c>
      <c r="Q29" s="13">
        <f t="shared" si="8"/>
        <v>108</v>
      </c>
      <c r="R29" s="13">
        <f t="shared" si="8"/>
        <v>103</v>
      </c>
      <c r="S29" s="13">
        <f t="shared" si="8"/>
        <v>96</v>
      </c>
      <c r="T29" s="13">
        <f t="shared" si="8"/>
        <v>109</v>
      </c>
      <c r="U29" s="13">
        <f t="shared" si="8"/>
        <v>107</v>
      </c>
      <c r="V29" s="13">
        <f t="shared" si="8"/>
        <v>107</v>
      </c>
      <c r="W29" s="13">
        <f t="shared" si="8"/>
        <v>86</v>
      </c>
      <c r="X29" s="13">
        <f t="shared" si="8"/>
        <v>110</v>
      </c>
      <c r="Y29" s="13">
        <f t="shared" si="8"/>
        <v>95</v>
      </c>
      <c r="Z29" s="13">
        <f t="shared" si="8"/>
        <v>95</v>
      </c>
      <c r="AA29" s="13">
        <f t="shared" si="8"/>
        <v>99</v>
      </c>
      <c r="AB29" s="13">
        <f t="shared" si="8"/>
        <v>103</v>
      </c>
      <c r="AC29" s="13">
        <f t="shared" si="8"/>
        <v>109</v>
      </c>
      <c r="AD29" s="13">
        <f t="shared" si="8"/>
        <v>114</v>
      </c>
      <c r="AE29" s="13">
        <f t="shared" si="8"/>
        <v>101</v>
      </c>
      <c r="AF29" s="13">
        <f t="shared" si="8"/>
        <v>115</v>
      </c>
      <c r="AG29" s="13">
        <f t="shared" si="8"/>
        <v>106</v>
      </c>
      <c r="AH29" s="13">
        <f t="shared" si="8"/>
        <v>107</v>
      </c>
      <c r="AI29" s="13">
        <f t="shared" si="8"/>
        <v>102</v>
      </c>
      <c r="AJ29" s="13">
        <f t="shared" si="8"/>
        <v>104</v>
      </c>
      <c r="AK29" s="13">
        <f t="shared" si="8"/>
        <v>103</v>
      </c>
      <c r="AL29" s="13">
        <f t="shared" si="8"/>
        <v>106</v>
      </c>
      <c r="AM29" s="13">
        <f t="shared" si="3"/>
        <v>3564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225</v>
      </c>
      <c r="F30" s="13">
        <f t="shared" si="9"/>
        <v>216</v>
      </c>
      <c r="G30" s="13">
        <f t="shared" si="9"/>
        <v>210</v>
      </c>
      <c r="H30" s="13">
        <f t="shared" si="9"/>
        <v>228</v>
      </c>
      <c r="I30" s="13">
        <f t="shared" si="9"/>
        <v>232</v>
      </c>
      <c r="J30" s="13">
        <f t="shared" si="9"/>
        <v>225</v>
      </c>
      <c r="K30" s="13">
        <f t="shared" si="9"/>
        <v>220</v>
      </c>
      <c r="L30" s="13">
        <f t="shared" si="9"/>
        <v>249</v>
      </c>
      <c r="M30" s="13">
        <f t="shared" si="9"/>
        <v>222</v>
      </c>
      <c r="N30" s="13">
        <f t="shared" si="9"/>
        <v>142</v>
      </c>
      <c r="O30" s="13">
        <f t="shared" si="9"/>
        <v>136</v>
      </c>
      <c r="P30" s="13">
        <f t="shared" si="9"/>
        <v>205</v>
      </c>
      <c r="Q30" s="13">
        <f t="shared" si="9"/>
        <v>206</v>
      </c>
      <c r="R30" s="13">
        <f t="shared" si="9"/>
        <v>213</v>
      </c>
      <c r="S30" s="13">
        <f t="shared" si="9"/>
        <v>197</v>
      </c>
      <c r="T30" s="13">
        <f t="shared" si="9"/>
        <v>210</v>
      </c>
      <c r="U30" s="13">
        <f t="shared" si="9"/>
        <v>193</v>
      </c>
      <c r="V30" s="13">
        <f t="shared" si="9"/>
        <v>221</v>
      </c>
      <c r="W30" s="13">
        <f t="shared" si="9"/>
        <v>176</v>
      </c>
      <c r="X30" s="13">
        <f t="shared" si="9"/>
        <v>222</v>
      </c>
      <c r="Y30" s="13">
        <f t="shared" si="9"/>
        <v>207</v>
      </c>
      <c r="Z30" s="13">
        <f t="shared" si="9"/>
        <v>191</v>
      </c>
      <c r="AA30" s="13">
        <f t="shared" si="9"/>
        <v>191</v>
      </c>
      <c r="AB30" s="13">
        <f t="shared" si="9"/>
        <v>216</v>
      </c>
      <c r="AC30" s="13">
        <f t="shared" si="9"/>
        <v>211</v>
      </c>
      <c r="AD30" s="13">
        <f t="shared" si="9"/>
        <v>204</v>
      </c>
      <c r="AE30" s="13">
        <f t="shared" si="9"/>
        <v>203</v>
      </c>
      <c r="AF30" s="13">
        <f t="shared" si="9"/>
        <v>211</v>
      </c>
      <c r="AG30" s="13">
        <f t="shared" si="9"/>
        <v>197</v>
      </c>
      <c r="AH30" s="13">
        <f t="shared" si="9"/>
        <v>206</v>
      </c>
      <c r="AI30" s="13">
        <f t="shared" si="9"/>
        <v>195</v>
      </c>
      <c r="AJ30" s="13">
        <f t="shared" si="9"/>
        <v>208</v>
      </c>
      <c r="AK30" s="13">
        <f t="shared" si="9"/>
        <v>191</v>
      </c>
      <c r="AL30" s="13">
        <f t="shared" si="9"/>
        <v>200</v>
      </c>
      <c r="AM30" s="13">
        <f t="shared" si="3"/>
        <v>6979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19"/>
      <c r="W31" s="19"/>
      <c r="X31" s="19"/>
      <c r="Y31" s="19"/>
      <c r="Z31" s="19"/>
      <c r="AA31" s="19"/>
      <c r="AB31" s="19"/>
      <c r="AC31" s="19"/>
      <c r="AD31" s="74"/>
      <c r="AE31" s="74"/>
      <c r="AF31" s="74"/>
      <c r="AG31" s="74"/>
      <c r="AH31" s="74"/>
      <c r="AI31" s="74"/>
      <c r="AJ31" s="74"/>
      <c r="AK31" s="74"/>
      <c r="AL31" s="74"/>
      <c r="AM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13"/>
      <c r="W32" s="13"/>
      <c r="X32" s="13"/>
      <c r="Y32" s="13"/>
      <c r="Z32" s="13"/>
      <c r="AA32" s="13"/>
      <c r="AB32" s="13"/>
      <c r="AC32" s="13"/>
      <c r="AD32" s="76"/>
      <c r="AE32" s="76"/>
      <c r="AF32" s="76"/>
      <c r="AG32" s="76"/>
      <c r="AH32" s="76"/>
      <c r="AI32" s="76"/>
      <c r="AJ32" s="76"/>
      <c r="AK32" s="76"/>
      <c r="AL32" s="76"/>
      <c r="AM32" s="75"/>
    </row>
    <row r="33" ht="12.75" customHeight="1">
      <c r="A33" s="19">
        <v>1.0</v>
      </c>
      <c r="B33" s="20" t="s">
        <v>27</v>
      </c>
      <c r="C33" s="15"/>
      <c r="D33" s="16"/>
      <c r="E33" s="73">
        <v>289.0</v>
      </c>
      <c r="F33" s="73">
        <v>299.0</v>
      </c>
      <c r="G33" s="73">
        <v>282.0</v>
      </c>
      <c r="H33" s="73">
        <v>300.0</v>
      </c>
      <c r="I33" s="73">
        <v>286.0</v>
      </c>
      <c r="J33" s="73">
        <v>283.0</v>
      </c>
      <c r="K33" s="73">
        <v>269.0</v>
      </c>
      <c r="L33" s="73">
        <v>297.0</v>
      </c>
      <c r="M33" s="73">
        <v>293.0</v>
      </c>
      <c r="N33" s="73">
        <v>189.0</v>
      </c>
      <c r="O33" s="73">
        <v>225.0</v>
      </c>
      <c r="P33" s="73">
        <v>266.0</v>
      </c>
      <c r="Q33" s="73">
        <v>257.0</v>
      </c>
      <c r="R33" s="73">
        <v>262.0</v>
      </c>
      <c r="S33" s="73">
        <v>261.0</v>
      </c>
      <c r="T33" s="73">
        <v>257.0</v>
      </c>
      <c r="U33" s="73">
        <v>257.0</v>
      </c>
      <c r="V33" s="73">
        <v>262.0</v>
      </c>
      <c r="W33" s="73">
        <v>257.0</v>
      </c>
      <c r="X33" s="73">
        <v>270.0</v>
      </c>
      <c r="Y33" s="73">
        <v>260.0</v>
      </c>
      <c r="Z33" s="73">
        <v>254.0</v>
      </c>
      <c r="AA33" s="73">
        <v>247.0</v>
      </c>
      <c r="AB33" s="73">
        <v>270.0</v>
      </c>
      <c r="AC33" s="73">
        <v>266.0</v>
      </c>
      <c r="AD33" s="73">
        <v>271.0</v>
      </c>
      <c r="AE33" s="73">
        <v>257.0</v>
      </c>
      <c r="AF33" s="73">
        <v>266.0</v>
      </c>
      <c r="AG33" s="73">
        <v>247.0</v>
      </c>
      <c r="AH33" s="73">
        <v>253.0</v>
      </c>
      <c r="AI33" s="73">
        <v>265.0</v>
      </c>
      <c r="AJ33" s="73">
        <v>265.0</v>
      </c>
      <c r="AK33" s="73">
        <v>247.0</v>
      </c>
      <c r="AL33" s="73">
        <v>251.0</v>
      </c>
      <c r="AM33" s="13">
        <f t="shared" ref="AM33:AM36" si="10">SUM(E33:AL33)</f>
        <v>8980</v>
      </c>
    </row>
    <row r="34" ht="12.75" customHeight="1">
      <c r="A34" s="19">
        <v>2.0</v>
      </c>
      <c r="B34" s="20" t="s">
        <v>28</v>
      </c>
      <c r="C34" s="15"/>
      <c r="D34" s="16"/>
      <c r="E34" s="77">
        <v>225.0</v>
      </c>
      <c r="F34" s="77">
        <v>216.0</v>
      </c>
      <c r="G34" s="77">
        <v>210.0</v>
      </c>
      <c r="H34" s="77">
        <v>228.0</v>
      </c>
      <c r="I34" s="77">
        <v>232.0</v>
      </c>
      <c r="J34" s="77">
        <v>225.0</v>
      </c>
      <c r="K34" s="77">
        <v>220.0</v>
      </c>
      <c r="L34" s="77">
        <v>249.0</v>
      </c>
      <c r="M34" s="77">
        <v>222.0</v>
      </c>
      <c r="N34" s="77">
        <v>142.0</v>
      </c>
      <c r="O34" s="77">
        <v>136.0</v>
      </c>
      <c r="P34" s="77">
        <v>205.0</v>
      </c>
      <c r="Q34" s="77">
        <v>206.0</v>
      </c>
      <c r="R34" s="77">
        <v>213.0</v>
      </c>
      <c r="S34" s="77">
        <v>197.0</v>
      </c>
      <c r="T34" s="77">
        <v>210.0</v>
      </c>
      <c r="U34" s="77">
        <v>193.0</v>
      </c>
      <c r="V34" s="77">
        <v>221.0</v>
      </c>
      <c r="W34" s="77">
        <v>176.0</v>
      </c>
      <c r="X34" s="77">
        <v>222.0</v>
      </c>
      <c r="Y34" s="77">
        <v>207.0</v>
      </c>
      <c r="Z34" s="77">
        <v>191.0</v>
      </c>
      <c r="AA34" s="77">
        <v>191.0</v>
      </c>
      <c r="AB34" s="77">
        <v>216.0</v>
      </c>
      <c r="AC34" s="77">
        <v>211.0</v>
      </c>
      <c r="AD34" s="77">
        <v>204.0</v>
      </c>
      <c r="AE34" s="77">
        <v>203.0</v>
      </c>
      <c r="AF34" s="77">
        <v>211.0</v>
      </c>
      <c r="AG34" s="77">
        <v>197.0</v>
      </c>
      <c r="AH34" s="77">
        <v>206.0</v>
      </c>
      <c r="AI34" s="77">
        <v>195.0</v>
      </c>
      <c r="AJ34" s="77">
        <v>208.0</v>
      </c>
      <c r="AK34" s="77">
        <v>191.0</v>
      </c>
      <c r="AL34" s="77">
        <v>200.0</v>
      </c>
      <c r="AM34" s="13">
        <f t="shared" si="10"/>
        <v>6979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1.0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24.0</v>
      </c>
      <c r="AH35" s="73">
        <v>0.0</v>
      </c>
      <c r="AI35" s="73">
        <v>0.0</v>
      </c>
      <c r="AJ35" s="73">
        <v>0.0</v>
      </c>
      <c r="AK35" s="73">
        <v>0.0</v>
      </c>
      <c r="AL35" s="73">
        <v>0.0</v>
      </c>
      <c r="AM35" s="13">
        <f t="shared" si="10"/>
        <v>26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64</v>
      </c>
      <c r="F36" s="13">
        <f t="shared" si="11"/>
        <v>83</v>
      </c>
      <c r="G36" s="13">
        <f t="shared" si="11"/>
        <v>72</v>
      </c>
      <c r="H36" s="13">
        <f t="shared" si="11"/>
        <v>72</v>
      </c>
      <c r="I36" s="13">
        <f t="shared" si="11"/>
        <v>54</v>
      </c>
      <c r="J36" s="13">
        <f t="shared" si="11"/>
        <v>58</v>
      </c>
      <c r="K36" s="13">
        <f t="shared" si="11"/>
        <v>49</v>
      </c>
      <c r="L36" s="13">
        <f t="shared" si="11"/>
        <v>48</v>
      </c>
      <c r="M36" s="13">
        <f t="shared" si="11"/>
        <v>70</v>
      </c>
      <c r="N36" s="13">
        <f t="shared" si="11"/>
        <v>47</v>
      </c>
      <c r="O36" s="13">
        <f t="shared" si="11"/>
        <v>89</v>
      </c>
      <c r="P36" s="13">
        <f t="shared" si="11"/>
        <v>61</v>
      </c>
      <c r="Q36" s="13">
        <f t="shared" si="11"/>
        <v>51</v>
      </c>
      <c r="R36" s="13">
        <f t="shared" si="11"/>
        <v>49</v>
      </c>
      <c r="S36" s="13">
        <f t="shared" si="11"/>
        <v>64</v>
      </c>
      <c r="T36" s="13">
        <f t="shared" si="11"/>
        <v>47</v>
      </c>
      <c r="U36" s="13">
        <f t="shared" si="11"/>
        <v>64</v>
      </c>
      <c r="V36" s="13">
        <f t="shared" si="11"/>
        <v>41</v>
      </c>
      <c r="W36" s="13">
        <f t="shared" si="11"/>
        <v>81</v>
      </c>
      <c r="X36" s="13">
        <f t="shared" si="11"/>
        <v>48</v>
      </c>
      <c r="Y36" s="13">
        <f t="shared" si="11"/>
        <v>52</v>
      </c>
      <c r="Z36" s="13">
        <f t="shared" si="11"/>
        <v>63</v>
      </c>
      <c r="AA36" s="13">
        <f t="shared" si="11"/>
        <v>56</v>
      </c>
      <c r="AB36" s="13">
        <f t="shared" si="11"/>
        <v>54</v>
      </c>
      <c r="AC36" s="13">
        <f t="shared" si="11"/>
        <v>55</v>
      </c>
      <c r="AD36" s="13">
        <f t="shared" si="11"/>
        <v>67</v>
      </c>
      <c r="AE36" s="13">
        <f t="shared" si="11"/>
        <v>54</v>
      </c>
      <c r="AF36" s="13">
        <f t="shared" si="11"/>
        <v>55</v>
      </c>
      <c r="AG36" s="13">
        <f t="shared" si="11"/>
        <v>26</v>
      </c>
      <c r="AH36" s="13">
        <f t="shared" si="11"/>
        <v>47</v>
      </c>
      <c r="AI36" s="13">
        <f t="shared" si="11"/>
        <v>70</v>
      </c>
      <c r="AJ36" s="13">
        <f t="shared" si="11"/>
        <v>57</v>
      </c>
      <c r="AK36" s="13">
        <f t="shared" si="11"/>
        <v>56</v>
      </c>
      <c r="AL36" s="13">
        <f t="shared" si="11"/>
        <v>51</v>
      </c>
      <c r="AM36" s="13">
        <f t="shared" si="10"/>
        <v>1975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19"/>
      <c r="AD37" s="74"/>
      <c r="AE37" s="82"/>
      <c r="AF37" s="82"/>
      <c r="AG37" s="82"/>
      <c r="AH37" s="82"/>
      <c r="AI37" s="82"/>
      <c r="AJ37" s="82"/>
      <c r="AK37" s="82"/>
      <c r="AL37" s="82"/>
      <c r="AM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13"/>
      <c r="W38" s="13"/>
      <c r="X38" s="13"/>
      <c r="Y38" s="13"/>
      <c r="Z38" s="13"/>
      <c r="AA38" s="13"/>
      <c r="AB38" s="13"/>
      <c r="AC38" s="13"/>
      <c r="AD38" s="76"/>
      <c r="AE38" s="76"/>
      <c r="AF38" s="76"/>
      <c r="AG38" s="76"/>
      <c r="AH38" s="76"/>
      <c r="AI38" s="76"/>
      <c r="AJ38" s="76"/>
      <c r="AK38" s="76"/>
      <c r="AL38" s="76"/>
      <c r="AM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0.0</v>
      </c>
      <c r="AH39" s="73">
        <v>0.0</v>
      </c>
      <c r="AI39" s="73">
        <v>0.0</v>
      </c>
      <c r="AJ39" s="73">
        <v>0.0</v>
      </c>
      <c r="AK39" s="73">
        <v>0.0</v>
      </c>
      <c r="AL39" s="73">
        <v>0.0</v>
      </c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9"/>
      <c r="AD42" s="74"/>
      <c r="AE42" s="19"/>
      <c r="AF42" s="74"/>
      <c r="AG42" s="19"/>
      <c r="AH42" s="74"/>
      <c r="AI42" s="19"/>
      <c r="AJ42" s="74"/>
      <c r="AK42" s="19"/>
      <c r="AL42" s="74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13"/>
      <c r="W43" s="13"/>
      <c r="X43" s="13"/>
      <c r="Y43" s="13"/>
      <c r="Z43" s="13"/>
      <c r="AA43" s="13"/>
      <c r="AB43" s="13"/>
      <c r="AC43" s="13"/>
      <c r="AD43" s="76"/>
      <c r="AE43" s="13"/>
      <c r="AF43" s="76"/>
      <c r="AG43" s="13"/>
      <c r="AH43" s="76"/>
      <c r="AI43" s="13"/>
      <c r="AJ43" s="76"/>
      <c r="AK43" s="13"/>
      <c r="AL43" s="76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19"/>
      <c r="W44" s="19"/>
      <c r="X44" s="19"/>
      <c r="Y44" s="19"/>
      <c r="Z44" s="19"/>
      <c r="AA44" s="19"/>
      <c r="AB44" s="19"/>
      <c r="AC44" s="19"/>
      <c r="AD44" s="74"/>
      <c r="AE44" s="19"/>
      <c r="AF44" s="74"/>
      <c r="AG44" s="19"/>
      <c r="AH44" s="74"/>
      <c r="AI44" s="19"/>
      <c r="AJ44" s="74"/>
      <c r="AK44" s="19"/>
      <c r="AL44" s="74"/>
      <c r="A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10.0</v>
      </c>
      <c r="F45" s="73">
        <v>17.0</v>
      </c>
      <c r="G45" s="73">
        <v>13.0</v>
      </c>
      <c r="H45" s="73">
        <v>13.0</v>
      </c>
      <c r="I45" s="73">
        <v>18.0</v>
      </c>
      <c r="J45" s="73">
        <v>28.0</v>
      </c>
      <c r="K45" s="73">
        <v>11.0</v>
      </c>
      <c r="L45" s="73">
        <v>18.0</v>
      </c>
      <c r="M45" s="73">
        <v>8.0</v>
      </c>
      <c r="N45" s="73">
        <v>14.0</v>
      </c>
      <c r="O45" s="73">
        <v>1.0</v>
      </c>
      <c r="P45" s="73">
        <v>5.0</v>
      </c>
      <c r="Q45" s="73">
        <v>5.0</v>
      </c>
      <c r="R45" s="73">
        <v>11.0</v>
      </c>
      <c r="S45" s="73">
        <v>6.0</v>
      </c>
      <c r="T45" s="73">
        <v>8.0</v>
      </c>
      <c r="U45" s="73">
        <v>7.0</v>
      </c>
      <c r="V45" s="73">
        <v>2.0</v>
      </c>
      <c r="W45" s="73">
        <v>2.0</v>
      </c>
      <c r="X45" s="73">
        <v>11.0</v>
      </c>
      <c r="Y45" s="73">
        <v>12.0</v>
      </c>
      <c r="Z45" s="73">
        <v>6.0</v>
      </c>
      <c r="AA45" s="73">
        <v>8.0</v>
      </c>
      <c r="AB45" s="73">
        <v>13.0</v>
      </c>
      <c r="AC45" s="73">
        <v>12.0</v>
      </c>
      <c r="AD45" s="73">
        <v>15.0</v>
      </c>
      <c r="AE45" s="73">
        <v>21.0</v>
      </c>
      <c r="AF45" s="73">
        <v>7.0</v>
      </c>
      <c r="AG45" s="73">
        <v>12.0</v>
      </c>
      <c r="AH45" s="73">
        <v>13.0</v>
      </c>
      <c r="AI45" s="73">
        <v>11.0</v>
      </c>
      <c r="AJ45" s="73">
        <v>9.0</v>
      </c>
      <c r="AK45" s="73">
        <v>8.0</v>
      </c>
      <c r="AL45" s="73">
        <v>6.0</v>
      </c>
      <c r="AM45" s="13">
        <f t="shared" ref="AM45:AM54" si="14">SUM(E45:AL45)</f>
        <v>361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7.0</v>
      </c>
      <c r="F46" s="73">
        <v>9.0</v>
      </c>
      <c r="G46" s="73">
        <v>5.0</v>
      </c>
      <c r="H46" s="73">
        <v>11.0</v>
      </c>
      <c r="I46" s="73">
        <v>12.0</v>
      </c>
      <c r="J46" s="73">
        <v>11.0</v>
      </c>
      <c r="K46" s="73">
        <v>7.0</v>
      </c>
      <c r="L46" s="73">
        <v>16.0</v>
      </c>
      <c r="M46" s="73">
        <v>4.0</v>
      </c>
      <c r="N46" s="73">
        <v>1.0</v>
      </c>
      <c r="O46" s="73">
        <v>4.0</v>
      </c>
      <c r="P46" s="73">
        <v>6.0</v>
      </c>
      <c r="Q46" s="73">
        <v>5.0</v>
      </c>
      <c r="R46" s="73">
        <v>10.0</v>
      </c>
      <c r="S46" s="73">
        <v>3.0</v>
      </c>
      <c r="T46" s="73">
        <v>8.0</v>
      </c>
      <c r="U46" s="73">
        <v>4.0</v>
      </c>
      <c r="V46" s="73">
        <v>2.0</v>
      </c>
      <c r="W46" s="73">
        <v>16.0</v>
      </c>
      <c r="X46" s="73">
        <v>16.0</v>
      </c>
      <c r="Y46" s="73">
        <v>24.0</v>
      </c>
      <c r="Z46" s="73">
        <v>13.0</v>
      </c>
      <c r="AA46" s="73">
        <v>14.0</v>
      </c>
      <c r="AB46" s="73">
        <v>28.0</v>
      </c>
      <c r="AC46" s="73">
        <v>14.0</v>
      </c>
      <c r="AD46" s="73">
        <v>19.0</v>
      </c>
      <c r="AE46" s="73">
        <v>21.0</v>
      </c>
      <c r="AF46" s="73">
        <v>14.0</v>
      </c>
      <c r="AG46" s="73">
        <v>6.0</v>
      </c>
      <c r="AH46" s="73">
        <v>8.0</v>
      </c>
      <c r="AI46" s="73">
        <v>8.0</v>
      </c>
      <c r="AJ46" s="73">
        <v>7.0</v>
      </c>
      <c r="AK46" s="73">
        <v>6.0</v>
      </c>
      <c r="AL46" s="73">
        <v>19.0</v>
      </c>
      <c r="AM46" s="13">
        <f t="shared" si="14"/>
        <v>358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5.0</v>
      </c>
      <c r="G47" s="73">
        <v>1.0</v>
      </c>
      <c r="H47" s="73">
        <v>4.0</v>
      </c>
      <c r="I47" s="73">
        <v>2.0</v>
      </c>
      <c r="J47" s="73">
        <v>5.0</v>
      </c>
      <c r="K47" s="73">
        <v>3.0</v>
      </c>
      <c r="L47" s="73">
        <v>5.0</v>
      </c>
      <c r="M47" s="73">
        <v>3.0</v>
      </c>
      <c r="N47" s="73">
        <v>2.0</v>
      </c>
      <c r="O47" s="73">
        <v>1.0</v>
      </c>
      <c r="P47" s="73">
        <v>2.0</v>
      </c>
      <c r="Q47" s="73">
        <v>0.0</v>
      </c>
      <c r="R47" s="73">
        <v>3.0</v>
      </c>
      <c r="S47" s="73">
        <v>1.0</v>
      </c>
      <c r="T47" s="73">
        <v>3.0</v>
      </c>
      <c r="U47" s="73">
        <v>2.0</v>
      </c>
      <c r="V47" s="73">
        <v>3.0</v>
      </c>
      <c r="W47" s="73">
        <v>2.0</v>
      </c>
      <c r="X47" s="73">
        <v>5.0</v>
      </c>
      <c r="Y47" s="73">
        <v>3.0</v>
      </c>
      <c r="Z47" s="73">
        <v>0.0</v>
      </c>
      <c r="AA47" s="73">
        <v>2.0</v>
      </c>
      <c r="AB47" s="73">
        <v>1.0</v>
      </c>
      <c r="AC47" s="73">
        <v>1.0</v>
      </c>
      <c r="AD47" s="73">
        <v>5.0</v>
      </c>
      <c r="AE47" s="73">
        <v>3.0</v>
      </c>
      <c r="AF47" s="73">
        <v>2.0</v>
      </c>
      <c r="AG47" s="73">
        <v>3.0</v>
      </c>
      <c r="AH47" s="73">
        <v>2.0</v>
      </c>
      <c r="AI47" s="73">
        <v>5.0</v>
      </c>
      <c r="AJ47" s="73">
        <v>4.0</v>
      </c>
      <c r="AK47" s="73">
        <v>5.0</v>
      </c>
      <c r="AL47" s="73">
        <v>3.0</v>
      </c>
      <c r="AM47" s="13">
        <f t="shared" si="14"/>
        <v>93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2.0</v>
      </c>
      <c r="I48" s="73">
        <v>1.0</v>
      </c>
      <c r="J48" s="73">
        <v>0.0</v>
      </c>
      <c r="K48" s="73">
        <v>1.0</v>
      </c>
      <c r="L48" s="73">
        <v>0.0</v>
      </c>
      <c r="M48" s="73">
        <v>1.0</v>
      </c>
      <c r="N48" s="73">
        <v>0.0</v>
      </c>
      <c r="O48" s="73">
        <v>0.0</v>
      </c>
      <c r="P48" s="73">
        <v>0.0</v>
      </c>
      <c r="Q48" s="73">
        <v>1.0</v>
      </c>
      <c r="R48" s="73">
        <v>0.0</v>
      </c>
      <c r="S48" s="73">
        <v>0.0</v>
      </c>
      <c r="T48" s="73">
        <v>0.0</v>
      </c>
      <c r="U48" s="73">
        <v>2.0</v>
      </c>
      <c r="V48" s="73">
        <v>1.0</v>
      </c>
      <c r="W48" s="73">
        <v>1.0</v>
      </c>
      <c r="X48" s="73">
        <v>1.0</v>
      </c>
      <c r="Y48" s="73">
        <v>3.0</v>
      </c>
      <c r="Z48" s="73">
        <v>1.0</v>
      </c>
      <c r="AA48" s="73">
        <v>1.0</v>
      </c>
      <c r="AB48" s="73">
        <v>2.0</v>
      </c>
      <c r="AC48" s="73">
        <v>5.0</v>
      </c>
      <c r="AD48" s="73">
        <v>2.0</v>
      </c>
      <c r="AE48" s="73">
        <v>1.0</v>
      </c>
      <c r="AF48" s="73">
        <v>3.0</v>
      </c>
      <c r="AG48" s="73">
        <v>0.0</v>
      </c>
      <c r="AH48" s="73">
        <v>2.0</v>
      </c>
      <c r="AI48" s="73">
        <v>1.0</v>
      </c>
      <c r="AJ48" s="73">
        <v>0.0</v>
      </c>
      <c r="AK48" s="73">
        <v>3.0</v>
      </c>
      <c r="AL48" s="73">
        <v>1.0</v>
      </c>
      <c r="AM48" s="13">
        <f t="shared" si="14"/>
        <v>36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2.0</v>
      </c>
      <c r="J49" s="73">
        <v>4.0</v>
      </c>
      <c r="K49" s="73">
        <v>3.0</v>
      </c>
      <c r="L49" s="73">
        <v>2.0</v>
      </c>
      <c r="M49" s="73">
        <v>3.0</v>
      </c>
      <c r="N49" s="73">
        <v>2.0</v>
      </c>
      <c r="O49" s="73">
        <v>0.0</v>
      </c>
      <c r="P49" s="73">
        <v>0.0</v>
      </c>
      <c r="Q49" s="73">
        <v>1.0</v>
      </c>
      <c r="R49" s="73">
        <v>1.0</v>
      </c>
      <c r="S49" s="73">
        <v>3.0</v>
      </c>
      <c r="T49" s="73">
        <v>1.0</v>
      </c>
      <c r="U49" s="73">
        <v>3.0</v>
      </c>
      <c r="V49" s="73">
        <v>0.0</v>
      </c>
      <c r="W49" s="73">
        <v>0.0</v>
      </c>
      <c r="X49" s="73">
        <v>0.0</v>
      </c>
      <c r="Y49" s="73">
        <v>9.0</v>
      </c>
      <c r="Z49" s="73">
        <v>0.0</v>
      </c>
      <c r="AA49" s="73">
        <v>1.0</v>
      </c>
      <c r="AB49" s="73">
        <v>0.0</v>
      </c>
      <c r="AC49" s="73">
        <v>1.0</v>
      </c>
      <c r="AD49" s="73">
        <v>4.0</v>
      </c>
      <c r="AE49" s="73">
        <v>3.0</v>
      </c>
      <c r="AF49" s="73">
        <v>0.0</v>
      </c>
      <c r="AG49" s="73">
        <v>0.0</v>
      </c>
      <c r="AH49" s="73">
        <v>4.0</v>
      </c>
      <c r="AI49" s="73">
        <v>0.0</v>
      </c>
      <c r="AJ49" s="73">
        <v>3.0</v>
      </c>
      <c r="AK49" s="73">
        <v>2.0</v>
      </c>
      <c r="AL49" s="73">
        <v>2.0</v>
      </c>
      <c r="AM49" s="13">
        <f t="shared" si="14"/>
        <v>54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2.0</v>
      </c>
      <c r="G50" s="73">
        <v>0.0</v>
      </c>
      <c r="H50" s="73">
        <v>0.0</v>
      </c>
      <c r="I50" s="73">
        <v>2.0</v>
      </c>
      <c r="J50" s="73">
        <v>1.0</v>
      </c>
      <c r="K50" s="73">
        <v>0.0</v>
      </c>
      <c r="L50" s="73">
        <v>0.0</v>
      </c>
      <c r="M50" s="73">
        <v>1.0</v>
      </c>
      <c r="N50" s="73">
        <v>1.0</v>
      </c>
      <c r="O50" s="73">
        <v>0.0</v>
      </c>
      <c r="P50" s="73">
        <v>0.0</v>
      </c>
      <c r="Q50" s="73">
        <v>1.0</v>
      </c>
      <c r="R50" s="73">
        <v>0.0</v>
      </c>
      <c r="S50" s="73">
        <v>0.0</v>
      </c>
      <c r="T50" s="73">
        <v>0.0</v>
      </c>
      <c r="U50" s="73">
        <v>1.0</v>
      </c>
      <c r="V50" s="73">
        <v>1.0</v>
      </c>
      <c r="W50" s="73">
        <v>0.0</v>
      </c>
      <c r="X50" s="73">
        <v>3.0</v>
      </c>
      <c r="Y50" s="73">
        <v>0.0</v>
      </c>
      <c r="Z50" s="73">
        <v>1.0</v>
      </c>
      <c r="AA50" s="73">
        <v>1.0</v>
      </c>
      <c r="AB50" s="73">
        <v>2.0</v>
      </c>
      <c r="AC50" s="73">
        <v>1.0</v>
      </c>
      <c r="AD50" s="73">
        <v>2.0</v>
      </c>
      <c r="AE50" s="73">
        <v>1.0</v>
      </c>
      <c r="AF50" s="73">
        <v>3.0</v>
      </c>
      <c r="AG50" s="73">
        <v>1.0</v>
      </c>
      <c r="AH50" s="73">
        <v>2.0</v>
      </c>
      <c r="AI50" s="73">
        <v>0.0</v>
      </c>
      <c r="AJ50" s="73">
        <v>0.0</v>
      </c>
      <c r="AK50" s="73">
        <v>1.0</v>
      </c>
      <c r="AL50" s="73">
        <v>2.0</v>
      </c>
      <c r="AM50" s="13">
        <f t="shared" si="14"/>
        <v>31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1.0</v>
      </c>
      <c r="H51" s="73">
        <v>1.0</v>
      </c>
      <c r="I51" s="73">
        <v>0.0</v>
      </c>
      <c r="J51" s="73">
        <v>0.0</v>
      </c>
      <c r="K51" s="73">
        <v>1.0</v>
      </c>
      <c r="L51" s="73">
        <v>3.0</v>
      </c>
      <c r="M51" s="73">
        <v>0.0</v>
      </c>
      <c r="N51" s="73">
        <v>0.0</v>
      </c>
      <c r="O51" s="73">
        <v>1.0</v>
      </c>
      <c r="P51" s="73">
        <v>1.0</v>
      </c>
      <c r="Q51" s="73">
        <v>0.0</v>
      </c>
      <c r="R51" s="73">
        <v>0.0</v>
      </c>
      <c r="S51" s="73">
        <v>0.0</v>
      </c>
      <c r="T51" s="73">
        <v>0.0</v>
      </c>
      <c r="U51" s="73">
        <v>0.0</v>
      </c>
      <c r="V51" s="73">
        <v>0.0</v>
      </c>
      <c r="W51" s="73">
        <v>0.0</v>
      </c>
      <c r="X51" s="73">
        <v>2.0</v>
      </c>
      <c r="Y51" s="73">
        <v>0.0</v>
      </c>
      <c r="Z51" s="73">
        <v>1.0</v>
      </c>
      <c r="AA51" s="73">
        <v>0.0</v>
      </c>
      <c r="AB51" s="73">
        <v>0.0</v>
      </c>
      <c r="AC51" s="73">
        <v>0.0</v>
      </c>
      <c r="AD51" s="73">
        <v>2.0</v>
      </c>
      <c r="AE51" s="73">
        <v>2.0</v>
      </c>
      <c r="AF51" s="73">
        <v>2.0</v>
      </c>
      <c r="AG51" s="73">
        <v>2.0</v>
      </c>
      <c r="AH51" s="73">
        <v>0.0</v>
      </c>
      <c r="AI51" s="73">
        <v>0.0</v>
      </c>
      <c r="AJ51" s="73">
        <v>0.0</v>
      </c>
      <c r="AK51" s="73">
        <v>0.0</v>
      </c>
      <c r="AL51" s="73">
        <v>1.0</v>
      </c>
      <c r="AM51" s="13">
        <f t="shared" si="14"/>
        <v>20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1.0</v>
      </c>
      <c r="G52" s="73">
        <v>0.0</v>
      </c>
      <c r="H52" s="73">
        <v>1.0</v>
      </c>
      <c r="I52" s="73">
        <v>2.0</v>
      </c>
      <c r="J52" s="73">
        <v>1.0</v>
      </c>
      <c r="K52" s="73">
        <v>1.0</v>
      </c>
      <c r="L52" s="73">
        <v>3.0</v>
      </c>
      <c r="M52" s="73">
        <v>0.0</v>
      </c>
      <c r="N52" s="73">
        <v>1.0</v>
      </c>
      <c r="O52" s="73">
        <v>0.0</v>
      </c>
      <c r="P52" s="73">
        <v>2.0</v>
      </c>
      <c r="Q52" s="73">
        <v>0.0</v>
      </c>
      <c r="R52" s="73">
        <v>1.0</v>
      </c>
      <c r="S52" s="73">
        <v>1.0</v>
      </c>
      <c r="T52" s="73">
        <v>0.0</v>
      </c>
      <c r="U52" s="73">
        <v>0.0</v>
      </c>
      <c r="V52" s="73">
        <v>1.0</v>
      </c>
      <c r="W52" s="73">
        <v>0.0</v>
      </c>
      <c r="X52" s="73">
        <v>0.0</v>
      </c>
      <c r="Y52" s="73">
        <v>1.0</v>
      </c>
      <c r="Z52" s="73">
        <v>0.0</v>
      </c>
      <c r="AA52" s="73">
        <v>1.0</v>
      </c>
      <c r="AB52" s="73">
        <v>2.0</v>
      </c>
      <c r="AC52" s="73">
        <v>1.0</v>
      </c>
      <c r="AD52" s="73">
        <v>0.0</v>
      </c>
      <c r="AE52" s="73">
        <v>0.0</v>
      </c>
      <c r="AF52" s="73">
        <v>0.0</v>
      </c>
      <c r="AG52" s="73">
        <v>1.0</v>
      </c>
      <c r="AH52" s="73">
        <v>0.0</v>
      </c>
      <c r="AI52" s="73">
        <v>1.0</v>
      </c>
      <c r="AJ52" s="73">
        <v>0.0</v>
      </c>
      <c r="AK52" s="73">
        <v>0.0</v>
      </c>
      <c r="AL52" s="73">
        <v>0.0</v>
      </c>
      <c r="AM52" s="13">
        <f t="shared" si="14"/>
        <v>22</v>
      </c>
    </row>
    <row r="53" ht="12.75" customHeight="1">
      <c r="A53" s="18"/>
      <c r="B53" s="49"/>
      <c r="C53" s="50" t="s">
        <v>47</v>
      </c>
      <c r="D53" s="56"/>
      <c r="E53" s="73">
        <v>2.0</v>
      </c>
      <c r="F53" s="73">
        <v>0.0</v>
      </c>
      <c r="G53" s="73">
        <v>0.0</v>
      </c>
      <c r="H53" s="73">
        <v>0.0</v>
      </c>
      <c r="I53" s="73">
        <v>0.0</v>
      </c>
      <c r="J53" s="73">
        <v>1.0</v>
      </c>
      <c r="K53" s="73">
        <v>0.0</v>
      </c>
      <c r="L53" s="73">
        <v>0.0</v>
      </c>
      <c r="M53" s="73">
        <v>0.0</v>
      </c>
      <c r="N53" s="73">
        <v>0.0</v>
      </c>
      <c r="O53" s="73">
        <v>1.0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1.0</v>
      </c>
      <c r="AE53" s="73">
        <v>0.0</v>
      </c>
      <c r="AF53" s="73">
        <v>0.0</v>
      </c>
      <c r="AG53" s="73">
        <v>0.0</v>
      </c>
      <c r="AH53" s="73">
        <v>1.0</v>
      </c>
      <c r="AI53" s="73">
        <v>1.0</v>
      </c>
      <c r="AJ53" s="73">
        <v>0.0</v>
      </c>
      <c r="AK53" s="73">
        <v>0.0</v>
      </c>
      <c r="AL53" s="73">
        <v>0.0</v>
      </c>
      <c r="AM53" s="13">
        <f t="shared" si="14"/>
        <v>7</v>
      </c>
    </row>
    <row r="54" ht="12.75" customHeight="1">
      <c r="A54" s="18"/>
      <c r="B54" s="49"/>
      <c r="C54" s="50" t="s">
        <v>48</v>
      </c>
      <c r="D54" s="51"/>
      <c r="E54" s="73">
        <v>1.0</v>
      </c>
      <c r="F54" s="73">
        <v>0.0</v>
      </c>
      <c r="G54" s="73">
        <v>0.0</v>
      </c>
      <c r="H54" s="73">
        <v>0.0</v>
      </c>
      <c r="I54" s="73">
        <v>0.0</v>
      </c>
      <c r="J54" s="73">
        <v>2.0</v>
      </c>
      <c r="K54" s="73">
        <v>1.0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1.0</v>
      </c>
      <c r="V54" s="73">
        <v>0.0</v>
      </c>
      <c r="W54" s="73">
        <v>1.0</v>
      </c>
      <c r="X54" s="73">
        <v>0.0</v>
      </c>
      <c r="Y54" s="73">
        <v>0.0</v>
      </c>
      <c r="Z54" s="73">
        <v>0.0</v>
      </c>
      <c r="AA54" s="73">
        <v>1.0</v>
      </c>
      <c r="AB54" s="73">
        <v>0.0</v>
      </c>
      <c r="AC54" s="73">
        <v>0.0</v>
      </c>
      <c r="AD54" s="73">
        <v>2.0</v>
      </c>
      <c r="AE54" s="73">
        <v>2.0</v>
      </c>
      <c r="AF54" s="73">
        <v>0.0</v>
      </c>
      <c r="AG54" s="73">
        <v>0.0</v>
      </c>
      <c r="AH54" s="73">
        <v>0.0</v>
      </c>
      <c r="AI54" s="73">
        <v>1.0</v>
      </c>
      <c r="AJ54" s="73">
        <v>0.0</v>
      </c>
      <c r="AK54" s="73">
        <v>0.0</v>
      </c>
      <c r="AL54" s="73">
        <v>0.0</v>
      </c>
      <c r="AM54" s="13">
        <f t="shared" si="14"/>
        <v>12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M55" si="15">SUM(E45:E54)</f>
        <v>23</v>
      </c>
      <c r="F55" s="13">
        <f t="shared" si="15"/>
        <v>34</v>
      </c>
      <c r="G55" s="13">
        <f t="shared" si="15"/>
        <v>20</v>
      </c>
      <c r="H55" s="13">
        <f t="shared" si="15"/>
        <v>32</v>
      </c>
      <c r="I55" s="13">
        <f t="shared" si="15"/>
        <v>39</v>
      </c>
      <c r="J55" s="13">
        <f t="shared" si="15"/>
        <v>53</v>
      </c>
      <c r="K55" s="13">
        <f t="shared" si="15"/>
        <v>28</v>
      </c>
      <c r="L55" s="13">
        <f t="shared" si="15"/>
        <v>47</v>
      </c>
      <c r="M55" s="13">
        <f t="shared" si="15"/>
        <v>20</v>
      </c>
      <c r="N55" s="13">
        <f t="shared" si="15"/>
        <v>21</v>
      </c>
      <c r="O55" s="13">
        <f t="shared" si="15"/>
        <v>8</v>
      </c>
      <c r="P55" s="13">
        <f t="shared" si="15"/>
        <v>16</v>
      </c>
      <c r="Q55" s="13">
        <f t="shared" si="15"/>
        <v>13</v>
      </c>
      <c r="R55" s="13">
        <f t="shared" si="15"/>
        <v>26</v>
      </c>
      <c r="S55" s="13">
        <f t="shared" si="15"/>
        <v>14</v>
      </c>
      <c r="T55" s="13">
        <f t="shared" si="15"/>
        <v>20</v>
      </c>
      <c r="U55" s="13">
        <f t="shared" si="15"/>
        <v>20</v>
      </c>
      <c r="V55" s="13">
        <f t="shared" si="15"/>
        <v>10</v>
      </c>
      <c r="W55" s="13">
        <f t="shared" si="15"/>
        <v>22</v>
      </c>
      <c r="X55" s="13">
        <f t="shared" si="15"/>
        <v>38</v>
      </c>
      <c r="Y55" s="13">
        <f t="shared" si="15"/>
        <v>52</v>
      </c>
      <c r="Z55" s="13">
        <f t="shared" si="15"/>
        <v>22</v>
      </c>
      <c r="AA55" s="13">
        <f t="shared" si="15"/>
        <v>29</v>
      </c>
      <c r="AB55" s="13">
        <f t="shared" si="15"/>
        <v>48</v>
      </c>
      <c r="AC55" s="13">
        <f t="shared" si="15"/>
        <v>35</v>
      </c>
      <c r="AD55" s="13">
        <f t="shared" si="15"/>
        <v>52</v>
      </c>
      <c r="AE55" s="13">
        <f t="shared" si="15"/>
        <v>54</v>
      </c>
      <c r="AF55" s="13">
        <f t="shared" si="15"/>
        <v>31</v>
      </c>
      <c r="AG55" s="13">
        <f t="shared" si="15"/>
        <v>25</v>
      </c>
      <c r="AH55" s="13">
        <f t="shared" si="15"/>
        <v>32</v>
      </c>
      <c r="AI55" s="13">
        <f t="shared" si="15"/>
        <v>28</v>
      </c>
      <c r="AJ55" s="13">
        <f t="shared" si="15"/>
        <v>23</v>
      </c>
      <c r="AK55" s="13">
        <f t="shared" si="15"/>
        <v>25</v>
      </c>
      <c r="AL55" s="13">
        <f t="shared" si="15"/>
        <v>34</v>
      </c>
      <c r="AM55" s="13">
        <f t="shared" si="15"/>
        <v>994</v>
      </c>
    </row>
    <row r="56" ht="12.75" customHeight="1">
      <c r="A56" s="45"/>
      <c r="B56" s="44"/>
      <c r="C56" s="44"/>
      <c r="D56" s="44"/>
      <c r="E56" s="44"/>
      <c r="AM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13.0</v>
      </c>
      <c r="F57" s="73">
        <v>11.0</v>
      </c>
      <c r="G57" s="73">
        <v>17.0</v>
      </c>
      <c r="H57" s="73">
        <v>15.0</v>
      </c>
      <c r="I57" s="73">
        <v>7.0</v>
      </c>
      <c r="J57" s="73">
        <v>7.0</v>
      </c>
      <c r="K57" s="73">
        <v>6.0</v>
      </c>
      <c r="L57" s="73">
        <v>7.0</v>
      </c>
      <c r="M57" s="73">
        <v>23.0</v>
      </c>
      <c r="N57" s="73">
        <v>9.0</v>
      </c>
      <c r="O57" s="73">
        <v>6.0</v>
      </c>
      <c r="P57" s="73">
        <v>6.0</v>
      </c>
      <c r="Q57" s="73">
        <v>3.0</v>
      </c>
      <c r="R57" s="73">
        <v>2.0</v>
      </c>
      <c r="S57" s="73">
        <v>11.0</v>
      </c>
      <c r="T57" s="73">
        <v>5.0</v>
      </c>
      <c r="U57" s="73">
        <v>5.0</v>
      </c>
      <c r="V57" s="73">
        <v>6.0</v>
      </c>
      <c r="W57" s="73">
        <v>4.0</v>
      </c>
      <c r="X57" s="73">
        <v>6.0</v>
      </c>
      <c r="Y57" s="73">
        <v>9.0</v>
      </c>
      <c r="Z57" s="73">
        <v>11.0</v>
      </c>
      <c r="AA57" s="73">
        <v>5.0</v>
      </c>
      <c r="AB57" s="73">
        <v>11.0</v>
      </c>
      <c r="AC57" s="73">
        <v>17.0</v>
      </c>
      <c r="AD57" s="73">
        <v>17.0</v>
      </c>
      <c r="AE57" s="73">
        <v>8.0</v>
      </c>
      <c r="AF57" s="73">
        <v>9.0</v>
      </c>
      <c r="AG57" s="73">
        <v>5.0</v>
      </c>
      <c r="AH57" s="73">
        <v>2.0</v>
      </c>
      <c r="AI57" s="73">
        <v>12.0</v>
      </c>
      <c r="AJ57" s="73">
        <v>4.0</v>
      </c>
      <c r="AK57" s="73">
        <v>6.0</v>
      </c>
      <c r="AL57" s="73">
        <v>6.0</v>
      </c>
      <c r="AM57" s="13">
        <f t="shared" ref="AM57:AM66" si="16">SUM(E57:AL57)</f>
        <v>291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4.0</v>
      </c>
      <c r="F58" s="73">
        <v>4.0</v>
      </c>
      <c r="G58" s="73">
        <v>9.0</v>
      </c>
      <c r="H58" s="73">
        <v>4.0</v>
      </c>
      <c r="I58" s="73">
        <v>3.0</v>
      </c>
      <c r="J58" s="73">
        <v>11.0</v>
      </c>
      <c r="K58" s="73">
        <v>11.0</v>
      </c>
      <c r="L58" s="73">
        <v>23.0</v>
      </c>
      <c r="M58" s="73">
        <v>15.0</v>
      </c>
      <c r="N58" s="73">
        <v>3.0</v>
      </c>
      <c r="O58" s="73">
        <v>3.0</v>
      </c>
      <c r="P58" s="73">
        <v>1.0</v>
      </c>
      <c r="Q58" s="73">
        <v>2.0</v>
      </c>
      <c r="R58" s="73">
        <v>8.0</v>
      </c>
      <c r="S58" s="73">
        <v>2.0</v>
      </c>
      <c r="T58" s="73">
        <v>1.0</v>
      </c>
      <c r="U58" s="73">
        <v>7.0</v>
      </c>
      <c r="V58" s="73">
        <v>16.0</v>
      </c>
      <c r="W58" s="73">
        <v>4.0</v>
      </c>
      <c r="X58" s="73">
        <v>8.0</v>
      </c>
      <c r="Y58" s="73">
        <v>17.0</v>
      </c>
      <c r="Z58" s="73">
        <v>17.0</v>
      </c>
      <c r="AA58" s="73">
        <v>25.0</v>
      </c>
      <c r="AB58" s="73">
        <v>26.0</v>
      </c>
      <c r="AC58" s="73">
        <v>9.0</v>
      </c>
      <c r="AD58" s="73">
        <v>21.0</v>
      </c>
      <c r="AE58" s="73">
        <v>37.0</v>
      </c>
      <c r="AF58" s="73">
        <v>30.0</v>
      </c>
      <c r="AG58" s="73">
        <v>11.0</v>
      </c>
      <c r="AH58" s="73">
        <v>36.0</v>
      </c>
      <c r="AI58" s="73">
        <v>3.0</v>
      </c>
      <c r="AJ58" s="73">
        <v>14.0</v>
      </c>
      <c r="AK58" s="73">
        <v>29.0</v>
      </c>
      <c r="AL58" s="73">
        <v>36.0</v>
      </c>
      <c r="AM58" s="13">
        <f t="shared" si="16"/>
        <v>450</v>
      </c>
    </row>
    <row r="59" ht="12.75" customHeight="1">
      <c r="A59" s="18"/>
      <c r="B59" s="49"/>
      <c r="C59" s="50" t="s">
        <v>52</v>
      </c>
      <c r="D59" s="51"/>
      <c r="E59" s="73">
        <v>40.0</v>
      </c>
      <c r="F59" s="73">
        <v>15.0</v>
      </c>
      <c r="G59" s="73">
        <v>3.0</v>
      </c>
      <c r="H59" s="73">
        <v>0.0</v>
      </c>
      <c r="I59" s="73">
        <v>1.0</v>
      </c>
      <c r="J59" s="73">
        <v>5.0</v>
      </c>
      <c r="K59" s="73">
        <v>5.0</v>
      </c>
      <c r="L59" s="73">
        <v>12.0</v>
      </c>
      <c r="M59" s="73">
        <v>11.0</v>
      </c>
      <c r="N59" s="73">
        <v>5.0</v>
      </c>
      <c r="O59" s="73">
        <v>4.0</v>
      </c>
      <c r="P59" s="73">
        <v>12.0</v>
      </c>
      <c r="Q59" s="73">
        <v>6.0</v>
      </c>
      <c r="R59" s="73">
        <v>4.0</v>
      </c>
      <c r="S59" s="73">
        <v>10.0</v>
      </c>
      <c r="T59" s="73">
        <v>7.0</v>
      </c>
      <c r="U59" s="73">
        <v>5.0</v>
      </c>
      <c r="V59" s="73">
        <v>3.0</v>
      </c>
      <c r="W59" s="73">
        <v>2.0</v>
      </c>
      <c r="X59" s="73">
        <v>7.0</v>
      </c>
      <c r="Y59" s="73">
        <v>16.0</v>
      </c>
      <c r="Z59" s="73">
        <v>3.0</v>
      </c>
      <c r="AA59" s="73">
        <v>12.0</v>
      </c>
      <c r="AB59" s="73">
        <v>9.0</v>
      </c>
      <c r="AC59" s="73">
        <v>6.0</v>
      </c>
      <c r="AD59" s="73">
        <v>6.0</v>
      </c>
      <c r="AE59" s="73">
        <v>7.0</v>
      </c>
      <c r="AF59" s="73">
        <v>5.0</v>
      </c>
      <c r="AG59" s="73">
        <v>4.0</v>
      </c>
      <c r="AH59" s="73">
        <v>5.0</v>
      </c>
      <c r="AI59" s="73">
        <v>3.0</v>
      </c>
      <c r="AJ59" s="73">
        <v>8.0</v>
      </c>
      <c r="AK59" s="73">
        <v>4.0</v>
      </c>
      <c r="AL59" s="73">
        <v>7.0</v>
      </c>
      <c r="AM59" s="13">
        <f t="shared" si="16"/>
        <v>252</v>
      </c>
    </row>
    <row r="60" ht="12.75" customHeight="1">
      <c r="A60" s="18"/>
      <c r="B60" s="49"/>
      <c r="C60" s="50" t="s">
        <v>53</v>
      </c>
      <c r="D60" s="51"/>
      <c r="E60" s="73">
        <v>3.0</v>
      </c>
      <c r="F60" s="73">
        <v>1.0</v>
      </c>
      <c r="G60" s="73">
        <v>6.0</v>
      </c>
      <c r="H60" s="73">
        <v>3.0</v>
      </c>
      <c r="I60" s="73">
        <v>1.0</v>
      </c>
      <c r="J60" s="73">
        <v>3.0</v>
      </c>
      <c r="K60" s="73">
        <v>2.0</v>
      </c>
      <c r="L60" s="73">
        <v>0.0</v>
      </c>
      <c r="M60" s="73">
        <v>0.0</v>
      </c>
      <c r="N60" s="73">
        <v>1.0</v>
      </c>
      <c r="O60" s="73">
        <v>2.0</v>
      </c>
      <c r="P60" s="73">
        <v>0.0</v>
      </c>
      <c r="Q60" s="73">
        <v>0.0</v>
      </c>
      <c r="R60" s="73">
        <v>1.0</v>
      </c>
      <c r="S60" s="73">
        <v>2.0</v>
      </c>
      <c r="T60" s="73">
        <v>0.0</v>
      </c>
      <c r="U60" s="73">
        <v>1.0</v>
      </c>
      <c r="V60" s="73">
        <v>2.0</v>
      </c>
      <c r="W60" s="73">
        <v>1.0</v>
      </c>
      <c r="X60" s="73">
        <v>2.0</v>
      </c>
      <c r="Y60" s="73">
        <v>4.0</v>
      </c>
      <c r="Z60" s="73">
        <v>1.0</v>
      </c>
      <c r="AA60" s="73">
        <v>3.0</v>
      </c>
      <c r="AB60" s="73">
        <v>1.0</v>
      </c>
      <c r="AC60" s="73">
        <v>3.0</v>
      </c>
      <c r="AD60" s="73">
        <v>2.0</v>
      </c>
      <c r="AE60" s="73">
        <v>0.0</v>
      </c>
      <c r="AF60" s="73">
        <v>2.0</v>
      </c>
      <c r="AG60" s="73">
        <v>3.0</v>
      </c>
      <c r="AH60" s="73">
        <v>1.0</v>
      </c>
      <c r="AI60" s="73">
        <v>0.0</v>
      </c>
      <c r="AJ60" s="73">
        <v>1.0</v>
      </c>
      <c r="AK60" s="73">
        <v>1.0</v>
      </c>
      <c r="AL60" s="73">
        <v>2.0</v>
      </c>
      <c r="AM60" s="13">
        <f t="shared" si="16"/>
        <v>55</v>
      </c>
    </row>
    <row r="61" ht="12.75" customHeight="1">
      <c r="A61" s="18"/>
      <c r="B61" s="49"/>
      <c r="C61" s="50" t="s">
        <v>54</v>
      </c>
      <c r="D61" s="51"/>
      <c r="E61" s="73">
        <v>9.0</v>
      </c>
      <c r="F61" s="73">
        <v>9.0</v>
      </c>
      <c r="G61" s="73">
        <v>4.0</v>
      </c>
      <c r="H61" s="73">
        <v>37.0</v>
      </c>
      <c r="I61" s="73">
        <v>30.0</v>
      </c>
      <c r="J61" s="73">
        <v>28.0</v>
      </c>
      <c r="K61" s="73">
        <v>100.0</v>
      </c>
      <c r="L61" s="73">
        <v>30.0</v>
      </c>
      <c r="M61" s="73">
        <v>35.0</v>
      </c>
      <c r="N61" s="73">
        <v>1.0</v>
      </c>
      <c r="O61" s="73">
        <v>1.0</v>
      </c>
      <c r="P61" s="73">
        <v>6.0</v>
      </c>
      <c r="Q61" s="73">
        <v>3.0</v>
      </c>
      <c r="R61" s="73">
        <v>2.0</v>
      </c>
      <c r="S61" s="73">
        <v>1.0</v>
      </c>
      <c r="T61" s="73">
        <v>1.0</v>
      </c>
      <c r="U61" s="73">
        <v>11.0</v>
      </c>
      <c r="V61" s="73">
        <v>2.0</v>
      </c>
      <c r="W61" s="73">
        <v>9.0</v>
      </c>
      <c r="X61" s="73">
        <v>37.0</v>
      </c>
      <c r="Y61" s="73">
        <v>11.0</v>
      </c>
      <c r="Z61" s="73">
        <v>14.0</v>
      </c>
      <c r="AA61" s="73">
        <v>9.0</v>
      </c>
      <c r="AB61" s="73">
        <v>4.0</v>
      </c>
      <c r="AC61" s="73">
        <v>26.0</v>
      </c>
      <c r="AD61" s="73">
        <v>7.0</v>
      </c>
      <c r="AE61" s="73">
        <v>9.0</v>
      </c>
      <c r="AF61" s="73">
        <v>9.0</v>
      </c>
      <c r="AG61" s="73">
        <v>6.0</v>
      </c>
      <c r="AH61" s="73">
        <v>5.0</v>
      </c>
      <c r="AI61" s="73">
        <v>16.0</v>
      </c>
      <c r="AJ61" s="73">
        <v>36.0</v>
      </c>
      <c r="AK61" s="73">
        <v>31.0</v>
      </c>
      <c r="AL61" s="73">
        <v>18.0</v>
      </c>
      <c r="AM61" s="13">
        <f t="shared" si="16"/>
        <v>557</v>
      </c>
    </row>
    <row r="62" ht="12.75" customHeight="1">
      <c r="A62" s="18"/>
      <c r="B62" s="49"/>
      <c r="C62" s="50" t="s">
        <v>55</v>
      </c>
      <c r="D62" s="51"/>
      <c r="E62" s="73">
        <v>2.0</v>
      </c>
      <c r="F62" s="73">
        <v>1.0</v>
      </c>
      <c r="G62" s="73">
        <v>1.0</v>
      </c>
      <c r="H62" s="73">
        <v>1.0</v>
      </c>
      <c r="I62" s="73">
        <v>4.0</v>
      </c>
      <c r="J62" s="73">
        <v>0.0</v>
      </c>
      <c r="K62" s="73">
        <v>2.0</v>
      </c>
      <c r="L62" s="73">
        <v>0.0</v>
      </c>
      <c r="M62" s="73">
        <v>3.0</v>
      </c>
      <c r="N62" s="73">
        <v>0.0</v>
      </c>
      <c r="O62" s="73">
        <v>0.0</v>
      </c>
      <c r="P62" s="73">
        <v>0.0</v>
      </c>
      <c r="Q62" s="73">
        <v>1.0</v>
      </c>
      <c r="R62" s="73">
        <v>3.0</v>
      </c>
      <c r="S62" s="73">
        <v>3.0</v>
      </c>
      <c r="T62" s="73">
        <v>2.0</v>
      </c>
      <c r="U62" s="73">
        <v>2.0</v>
      </c>
      <c r="V62" s="73">
        <v>0.0</v>
      </c>
      <c r="W62" s="73">
        <v>0.0</v>
      </c>
      <c r="X62" s="73">
        <v>0.0</v>
      </c>
      <c r="Y62" s="73">
        <v>2.0</v>
      </c>
      <c r="Z62" s="73">
        <v>0.0</v>
      </c>
      <c r="AA62" s="73">
        <v>0.0</v>
      </c>
      <c r="AB62" s="73">
        <v>0.0</v>
      </c>
      <c r="AC62" s="73">
        <v>1.0</v>
      </c>
      <c r="AD62" s="73">
        <v>3.0</v>
      </c>
      <c r="AE62" s="73">
        <v>2.0</v>
      </c>
      <c r="AF62" s="73">
        <v>1.0</v>
      </c>
      <c r="AG62" s="73">
        <v>1.0</v>
      </c>
      <c r="AH62" s="73">
        <v>1.0</v>
      </c>
      <c r="AI62" s="73">
        <v>1.0</v>
      </c>
      <c r="AJ62" s="73">
        <v>0.0</v>
      </c>
      <c r="AK62" s="73">
        <v>2.0</v>
      </c>
      <c r="AL62" s="73">
        <v>0.0</v>
      </c>
      <c r="AM62" s="13">
        <f t="shared" si="16"/>
        <v>39</v>
      </c>
    </row>
    <row r="63" ht="12.75" customHeight="1">
      <c r="A63" s="18"/>
      <c r="B63" s="49"/>
      <c r="C63" s="50" t="s">
        <v>56</v>
      </c>
      <c r="D63" s="51"/>
      <c r="E63" s="73">
        <v>2.0</v>
      </c>
      <c r="F63" s="73">
        <v>1.0</v>
      </c>
      <c r="G63" s="73">
        <v>0.0</v>
      </c>
      <c r="H63" s="73">
        <v>0.0</v>
      </c>
      <c r="I63" s="73">
        <v>1.0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1.0</v>
      </c>
      <c r="U63" s="73">
        <v>0.0</v>
      </c>
      <c r="V63" s="73">
        <v>0.0</v>
      </c>
      <c r="W63" s="73">
        <v>1.0</v>
      </c>
      <c r="X63" s="73">
        <v>0.0</v>
      </c>
      <c r="Y63" s="73">
        <v>0.0</v>
      </c>
      <c r="Z63" s="73">
        <v>0.0</v>
      </c>
      <c r="AA63" s="73">
        <v>1.0</v>
      </c>
      <c r="AB63" s="73">
        <v>0.0</v>
      </c>
      <c r="AC63" s="73">
        <v>0.0</v>
      </c>
      <c r="AD63" s="73">
        <v>0.0</v>
      </c>
      <c r="AE63" s="73">
        <v>0.0</v>
      </c>
      <c r="AF63" s="73">
        <v>2.0</v>
      </c>
      <c r="AG63" s="73">
        <v>1.0</v>
      </c>
      <c r="AH63" s="73">
        <v>0.0</v>
      </c>
      <c r="AI63" s="73">
        <v>0.0</v>
      </c>
      <c r="AJ63" s="73">
        <v>0.0</v>
      </c>
      <c r="AK63" s="73">
        <v>0.0</v>
      </c>
      <c r="AL63" s="73">
        <v>0.0</v>
      </c>
      <c r="AM63" s="13">
        <f t="shared" si="16"/>
        <v>10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1.0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1.0</v>
      </c>
      <c r="AD64" s="73">
        <v>1.0</v>
      </c>
      <c r="AE64" s="73">
        <v>2.0</v>
      </c>
      <c r="AF64" s="73">
        <v>0.0</v>
      </c>
      <c r="AG64" s="73">
        <v>0.0</v>
      </c>
      <c r="AH64" s="73">
        <v>0.0</v>
      </c>
      <c r="AI64" s="73">
        <v>0.0</v>
      </c>
      <c r="AJ64" s="73">
        <v>1.0</v>
      </c>
      <c r="AK64" s="73">
        <v>0.0</v>
      </c>
      <c r="AL64" s="73">
        <v>1.0</v>
      </c>
      <c r="AM64" s="13">
        <f t="shared" si="16"/>
        <v>7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1.0</v>
      </c>
      <c r="G65" s="73">
        <v>0.0</v>
      </c>
      <c r="H65" s="73">
        <v>0.0</v>
      </c>
      <c r="I65" s="73">
        <v>1.0</v>
      </c>
      <c r="J65" s="73">
        <v>0.0</v>
      </c>
      <c r="K65" s="73">
        <v>0.0</v>
      </c>
      <c r="L65" s="73">
        <v>1.0</v>
      </c>
      <c r="M65" s="73">
        <v>0.0</v>
      </c>
      <c r="N65" s="73">
        <v>1.0</v>
      </c>
      <c r="O65" s="73">
        <v>1.0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73">
        <v>0.0</v>
      </c>
      <c r="AK65" s="73">
        <v>0.0</v>
      </c>
      <c r="AL65" s="73">
        <v>0.0</v>
      </c>
      <c r="AM65" s="13">
        <f t="shared" si="16"/>
        <v>5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1.0</v>
      </c>
      <c r="H66" s="73">
        <v>0.0</v>
      </c>
      <c r="I66" s="73">
        <v>0.0</v>
      </c>
      <c r="J66" s="73">
        <v>0.0</v>
      </c>
      <c r="K66" s="73">
        <v>1.0</v>
      </c>
      <c r="L66" s="73">
        <v>0.0</v>
      </c>
      <c r="M66" s="73">
        <v>0.0</v>
      </c>
      <c r="N66" s="73">
        <v>0.0</v>
      </c>
      <c r="O66" s="73">
        <v>1.0</v>
      </c>
      <c r="P66" s="73">
        <v>0.0</v>
      </c>
      <c r="Q66" s="73">
        <v>1.0</v>
      </c>
      <c r="R66" s="73">
        <v>0.0</v>
      </c>
      <c r="S66" s="73">
        <v>0.0</v>
      </c>
      <c r="T66" s="73">
        <v>0.0</v>
      </c>
      <c r="U66" s="73">
        <v>0.0</v>
      </c>
      <c r="V66" s="73">
        <v>1.0</v>
      </c>
      <c r="W66" s="73">
        <v>2.0</v>
      </c>
      <c r="X66" s="73">
        <v>0.0</v>
      </c>
      <c r="Y66" s="73">
        <v>0.0</v>
      </c>
      <c r="Z66" s="73">
        <v>0.0</v>
      </c>
      <c r="AA66" s="73">
        <v>0.0</v>
      </c>
      <c r="AB66" s="73">
        <v>0.0</v>
      </c>
      <c r="AC66" s="73">
        <v>0.0</v>
      </c>
      <c r="AD66" s="73">
        <v>0.0</v>
      </c>
      <c r="AE66" s="73">
        <v>1.0</v>
      </c>
      <c r="AF66" s="73">
        <v>0.0</v>
      </c>
      <c r="AG66" s="73">
        <v>1.0</v>
      </c>
      <c r="AH66" s="73">
        <v>0.0</v>
      </c>
      <c r="AI66" s="73">
        <v>0.0</v>
      </c>
      <c r="AJ66" s="73">
        <v>1.0</v>
      </c>
      <c r="AK66" s="73">
        <v>0.0</v>
      </c>
      <c r="AL66" s="73">
        <v>0.0</v>
      </c>
      <c r="AM66" s="13">
        <f t="shared" si="16"/>
        <v>10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M67" si="17">SUM(E57:E66)</f>
        <v>73</v>
      </c>
      <c r="F67" s="13">
        <f t="shared" si="17"/>
        <v>43</v>
      </c>
      <c r="G67" s="13">
        <f t="shared" si="17"/>
        <v>41</v>
      </c>
      <c r="H67" s="13">
        <f t="shared" si="17"/>
        <v>60</v>
      </c>
      <c r="I67" s="13">
        <f t="shared" si="17"/>
        <v>48</v>
      </c>
      <c r="J67" s="13">
        <f t="shared" si="17"/>
        <v>54</v>
      </c>
      <c r="K67" s="13">
        <f t="shared" si="17"/>
        <v>127</v>
      </c>
      <c r="L67" s="13">
        <f t="shared" si="17"/>
        <v>73</v>
      </c>
      <c r="M67" s="13">
        <f t="shared" si="17"/>
        <v>87</v>
      </c>
      <c r="N67" s="13">
        <f t="shared" si="17"/>
        <v>20</v>
      </c>
      <c r="O67" s="13">
        <f t="shared" si="17"/>
        <v>18</v>
      </c>
      <c r="P67" s="13">
        <f t="shared" si="17"/>
        <v>26</v>
      </c>
      <c r="Q67" s="13">
        <f t="shared" si="17"/>
        <v>16</v>
      </c>
      <c r="R67" s="13">
        <f t="shared" si="17"/>
        <v>20</v>
      </c>
      <c r="S67" s="13">
        <f t="shared" si="17"/>
        <v>29</v>
      </c>
      <c r="T67" s="13">
        <f t="shared" si="17"/>
        <v>17</v>
      </c>
      <c r="U67" s="13">
        <f t="shared" si="17"/>
        <v>31</v>
      </c>
      <c r="V67" s="13">
        <f t="shared" si="17"/>
        <v>30</v>
      </c>
      <c r="W67" s="13">
        <f t="shared" si="17"/>
        <v>23</v>
      </c>
      <c r="X67" s="13">
        <f t="shared" si="17"/>
        <v>60</v>
      </c>
      <c r="Y67" s="13">
        <f t="shared" si="17"/>
        <v>59</v>
      </c>
      <c r="Z67" s="13">
        <f t="shared" si="17"/>
        <v>46</v>
      </c>
      <c r="AA67" s="13">
        <f t="shared" si="17"/>
        <v>55</v>
      </c>
      <c r="AB67" s="13">
        <f t="shared" si="17"/>
        <v>51</v>
      </c>
      <c r="AC67" s="13">
        <f t="shared" si="17"/>
        <v>63</v>
      </c>
      <c r="AD67" s="13">
        <f t="shared" si="17"/>
        <v>57</v>
      </c>
      <c r="AE67" s="13">
        <f t="shared" si="17"/>
        <v>66</v>
      </c>
      <c r="AF67" s="13">
        <f t="shared" si="17"/>
        <v>58</v>
      </c>
      <c r="AG67" s="13">
        <f t="shared" si="17"/>
        <v>32</v>
      </c>
      <c r="AH67" s="13">
        <f t="shared" si="17"/>
        <v>50</v>
      </c>
      <c r="AI67" s="13">
        <f t="shared" si="17"/>
        <v>35</v>
      </c>
      <c r="AJ67" s="13">
        <f t="shared" si="17"/>
        <v>65</v>
      </c>
      <c r="AK67" s="13">
        <f t="shared" si="17"/>
        <v>73</v>
      </c>
      <c r="AL67" s="13">
        <f t="shared" si="17"/>
        <v>70</v>
      </c>
      <c r="AM67" s="13">
        <f t="shared" si="17"/>
        <v>1676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8.0</v>
      </c>
      <c r="F69" s="73">
        <v>10.0</v>
      </c>
      <c r="G69" s="73">
        <v>2.0</v>
      </c>
      <c r="H69" s="73">
        <v>5.0</v>
      </c>
      <c r="I69" s="73">
        <v>13.0</v>
      </c>
      <c r="J69" s="73">
        <v>14.0</v>
      </c>
      <c r="K69" s="73">
        <v>8.0</v>
      </c>
      <c r="L69" s="73">
        <v>17.0</v>
      </c>
      <c r="M69" s="73">
        <v>7.0</v>
      </c>
      <c r="N69" s="73">
        <v>5.0</v>
      </c>
      <c r="O69" s="73">
        <v>10.0</v>
      </c>
      <c r="P69" s="73">
        <v>6.0</v>
      </c>
      <c r="Q69" s="73">
        <v>5.0</v>
      </c>
      <c r="R69" s="73">
        <v>9.0</v>
      </c>
      <c r="S69" s="73">
        <v>8.0</v>
      </c>
      <c r="T69" s="73">
        <v>11.0</v>
      </c>
      <c r="U69" s="73">
        <v>3.0</v>
      </c>
      <c r="V69" s="73">
        <v>5.0</v>
      </c>
      <c r="W69" s="73">
        <v>5.0</v>
      </c>
      <c r="X69" s="73">
        <v>3.0</v>
      </c>
      <c r="Y69" s="73">
        <v>6.0</v>
      </c>
      <c r="Z69" s="73">
        <v>4.0</v>
      </c>
      <c r="AA69" s="73">
        <v>4.0</v>
      </c>
      <c r="AB69" s="73">
        <v>4.0</v>
      </c>
      <c r="AC69" s="73">
        <v>3.0</v>
      </c>
      <c r="AD69" s="73">
        <v>1.0</v>
      </c>
      <c r="AE69" s="73">
        <v>7.0</v>
      </c>
      <c r="AF69" s="73">
        <v>1.0</v>
      </c>
      <c r="AG69" s="73">
        <v>2.0</v>
      </c>
      <c r="AH69" s="73">
        <v>2.0</v>
      </c>
      <c r="AI69" s="73">
        <v>11.0</v>
      </c>
      <c r="AJ69" s="73">
        <v>2.0</v>
      </c>
      <c r="AK69" s="73">
        <v>2.0</v>
      </c>
      <c r="AL69" s="73">
        <v>2.0</v>
      </c>
      <c r="AM69" s="13">
        <f t="shared" ref="AM69:AM78" si="18">SUM(E69:AL69)</f>
        <v>205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8.0</v>
      </c>
      <c r="F70" s="73">
        <v>16.0</v>
      </c>
      <c r="G70" s="73">
        <v>41.0</v>
      </c>
      <c r="H70" s="73">
        <v>16.0</v>
      </c>
      <c r="I70" s="73">
        <v>4.0</v>
      </c>
      <c r="J70" s="73">
        <v>5.0</v>
      </c>
      <c r="K70" s="73">
        <v>1.0</v>
      </c>
      <c r="L70" s="73">
        <v>6.0</v>
      </c>
      <c r="M70" s="73">
        <v>5.0</v>
      </c>
      <c r="N70" s="73">
        <v>1.0</v>
      </c>
      <c r="O70" s="73">
        <v>6.0</v>
      </c>
      <c r="P70" s="73">
        <v>6.0</v>
      </c>
      <c r="Q70" s="73">
        <v>10.0</v>
      </c>
      <c r="R70" s="73">
        <v>1.0</v>
      </c>
      <c r="S70" s="73">
        <v>5.0</v>
      </c>
      <c r="T70" s="73">
        <v>10.0</v>
      </c>
      <c r="U70" s="73">
        <v>4.0</v>
      </c>
      <c r="V70" s="73">
        <v>5.0</v>
      </c>
      <c r="W70" s="73">
        <v>4.0</v>
      </c>
      <c r="X70" s="73">
        <v>4.0</v>
      </c>
      <c r="Y70" s="73">
        <v>1.0</v>
      </c>
      <c r="Z70" s="73">
        <v>3.0</v>
      </c>
      <c r="AA70" s="73">
        <v>2.0</v>
      </c>
      <c r="AB70" s="73">
        <v>2.0</v>
      </c>
      <c r="AC70" s="73">
        <v>8.0</v>
      </c>
      <c r="AD70" s="73">
        <v>3.0</v>
      </c>
      <c r="AE70" s="73">
        <v>0.0</v>
      </c>
      <c r="AF70" s="73">
        <v>2.0</v>
      </c>
      <c r="AG70" s="73">
        <v>3.0</v>
      </c>
      <c r="AH70" s="73">
        <v>1.0</v>
      </c>
      <c r="AI70" s="73">
        <v>1.0</v>
      </c>
      <c r="AJ70" s="73">
        <v>1.0</v>
      </c>
      <c r="AK70" s="73">
        <v>1.0</v>
      </c>
      <c r="AL70" s="73">
        <v>1.0</v>
      </c>
      <c r="AM70" s="13">
        <f t="shared" si="18"/>
        <v>187</v>
      </c>
    </row>
    <row r="71" ht="12.75" customHeight="1">
      <c r="A71" s="18"/>
      <c r="B71" s="49"/>
      <c r="C71" s="50" t="s">
        <v>62</v>
      </c>
      <c r="D71" s="51"/>
      <c r="E71" s="73">
        <v>3.0</v>
      </c>
      <c r="F71" s="73">
        <v>5.0</v>
      </c>
      <c r="G71" s="73">
        <v>1.0</v>
      </c>
      <c r="H71" s="73">
        <v>1.0</v>
      </c>
      <c r="I71" s="73">
        <v>6.0</v>
      </c>
      <c r="J71" s="73">
        <v>1.0</v>
      </c>
      <c r="K71" s="73">
        <v>0.0</v>
      </c>
      <c r="L71" s="73">
        <v>4.0</v>
      </c>
      <c r="M71" s="73">
        <v>5.0</v>
      </c>
      <c r="N71" s="73">
        <v>10.0</v>
      </c>
      <c r="O71" s="73">
        <v>9.0</v>
      </c>
      <c r="P71" s="73">
        <v>18.0</v>
      </c>
      <c r="Q71" s="73">
        <v>5.0</v>
      </c>
      <c r="R71" s="73">
        <v>7.0</v>
      </c>
      <c r="S71" s="73">
        <v>12.0</v>
      </c>
      <c r="T71" s="73">
        <v>11.0</v>
      </c>
      <c r="U71" s="73">
        <v>3.0</v>
      </c>
      <c r="V71" s="73">
        <v>3.0</v>
      </c>
      <c r="W71" s="73">
        <v>3.0</v>
      </c>
      <c r="X71" s="73">
        <v>3.0</v>
      </c>
      <c r="Y71" s="73">
        <v>3.0</v>
      </c>
      <c r="Z71" s="73">
        <v>3.0</v>
      </c>
      <c r="AA71" s="73">
        <v>5.0</v>
      </c>
      <c r="AB71" s="73">
        <v>3.0</v>
      </c>
      <c r="AC71" s="73">
        <v>6.0</v>
      </c>
      <c r="AD71" s="73">
        <v>5.0</v>
      </c>
      <c r="AE71" s="73">
        <v>2.0</v>
      </c>
      <c r="AF71" s="73">
        <v>1.0</v>
      </c>
      <c r="AG71" s="73">
        <v>3.0</v>
      </c>
      <c r="AH71" s="73">
        <v>1.0</v>
      </c>
      <c r="AI71" s="73">
        <v>7.0</v>
      </c>
      <c r="AJ71" s="73">
        <v>3.0</v>
      </c>
      <c r="AK71" s="73">
        <v>1.0</v>
      </c>
      <c r="AL71" s="73">
        <v>2.0</v>
      </c>
      <c r="AM71" s="13">
        <f t="shared" si="18"/>
        <v>155</v>
      </c>
    </row>
    <row r="72" ht="12.75" customHeight="1">
      <c r="A72" s="18"/>
      <c r="B72" s="49"/>
      <c r="C72" s="50" t="s">
        <v>63</v>
      </c>
      <c r="D72" s="51"/>
      <c r="E72" s="73">
        <v>2.0</v>
      </c>
      <c r="F72" s="73">
        <v>1.0</v>
      </c>
      <c r="G72" s="73">
        <v>1.0</v>
      </c>
      <c r="H72" s="73">
        <v>1.0</v>
      </c>
      <c r="I72" s="73">
        <v>1.0</v>
      </c>
      <c r="J72" s="73">
        <v>7.0</v>
      </c>
      <c r="K72" s="73">
        <v>4.0</v>
      </c>
      <c r="L72" s="73">
        <v>3.0</v>
      </c>
      <c r="M72" s="73">
        <v>1.0</v>
      </c>
      <c r="N72" s="73">
        <v>3.0</v>
      </c>
      <c r="O72" s="73">
        <v>1.0</v>
      </c>
      <c r="P72" s="73">
        <v>1.0</v>
      </c>
      <c r="Q72" s="73">
        <v>6.0</v>
      </c>
      <c r="R72" s="73">
        <v>2.0</v>
      </c>
      <c r="S72" s="73">
        <v>1.0</v>
      </c>
      <c r="T72" s="73">
        <v>2.0</v>
      </c>
      <c r="U72" s="73">
        <v>2.0</v>
      </c>
      <c r="V72" s="73">
        <v>6.0</v>
      </c>
      <c r="W72" s="73">
        <v>1.0</v>
      </c>
      <c r="X72" s="73">
        <v>3.0</v>
      </c>
      <c r="Y72" s="73">
        <v>5.0</v>
      </c>
      <c r="Z72" s="73">
        <v>2.0</v>
      </c>
      <c r="AA72" s="73">
        <v>2.0</v>
      </c>
      <c r="AB72" s="73">
        <v>2.0</v>
      </c>
      <c r="AC72" s="73">
        <v>1.0</v>
      </c>
      <c r="AD72" s="73">
        <v>4.0</v>
      </c>
      <c r="AE72" s="73">
        <v>1.0</v>
      </c>
      <c r="AF72" s="73">
        <v>4.0</v>
      </c>
      <c r="AG72" s="73">
        <v>0.0</v>
      </c>
      <c r="AH72" s="73">
        <v>0.0</v>
      </c>
      <c r="AI72" s="73">
        <v>1.0</v>
      </c>
      <c r="AJ72" s="73">
        <v>2.0</v>
      </c>
      <c r="AK72" s="73">
        <v>0.0</v>
      </c>
      <c r="AL72" s="73">
        <v>1.0</v>
      </c>
      <c r="AM72" s="13">
        <f t="shared" si="18"/>
        <v>74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0.0</v>
      </c>
      <c r="G73" s="73">
        <v>0.0</v>
      </c>
      <c r="H73" s="73">
        <v>1.0</v>
      </c>
      <c r="I73" s="73">
        <v>2.0</v>
      </c>
      <c r="J73" s="73">
        <v>0.0</v>
      </c>
      <c r="K73" s="73">
        <v>0.0</v>
      </c>
      <c r="L73" s="73">
        <v>4.0</v>
      </c>
      <c r="M73" s="73">
        <v>4.0</v>
      </c>
      <c r="N73" s="73">
        <v>3.0</v>
      </c>
      <c r="O73" s="73">
        <v>0.0</v>
      </c>
      <c r="P73" s="73">
        <v>1.0</v>
      </c>
      <c r="Q73" s="73">
        <v>1.0</v>
      </c>
      <c r="R73" s="73">
        <v>1.0</v>
      </c>
      <c r="S73" s="73">
        <v>4.0</v>
      </c>
      <c r="T73" s="73">
        <v>4.0</v>
      </c>
      <c r="U73" s="73">
        <v>2.0</v>
      </c>
      <c r="V73" s="73">
        <v>2.0</v>
      </c>
      <c r="W73" s="73">
        <v>2.0</v>
      </c>
      <c r="X73" s="73">
        <v>1.0</v>
      </c>
      <c r="Y73" s="73">
        <v>1.0</v>
      </c>
      <c r="Z73" s="73">
        <v>3.0</v>
      </c>
      <c r="AA73" s="73">
        <v>0.0</v>
      </c>
      <c r="AB73" s="73">
        <v>2.0</v>
      </c>
      <c r="AC73" s="73">
        <v>4.0</v>
      </c>
      <c r="AD73" s="73">
        <v>1.0</v>
      </c>
      <c r="AE73" s="73">
        <v>2.0</v>
      </c>
      <c r="AF73" s="73">
        <v>0.0</v>
      </c>
      <c r="AG73" s="73">
        <v>1.0</v>
      </c>
      <c r="AH73" s="73">
        <v>1.0</v>
      </c>
      <c r="AI73" s="73">
        <v>5.0</v>
      </c>
      <c r="AJ73" s="73">
        <v>0.0</v>
      </c>
      <c r="AK73" s="73">
        <v>1.0</v>
      </c>
      <c r="AL73" s="73">
        <v>2.0</v>
      </c>
      <c r="AM73" s="13">
        <f t="shared" si="18"/>
        <v>57</v>
      </c>
    </row>
    <row r="74" ht="12.75" customHeight="1">
      <c r="A74" s="18"/>
      <c r="B74" s="49"/>
      <c r="C74" s="50" t="s">
        <v>65</v>
      </c>
      <c r="D74" s="51"/>
      <c r="E74" s="73">
        <v>1.0</v>
      </c>
      <c r="F74" s="73">
        <v>1.0</v>
      </c>
      <c r="G74" s="73">
        <v>0.0</v>
      </c>
      <c r="H74" s="73">
        <v>0.0</v>
      </c>
      <c r="I74" s="73">
        <v>1.0</v>
      </c>
      <c r="J74" s="73">
        <v>1.0</v>
      </c>
      <c r="K74" s="73">
        <v>0.0</v>
      </c>
      <c r="L74" s="73">
        <v>1.0</v>
      </c>
      <c r="M74" s="73">
        <v>0.0</v>
      </c>
      <c r="N74" s="73">
        <v>1.0</v>
      </c>
      <c r="O74" s="73">
        <v>1.0</v>
      </c>
      <c r="P74" s="73">
        <v>0.0</v>
      </c>
      <c r="Q74" s="73">
        <v>0.0</v>
      </c>
      <c r="R74" s="73">
        <v>1.0</v>
      </c>
      <c r="S74" s="73">
        <v>0.0</v>
      </c>
      <c r="T74" s="73">
        <v>1.0</v>
      </c>
      <c r="U74" s="73">
        <v>0.0</v>
      </c>
      <c r="V74" s="73">
        <v>0.0</v>
      </c>
      <c r="W74" s="73">
        <v>1.0</v>
      </c>
      <c r="X74" s="73">
        <v>0.0</v>
      </c>
      <c r="Y74" s="73">
        <v>4.0</v>
      </c>
      <c r="Z74" s="73">
        <v>0.0</v>
      </c>
      <c r="AA74" s="73">
        <v>0.0</v>
      </c>
      <c r="AB74" s="73">
        <v>0.0</v>
      </c>
      <c r="AC74" s="73">
        <v>1.0</v>
      </c>
      <c r="AD74" s="73">
        <v>0.0</v>
      </c>
      <c r="AE74" s="73">
        <v>2.0</v>
      </c>
      <c r="AF74" s="73">
        <v>2.0</v>
      </c>
      <c r="AG74" s="73">
        <v>1.0</v>
      </c>
      <c r="AH74" s="73">
        <v>0.0</v>
      </c>
      <c r="AI74" s="73">
        <v>0.0</v>
      </c>
      <c r="AJ74" s="73">
        <v>0.0</v>
      </c>
      <c r="AK74" s="73">
        <v>0.0</v>
      </c>
      <c r="AL74" s="73">
        <v>0.0</v>
      </c>
      <c r="AM74" s="13">
        <f t="shared" si="18"/>
        <v>20</v>
      </c>
    </row>
    <row r="75" ht="12.75" customHeight="1">
      <c r="A75" s="18"/>
      <c r="B75" s="49"/>
      <c r="C75" s="50" t="s">
        <v>66</v>
      </c>
      <c r="D75" s="51"/>
      <c r="E75" s="73">
        <v>3.0</v>
      </c>
      <c r="F75" s="73">
        <v>0.0</v>
      </c>
      <c r="G75" s="73">
        <v>0.0</v>
      </c>
      <c r="H75" s="73">
        <v>1.0</v>
      </c>
      <c r="I75" s="73">
        <v>2.0</v>
      </c>
      <c r="J75" s="73">
        <v>0.0</v>
      </c>
      <c r="K75" s="73">
        <v>2.0</v>
      </c>
      <c r="L75" s="73">
        <v>0.0</v>
      </c>
      <c r="M75" s="73">
        <v>2.0</v>
      </c>
      <c r="N75" s="73">
        <v>0.0</v>
      </c>
      <c r="O75" s="73">
        <v>0.0</v>
      </c>
      <c r="P75" s="73">
        <v>0.0</v>
      </c>
      <c r="Q75" s="73">
        <v>0.0</v>
      </c>
      <c r="R75" s="73">
        <v>1.0</v>
      </c>
      <c r="S75" s="73">
        <v>3.0</v>
      </c>
      <c r="T75" s="73">
        <v>0.0</v>
      </c>
      <c r="U75" s="73">
        <v>0.0</v>
      </c>
      <c r="V75" s="73">
        <v>1.0</v>
      </c>
      <c r="W75" s="73">
        <v>0.0</v>
      </c>
      <c r="X75" s="73">
        <v>0.0</v>
      </c>
      <c r="Y75" s="73">
        <v>2.0</v>
      </c>
      <c r="Z75" s="73">
        <v>1.0</v>
      </c>
      <c r="AA75" s="73">
        <v>0.0</v>
      </c>
      <c r="AB75" s="73">
        <v>1.0</v>
      </c>
      <c r="AC75" s="73">
        <v>0.0</v>
      </c>
      <c r="AD75" s="73">
        <v>1.0</v>
      </c>
      <c r="AE75" s="73">
        <v>0.0</v>
      </c>
      <c r="AF75" s="73">
        <v>0.0</v>
      </c>
      <c r="AG75" s="73">
        <v>0.0</v>
      </c>
      <c r="AH75" s="73">
        <v>0.0</v>
      </c>
      <c r="AI75" s="73">
        <v>2.0</v>
      </c>
      <c r="AJ75" s="73">
        <v>0.0</v>
      </c>
      <c r="AK75" s="73">
        <v>0.0</v>
      </c>
      <c r="AL75" s="73">
        <v>0.0</v>
      </c>
      <c r="AM75" s="13">
        <f t="shared" si="18"/>
        <v>22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1.0</v>
      </c>
      <c r="G76" s="73">
        <v>2.0</v>
      </c>
      <c r="H76" s="73">
        <v>1.0</v>
      </c>
      <c r="I76" s="73">
        <v>0.0</v>
      </c>
      <c r="J76" s="73">
        <v>0.0</v>
      </c>
      <c r="K76" s="73">
        <v>1.0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0.0</v>
      </c>
      <c r="R76" s="73">
        <v>0.0</v>
      </c>
      <c r="S76" s="73">
        <v>0.0</v>
      </c>
      <c r="T76" s="73">
        <v>3.0</v>
      </c>
      <c r="U76" s="73">
        <v>0.0</v>
      </c>
      <c r="V76" s="73">
        <v>0.0</v>
      </c>
      <c r="W76" s="73">
        <v>1.0</v>
      </c>
      <c r="X76" s="73">
        <v>0.0</v>
      </c>
      <c r="Y76" s="73">
        <v>0.0</v>
      </c>
      <c r="Z76" s="73">
        <v>0.0</v>
      </c>
      <c r="AA76" s="73">
        <v>1.0</v>
      </c>
      <c r="AB76" s="73">
        <v>0.0</v>
      </c>
      <c r="AC76" s="73">
        <v>1.0</v>
      </c>
      <c r="AD76" s="73">
        <v>0.0</v>
      </c>
      <c r="AE76" s="73">
        <v>0.0</v>
      </c>
      <c r="AF76" s="73">
        <v>0.0</v>
      </c>
      <c r="AG76" s="73">
        <v>1.0</v>
      </c>
      <c r="AH76" s="73">
        <v>0.0</v>
      </c>
      <c r="AI76" s="73">
        <v>2.0</v>
      </c>
      <c r="AJ76" s="73">
        <v>0.0</v>
      </c>
      <c r="AK76" s="73">
        <v>0.0</v>
      </c>
      <c r="AL76" s="73">
        <v>0.0</v>
      </c>
      <c r="AM76" s="13">
        <f t="shared" si="18"/>
        <v>14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1.0</v>
      </c>
      <c r="G77" s="73">
        <v>0.0</v>
      </c>
      <c r="H77" s="73">
        <v>0.0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0.0</v>
      </c>
      <c r="R77" s="73">
        <v>0.0</v>
      </c>
      <c r="S77" s="73">
        <v>0.0</v>
      </c>
      <c r="T77" s="73">
        <v>0.0</v>
      </c>
      <c r="U77" s="73">
        <v>2.0</v>
      </c>
      <c r="V77" s="73">
        <v>0.0</v>
      </c>
      <c r="W77" s="73">
        <v>0.0</v>
      </c>
      <c r="X77" s="73">
        <v>0.0</v>
      </c>
      <c r="Y77" s="73">
        <v>0.0</v>
      </c>
      <c r="Z77" s="73">
        <v>2.0</v>
      </c>
      <c r="AA77" s="73">
        <v>0.0</v>
      </c>
      <c r="AB77" s="73">
        <v>0.0</v>
      </c>
      <c r="AC77" s="73">
        <v>1.0</v>
      </c>
      <c r="AD77" s="73">
        <v>0.0</v>
      </c>
      <c r="AE77" s="73">
        <v>0.0</v>
      </c>
      <c r="AF77" s="73">
        <v>0.0</v>
      </c>
      <c r="AG77" s="73">
        <v>0.0</v>
      </c>
      <c r="AH77" s="73">
        <v>0.0</v>
      </c>
      <c r="AI77" s="73">
        <v>0.0</v>
      </c>
      <c r="AJ77" s="73">
        <v>0.0</v>
      </c>
      <c r="AK77" s="73">
        <v>0.0</v>
      </c>
      <c r="AL77" s="73">
        <v>1.0</v>
      </c>
      <c r="AM77" s="13">
        <f t="shared" si="18"/>
        <v>7</v>
      </c>
    </row>
    <row r="78" ht="12.75" customHeight="1">
      <c r="A78" s="18"/>
      <c r="B78" s="49"/>
      <c r="C78" s="50" t="s">
        <v>69</v>
      </c>
      <c r="D78" s="51"/>
      <c r="E78" s="73">
        <v>1.0</v>
      </c>
      <c r="F78" s="73">
        <v>1.0</v>
      </c>
      <c r="G78" s="73">
        <v>0.0</v>
      </c>
      <c r="H78" s="73">
        <v>1.0</v>
      </c>
      <c r="I78" s="73">
        <v>1.0</v>
      </c>
      <c r="J78" s="73">
        <v>0.0</v>
      </c>
      <c r="K78" s="73">
        <v>1.0</v>
      </c>
      <c r="L78" s="73">
        <v>1.0</v>
      </c>
      <c r="M78" s="73">
        <v>2.0</v>
      </c>
      <c r="N78" s="73">
        <v>2.0</v>
      </c>
      <c r="O78" s="73">
        <v>0.0</v>
      </c>
      <c r="P78" s="73">
        <v>0.0</v>
      </c>
      <c r="Q78" s="73">
        <v>1.0</v>
      </c>
      <c r="R78" s="73">
        <v>0.0</v>
      </c>
      <c r="S78" s="73">
        <v>0.0</v>
      </c>
      <c r="T78" s="73">
        <v>2.0</v>
      </c>
      <c r="U78" s="73">
        <v>2.0</v>
      </c>
      <c r="V78" s="73">
        <v>1.0</v>
      </c>
      <c r="W78" s="73">
        <v>1.0</v>
      </c>
      <c r="X78" s="73">
        <v>0.0</v>
      </c>
      <c r="Y78" s="73">
        <v>1.0</v>
      </c>
      <c r="Z78" s="73">
        <v>1.0</v>
      </c>
      <c r="AA78" s="73">
        <v>0.0</v>
      </c>
      <c r="AB78" s="73">
        <v>2.0</v>
      </c>
      <c r="AC78" s="73">
        <v>0.0</v>
      </c>
      <c r="AD78" s="73">
        <v>0.0</v>
      </c>
      <c r="AE78" s="73">
        <v>1.0</v>
      </c>
      <c r="AF78" s="73">
        <v>0.0</v>
      </c>
      <c r="AG78" s="73">
        <v>0.0</v>
      </c>
      <c r="AH78" s="73">
        <v>1.0</v>
      </c>
      <c r="AI78" s="73">
        <v>0.0</v>
      </c>
      <c r="AJ78" s="73">
        <v>0.0</v>
      </c>
      <c r="AK78" s="73">
        <v>1.0</v>
      </c>
      <c r="AL78" s="73">
        <v>0.0</v>
      </c>
      <c r="AM78" s="13">
        <f t="shared" si="18"/>
        <v>24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M79" si="19">SUM(E69:E78)</f>
        <v>28</v>
      </c>
      <c r="F79" s="13">
        <f t="shared" si="19"/>
        <v>36</v>
      </c>
      <c r="G79" s="13">
        <f t="shared" si="19"/>
        <v>47</v>
      </c>
      <c r="H79" s="13">
        <f t="shared" si="19"/>
        <v>27</v>
      </c>
      <c r="I79" s="13">
        <f t="shared" si="19"/>
        <v>30</v>
      </c>
      <c r="J79" s="13">
        <f t="shared" si="19"/>
        <v>28</v>
      </c>
      <c r="K79" s="13">
        <f t="shared" si="19"/>
        <v>17</v>
      </c>
      <c r="L79" s="13">
        <f t="shared" si="19"/>
        <v>36</v>
      </c>
      <c r="M79" s="13">
        <f t="shared" si="19"/>
        <v>26</v>
      </c>
      <c r="N79" s="13">
        <f t="shared" si="19"/>
        <v>25</v>
      </c>
      <c r="O79" s="13">
        <f t="shared" si="19"/>
        <v>27</v>
      </c>
      <c r="P79" s="13">
        <f t="shared" si="19"/>
        <v>32</v>
      </c>
      <c r="Q79" s="13">
        <f t="shared" si="19"/>
        <v>28</v>
      </c>
      <c r="R79" s="13">
        <f t="shared" si="19"/>
        <v>22</v>
      </c>
      <c r="S79" s="13">
        <f t="shared" si="19"/>
        <v>33</v>
      </c>
      <c r="T79" s="13">
        <f t="shared" si="19"/>
        <v>44</v>
      </c>
      <c r="U79" s="13">
        <f t="shared" si="19"/>
        <v>18</v>
      </c>
      <c r="V79" s="13">
        <f t="shared" si="19"/>
        <v>23</v>
      </c>
      <c r="W79" s="13">
        <f t="shared" si="19"/>
        <v>18</v>
      </c>
      <c r="X79" s="13">
        <f t="shared" si="19"/>
        <v>14</v>
      </c>
      <c r="Y79" s="13">
        <f t="shared" si="19"/>
        <v>23</v>
      </c>
      <c r="Z79" s="13">
        <f t="shared" si="19"/>
        <v>19</v>
      </c>
      <c r="AA79" s="13">
        <f t="shared" si="19"/>
        <v>14</v>
      </c>
      <c r="AB79" s="13">
        <f t="shared" si="19"/>
        <v>16</v>
      </c>
      <c r="AC79" s="13">
        <f t="shared" si="19"/>
        <v>25</v>
      </c>
      <c r="AD79" s="13">
        <f t="shared" si="19"/>
        <v>15</v>
      </c>
      <c r="AE79" s="13">
        <f t="shared" si="19"/>
        <v>15</v>
      </c>
      <c r="AF79" s="13">
        <f t="shared" si="19"/>
        <v>10</v>
      </c>
      <c r="AG79" s="13">
        <f t="shared" si="19"/>
        <v>11</v>
      </c>
      <c r="AH79" s="13">
        <f t="shared" si="19"/>
        <v>6</v>
      </c>
      <c r="AI79" s="13">
        <f t="shared" si="19"/>
        <v>29</v>
      </c>
      <c r="AJ79" s="13">
        <f t="shared" si="19"/>
        <v>8</v>
      </c>
      <c r="AK79" s="13">
        <f t="shared" si="19"/>
        <v>6</v>
      </c>
      <c r="AL79" s="13">
        <f t="shared" si="19"/>
        <v>9</v>
      </c>
      <c r="AM79" s="13">
        <f t="shared" si="19"/>
        <v>765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2.0</v>
      </c>
      <c r="F81" s="73">
        <v>9.0</v>
      </c>
      <c r="G81" s="73">
        <v>1.0</v>
      </c>
      <c r="H81" s="73">
        <v>3.0</v>
      </c>
      <c r="I81" s="73">
        <v>4.0</v>
      </c>
      <c r="J81" s="73">
        <v>3.0</v>
      </c>
      <c r="K81" s="73">
        <v>1.0</v>
      </c>
      <c r="L81" s="73">
        <v>4.0</v>
      </c>
      <c r="M81" s="73">
        <v>4.0</v>
      </c>
      <c r="N81" s="73">
        <v>4.0</v>
      </c>
      <c r="O81" s="73">
        <v>5.0</v>
      </c>
      <c r="P81" s="73">
        <v>2.0</v>
      </c>
      <c r="Q81" s="73">
        <v>6.0</v>
      </c>
      <c r="R81" s="73">
        <v>3.0</v>
      </c>
      <c r="S81" s="73">
        <v>7.0</v>
      </c>
      <c r="T81" s="73">
        <v>9.0</v>
      </c>
      <c r="U81" s="73">
        <v>2.0</v>
      </c>
      <c r="V81" s="73">
        <v>6.0</v>
      </c>
      <c r="W81" s="73">
        <v>4.0</v>
      </c>
      <c r="X81" s="73">
        <v>2.0</v>
      </c>
      <c r="Y81" s="73">
        <v>4.0</v>
      </c>
      <c r="Z81" s="73">
        <v>1.0</v>
      </c>
      <c r="AA81" s="73">
        <v>1.0</v>
      </c>
      <c r="AB81" s="73">
        <v>1.0</v>
      </c>
      <c r="AC81" s="73">
        <v>1.0</v>
      </c>
      <c r="AD81" s="73">
        <v>0.0</v>
      </c>
      <c r="AE81" s="73">
        <v>3.0</v>
      </c>
      <c r="AF81" s="73">
        <v>3.0</v>
      </c>
      <c r="AG81" s="73">
        <v>4.0</v>
      </c>
      <c r="AH81" s="73">
        <v>1.0</v>
      </c>
      <c r="AI81" s="73">
        <v>0.0</v>
      </c>
      <c r="AJ81" s="73">
        <v>1.0</v>
      </c>
      <c r="AK81" s="73">
        <v>0.0</v>
      </c>
      <c r="AL81" s="73">
        <v>1.0</v>
      </c>
      <c r="AM81" s="13">
        <f t="shared" ref="AM81:AM90" si="20">SUM(E81:AL81)</f>
        <v>102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0.0</v>
      </c>
      <c r="F82" s="73">
        <v>3.0</v>
      </c>
      <c r="G82" s="73">
        <v>3.0</v>
      </c>
      <c r="H82" s="73">
        <v>1.0</v>
      </c>
      <c r="I82" s="73">
        <v>1.0</v>
      </c>
      <c r="J82" s="73">
        <v>1.0</v>
      </c>
      <c r="K82" s="73">
        <v>1.0</v>
      </c>
      <c r="L82" s="73">
        <v>1.0</v>
      </c>
      <c r="M82" s="73">
        <v>0.0</v>
      </c>
      <c r="N82" s="73">
        <v>1.0</v>
      </c>
      <c r="O82" s="73">
        <v>4.0</v>
      </c>
      <c r="P82" s="73">
        <v>3.0</v>
      </c>
      <c r="Q82" s="73">
        <v>18.0</v>
      </c>
      <c r="R82" s="73">
        <v>6.0</v>
      </c>
      <c r="S82" s="73">
        <v>16.0</v>
      </c>
      <c r="T82" s="73">
        <v>30.0</v>
      </c>
      <c r="U82" s="73">
        <v>33.0</v>
      </c>
      <c r="V82" s="73">
        <v>40.0</v>
      </c>
      <c r="W82" s="73">
        <v>18.0</v>
      </c>
      <c r="X82" s="73">
        <v>8.0</v>
      </c>
      <c r="Y82" s="73">
        <v>0.0</v>
      </c>
      <c r="Z82" s="73">
        <v>1.0</v>
      </c>
      <c r="AA82" s="73">
        <v>4.0</v>
      </c>
      <c r="AB82" s="73">
        <v>1.0</v>
      </c>
      <c r="AC82" s="73">
        <v>4.0</v>
      </c>
      <c r="AD82" s="73">
        <v>1.0</v>
      </c>
      <c r="AE82" s="73">
        <v>4.0</v>
      </c>
      <c r="AF82" s="73">
        <v>6.0</v>
      </c>
      <c r="AG82" s="73">
        <v>8.0</v>
      </c>
      <c r="AH82" s="73">
        <v>29.0</v>
      </c>
      <c r="AI82" s="73">
        <v>4.0</v>
      </c>
      <c r="AJ82" s="73">
        <v>1.0</v>
      </c>
      <c r="AK82" s="73">
        <v>1.0</v>
      </c>
      <c r="AL82" s="73">
        <v>1.0</v>
      </c>
      <c r="AM82" s="13">
        <f t="shared" si="20"/>
        <v>253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0.0</v>
      </c>
      <c r="G83" s="73">
        <v>0.0</v>
      </c>
      <c r="H83" s="73">
        <v>0.0</v>
      </c>
      <c r="I83" s="73">
        <v>0.0</v>
      </c>
      <c r="J83" s="73">
        <v>0.0</v>
      </c>
      <c r="K83" s="73">
        <v>3.0</v>
      </c>
      <c r="L83" s="73">
        <v>0.0</v>
      </c>
      <c r="M83" s="73">
        <v>2.0</v>
      </c>
      <c r="N83" s="73">
        <v>1.0</v>
      </c>
      <c r="O83" s="73">
        <v>0.0</v>
      </c>
      <c r="P83" s="73">
        <v>1.0</v>
      </c>
      <c r="Q83" s="73">
        <v>2.0</v>
      </c>
      <c r="R83" s="73">
        <v>2.0</v>
      </c>
      <c r="S83" s="73">
        <v>3.0</v>
      </c>
      <c r="T83" s="73">
        <v>0.0</v>
      </c>
      <c r="U83" s="73">
        <v>1.0</v>
      </c>
      <c r="V83" s="73">
        <v>2.0</v>
      </c>
      <c r="W83" s="73">
        <v>0.0</v>
      </c>
      <c r="X83" s="73">
        <v>1.0</v>
      </c>
      <c r="Y83" s="73">
        <v>0.0</v>
      </c>
      <c r="Z83" s="73">
        <v>0.0</v>
      </c>
      <c r="AA83" s="73">
        <v>0.0</v>
      </c>
      <c r="AB83" s="73">
        <v>0.0</v>
      </c>
      <c r="AC83" s="73">
        <v>1.0</v>
      </c>
      <c r="AD83" s="73">
        <v>0.0</v>
      </c>
      <c r="AE83" s="73">
        <v>0.0</v>
      </c>
      <c r="AF83" s="73">
        <v>1.0</v>
      </c>
      <c r="AG83" s="73">
        <v>0.0</v>
      </c>
      <c r="AH83" s="73">
        <v>2.0</v>
      </c>
      <c r="AI83" s="73">
        <v>0.0</v>
      </c>
      <c r="AJ83" s="73">
        <v>2.0</v>
      </c>
      <c r="AK83" s="73">
        <v>1.0</v>
      </c>
      <c r="AL83" s="73">
        <v>0.0</v>
      </c>
      <c r="AM83" s="13">
        <f t="shared" si="20"/>
        <v>25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0.0</v>
      </c>
      <c r="K84" s="73">
        <v>0.0</v>
      </c>
      <c r="L84" s="73">
        <v>0.0</v>
      </c>
      <c r="M84" s="73">
        <v>0.0</v>
      </c>
      <c r="N84" s="73">
        <v>2.0</v>
      </c>
      <c r="O84" s="73">
        <v>0.0</v>
      </c>
      <c r="P84" s="73">
        <v>0.0</v>
      </c>
      <c r="Q84" s="73">
        <v>1.0</v>
      </c>
      <c r="R84" s="73">
        <v>0.0</v>
      </c>
      <c r="S84" s="73">
        <v>1.0</v>
      </c>
      <c r="T84" s="73">
        <v>1.0</v>
      </c>
      <c r="U84" s="73">
        <v>0.0</v>
      </c>
      <c r="V84" s="73">
        <v>2.0</v>
      </c>
      <c r="W84" s="73">
        <v>1.0</v>
      </c>
      <c r="X84" s="73">
        <v>0.0</v>
      </c>
      <c r="Y84" s="73">
        <v>0.0</v>
      </c>
      <c r="Z84" s="73">
        <v>1.0</v>
      </c>
      <c r="AA84" s="73">
        <v>2.0</v>
      </c>
      <c r="AB84" s="73">
        <v>0.0</v>
      </c>
      <c r="AC84" s="73">
        <v>0.0</v>
      </c>
      <c r="AD84" s="73">
        <v>0.0</v>
      </c>
      <c r="AE84" s="73">
        <v>0.0</v>
      </c>
      <c r="AF84" s="73">
        <v>1.0</v>
      </c>
      <c r="AG84" s="73">
        <v>0.0</v>
      </c>
      <c r="AH84" s="73">
        <v>0.0</v>
      </c>
      <c r="AI84" s="73">
        <v>1.0</v>
      </c>
      <c r="AJ84" s="73">
        <v>1.0</v>
      </c>
      <c r="AK84" s="73">
        <v>1.0</v>
      </c>
      <c r="AL84" s="73">
        <v>0.0</v>
      </c>
      <c r="AM84" s="13">
        <f t="shared" si="20"/>
        <v>15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1.0</v>
      </c>
      <c r="G85" s="73">
        <v>1.0</v>
      </c>
      <c r="H85" s="73">
        <v>0.0</v>
      </c>
      <c r="I85" s="73">
        <v>0.0</v>
      </c>
      <c r="J85" s="73">
        <v>2.0</v>
      </c>
      <c r="K85" s="73">
        <v>1.0</v>
      </c>
      <c r="L85" s="73">
        <v>1.0</v>
      </c>
      <c r="M85" s="73">
        <v>0.0</v>
      </c>
      <c r="N85" s="73">
        <v>1.0</v>
      </c>
      <c r="O85" s="73">
        <v>0.0</v>
      </c>
      <c r="P85" s="73">
        <v>2.0</v>
      </c>
      <c r="Q85" s="73">
        <v>1.0</v>
      </c>
      <c r="R85" s="73">
        <v>2.0</v>
      </c>
      <c r="S85" s="73">
        <v>1.0</v>
      </c>
      <c r="T85" s="73">
        <v>1.0</v>
      </c>
      <c r="U85" s="73">
        <v>0.0</v>
      </c>
      <c r="V85" s="73">
        <v>1.0</v>
      </c>
      <c r="W85" s="73">
        <v>2.0</v>
      </c>
      <c r="X85" s="73">
        <v>0.0</v>
      </c>
      <c r="Y85" s="73">
        <v>1.0</v>
      </c>
      <c r="Z85" s="73">
        <v>0.0</v>
      </c>
      <c r="AA85" s="73">
        <v>0.0</v>
      </c>
      <c r="AB85" s="73">
        <v>0.0</v>
      </c>
      <c r="AC85" s="73">
        <v>1.0</v>
      </c>
      <c r="AD85" s="73">
        <v>0.0</v>
      </c>
      <c r="AE85" s="73">
        <v>0.0</v>
      </c>
      <c r="AF85" s="73">
        <v>0.0</v>
      </c>
      <c r="AG85" s="73">
        <v>1.0</v>
      </c>
      <c r="AH85" s="73">
        <v>0.0</v>
      </c>
      <c r="AI85" s="73">
        <v>0.0</v>
      </c>
      <c r="AJ85" s="73">
        <v>3.0</v>
      </c>
      <c r="AK85" s="73">
        <v>1.0</v>
      </c>
      <c r="AL85" s="73">
        <v>0.0</v>
      </c>
      <c r="AM85" s="13">
        <f t="shared" si="20"/>
        <v>25</v>
      </c>
    </row>
    <row r="86" ht="12.75" customHeight="1">
      <c r="A86" s="18"/>
      <c r="B86" s="49"/>
      <c r="C86" s="50" t="s">
        <v>75</v>
      </c>
      <c r="D86" s="51"/>
      <c r="E86" s="73">
        <v>1.0</v>
      </c>
      <c r="F86" s="73">
        <v>3.0</v>
      </c>
      <c r="G86" s="73">
        <v>0.0</v>
      </c>
      <c r="H86" s="73">
        <v>5.0</v>
      </c>
      <c r="I86" s="73">
        <v>0.0</v>
      </c>
      <c r="J86" s="73">
        <v>0.0</v>
      </c>
      <c r="K86" s="73">
        <v>1.0</v>
      </c>
      <c r="L86" s="73">
        <v>14.0</v>
      </c>
      <c r="M86" s="73">
        <v>1.0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1.0</v>
      </c>
      <c r="T86" s="73">
        <v>0.0</v>
      </c>
      <c r="U86" s="73">
        <v>0.0</v>
      </c>
      <c r="V86" s="73">
        <v>1.0</v>
      </c>
      <c r="W86" s="73">
        <v>0.0</v>
      </c>
      <c r="X86" s="73">
        <v>2.0</v>
      </c>
      <c r="Y86" s="73">
        <v>0.0</v>
      </c>
      <c r="Z86" s="73">
        <v>0.0</v>
      </c>
      <c r="AA86" s="73">
        <v>0.0</v>
      </c>
      <c r="AB86" s="73">
        <v>1.0</v>
      </c>
      <c r="AC86" s="73">
        <v>3.0</v>
      </c>
      <c r="AD86" s="73">
        <v>3.0</v>
      </c>
      <c r="AE86" s="73">
        <v>1.0</v>
      </c>
      <c r="AF86" s="73">
        <v>1.0</v>
      </c>
      <c r="AG86" s="73">
        <v>1.0</v>
      </c>
      <c r="AH86" s="73">
        <v>0.0</v>
      </c>
      <c r="AI86" s="73">
        <v>1.0</v>
      </c>
      <c r="AJ86" s="73">
        <v>1.0</v>
      </c>
      <c r="AK86" s="73">
        <v>0.0</v>
      </c>
      <c r="AL86" s="73">
        <v>0.0</v>
      </c>
      <c r="AM86" s="13">
        <f t="shared" si="20"/>
        <v>41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2.0</v>
      </c>
      <c r="G87" s="73">
        <v>0.0</v>
      </c>
      <c r="H87" s="73">
        <v>1.0</v>
      </c>
      <c r="I87" s="73">
        <v>0.0</v>
      </c>
      <c r="J87" s="73">
        <v>0.0</v>
      </c>
      <c r="K87" s="73">
        <v>1.0</v>
      </c>
      <c r="L87" s="73">
        <v>0.0</v>
      </c>
      <c r="M87" s="73">
        <v>0.0</v>
      </c>
      <c r="N87" s="73">
        <v>1.0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1.0</v>
      </c>
      <c r="AH87" s="73">
        <v>0.0</v>
      </c>
      <c r="AI87" s="73">
        <v>0.0</v>
      </c>
      <c r="AJ87" s="73">
        <v>0.0</v>
      </c>
      <c r="AK87" s="73">
        <v>0.0</v>
      </c>
      <c r="AL87" s="73">
        <v>0.0</v>
      </c>
      <c r="AM87" s="13">
        <f t="shared" si="20"/>
        <v>6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2.0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2.0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73">
        <v>1.0</v>
      </c>
      <c r="AH88" s="73">
        <v>0.0</v>
      </c>
      <c r="AI88" s="73">
        <v>0.0</v>
      </c>
      <c r="AJ88" s="73">
        <v>0.0</v>
      </c>
      <c r="AK88" s="73">
        <v>0.0</v>
      </c>
      <c r="AL88" s="73">
        <v>0.0</v>
      </c>
      <c r="AM88" s="13">
        <f t="shared" si="20"/>
        <v>5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1.0</v>
      </c>
      <c r="Z89" s="73">
        <v>0.0</v>
      </c>
      <c r="AA89" s="73">
        <v>1.0</v>
      </c>
      <c r="AB89" s="73">
        <v>1.0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73">
        <v>0.0</v>
      </c>
      <c r="AM89" s="13">
        <f t="shared" si="20"/>
        <v>3</v>
      </c>
    </row>
    <row r="90" ht="12.75" customHeight="1">
      <c r="A90" s="18"/>
      <c r="B90" s="49"/>
      <c r="C90" s="50" t="s">
        <v>79</v>
      </c>
      <c r="D90" s="51"/>
      <c r="E90" s="73">
        <v>1.0</v>
      </c>
      <c r="F90" s="73">
        <v>4.0</v>
      </c>
      <c r="G90" s="73">
        <v>0.0</v>
      </c>
      <c r="H90" s="73">
        <v>0.0</v>
      </c>
      <c r="I90" s="73">
        <v>0.0</v>
      </c>
      <c r="J90" s="73">
        <v>1.0</v>
      </c>
      <c r="K90" s="73">
        <v>3.0</v>
      </c>
      <c r="L90" s="73">
        <v>1.0</v>
      </c>
      <c r="M90" s="73">
        <v>1.0</v>
      </c>
      <c r="N90" s="73">
        <v>0.0</v>
      </c>
      <c r="O90" s="73">
        <v>1.0</v>
      </c>
      <c r="P90" s="73">
        <v>0.0</v>
      </c>
      <c r="Q90" s="73">
        <v>1.0</v>
      </c>
      <c r="R90" s="73">
        <v>0.0</v>
      </c>
      <c r="S90" s="73">
        <v>0.0</v>
      </c>
      <c r="T90" s="73">
        <v>0.0</v>
      </c>
      <c r="U90" s="73">
        <v>1.0</v>
      </c>
      <c r="V90" s="73">
        <v>0.0</v>
      </c>
      <c r="W90" s="73">
        <v>0.0</v>
      </c>
      <c r="X90" s="73">
        <v>0.0</v>
      </c>
      <c r="Y90" s="73">
        <v>1.0</v>
      </c>
      <c r="Z90" s="73">
        <v>0.0</v>
      </c>
      <c r="AA90" s="73">
        <v>2.0</v>
      </c>
      <c r="AB90" s="73">
        <v>4.0</v>
      </c>
      <c r="AC90" s="73">
        <v>0.0</v>
      </c>
      <c r="AD90" s="73">
        <v>1.0</v>
      </c>
      <c r="AE90" s="73">
        <v>1.0</v>
      </c>
      <c r="AF90" s="73">
        <v>0.0</v>
      </c>
      <c r="AG90" s="73">
        <v>1.0</v>
      </c>
      <c r="AH90" s="73">
        <v>0.0</v>
      </c>
      <c r="AI90" s="73">
        <v>0.0</v>
      </c>
      <c r="AJ90" s="73">
        <v>0.0</v>
      </c>
      <c r="AK90" s="73">
        <v>0.0</v>
      </c>
      <c r="AL90" s="73">
        <v>0.0</v>
      </c>
      <c r="AM90" s="13">
        <f t="shared" si="20"/>
        <v>24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M91" si="21">SUM(E81:E90)</f>
        <v>5</v>
      </c>
      <c r="F91" s="13">
        <f t="shared" si="21"/>
        <v>22</v>
      </c>
      <c r="G91" s="13">
        <f t="shared" si="21"/>
        <v>5</v>
      </c>
      <c r="H91" s="13">
        <f t="shared" si="21"/>
        <v>10</v>
      </c>
      <c r="I91" s="13">
        <f t="shared" si="21"/>
        <v>5</v>
      </c>
      <c r="J91" s="13">
        <f t="shared" si="21"/>
        <v>7</v>
      </c>
      <c r="K91" s="13">
        <f t="shared" si="21"/>
        <v>11</v>
      </c>
      <c r="L91" s="13">
        <f t="shared" si="21"/>
        <v>21</v>
      </c>
      <c r="M91" s="13">
        <f t="shared" si="21"/>
        <v>8</v>
      </c>
      <c r="N91" s="13">
        <f t="shared" si="21"/>
        <v>10</v>
      </c>
      <c r="O91" s="13">
        <f t="shared" si="21"/>
        <v>10</v>
      </c>
      <c r="P91" s="13">
        <f t="shared" si="21"/>
        <v>8</v>
      </c>
      <c r="Q91" s="13">
        <f t="shared" si="21"/>
        <v>31</v>
      </c>
      <c r="R91" s="13">
        <f t="shared" si="21"/>
        <v>13</v>
      </c>
      <c r="S91" s="13">
        <f t="shared" si="21"/>
        <v>29</v>
      </c>
      <c r="T91" s="13">
        <f t="shared" si="21"/>
        <v>41</v>
      </c>
      <c r="U91" s="13">
        <f t="shared" si="21"/>
        <v>37</v>
      </c>
      <c r="V91" s="13">
        <f t="shared" si="21"/>
        <v>52</v>
      </c>
      <c r="W91" s="13">
        <f t="shared" si="21"/>
        <v>27</v>
      </c>
      <c r="X91" s="13">
        <f t="shared" si="21"/>
        <v>13</v>
      </c>
      <c r="Y91" s="13">
        <f t="shared" si="21"/>
        <v>7</v>
      </c>
      <c r="Z91" s="13">
        <f t="shared" si="21"/>
        <v>3</v>
      </c>
      <c r="AA91" s="13">
        <f t="shared" si="21"/>
        <v>10</v>
      </c>
      <c r="AB91" s="13">
        <f t="shared" si="21"/>
        <v>8</v>
      </c>
      <c r="AC91" s="13">
        <f t="shared" si="21"/>
        <v>10</v>
      </c>
      <c r="AD91" s="13">
        <f t="shared" si="21"/>
        <v>5</v>
      </c>
      <c r="AE91" s="13">
        <f t="shared" si="21"/>
        <v>9</v>
      </c>
      <c r="AF91" s="13">
        <f t="shared" si="21"/>
        <v>12</v>
      </c>
      <c r="AG91" s="13">
        <f t="shared" si="21"/>
        <v>17</v>
      </c>
      <c r="AH91" s="13">
        <f t="shared" si="21"/>
        <v>32</v>
      </c>
      <c r="AI91" s="13">
        <f t="shared" si="21"/>
        <v>6</v>
      </c>
      <c r="AJ91" s="13">
        <f t="shared" si="21"/>
        <v>9</v>
      </c>
      <c r="AK91" s="13">
        <f t="shared" si="21"/>
        <v>4</v>
      </c>
      <c r="AL91" s="13">
        <f t="shared" si="21"/>
        <v>2</v>
      </c>
      <c r="AM91" s="13">
        <f t="shared" si="21"/>
        <v>499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1.0</v>
      </c>
      <c r="G93" s="73">
        <v>0.0</v>
      </c>
      <c r="H93" s="73">
        <v>1.0</v>
      </c>
      <c r="I93" s="73">
        <v>3.0</v>
      </c>
      <c r="J93" s="73">
        <v>5.0</v>
      </c>
      <c r="K93" s="73">
        <v>1.0</v>
      </c>
      <c r="L93" s="73">
        <v>0.0</v>
      </c>
      <c r="M93" s="73">
        <v>0.0</v>
      </c>
      <c r="N93" s="73">
        <v>0.0</v>
      </c>
      <c r="O93" s="73">
        <v>0.0</v>
      </c>
      <c r="P93" s="73">
        <v>1.0</v>
      </c>
      <c r="Q93" s="73">
        <v>0.0</v>
      </c>
      <c r="R93" s="73">
        <v>1.0</v>
      </c>
      <c r="S93" s="73">
        <v>0.0</v>
      </c>
      <c r="T93" s="73">
        <v>0.0</v>
      </c>
      <c r="U93" s="73">
        <v>1.0</v>
      </c>
      <c r="V93" s="73">
        <v>2.0</v>
      </c>
      <c r="W93" s="73">
        <v>1.0</v>
      </c>
      <c r="X93" s="73">
        <v>2.0</v>
      </c>
      <c r="Y93" s="73">
        <v>0.0</v>
      </c>
      <c r="Z93" s="73">
        <v>1.0</v>
      </c>
      <c r="AA93" s="73">
        <v>2.0</v>
      </c>
      <c r="AB93" s="73">
        <v>4.0</v>
      </c>
      <c r="AC93" s="73">
        <v>1.0</v>
      </c>
      <c r="AD93" s="73">
        <v>1.0</v>
      </c>
      <c r="AE93" s="73">
        <v>1.0</v>
      </c>
      <c r="AF93" s="73">
        <v>0.0</v>
      </c>
      <c r="AG93" s="73">
        <v>4.0</v>
      </c>
      <c r="AH93" s="73">
        <v>0.0</v>
      </c>
      <c r="AI93" s="73">
        <v>0.0</v>
      </c>
      <c r="AJ93" s="73">
        <v>3.0</v>
      </c>
      <c r="AK93" s="73">
        <v>4.0</v>
      </c>
      <c r="AL93" s="73">
        <v>1.0</v>
      </c>
      <c r="AM93" s="13">
        <f t="shared" ref="AM93:AM102" si="22">SUM(E93:AL93)</f>
        <v>41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7.0</v>
      </c>
      <c r="F94" s="73">
        <v>6.0</v>
      </c>
      <c r="G94" s="73">
        <v>3.0</v>
      </c>
      <c r="H94" s="73">
        <v>9.0</v>
      </c>
      <c r="I94" s="73">
        <v>17.0</v>
      </c>
      <c r="J94" s="73">
        <v>18.0</v>
      </c>
      <c r="K94" s="73">
        <v>7.0</v>
      </c>
      <c r="L94" s="73">
        <v>11.0</v>
      </c>
      <c r="M94" s="73">
        <v>1.0</v>
      </c>
      <c r="N94" s="73">
        <v>4.0</v>
      </c>
      <c r="O94" s="73">
        <v>4.0</v>
      </c>
      <c r="P94" s="73">
        <v>10.0</v>
      </c>
      <c r="Q94" s="73">
        <v>3.0</v>
      </c>
      <c r="R94" s="73">
        <v>2.0</v>
      </c>
      <c r="S94" s="73">
        <v>3.0</v>
      </c>
      <c r="T94" s="73">
        <v>1.0</v>
      </c>
      <c r="U94" s="73">
        <v>2.0</v>
      </c>
      <c r="V94" s="73">
        <v>26.0</v>
      </c>
      <c r="W94" s="73">
        <v>13.0</v>
      </c>
      <c r="X94" s="73">
        <v>16.0</v>
      </c>
      <c r="Y94" s="73">
        <v>16.0</v>
      </c>
      <c r="Z94" s="73">
        <v>23.0</v>
      </c>
      <c r="AA94" s="73">
        <v>26.0</v>
      </c>
      <c r="AB94" s="73">
        <v>19.0</v>
      </c>
      <c r="AC94" s="73">
        <v>17.0</v>
      </c>
      <c r="AD94" s="73">
        <v>9.0</v>
      </c>
      <c r="AE94" s="73">
        <v>7.0</v>
      </c>
      <c r="AF94" s="73">
        <v>7.0</v>
      </c>
      <c r="AG94" s="73">
        <v>6.0</v>
      </c>
      <c r="AH94" s="73">
        <v>5.0</v>
      </c>
      <c r="AI94" s="73">
        <v>10.0</v>
      </c>
      <c r="AJ94" s="73">
        <v>40.0</v>
      </c>
      <c r="AK94" s="73">
        <v>37.0</v>
      </c>
      <c r="AL94" s="73">
        <v>25.0</v>
      </c>
      <c r="AM94" s="13">
        <f t="shared" si="22"/>
        <v>410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0.0</v>
      </c>
      <c r="AH95" s="73">
        <v>1.0</v>
      </c>
      <c r="AI95" s="73">
        <v>0.0</v>
      </c>
      <c r="AJ95" s="73">
        <v>0.0</v>
      </c>
      <c r="AK95" s="73">
        <v>0.0</v>
      </c>
      <c r="AL95" s="73">
        <v>0.0</v>
      </c>
      <c r="AM95" s="13">
        <f t="shared" si="22"/>
        <v>1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2.0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3.0</v>
      </c>
      <c r="R96" s="73">
        <v>1.0</v>
      </c>
      <c r="S96" s="73">
        <v>0.0</v>
      </c>
      <c r="T96" s="73">
        <v>0.0</v>
      </c>
      <c r="U96" s="73">
        <v>0.0</v>
      </c>
      <c r="V96" s="73">
        <v>0.0</v>
      </c>
      <c r="W96" s="73">
        <v>1.0</v>
      </c>
      <c r="X96" s="73">
        <v>0.0</v>
      </c>
      <c r="Y96" s="73">
        <v>0.0</v>
      </c>
      <c r="Z96" s="73">
        <v>0.0</v>
      </c>
      <c r="AA96" s="73">
        <v>1.0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0.0</v>
      </c>
      <c r="AK96" s="73">
        <v>0.0</v>
      </c>
      <c r="AL96" s="73">
        <v>0.0</v>
      </c>
      <c r="AM96" s="13">
        <f t="shared" si="22"/>
        <v>8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1.0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2.0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73">
        <v>0.0</v>
      </c>
      <c r="AM97" s="13">
        <f t="shared" si="22"/>
        <v>3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1.0</v>
      </c>
      <c r="S98" s="73">
        <v>0.0</v>
      </c>
      <c r="T98" s="73">
        <v>0.0</v>
      </c>
      <c r="U98" s="73">
        <v>1.0</v>
      </c>
      <c r="V98" s="73">
        <v>3.0</v>
      </c>
      <c r="W98" s="73">
        <v>1.0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73">
        <v>0.0</v>
      </c>
      <c r="AM98" s="13">
        <f t="shared" si="22"/>
        <v>6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1.0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73">
        <v>1.0</v>
      </c>
      <c r="AM99" s="13">
        <f t="shared" si="22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1.0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73">
        <v>0.0</v>
      </c>
      <c r="AM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1.0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1.0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73">
        <v>0.0</v>
      </c>
      <c r="AM101" s="13">
        <f t="shared" si="22"/>
        <v>2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1.0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73">
        <v>0.0</v>
      </c>
      <c r="AM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M103" si="23">SUM(E93:E102)</f>
        <v>7</v>
      </c>
      <c r="F103" s="13">
        <f t="shared" si="23"/>
        <v>7</v>
      </c>
      <c r="G103" s="13">
        <f t="shared" si="23"/>
        <v>3</v>
      </c>
      <c r="H103" s="13">
        <f t="shared" si="23"/>
        <v>11</v>
      </c>
      <c r="I103" s="13">
        <f t="shared" si="23"/>
        <v>20</v>
      </c>
      <c r="J103" s="13">
        <f t="shared" si="23"/>
        <v>25</v>
      </c>
      <c r="K103" s="13">
        <f t="shared" si="23"/>
        <v>8</v>
      </c>
      <c r="L103" s="13">
        <f t="shared" si="23"/>
        <v>12</v>
      </c>
      <c r="M103" s="13">
        <f t="shared" si="23"/>
        <v>1</v>
      </c>
      <c r="N103" s="13">
        <f t="shared" si="23"/>
        <v>4</v>
      </c>
      <c r="O103" s="13">
        <f t="shared" si="23"/>
        <v>4</v>
      </c>
      <c r="P103" s="13">
        <f t="shared" si="23"/>
        <v>11</v>
      </c>
      <c r="Q103" s="13">
        <f t="shared" si="23"/>
        <v>9</v>
      </c>
      <c r="R103" s="13">
        <f t="shared" si="23"/>
        <v>6</v>
      </c>
      <c r="S103" s="13">
        <f t="shared" si="23"/>
        <v>3</v>
      </c>
      <c r="T103" s="13">
        <f t="shared" si="23"/>
        <v>1</v>
      </c>
      <c r="U103" s="13">
        <f t="shared" si="23"/>
        <v>4</v>
      </c>
      <c r="V103" s="13">
        <f t="shared" si="23"/>
        <v>31</v>
      </c>
      <c r="W103" s="13">
        <f t="shared" si="23"/>
        <v>17</v>
      </c>
      <c r="X103" s="13">
        <f t="shared" si="23"/>
        <v>18</v>
      </c>
      <c r="Y103" s="13">
        <f t="shared" si="23"/>
        <v>16</v>
      </c>
      <c r="Z103" s="13">
        <f t="shared" si="23"/>
        <v>25</v>
      </c>
      <c r="AA103" s="13">
        <f t="shared" si="23"/>
        <v>29</v>
      </c>
      <c r="AB103" s="13">
        <f t="shared" si="23"/>
        <v>23</v>
      </c>
      <c r="AC103" s="13">
        <f t="shared" si="23"/>
        <v>18</v>
      </c>
      <c r="AD103" s="13">
        <f t="shared" si="23"/>
        <v>10</v>
      </c>
      <c r="AE103" s="13">
        <f t="shared" si="23"/>
        <v>8</v>
      </c>
      <c r="AF103" s="13">
        <f t="shared" si="23"/>
        <v>7</v>
      </c>
      <c r="AG103" s="13">
        <f t="shared" si="23"/>
        <v>10</v>
      </c>
      <c r="AH103" s="13">
        <f t="shared" si="23"/>
        <v>6</v>
      </c>
      <c r="AI103" s="13">
        <f t="shared" si="23"/>
        <v>10</v>
      </c>
      <c r="AJ103" s="13">
        <f t="shared" si="23"/>
        <v>43</v>
      </c>
      <c r="AK103" s="13">
        <f t="shared" si="23"/>
        <v>41</v>
      </c>
      <c r="AL103" s="13">
        <f t="shared" si="23"/>
        <v>27</v>
      </c>
      <c r="AM103" s="13">
        <f t="shared" si="23"/>
        <v>475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2.0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2.0</v>
      </c>
      <c r="U105" s="73">
        <v>0.0</v>
      </c>
      <c r="V105" s="73">
        <v>1.0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1.0</v>
      </c>
      <c r="AE105" s="73">
        <v>0.0</v>
      </c>
      <c r="AF105" s="73">
        <v>1.0</v>
      </c>
      <c r="AG105" s="73">
        <v>0.0</v>
      </c>
      <c r="AH105" s="73">
        <v>0.0</v>
      </c>
      <c r="AI105" s="73">
        <v>1.0</v>
      </c>
      <c r="AJ105" s="73">
        <v>1.0</v>
      </c>
      <c r="AK105" s="73">
        <v>4.0</v>
      </c>
      <c r="AL105" s="73">
        <v>1.0</v>
      </c>
      <c r="AM105" s="13">
        <f t="shared" ref="AM105:AM114" si="24">SUM(E105:AL105)</f>
        <v>14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0.0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1.0</v>
      </c>
      <c r="Y106" s="73">
        <v>1.0</v>
      </c>
      <c r="Z106" s="73">
        <v>2.0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1.0</v>
      </c>
      <c r="AH106" s="73">
        <v>0.0</v>
      </c>
      <c r="AI106" s="73">
        <v>1.0</v>
      </c>
      <c r="AJ106" s="73">
        <v>0.0</v>
      </c>
      <c r="AK106" s="73">
        <v>0.0</v>
      </c>
      <c r="AL106" s="73">
        <v>0.0</v>
      </c>
      <c r="AM106" s="13">
        <f t="shared" si="24"/>
        <v>9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1.0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73">
        <v>0.0</v>
      </c>
      <c r="AK107" s="73">
        <v>0.0</v>
      </c>
      <c r="AL107" s="73">
        <v>0.0</v>
      </c>
      <c r="AM107" s="13">
        <f t="shared" si="24"/>
        <v>1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M115" si="25">SUM(E105:E114)</f>
        <v>2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1</v>
      </c>
      <c r="AG115" s="13">
        <f t="shared" si="25"/>
        <v>1</v>
      </c>
      <c r="AH115" s="13">
        <f t="shared" si="25"/>
        <v>0</v>
      </c>
      <c r="AI115" s="13">
        <f t="shared" si="25"/>
        <v>2</v>
      </c>
      <c r="AJ115" s="13">
        <f t="shared" si="25"/>
        <v>1</v>
      </c>
      <c r="AK115" s="13">
        <f t="shared" si="25"/>
        <v>4</v>
      </c>
      <c r="AL115" s="13">
        <f t="shared" si="25"/>
        <v>1</v>
      </c>
      <c r="AM115" s="13">
        <f t="shared" si="25"/>
        <v>24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1.0</v>
      </c>
      <c r="G117" s="73">
        <v>1.0</v>
      </c>
      <c r="H117" s="73">
        <v>0.0</v>
      </c>
      <c r="I117" s="73">
        <v>1.0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1.0</v>
      </c>
      <c r="R117" s="73">
        <v>1.0</v>
      </c>
      <c r="S117" s="73">
        <v>0.0</v>
      </c>
      <c r="T117" s="73">
        <v>0.0</v>
      </c>
      <c r="U117" s="73">
        <v>1.0</v>
      </c>
      <c r="V117" s="73">
        <v>0.0</v>
      </c>
      <c r="W117" s="73">
        <v>0.0</v>
      </c>
      <c r="X117" s="73">
        <v>0.0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1.0</v>
      </c>
      <c r="AG117" s="73">
        <v>1.0</v>
      </c>
      <c r="AH117" s="73">
        <v>0.0</v>
      </c>
      <c r="AI117" s="73">
        <v>1.0</v>
      </c>
      <c r="AJ117" s="73">
        <v>1.0</v>
      </c>
      <c r="AK117" s="73">
        <v>1.0</v>
      </c>
      <c r="AL117" s="73">
        <v>0.0</v>
      </c>
      <c r="AM117" s="13">
        <f t="shared" ref="AM117:AM126" si="26">SUM(E117:AL117)</f>
        <v>12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1.0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1.0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73">
        <v>1.0</v>
      </c>
      <c r="AI118" s="73">
        <v>1.0</v>
      </c>
      <c r="AJ118" s="73">
        <v>0.0</v>
      </c>
      <c r="AK118" s="73">
        <v>1.0</v>
      </c>
      <c r="AL118" s="73">
        <v>0.0</v>
      </c>
      <c r="AM118" s="13">
        <f t="shared" si="26"/>
        <v>5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1.0</v>
      </c>
      <c r="S119" s="73">
        <v>1.0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1.0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0.0</v>
      </c>
      <c r="AM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1.0</v>
      </c>
      <c r="S120" s="73">
        <v>0.0</v>
      </c>
      <c r="T120" s="73">
        <v>0.0</v>
      </c>
      <c r="U120" s="73">
        <v>0.0</v>
      </c>
      <c r="V120" s="73">
        <v>1.0</v>
      </c>
      <c r="W120" s="73">
        <v>0.0</v>
      </c>
      <c r="X120" s="73">
        <v>0.0</v>
      </c>
      <c r="Y120" s="73">
        <v>0.0</v>
      </c>
      <c r="Z120" s="73">
        <v>1.0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13">
        <f t="shared" si="26"/>
        <v>3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73">
        <v>0.0</v>
      </c>
      <c r="AM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2.0</v>
      </c>
      <c r="AH122" s="73">
        <v>0.0</v>
      </c>
      <c r="AI122" s="73">
        <v>0.0</v>
      </c>
      <c r="AJ122" s="73">
        <v>0.0</v>
      </c>
      <c r="AK122" s="73">
        <v>0.0</v>
      </c>
      <c r="AL122" s="73">
        <v>0.0</v>
      </c>
      <c r="AM122" s="13">
        <f t="shared" si="26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M127" si="27">SUM(E117:E126)</f>
        <v>1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3</v>
      </c>
      <c r="S127" s="13">
        <f t="shared" si="27"/>
        <v>1</v>
      </c>
      <c r="T127" s="13">
        <f t="shared" si="27"/>
        <v>0</v>
      </c>
      <c r="U127" s="13">
        <f t="shared" si="27"/>
        <v>1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2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0</v>
      </c>
      <c r="AE127" s="13">
        <f t="shared" si="27"/>
        <v>1</v>
      </c>
      <c r="AF127" s="13">
        <f t="shared" si="27"/>
        <v>1</v>
      </c>
      <c r="AG127" s="13">
        <f t="shared" si="27"/>
        <v>3</v>
      </c>
      <c r="AH127" s="13">
        <f t="shared" si="27"/>
        <v>1</v>
      </c>
      <c r="AI127" s="13">
        <f t="shared" si="27"/>
        <v>2</v>
      </c>
      <c r="AJ127" s="13">
        <f t="shared" si="27"/>
        <v>1</v>
      </c>
      <c r="AK127" s="13">
        <f t="shared" si="27"/>
        <v>2</v>
      </c>
      <c r="AL127" s="13">
        <f t="shared" si="27"/>
        <v>0</v>
      </c>
      <c r="AM127" s="13">
        <f t="shared" si="27"/>
        <v>25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1.0</v>
      </c>
      <c r="O129" s="73">
        <v>0.0</v>
      </c>
      <c r="P129" s="73">
        <v>1.0</v>
      </c>
      <c r="Q129" s="73">
        <v>0.0</v>
      </c>
      <c r="R129" s="73">
        <v>0.0</v>
      </c>
      <c r="S129" s="73">
        <v>1.0</v>
      </c>
      <c r="T129" s="73">
        <v>1.0</v>
      </c>
      <c r="U129" s="73">
        <v>0.0</v>
      </c>
      <c r="V129" s="73">
        <v>0.0</v>
      </c>
      <c r="W129" s="73">
        <v>1.0</v>
      </c>
      <c r="X129" s="73">
        <v>0.0</v>
      </c>
      <c r="Y129" s="73">
        <v>0.0</v>
      </c>
      <c r="Z129" s="73">
        <v>1.0</v>
      </c>
      <c r="AA129" s="73">
        <v>0.0</v>
      </c>
      <c r="AB129" s="73">
        <v>0.0</v>
      </c>
      <c r="AC129" s="73">
        <v>0.0</v>
      </c>
      <c r="AD129" s="73">
        <v>3.0</v>
      </c>
      <c r="AE129" s="73">
        <v>0.0</v>
      </c>
      <c r="AF129" s="73">
        <v>0.0</v>
      </c>
      <c r="AG129" s="73">
        <v>1.0</v>
      </c>
      <c r="AH129" s="73">
        <v>0.0</v>
      </c>
      <c r="AI129" s="73">
        <v>0.0</v>
      </c>
      <c r="AJ129" s="73">
        <v>0.0</v>
      </c>
      <c r="AK129" s="73">
        <v>0.0</v>
      </c>
      <c r="AL129" s="73">
        <v>0.0</v>
      </c>
      <c r="AM129" s="13">
        <f t="shared" ref="AM129:AM138" si="28">SUM(E129:AL129)</f>
        <v>12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1.0</v>
      </c>
      <c r="K130" s="73">
        <v>0.0</v>
      </c>
      <c r="L130" s="73">
        <v>1.0</v>
      </c>
      <c r="M130" s="73">
        <v>0.0</v>
      </c>
      <c r="N130" s="73">
        <v>0.0</v>
      </c>
      <c r="O130" s="73">
        <v>0.0</v>
      </c>
      <c r="P130" s="73">
        <v>0.0</v>
      </c>
      <c r="Q130" s="73">
        <v>0.0</v>
      </c>
      <c r="R130" s="73">
        <v>1.0</v>
      </c>
      <c r="S130" s="73">
        <v>2.0</v>
      </c>
      <c r="T130" s="73">
        <v>3.0</v>
      </c>
      <c r="U130" s="73">
        <v>3.0</v>
      </c>
      <c r="V130" s="73">
        <v>2.0</v>
      </c>
      <c r="W130" s="73">
        <v>1.0</v>
      </c>
      <c r="X130" s="73">
        <v>2.0</v>
      </c>
      <c r="Y130" s="73">
        <v>0.0</v>
      </c>
      <c r="Z130" s="73">
        <v>0.0</v>
      </c>
      <c r="AA130" s="73">
        <v>0.0</v>
      </c>
      <c r="AB130" s="73">
        <v>0.0</v>
      </c>
      <c r="AC130" s="73">
        <v>0.0</v>
      </c>
      <c r="AD130" s="73">
        <v>1.0</v>
      </c>
      <c r="AE130" s="73">
        <v>2.0</v>
      </c>
      <c r="AF130" s="73">
        <v>0.0</v>
      </c>
      <c r="AG130" s="73">
        <v>0.0</v>
      </c>
      <c r="AH130" s="73">
        <v>1.0</v>
      </c>
      <c r="AI130" s="73">
        <v>0.0</v>
      </c>
      <c r="AJ130" s="73">
        <v>0.0</v>
      </c>
      <c r="AK130" s="73">
        <v>2.0</v>
      </c>
      <c r="AL130" s="73">
        <v>2.0</v>
      </c>
      <c r="AM130" s="13">
        <f t="shared" si="28"/>
        <v>24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1.0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1.0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0.0</v>
      </c>
      <c r="AM131" s="13">
        <f t="shared" si="28"/>
        <v>3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13">
        <f t="shared" si="28"/>
        <v>0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1.0</v>
      </c>
      <c r="G133" s="73">
        <v>0.0</v>
      </c>
      <c r="H133" s="73">
        <v>0.0</v>
      </c>
      <c r="I133" s="73">
        <v>0.0</v>
      </c>
      <c r="J133" s="73">
        <v>1.0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1.0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0.0</v>
      </c>
      <c r="AM133" s="13">
        <f t="shared" si="28"/>
        <v>3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73">
        <v>0.0</v>
      </c>
      <c r="AM134" s="13">
        <f t="shared" si="28"/>
        <v>0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1.0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1.0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13">
        <f t="shared" si="28"/>
        <v>2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1.0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1.0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73">
        <v>0.0</v>
      </c>
      <c r="AM136" s="13">
        <f t="shared" si="28"/>
        <v>2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1.0</v>
      </c>
      <c r="AL137" s="73">
        <v>0.0</v>
      </c>
      <c r="AM137" s="13">
        <f t="shared" si="28"/>
        <v>1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73">
        <v>0.0</v>
      </c>
      <c r="AM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M139" si="29">SUM(E129:E138)</f>
        <v>2</v>
      </c>
      <c r="F139" s="13">
        <f t="shared" si="29"/>
        <v>2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2</v>
      </c>
      <c r="K139" s="13">
        <f t="shared" si="29"/>
        <v>0</v>
      </c>
      <c r="L139" s="13">
        <f t="shared" si="29"/>
        <v>1</v>
      </c>
      <c r="M139" s="13">
        <f t="shared" si="29"/>
        <v>1</v>
      </c>
      <c r="N139" s="13">
        <f t="shared" si="29"/>
        <v>1</v>
      </c>
      <c r="O139" s="13">
        <f t="shared" si="29"/>
        <v>0</v>
      </c>
      <c r="P139" s="13">
        <f t="shared" si="29"/>
        <v>3</v>
      </c>
      <c r="Q139" s="13">
        <f t="shared" si="29"/>
        <v>0</v>
      </c>
      <c r="R139" s="13">
        <f t="shared" si="29"/>
        <v>1</v>
      </c>
      <c r="S139" s="13">
        <f t="shared" si="29"/>
        <v>3</v>
      </c>
      <c r="T139" s="13">
        <f t="shared" si="29"/>
        <v>5</v>
      </c>
      <c r="U139" s="13">
        <f t="shared" si="29"/>
        <v>3</v>
      </c>
      <c r="V139" s="13">
        <f t="shared" si="29"/>
        <v>2</v>
      </c>
      <c r="W139" s="13">
        <f t="shared" si="29"/>
        <v>2</v>
      </c>
      <c r="X139" s="13">
        <f t="shared" si="29"/>
        <v>2</v>
      </c>
      <c r="Y139" s="13">
        <f t="shared" si="29"/>
        <v>0</v>
      </c>
      <c r="Z139" s="13">
        <f t="shared" si="29"/>
        <v>3</v>
      </c>
      <c r="AA139" s="13">
        <f t="shared" si="29"/>
        <v>1</v>
      </c>
      <c r="AB139" s="13">
        <f t="shared" si="29"/>
        <v>0</v>
      </c>
      <c r="AC139" s="13">
        <f t="shared" si="29"/>
        <v>0</v>
      </c>
      <c r="AD139" s="13">
        <f t="shared" si="29"/>
        <v>4</v>
      </c>
      <c r="AE139" s="13">
        <f t="shared" si="29"/>
        <v>2</v>
      </c>
      <c r="AF139" s="13">
        <f t="shared" si="29"/>
        <v>0</v>
      </c>
      <c r="AG139" s="13">
        <f t="shared" si="29"/>
        <v>1</v>
      </c>
      <c r="AH139" s="13">
        <f t="shared" si="29"/>
        <v>1</v>
      </c>
      <c r="AI139" s="13">
        <f t="shared" si="29"/>
        <v>0</v>
      </c>
      <c r="AJ139" s="13">
        <f t="shared" si="29"/>
        <v>0</v>
      </c>
      <c r="AK139" s="13">
        <f t="shared" si="29"/>
        <v>3</v>
      </c>
      <c r="AL139" s="13">
        <f t="shared" si="29"/>
        <v>2</v>
      </c>
      <c r="AM139" s="13">
        <f t="shared" si="29"/>
        <v>47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1.0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1.0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13">
        <f t="shared" ref="AM141:AM150" si="30">SUM(E141:AL141)</f>
        <v>2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73">
        <v>0.0</v>
      </c>
      <c r="AM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1.0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73">
        <v>0.0</v>
      </c>
      <c r="AM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73">
        <v>0.0</v>
      </c>
      <c r="AM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M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1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1.0</v>
      </c>
      <c r="AF153" s="73">
        <v>0.0</v>
      </c>
      <c r="AG153" s="73">
        <v>0.0</v>
      </c>
      <c r="AH153" s="73">
        <v>0.0</v>
      </c>
      <c r="AI153" s="73">
        <v>0.0</v>
      </c>
      <c r="AJ153" s="73">
        <v>0.0</v>
      </c>
      <c r="AK153" s="73">
        <v>0.0</v>
      </c>
      <c r="AL153" s="73">
        <v>0.0</v>
      </c>
      <c r="AM153" s="13">
        <f t="shared" ref="AM153:AM162" si="32">SUM(E153:AL153)</f>
        <v>2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1.0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1.0</v>
      </c>
      <c r="X154" s="73">
        <v>0.0</v>
      </c>
      <c r="Y154" s="73">
        <v>0.0</v>
      </c>
      <c r="Z154" s="73">
        <v>1.0</v>
      </c>
      <c r="AA154" s="73">
        <v>1.0</v>
      </c>
      <c r="AB154" s="73">
        <v>0.0</v>
      </c>
      <c r="AC154" s="73">
        <v>0.0</v>
      </c>
      <c r="AD154" s="73">
        <v>0.0</v>
      </c>
      <c r="AE154" s="73">
        <v>0.0</v>
      </c>
      <c r="AF154" s="73">
        <v>1.0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1.0</v>
      </c>
      <c r="AL154" s="73">
        <v>0.0</v>
      </c>
      <c r="AM154" s="13">
        <f t="shared" si="32"/>
        <v>6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2.0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73">
        <v>0.0</v>
      </c>
      <c r="AM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0">
        <v>2.0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2.0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0.0</v>
      </c>
      <c r="AM156" s="13">
        <f t="shared" si="32"/>
        <v>5</v>
      </c>
    </row>
    <row r="157" ht="12.75" customHeight="1">
      <c r="A157" s="18"/>
      <c r="B157" s="49"/>
      <c r="C157" s="50" t="s">
        <v>123</v>
      </c>
      <c r="D157" s="51"/>
      <c r="E157" s="80">
        <v>1.0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3">
        <v>0.0</v>
      </c>
      <c r="AM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73">
        <v>0.0</v>
      </c>
      <c r="AM160" s="13">
        <f t="shared" si="32"/>
        <v>0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M163" si="33">SUM(E153:E162)</f>
        <v>4</v>
      </c>
      <c r="F163" s="13">
        <f t="shared" si="33"/>
        <v>0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1</v>
      </c>
      <c r="AB163" s="13">
        <f t="shared" si="33"/>
        <v>2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16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1.0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1.0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1.0</v>
      </c>
      <c r="AL165" s="73">
        <v>0.0</v>
      </c>
      <c r="AM165" s="13">
        <f t="shared" ref="AM165:AM174" si="34">SUM(E165:AL165)</f>
        <v>5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2.0</v>
      </c>
      <c r="G166" s="73">
        <v>0.0</v>
      </c>
      <c r="H166" s="73">
        <v>0.0</v>
      </c>
      <c r="I166" s="73">
        <v>0.0</v>
      </c>
      <c r="J166" s="73">
        <v>1.0</v>
      </c>
      <c r="K166" s="73">
        <v>0.0</v>
      </c>
      <c r="L166" s="73">
        <v>1.0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1.0</v>
      </c>
      <c r="W166" s="73">
        <v>0.0</v>
      </c>
      <c r="X166" s="73">
        <v>1.0</v>
      </c>
      <c r="Y166" s="73">
        <v>0.0</v>
      </c>
      <c r="Z166" s="73">
        <v>1.0</v>
      </c>
      <c r="AA166" s="73">
        <v>1.0</v>
      </c>
      <c r="AB166" s="73">
        <v>0.0</v>
      </c>
      <c r="AC166" s="73">
        <v>1.0</v>
      </c>
      <c r="AD166" s="73">
        <v>1.0</v>
      </c>
      <c r="AE166" s="73">
        <v>0.0</v>
      </c>
      <c r="AF166" s="73">
        <v>0.0</v>
      </c>
      <c r="AG166" s="73">
        <v>0.0</v>
      </c>
      <c r="AH166" s="73">
        <v>0.0</v>
      </c>
      <c r="AI166" s="73">
        <v>0.0</v>
      </c>
      <c r="AJ166" s="73">
        <v>0.0</v>
      </c>
      <c r="AK166" s="73">
        <v>0.0</v>
      </c>
      <c r="AL166" s="73">
        <v>0.0</v>
      </c>
      <c r="AM166" s="13">
        <f t="shared" si="34"/>
        <v>10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M175" si="35">SUM(E165:E174)</f>
        <v>0</v>
      </c>
      <c r="F175" s="13">
        <f t="shared" si="35"/>
        <v>2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2</v>
      </c>
      <c r="AA175" s="13">
        <f t="shared" si="35"/>
        <v>1</v>
      </c>
      <c r="AB175" s="13">
        <f t="shared" si="35"/>
        <v>0</v>
      </c>
      <c r="AC175" s="13">
        <f t="shared" si="35"/>
        <v>1</v>
      </c>
      <c r="AD175" s="13">
        <f t="shared" si="35"/>
        <v>1</v>
      </c>
      <c r="AE175" s="13">
        <f t="shared" si="35"/>
        <v>0</v>
      </c>
      <c r="AF175" s="13">
        <f t="shared" si="35"/>
        <v>1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1</v>
      </c>
      <c r="AL175" s="13">
        <f t="shared" si="35"/>
        <v>0</v>
      </c>
      <c r="AM175" s="13">
        <f t="shared" si="35"/>
        <v>15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0.0</v>
      </c>
      <c r="G177" s="73">
        <v>1.0</v>
      </c>
      <c r="H177" s="73">
        <v>0.0</v>
      </c>
      <c r="I177" s="73">
        <v>0.0</v>
      </c>
      <c r="J177" s="73">
        <v>3.0</v>
      </c>
      <c r="K177" s="73">
        <v>0.0</v>
      </c>
      <c r="L177" s="73">
        <v>0.0</v>
      </c>
      <c r="M177" s="73">
        <v>2.0</v>
      </c>
      <c r="N177" s="73">
        <v>0.0</v>
      </c>
      <c r="O177" s="73">
        <v>0.0</v>
      </c>
      <c r="P177" s="73">
        <v>0.0</v>
      </c>
      <c r="Q177" s="73">
        <v>2.0</v>
      </c>
      <c r="R177" s="73">
        <v>3.0</v>
      </c>
      <c r="S177" s="73">
        <v>1.0</v>
      </c>
      <c r="T177" s="73">
        <v>0.0</v>
      </c>
      <c r="U177" s="73">
        <v>0.0</v>
      </c>
      <c r="V177" s="73">
        <v>2.0</v>
      </c>
      <c r="W177" s="73">
        <v>0.0</v>
      </c>
      <c r="X177" s="73">
        <v>1.0</v>
      </c>
      <c r="Y177" s="73">
        <v>0.0</v>
      </c>
      <c r="Z177" s="73">
        <v>1.0</v>
      </c>
      <c r="AA177" s="73">
        <v>0.0</v>
      </c>
      <c r="AB177" s="73">
        <v>2.0</v>
      </c>
      <c r="AC177" s="73">
        <v>1.0</v>
      </c>
      <c r="AD177" s="73">
        <v>1.0</v>
      </c>
      <c r="AE177" s="73">
        <v>0.0</v>
      </c>
      <c r="AF177" s="73">
        <v>1.0</v>
      </c>
      <c r="AG177" s="73">
        <v>2.0</v>
      </c>
      <c r="AH177" s="73">
        <v>1.0</v>
      </c>
      <c r="AI177" s="73">
        <v>0.0</v>
      </c>
      <c r="AJ177" s="73">
        <v>0.0</v>
      </c>
      <c r="AK177" s="73">
        <v>0.0</v>
      </c>
      <c r="AL177" s="73">
        <v>0.0</v>
      </c>
      <c r="AM177" s="13">
        <f t="shared" ref="AM177:AM186" si="36">SUM(E177:AL177)</f>
        <v>25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1.0</v>
      </c>
      <c r="F178" s="73">
        <v>0.0</v>
      </c>
      <c r="G178" s="73">
        <v>0.0</v>
      </c>
      <c r="H178" s="73">
        <v>4.0</v>
      </c>
      <c r="I178" s="73">
        <v>2.0</v>
      </c>
      <c r="J178" s="73">
        <v>0.0</v>
      </c>
      <c r="K178" s="73">
        <v>1.0</v>
      </c>
      <c r="L178" s="73">
        <v>0.0</v>
      </c>
      <c r="M178" s="73">
        <v>8.0</v>
      </c>
      <c r="N178" s="73">
        <v>5.0</v>
      </c>
      <c r="O178" s="73">
        <v>1.0</v>
      </c>
      <c r="P178" s="73">
        <v>10.0</v>
      </c>
      <c r="Q178" s="73">
        <v>30.0</v>
      </c>
      <c r="R178" s="73">
        <v>25.0</v>
      </c>
      <c r="S178" s="73">
        <v>2.0</v>
      </c>
      <c r="T178" s="73">
        <v>36.0</v>
      </c>
      <c r="U178" s="73">
        <v>0.0</v>
      </c>
      <c r="V178" s="73">
        <v>24.0</v>
      </c>
      <c r="W178" s="73">
        <v>7.0</v>
      </c>
      <c r="X178" s="73">
        <v>5.0</v>
      </c>
      <c r="Y178" s="73">
        <v>3.0</v>
      </c>
      <c r="Z178" s="73">
        <v>6.0</v>
      </c>
      <c r="AA178" s="73">
        <v>3.0</v>
      </c>
      <c r="AB178" s="73">
        <v>7.0</v>
      </c>
      <c r="AC178" s="73">
        <v>6.0</v>
      </c>
      <c r="AD178" s="73">
        <v>1.0</v>
      </c>
      <c r="AE178" s="73">
        <v>2.0</v>
      </c>
      <c r="AF178" s="73">
        <v>10.0</v>
      </c>
      <c r="AG178" s="73">
        <v>11.0</v>
      </c>
      <c r="AH178" s="73">
        <v>10.0</v>
      </c>
      <c r="AI178" s="73">
        <v>4.0</v>
      </c>
      <c r="AJ178" s="73">
        <v>3.0</v>
      </c>
      <c r="AK178" s="73">
        <v>1.0</v>
      </c>
      <c r="AL178" s="73">
        <v>3.0</v>
      </c>
      <c r="AM178" s="13">
        <f t="shared" si="36"/>
        <v>231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1.0</v>
      </c>
      <c r="T179" s="73">
        <v>0.0</v>
      </c>
      <c r="U179" s="73">
        <v>1.0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13">
        <f t="shared" si="36"/>
        <v>2</v>
      </c>
    </row>
    <row r="180" ht="12.75" customHeight="1">
      <c r="A180" s="18"/>
      <c r="B180" s="49"/>
      <c r="C180" s="50" t="s">
        <v>134</v>
      </c>
      <c r="D180" s="51"/>
      <c r="E180" s="73">
        <v>1.0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1.0</v>
      </c>
      <c r="L180" s="73">
        <v>0.0</v>
      </c>
      <c r="M180" s="73">
        <v>1.0</v>
      </c>
      <c r="N180" s="73">
        <v>0.0</v>
      </c>
      <c r="O180" s="73">
        <v>0.0</v>
      </c>
      <c r="P180" s="73">
        <v>0.0</v>
      </c>
      <c r="Q180" s="73">
        <v>2.0</v>
      </c>
      <c r="R180" s="73">
        <v>1.0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1.0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1.0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73">
        <v>0.0</v>
      </c>
      <c r="AM180" s="13">
        <f t="shared" si="36"/>
        <v>9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1.0</v>
      </c>
      <c r="AD181" s="73">
        <v>1.0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13">
        <f t="shared" si="36"/>
        <v>2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1.0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0.0</v>
      </c>
      <c r="AI182" s="73">
        <v>0.0</v>
      </c>
      <c r="AJ182" s="73">
        <v>0.0</v>
      </c>
      <c r="AK182" s="73">
        <v>0.0</v>
      </c>
      <c r="AL182" s="73">
        <v>0.0</v>
      </c>
      <c r="AM182" s="13">
        <f t="shared" si="36"/>
        <v>1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73">
        <v>0.0</v>
      </c>
      <c r="AJ183" s="73">
        <v>0.0</v>
      </c>
      <c r="AK183" s="73">
        <v>0.0</v>
      </c>
      <c r="AL183" s="73">
        <v>0.0</v>
      </c>
      <c r="AM183" s="13">
        <f t="shared" si="36"/>
        <v>0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73">
        <v>1.0</v>
      </c>
      <c r="AM184" s="13">
        <f t="shared" si="36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1.0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73">
        <v>0.0</v>
      </c>
      <c r="AI185" s="73">
        <v>0.0</v>
      </c>
      <c r="AJ185" s="73">
        <v>1.0</v>
      </c>
      <c r="AK185" s="73">
        <v>0.0</v>
      </c>
      <c r="AL185" s="73">
        <v>0.0</v>
      </c>
      <c r="AM185" s="13">
        <f t="shared" si="36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1.0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1.0</v>
      </c>
      <c r="AJ186" s="73">
        <v>0.0</v>
      </c>
      <c r="AK186" s="73">
        <v>0.0</v>
      </c>
      <c r="AL186" s="73">
        <v>0.0</v>
      </c>
      <c r="AM186" s="13">
        <f t="shared" si="36"/>
        <v>2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M187" si="37">SUM(E177:E186)</f>
        <v>3</v>
      </c>
      <c r="F187" s="13">
        <f t="shared" si="37"/>
        <v>1</v>
      </c>
      <c r="G187" s="13">
        <f t="shared" si="37"/>
        <v>1</v>
      </c>
      <c r="H187" s="13">
        <f t="shared" si="37"/>
        <v>4</v>
      </c>
      <c r="I187" s="13">
        <f t="shared" si="37"/>
        <v>3</v>
      </c>
      <c r="J187" s="13">
        <f t="shared" si="37"/>
        <v>3</v>
      </c>
      <c r="K187" s="13">
        <f t="shared" si="37"/>
        <v>2</v>
      </c>
      <c r="L187" s="13">
        <f t="shared" si="37"/>
        <v>1</v>
      </c>
      <c r="M187" s="13">
        <f t="shared" si="37"/>
        <v>11</v>
      </c>
      <c r="N187" s="13">
        <f t="shared" si="37"/>
        <v>5</v>
      </c>
      <c r="O187" s="13">
        <f t="shared" si="37"/>
        <v>1</v>
      </c>
      <c r="P187" s="13">
        <f t="shared" si="37"/>
        <v>10</v>
      </c>
      <c r="Q187" s="13">
        <f t="shared" si="37"/>
        <v>35</v>
      </c>
      <c r="R187" s="13">
        <f t="shared" si="37"/>
        <v>29</v>
      </c>
      <c r="S187" s="13">
        <f t="shared" si="37"/>
        <v>4</v>
      </c>
      <c r="T187" s="13">
        <f t="shared" si="37"/>
        <v>36</v>
      </c>
      <c r="U187" s="13">
        <f t="shared" si="37"/>
        <v>1</v>
      </c>
      <c r="V187" s="13">
        <f t="shared" si="37"/>
        <v>26</v>
      </c>
      <c r="W187" s="13">
        <f t="shared" si="37"/>
        <v>7</v>
      </c>
      <c r="X187" s="13">
        <f t="shared" si="37"/>
        <v>7</v>
      </c>
      <c r="Y187" s="13">
        <f t="shared" si="37"/>
        <v>3</v>
      </c>
      <c r="Z187" s="13">
        <f t="shared" si="37"/>
        <v>7</v>
      </c>
      <c r="AA187" s="13">
        <f t="shared" si="37"/>
        <v>3</v>
      </c>
      <c r="AB187" s="13">
        <f t="shared" si="37"/>
        <v>9</v>
      </c>
      <c r="AC187" s="13">
        <f t="shared" si="37"/>
        <v>8</v>
      </c>
      <c r="AD187" s="13">
        <f t="shared" si="37"/>
        <v>3</v>
      </c>
      <c r="AE187" s="13">
        <f t="shared" si="37"/>
        <v>3</v>
      </c>
      <c r="AF187" s="13">
        <f t="shared" si="37"/>
        <v>11</v>
      </c>
      <c r="AG187" s="13">
        <f t="shared" si="37"/>
        <v>13</v>
      </c>
      <c r="AH187" s="13">
        <f t="shared" si="37"/>
        <v>11</v>
      </c>
      <c r="AI187" s="13">
        <f t="shared" si="37"/>
        <v>5</v>
      </c>
      <c r="AJ187" s="13">
        <f t="shared" si="37"/>
        <v>4</v>
      </c>
      <c r="AK187" s="13">
        <f t="shared" si="37"/>
        <v>1</v>
      </c>
      <c r="AL187" s="13">
        <f t="shared" si="37"/>
        <v>4</v>
      </c>
      <c r="AM187" s="13">
        <f t="shared" si="37"/>
        <v>275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V188" s="78"/>
      <c r="W188" s="78"/>
      <c r="X188" s="78"/>
      <c r="Y188" s="78"/>
      <c r="Z188" s="78"/>
      <c r="AA188" s="78"/>
      <c r="AB188" s="78"/>
      <c r="AC188" s="78"/>
      <c r="AD188" s="78"/>
      <c r="AM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1.0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73">
        <v>0.0</v>
      </c>
      <c r="AM189" s="13">
        <f t="shared" ref="AM189:AM198" si="38">SUM(E189:AL189)</f>
        <v>1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2.0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1.0</v>
      </c>
      <c r="AC190" s="73">
        <v>1.0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1.0</v>
      </c>
      <c r="AM190" s="13">
        <f t="shared" si="38"/>
        <v>5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1.0</v>
      </c>
      <c r="R191" s="73">
        <v>1.0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73">
        <v>0.0</v>
      </c>
      <c r="AM191" s="13">
        <f t="shared" si="38"/>
        <v>2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1.0</v>
      </c>
      <c r="AE192" s="73">
        <v>0.0</v>
      </c>
      <c r="AF192" s="73">
        <v>1.0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13">
        <f t="shared" si="38"/>
        <v>2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1.0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73">
        <v>0.0</v>
      </c>
      <c r="AM193" s="13">
        <f t="shared" si="38"/>
        <v>1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1.0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1.0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1.0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1.0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73">
        <v>0.0</v>
      </c>
      <c r="AK196" s="73">
        <v>0.0</v>
      </c>
      <c r="AL196" s="73">
        <v>0.0</v>
      </c>
      <c r="AM196" s="13">
        <f t="shared" si="38"/>
        <v>3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73">
        <v>0.0</v>
      </c>
      <c r="AM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1.0</v>
      </c>
      <c r="AI198" s="73">
        <v>0.0</v>
      </c>
      <c r="AJ198" s="73">
        <v>0.0</v>
      </c>
      <c r="AK198" s="73">
        <v>0.0</v>
      </c>
      <c r="AL198" s="73">
        <v>0.0</v>
      </c>
      <c r="AM198" s="13">
        <f t="shared" si="38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M199" si="39">SUM(E189:E198)</f>
        <v>0</v>
      </c>
      <c r="F199" s="13">
        <f t="shared" si="39"/>
        <v>1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1</v>
      </c>
      <c r="AA199" s="13">
        <f t="shared" si="39"/>
        <v>0</v>
      </c>
      <c r="AB199" s="13">
        <f t="shared" si="39"/>
        <v>1</v>
      </c>
      <c r="AC199" s="13">
        <f t="shared" si="39"/>
        <v>1</v>
      </c>
      <c r="AD199" s="13">
        <f t="shared" si="39"/>
        <v>2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1</v>
      </c>
      <c r="AM199" s="13">
        <f t="shared" si="39"/>
        <v>16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5.0</v>
      </c>
      <c r="F201" s="73">
        <v>3.0</v>
      </c>
      <c r="G201" s="73">
        <v>9.0</v>
      </c>
      <c r="H201" s="73">
        <v>6.0</v>
      </c>
      <c r="I201" s="73">
        <v>6.0</v>
      </c>
      <c r="J201" s="73">
        <v>2.0</v>
      </c>
      <c r="K201" s="73">
        <v>2.0</v>
      </c>
      <c r="L201" s="73">
        <v>3.0</v>
      </c>
      <c r="M201" s="73">
        <v>5.0</v>
      </c>
      <c r="N201" s="73">
        <v>4.0</v>
      </c>
      <c r="O201" s="73">
        <v>3.0</v>
      </c>
      <c r="P201" s="73">
        <v>2.0</v>
      </c>
      <c r="Q201" s="73">
        <v>2.0</v>
      </c>
      <c r="R201" s="73">
        <v>7.0</v>
      </c>
      <c r="S201" s="73">
        <v>8.0</v>
      </c>
      <c r="T201" s="73">
        <v>4.0</v>
      </c>
      <c r="U201" s="73">
        <v>5.0</v>
      </c>
      <c r="V201" s="73">
        <v>1.0</v>
      </c>
      <c r="W201" s="73">
        <v>1.0</v>
      </c>
      <c r="X201" s="73">
        <v>1.0</v>
      </c>
      <c r="Y201" s="73">
        <v>1.0</v>
      </c>
      <c r="Z201" s="73">
        <v>0.0</v>
      </c>
      <c r="AA201" s="73">
        <v>5.0</v>
      </c>
      <c r="AB201" s="73">
        <v>9.0</v>
      </c>
      <c r="AC201" s="73">
        <v>5.0</v>
      </c>
      <c r="AD201" s="73">
        <v>7.0</v>
      </c>
      <c r="AE201" s="73">
        <v>6.0</v>
      </c>
      <c r="AF201" s="73">
        <v>7.0</v>
      </c>
      <c r="AG201" s="73">
        <v>6.0</v>
      </c>
      <c r="AH201" s="73">
        <v>3.0</v>
      </c>
      <c r="AI201" s="73">
        <v>3.0</v>
      </c>
      <c r="AJ201" s="73">
        <v>4.0</v>
      </c>
      <c r="AK201" s="73">
        <v>3.0</v>
      </c>
      <c r="AL201" s="73">
        <v>4.0</v>
      </c>
      <c r="AM201" s="13">
        <f t="shared" ref="AM201:AM210" si="40">SUM(E201:AL201)</f>
        <v>142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19.0</v>
      </c>
      <c r="F202" s="73">
        <v>8.0</v>
      </c>
      <c r="G202" s="73">
        <v>17.0</v>
      </c>
      <c r="H202" s="73">
        <v>19.0</v>
      </c>
      <c r="I202" s="73">
        <v>25.0</v>
      </c>
      <c r="J202" s="73">
        <v>17.0</v>
      </c>
      <c r="K202" s="73">
        <v>3.0</v>
      </c>
      <c r="L202" s="73">
        <v>6.0</v>
      </c>
      <c r="M202" s="73">
        <v>23.0</v>
      </c>
      <c r="N202" s="73">
        <v>11.0</v>
      </c>
      <c r="O202" s="73">
        <v>14.0</v>
      </c>
      <c r="P202" s="73">
        <v>46.0</v>
      </c>
      <c r="Q202" s="73">
        <v>39.0</v>
      </c>
      <c r="R202" s="73">
        <v>43.0</v>
      </c>
      <c r="S202" s="73">
        <v>27.0</v>
      </c>
      <c r="T202" s="73">
        <v>25.0</v>
      </c>
      <c r="U202" s="73">
        <v>41.0</v>
      </c>
      <c r="V202" s="73">
        <v>2.0</v>
      </c>
      <c r="W202" s="73">
        <v>24.0</v>
      </c>
      <c r="X202" s="73">
        <v>18.0</v>
      </c>
      <c r="Y202" s="73">
        <v>8.0</v>
      </c>
      <c r="Z202" s="73">
        <v>7.0</v>
      </c>
      <c r="AA202" s="73">
        <v>4.0</v>
      </c>
      <c r="AB202" s="73">
        <v>6.0</v>
      </c>
      <c r="AC202" s="73">
        <v>17.0</v>
      </c>
      <c r="AD202" s="73">
        <v>14.0</v>
      </c>
      <c r="AE202" s="73">
        <v>3.0</v>
      </c>
      <c r="AF202" s="73">
        <v>10.0</v>
      </c>
      <c r="AG202" s="73">
        <v>13.0</v>
      </c>
      <c r="AH202" s="73">
        <v>9.0</v>
      </c>
      <c r="AI202" s="73">
        <v>6.0</v>
      </c>
      <c r="AJ202" s="73">
        <v>4.0</v>
      </c>
      <c r="AK202" s="73">
        <v>5.0</v>
      </c>
      <c r="AL202" s="73">
        <v>3.0</v>
      </c>
      <c r="AM202" s="13">
        <f t="shared" si="40"/>
        <v>536</v>
      </c>
    </row>
    <row r="203" ht="12.75" customHeight="1">
      <c r="A203" s="18"/>
      <c r="B203" s="49"/>
      <c r="C203" s="50" t="s">
        <v>155</v>
      </c>
      <c r="D203" s="51"/>
      <c r="E203" s="73">
        <v>5.0</v>
      </c>
      <c r="F203" s="73">
        <v>7.0</v>
      </c>
      <c r="G203" s="73">
        <v>43.0</v>
      </c>
      <c r="H203" s="73">
        <v>21.0</v>
      </c>
      <c r="I203" s="73">
        <v>7.0</v>
      </c>
      <c r="J203" s="73">
        <v>0.0</v>
      </c>
      <c r="K203" s="73">
        <v>1.0</v>
      </c>
      <c r="L203" s="73">
        <v>3.0</v>
      </c>
      <c r="M203" s="73">
        <v>2.0</v>
      </c>
      <c r="N203" s="73">
        <v>1.0</v>
      </c>
      <c r="O203" s="73">
        <v>7.0</v>
      </c>
      <c r="P203" s="73">
        <v>1.0</v>
      </c>
      <c r="Q203" s="73">
        <v>3.0</v>
      </c>
      <c r="R203" s="73">
        <v>2.0</v>
      </c>
      <c r="S203" s="73">
        <v>0.0</v>
      </c>
      <c r="T203" s="73">
        <v>2.0</v>
      </c>
      <c r="U203" s="73">
        <v>5.0</v>
      </c>
      <c r="V203" s="73">
        <v>1.0</v>
      </c>
      <c r="W203" s="73">
        <v>2.0</v>
      </c>
      <c r="X203" s="73">
        <v>1.0</v>
      </c>
      <c r="Y203" s="73">
        <v>1.0</v>
      </c>
      <c r="Z203" s="73">
        <v>2.0</v>
      </c>
      <c r="AA203" s="73">
        <v>1.0</v>
      </c>
      <c r="AB203" s="73">
        <v>2.0</v>
      </c>
      <c r="AC203" s="73">
        <v>0.0</v>
      </c>
      <c r="AD203" s="73">
        <v>0.0</v>
      </c>
      <c r="AE203" s="73">
        <v>0.0</v>
      </c>
      <c r="AF203" s="73">
        <v>0.0</v>
      </c>
      <c r="AG203" s="73">
        <v>6.0</v>
      </c>
      <c r="AH203" s="73">
        <v>3.0</v>
      </c>
      <c r="AI203" s="73">
        <v>1.0</v>
      </c>
      <c r="AJ203" s="73">
        <v>2.0</v>
      </c>
      <c r="AK203" s="73">
        <v>0.0</v>
      </c>
      <c r="AL203" s="73">
        <v>2.0</v>
      </c>
      <c r="AM203" s="13">
        <f t="shared" si="40"/>
        <v>134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2.0</v>
      </c>
      <c r="G204" s="73">
        <v>0.0</v>
      </c>
      <c r="H204" s="73">
        <v>1.0</v>
      </c>
      <c r="I204" s="73">
        <v>1.0</v>
      </c>
      <c r="J204" s="73">
        <v>1.0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1.0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0.0</v>
      </c>
      <c r="W204" s="73">
        <v>0.0</v>
      </c>
      <c r="X204" s="73">
        <v>0.0</v>
      </c>
      <c r="Y204" s="73">
        <v>0.0</v>
      </c>
      <c r="Z204" s="73">
        <v>1.0</v>
      </c>
      <c r="AA204" s="73">
        <v>0.0</v>
      </c>
      <c r="AB204" s="73">
        <v>1.0</v>
      </c>
      <c r="AC204" s="73">
        <v>0.0</v>
      </c>
      <c r="AD204" s="73">
        <v>0.0</v>
      </c>
      <c r="AE204" s="73">
        <v>1.0</v>
      </c>
      <c r="AF204" s="73">
        <v>2.0</v>
      </c>
      <c r="AG204" s="73">
        <v>0.0</v>
      </c>
      <c r="AH204" s="73">
        <v>0.0</v>
      </c>
      <c r="AI204" s="73">
        <v>1.0</v>
      </c>
      <c r="AJ204" s="73">
        <v>0.0</v>
      </c>
      <c r="AK204" s="73">
        <v>0.0</v>
      </c>
      <c r="AL204" s="73">
        <v>0.0</v>
      </c>
      <c r="AM204" s="13">
        <f t="shared" si="40"/>
        <v>12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3.0</v>
      </c>
      <c r="L205" s="73">
        <v>0.0</v>
      </c>
      <c r="M205" s="73">
        <v>0.0</v>
      </c>
      <c r="N205" s="73">
        <v>1.0</v>
      </c>
      <c r="O205" s="73">
        <v>1.0</v>
      </c>
      <c r="P205" s="73">
        <v>1.0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1.0</v>
      </c>
      <c r="AC205" s="73">
        <v>0.0</v>
      </c>
      <c r="AD205" s="73">
        <v>1.0</v>
      </c>
      <c r="AE205" s="73">
        <v>0.0</v>
      </c>
      <c r="AF205" s="73">
        <v>0.0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0.0</v>
      </c>
      <c r="AL205" s="73">
        <v>0.0</v>
      </c>
      <c r="AM205" s="13">
        <f t="shared" si="40"/>
        <v>9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1.0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1.0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1.0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0.0</v>
      </c>
      <c r="AM206" s="13">
        <f t="shared" si="40"/>
        <v>3</v>
      </c>
    </row>
    <row r="207" ht="12.75" customHeight="1">
      <c r="A207" s="18"/>
      <c r="B207" s="49"/>
      <c r="C207" s="50" t="s">
        <v>159</v>
      </c>
      <c r="D207" s="51"/>
      <c r="E207" s="73">
        <v>1.0</v>
      </c>
      <c r="F207" s="73">
        <v>0.0</v>
      </c>
      <c r="G207" s="73">
        <v>0.0</v>
      </c>
      <c r="H207" s="73">
        <v>1.0</v>
      </c>
      <c r="I207" s="73">
        <v>0.0</v>
      </c>
      <c r="J207" s="73">
        <v>2.0</v>
      </c>
      <c r="K207" s="73">
        <v>0.0</v>
      </c>
      <c r="L207" s="73">
        <v>0.0</v>
      </c>
      <c r="M207" s="73">
        <v>0.0</v>
      </c>
      <c r="N207" s="73">
        <v>2.0</v>
      </c>
      <c r="O207" s="73">
        <v>0.0</v>
      </c>
      <c r="P207" s="73">
        <v>0.0</v>
      </c>
      <c r="Q207" s="73">
        <v>1.0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1.0</v>
      </c>
      <c r="Y207" s="73">
        <v>0.0</v>
      </c>
      <c r="Z207" s="73">
        <v>0.0</v>
      </c>
      <c r="AA207" s="73">
        <v>0.0</v>
      </c>
      <c r="AB207" s="73">
        <v>1.0</v>
      </c>
      <c r="AC207" s="73">
        <v>0.0</v>
      </c>
      <c r="AD207" s="73">
        <v>1.0</v>
      </c>
      <c r="AE207" s="73">
        <v>2.0</v>
      </c>
      <c r="AF207" s="73">
        <v>1.0</v>
      </c>
      <c r="AG207" s="73">
        <v>1.0</v>
      </c>
      <c r="AH207" s="73">
        <v>4.0</v>
      </c>
      <c r="AI207" s="73">
        <v>0.0</v>
      </c>
      <c r="AJ207" s="73">
        <v>0.0</v>
      </c>
      <c r="AK207" s="73">
        <v>1.0</v>
      </c>
      <c r="AL207" s="73">
        <v>1.0</v>
      </c>
      <c r="AM207" s="13">
        <f t="shared" si="40"/>
        <v>20</v>
      </c>
    </row>
    <row r="208" ht="12.75" customHeight="1">
      <c r="A208" s="18"/>
      <c r="B208" s="49"/>
      <c r="C208" s="50" t="s">
        <v>160</v>
      </c>
      <c r="D208" s="51"/>
      <c r="E208" s="73">
        <v>2.0</v>
      </c>
      <c r="F208" s="73">
        <v>0.0</v>
      </c>
      <c r="G208" s="73">
        <v>0.0</v>
      </c>
      <c r="H208" s="73">
        <v>0.0</v>
      </c>
      <c r="I208" s="73">
        <v>1.0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0.0</v>
      </c>
      <c r="P208" s="73">
        <v>0.0</v>
      </c>
      <c r="Q208" s="73">
        <v>0.0</v>
      </c>
      <c r="R208" s="73">
        <v>0.0</v>
      </c>
      <c r="S208" s="73">
        <v>0.0</v>
      </c>
      <c r="T208" s="73">
        <v>0.0</v>
      </c>
      <c r="U208" s="73">
        <v>0.0</v>
      </c>
      <c r="V208" s="73">
        <v>0.0</v>
      </c>
      <c r="W208" s="73">
        <v>0.0</v>
      </c>
      <c r="X208" s="73">
        <v>2.0</v>
      </c>
      <c r="Y208" s="73">
        <v>0.0</v>
      </c>
      <c r="Z208" s="73">
        <v>0.0</v>
      </c>
      <c r="AA208" s="73">
        <v>0.0</v>
      </c>
      <c r="AB208" s="73">
        <v>0.0</v>
      </c>
      <c r="AC208" s="73">
        <v>0.0</v>
      </c>
      <c r="AD208" s="73">
        <v>0.0</v>
      </c>
      <c r="AE208" s="73">
        <v>0.0</v>
      </c>
      <c r="AF208" s="73">
        <v>2.0</v>
      </c>
      <c r="AG208" s="73">
        <v>1.0</v>
      </c>
      <c r="AH208" s="73">
        <v>0.0</v>
      </c>
      <c r="AI208" s="73">
        <v>0.0</v>
      </c>
      <c r="AJ208" s="73">
        <v>0.0</v>
      </c>
      <c r="AK208" s="73">
        <v>0.0</v>
      </c>
      <c r="AL208" s="73">
        <v>1.0</v>
      </c>
      <c r="AM208" s="13">
        <f t="shared" si="40"/>
        <v>9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1.0</v>
      </c>
      <c r="AB209" s="73">
        <v>0.0</v>
      </c>
      <c r="AC209" s="73">
        <v>0.0</v>
      </c>
      <c r="AD209" s="73">
        <v>0.0</v>
      </c>
      <c r="AE209" s="73">
        <v>1.0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73">
        <v>0.0</v>
      </c>
      <c r="AM209" s="13">
        <f t="shared" si="40"/>
        <v>2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1.0</v>
      </c>
      <c r="M210" s="73">
        <v>1.0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1.0</v>
      </c>
      <c r="AG210" s="73">
        <v>1.0</v>
      </c>
      <c r="AH210" s="73">
        <v>0.0</v>
      </c>
      <c r="AI210" s="73">
        <v>0.0</v>
      </c>
      <c r="AJ210" s="73">
        <v>0.0</v>
      </c>
      <c r="AK210" s="73">
        <v>1.0</v>
      </c>
      <c r="AL210" s="73">
        <v>1.0</v>
      </c>
      <c r="AM210" s="13">
        <f t="shared" si="40"/>
        <v>6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M211" si="41">SUM(E201:E210)</f>
        <v>32</v>
      </c>
      <c r="F211" s="13">
        <f t="shared" si="41"/>
        <v>20</v>
      </c>
      <c r="G211" s="13">
        <f t="shared" si="41"/>
        <v>70</v>
      </c>
      <c r="H211" s="13">
        <f t="shared" si="41"/>
        <v>48</v>
      </c>
      <c r="I211" s="13">
        <f t="shared" si="41"/>
        <v>40</v>
      </c>
      <c r="J211" s="13">
        <f t="shared" si="41"/>
        <v>22</v>
      </c>
      <c r="K211" s="13">
        <f t="shared" si="41"/>
        <v>9</v>
      </c>
      <c r="L211" s="13">
        <f t="shared" si="41"/>
        <v>13</v>
      </c>
      <c r="M211" s="13">
        <f t="shared" si="41"/>
        <v>32</v>
      </c>
      <c r="N211" s="13">
        <f t="shared" si="41"/>
        <v>19</v>
      </c>
      <c r="O211" s="13">
        <f t="shared" si="41"/>
        <v>25</v>
      </c>
      <c r="P211" s="13">
        <f t="shared" si="41"/>
        <v>51</v>
      </c>
      <c r="Q211" s="13">
        <f t="shared" si="41"/>
        <v>45</v>
      </c>
      <c r="R211" s="13">
        <f t="shared" si="41"/>
        <v>52</v>
      </c>
      <c r="S211" s="13">
        <f t="shared" si="41"/>
        <v>36</v>
      </c>
      <c r="T211" s="13">
        <f t="shared" si="41"/>
        <v>31</v>
      </c>
      <c r="U211" s="13">
        <f t="shared" si="41"/>
        <v>51</v>
      </c>
      <c r="V211" s="13">
        <f t="shared" si="41"/>
        <v>4</v>
      </c>
      <c r="W211" s="13">
        <f t="shared" si="41"/>
        <v>27</v>
      </c>
      <c r="X211" s="13">
        <f t="shared" si="41"/>
        <v>23</v>
      </c>
      <c r="Y211" s="13">
        <f t="shared" si="41"/>
        <v>10</v>
      </c>
      <c r="Z211" s="13">
        <f t="shared" si="41"/>
        <v>10</v>
      </c>
      <c r="AA211" s="13">
        <f t="shared" si="41"/>
        <v>11</v>
      </c>
      <c r="AB211" s="13">
        <f t="shared" si="41"/>
        <v>20</v>
      </c>
      <c r="AC211" s="13">
        <f t="shared" si="41"/>
        <v>22</v>
      </c>
      <c r="AD211" s="13">
        <f t="shared" si="41"/>
        <v>23</v>
      </c>
      <c r="AE211" s="13">
        <f t="shared" si="41"/>
        <v>13</v>
      </c>
      <c r="AF211" s="13">
        <f t="shared" si="41"/>
        <v>23</v>
      </c>
      <c r="AG211" s="13">
        <f t="shared" si="41"/>
        <v>29</v>
      </c>
      <c r="AH211" s="13">
        <f t="shared" si="41"/>
        <v>19</v>
      </c>
      <c r="AI211" s="13">
        <f t="shared" si="41"/>
        <v>11</v>
      </c>
      <c r="AJ211" s="13">
        <f t="shared" si="41"/>
        <v>10</v>
      </c>
      <c r="AK211" s="13">
        <f t="shared" si="41"/>
        <v>10</v>
      </c>
      <c r="AL211" s="13">
        <f t="shared" si="41"/>
        <v>12</v>
      </c>
      <c r="AM211" s="13">
        <f t="shared" si="41"/>
        <v>873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0.0</v>
      </c>
      <c r="G213" s="73">
        <v>2.0</v>
      </c>
      <c r="H213" s="73">
        <v>1.0</v>
      </c>
      <c r="I213" s="73">
        <v>1.0</v>
      </c>
      <c r="J213" s="73">
        <v>0.0</v>
      </c>
      <c r="K213" s="73">
        <v>0.0</v>
      </c>
      <c r="L213" s="73">
        <v>1.0</v>
      </c>
      <c r="M213" s="73">
        <v>1.0</v>
      </c>
      <c r="N213" s="73">
        <v>2.0</v>
      </c>
      <c r="O213" s="73">
        <v>2.0</v>
      </c>
      <c r="P213" s="73">
        <v>1.0</v>
      </c>
      <c r="Q213" s="73">
        <v>1.0</v>
      </c>
      <c r="R213" s="73">
        <v>0.0</v>
      </c>
      <c r="S213" s="73">
        <v>1.0</v>
      </c>
      <c r="T213" s="73">
        <v>0.0</v>
      </c>
      <c r="U213" s="73">
        <v>2.0</v>
      </c>
      <c r="V213" s="73">
        <v>0.0</v>
      </c>
      <c r="W213" s="73">
        <v>2.0</v>
      </c>
      <c r="X213" s="73">
        <v>1.0</v>
      </c>
      <c r="Y213" s="73">
        <v>1.0</v>
      </c>
      <c r="Z213" s="73">
        <v>0.0</v>
      </c>
      <c r="AA213" s="73">
        <v>0.0</v>
      </c>
      <c r="AB213" s="73">
        <v>1.0</v>
      </c>
      <c r="AC213" s="73">
        <v>2.0</v>
      </c>
      <c r="AD213" s="73">
        <v>2.0</v>
      </c>
      <c r="AE213" s="73">
        <v>4.0</v>
      </c>
      <c r="AF213" s="73">
        <v>0.0</v>
      </c>
      <c r="AG213" s="73">
        <v>1.0</v>
      </c>
      <c r="AH213" s="73">
        <v>1.0</v>
      </c>
      <c r="AI213" s="73">
        <v>1.0</v>
      </c>
      <c r="AJ213" s="73">
        <v>0.0</v>
      </c>
      <c r="AK213" s="73">
        <v>0.0</v>
      </c>
      <c r="AL213" s="73">
        <v>0.0</v>
      </c>
      <c r="AM213" s="13">
        <f t="shared" ref="AM213:AM222" si="42">SUM(E213:AL213)</f>
        <v>33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0.0</v>
      </c>
      <c r="H214" s="73">
        <v>1.0</v>
      </c>
      <c r="I214" s="73">
        <v>0.0</v>
      </c>
      <c r="J214" s="73">
        <v>0.0</v>
      </c>
      <c r="K214" s="73">
        <v>1.0</v>
      </c>
      <c r="L214" s="73">
        <v>0.0</v>
      </c>
      <c r="M214" s="73">
        <v>2.0</v>
      </c>
      <c r="N214" s="73">
        <v>0.0</v>
      </c>
      <c r="O214" s="73">
        <v>1.0</v>
      </c>
      <c r="P214" s="73">
        <v>1.0</v>
      </c>
      <c r="Q214" s="73">
        <v>0.0</v>
      </c>
      <c r="R214" s="73">
        <v>1.0</v>
      </c>
      <c r="S214" s="73">
        <v>1.0</v>
      </c>
      <c r="T214" s="73">
        <v>1.0</v>
      </c>
      <c r="U214" s="73">
        <v>1.0</v>
      </c>
      <c r="V214" s="73">
        <v>0.0</v>
      </c>
      <c r="W214" s="73">
        <v>1.0</v>
      </c>
      <c r="X214" s="73">
        <v>0.0</v>
      </c>
      <c r="Y214" s="73">
        <v>0.0</v>
      </c>
      <c r="Z214" s="73">
        <v>0.0</v>
      </c>
      <c r="AA214" s="73">
        <v>0.0</v>
      </c>
      <c r="AB214" s="73">
        <v>1.0</v>
      </c>
      <c r="AC214" s="73">
        <v>2.0</v>
      </c>
      <c r="AD214" s="73">
        <v>0.0</v>
      </c>
      <c r="AE214" s="73">
        <v>0.0</v>
      </c>
      <c r="AF214" s="73">
        <v>0.0</v>
      </c>
      <c r="AG214" s="73">
        <v>2.0</v>
      </c>
      <c r="AH214" s="73">
        <v>0.0</v>
      </c>
      <c r="AI214" s="73">
        <v>0.0</v>
      </c>
      <c r="AJ214" s="73">
        <v>0.0</v>
      </c>
      <c r="AK214" s="73">
        <v>0.0</v>
      </c>
      <c r="AL214" s="73">
        <v>2.0</v>
      </c>
      <c r="AM214" s="13">
        <f t="shared" si="42"/>
        <v>18</v>
      </c>
    </row>
    <row r="215" ht="12.75" customHeight="1">
      <c r="A215" s="18"/>
      <c r="B215" s="49"/>
      <c r="C215" s="50" t="s">
        <v>166</v>
      </c>
      <c r="D215" s="51"/>
      <c r="E215" s="73">
        <v>3.0</v>
      </c>
      <c r="F215" s="73">
        <v>1.0</v>
      </c>
      <c r="G215" s="73">
        <v>0.0</v>
      </c>
      <c r="H215" s="73">
        <v>0.0</v>
      </c>
      <c r="I215" s="73">
        <v>3.0</v>
      </c>
      <c r="J215" s="73">
        <v>1.0</v>
      </c>
      <c r="K215" s="73">
        <v>0.0</v>
      </c>
      <c r="L215" s="73">
        <v>1.0</v>
      </c>
      <c r="M215" s="73">
        <v>1.0</v>
      </c>
      <c r="N215" s="73">
        <v>3.0</v>
      </c>
      <c r="O215" s="73">
        <v>1.0</v>
      </c>
      <c r="P215" s="73">
        <v>0.0</v>
      </c>
      <c r="Q215" s="73">
        <v>1.0</v>
      </c>
      <c r="R215" s="73">
        <v>1.0</v>
      </c>
      <c r="S215" s="73">
        <v>4.0</v>
      </c>
      <c r="T215" s="73">
        <v>2.0</v>
      </c>
      <c r="U215" s="73">
        <v>1.0</v>
      </c>
      <c r="V215" s="73">
        <v>0.0</v>
      </c>
      <c r="W215" s="73">
        <v>3.0</v>
      </c>
      <c r="X215" s="73">
        <v>0.0</v>
      </c>
      <c r="Y215" s="73">
        <v>1.0</v>
      </c>
      <c r="Z215" s="73">
        <v>0.0</v>
      </c>
      <c r="AA215" s="73">
        <v>2.0</v>
      </c>
      <c r="AB215" s="73">
        <v>1.0</v>
      </c>
      <c r="AC215" s="73">
        <v>0.0</v>
      </c>
      <c r="AD215" s="73">
        <v>1.0</v>
      </c>
      <c r="AE215" s="73">
        <v>1.0</v>
      </c>
      <c r="AF215" s="73">
        <v>1.0</v>
      </c>
      <c r="AG215" s="73">
        <v>2.0</v>
      </c>
      <c r="AH215" s="73">
        <v>0.0</v>
      </c>
      <c r="AI215" s="73">
        <v>0.0</v>
      </c>
      <c r="AJ215" s="73">
        <v>0.0</v>
      </c>
      <c r="AK215" s="73">
        <v>0.0</v>
      </c>
      <c r="AL215" s="73">
        <v>0.0</v>
      </c>
      <c r="AM215" s="13">
        <f t="shared" si="42"/>
        <v>35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1.0</v>
      </c>
      <c r="H216" s="73">
        <v>0.0</v>
      </c>
      <c r="I216" s="73">
        <v>0.0</v>
      </c>
      <c r="J216" s="73">
        <v>0.0</v>
      </c>
      <c r="K216" s="73">
        <v>0.0</v>
      </c>
      <c r="L216" s="73">
        <v>1.0</v>
      </c>
      <c r="M216" s="73">
        <v>1.0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1.0</v>
      </c>
      <c r="U216" s="73">
        <v>1.0</v>
      </c>
      <c r="V216" s="73">
        <v>0.0</v>
      </c>
      <c r="W216" s="73">
        <v>0.0</v>
      </c>
      <c r="X216" s="73">
        <v>1.0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0.0</v>
      </c>
      <c r="AD216" s="73">
        <v>0.0</v>
      </c>
      <c r="AE216" s="73">
        <v>0.0</v>
      </c>
      <c r="AF216" s="73">
        <v>1.0</v>
      </c>
      <c r="AG216" s="73">
        <v>0.0</v>
      </c>
      <c r="AH216" s="73">
        <v>0.0</v>
      </c>
      <c r="AI216" s="73">
        <v>0.0</v>
      </c>
      <c r="AJ216" s="73">
        <v>0.0</v>
      </c>
      <c r="AK216" s="73">
        <v>0.0</v>
      </c>
      <c r="AL216" s="73">
        <v>0.0</v>
      </c>
      <c r="AM216" s="13">
        <f t="shared" si="42"/>
        <v>7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M223" si="43">SUM(E213:E222)</f>
        <v>5</v>
      </c>
      <c r="F223" s="13">
        <f t="shared" si="43"/>
        <v>1</v>
      </c>
      <c r="G223" s="13">
        <f t="shared" si="43"/>
        <v>3</v>
      </c>
      <c r="H223" s="13">
        <f t="shared" si="43"/>
        <v>2</v>
      </c>
      <c r="I223" s="13">
        <f t="shared" si="43"/>
        <v>4</v>
      </c>
      <c r="J223" s="13">
        <f t="shared" si="43"/>
        <v>1</v>
      </c>
      <c r="K223" s="13">
        <f t="shared" si="43"/>
        <v>1</v>
      </c>
      <c r="L223" s="13">
        <f t="shared" si="43"/>
        <v>3</v>
      </c>
      <c r="M223" s="13">
        <f t="shared" si="43"/>
        <v>5</v>
      </c>
      <c r="N223" s="13">
        <f t="shared" si="43"/>
        <v>5</v>
      </c>
      <c r="O223" s="13">
        <f t="shared" si="43"/>
        <v>4</v>
      </c>
      <c r="P223" s="13">
        <f t="shared" si="43"/>
        <v>2</v>
      </c>
      <c r="Q223" s="13">
        <f t="shared" si="43"/>
        <v>2</v>
      </c>
      <c r="R223" s="13">
        <f t="shared" si="43"/>
        <v>2</v>
      </c>
      <c r="S223" s="13">
        <f t="shared" si="43"/>
        <v>6</v>
      </c>
      <c r="T223" s="13">
        <f t="shared" si="43"/>
        <v>4</v>
      </c>
      <c r="U223" s="13">
        <f t="shared" si="43"/>
        <v>5</v>
      </c>
      <c r="V223" s="13">
        <f t="shared" si="43"/>
        <v>0</v>
      </c>
      <c r="W223" s="13">
        <f t="shared" si="43"/>
        <v>6</v>
      </c>
      <c r="X223" s="13">
        <f t="shared" si="43"/>
        <v>2</v>
      </c>
      <c r="Y223" s="13">
        <f t="shared" si="43"/>
        <v>2</v>
      </c>
      <c r="Z223" s="13">
        <f t="shared" si="43"/>
        <v>0</v>
      </c>
      <c r="AA223" s="13">
        <f t="shared" si="43"/>
        <v>2</v>
      </c>
      <c r="AB223" s="13">
        <f t="shared" si="43"/>
        <v>3</v>
      </c>
      <c r="AC223" s="13">
        <f t="shared" si="43"/>
        <v>4</v>
      </c>
      <c r="AD223" s="13">
        <f t="shared" si="43"/>
        <v>3</v>
      </c>
      <c r="AE223" s="13">
        <f t="shared" si="43"/>
        <v>5</v>
      </c>
      <c r="AF223" s="13">
        <f t="shared" si="43"/>
        <v>2</v>
      </c>
      <c r="AG223" s="13">
        <f t="shared" si="43"/>
        <v>5</v>
      </c>
      <c r="AH223" s="13">
        <f t="shared" si="43"/>
        <v>1</v>
      </c>
      <c r="AI223" s="13">
        <f t="shared" si="43"/>
        <v>1</v>
      </c>
      <c r="AJ223" s="13">
        <f t="shared" si="43"/>
        <v>0</v>
      </c>
      <c r="AK223" s="13">
        <f t="shared" si="43"/>
        <v>0</v>
      </c>
      <c r="AL223" s="13">
        <f t="shared" si="43"/>
        <v>2</v>
      </c>
      <c r="AM223" s="13">
        <f t="shared" si="43"/>
        <v>93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1.0</v>
      </c>
      <c r="G225" s="73">
        <v>2.0</v>
      </c>
      <c r="H225" s="73">
        <v>1.0</v>
      </c>
      <c r="I225" s="73">
        <v>0.0</v>
      </c>
      <c r="J225" s="73">
        <v>0.0</v>
      </c>
      <c r="K225" s="73">
        <v>0.0</v>
      </c>
      <c r="L225" s="73">
        <v>1.0</v>
      </c>
      <c r="M225" s="73">
        <v>1.0</v>
      </c>
      <c r="N225" s="73">
        <v>0.0</v>
      </c>
      <c r="O225" s="73">
        <v>1.0</v>
      </c>
      <c r="P225" s="73">
        <v>0.0</v>
      </c>
      <c r="Q225" s="73">
        <v>2.0</v>
      </c>
      <c r="R225" s="73">
        <v>1.0</v>
      </c>
      <c r="S225" s="73">
        <v>0.0</v>
      </c>
      <c r="T225" s="73">
        <v>0.0</v>
      </c>
      <c r="U225" s="73">
        <v>1.0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5.0</v>
      </c>
      <c r="AB225" s="73">
        <v>3.0</v>
      </c>
      <c r="AC225" s="73">
        <v>1.0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2.0</v>
      </c>
      <c r="AI225" s="73">
        <v>0.0</v>
      </c>
      <c r="AJ225" s="73">
        <v>1.0</v>
      </c>
      <c r="AK225" s="73">
        <v>1.0</v>
      </c>
      <c r="AL225" s="73">
        <v>0.0</v>
      </c>
      <c r="AM225" s="13">
        <f t="shared" ref="AM225:AM234" si="44">SUM(E225:AL225)</f>
        <v>25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1.0</v>
      </c>
      <c r="F226" s="73">
        <v>0.0</v>
      </c>
      <c r="G226" s="73">
        <v>1.0</v>
      </c>
      <c r="H226" s="73">
        <v>3.0</v>
      </c>
      <c r="I226" s="73">
        <v>0.0</v>
      </c>
      <c r="J226" s="73">
        <v>0.0</v>
      </c>
      <c r="K226" s="73">
        <v>0.0</v>
      </c>
      <c r="L226" s="73">
        <v>1.0</v>
      </c>
      <c r="M226" s="73">
        <v>1.0</v>
      </c>
      <c r="N226" s="73">
        <v>1.0</v>
      </c>
      <c r="O226" s="73">
        <v>0.0</v>
      </c>
      <c r="P226" s="73">
        <v>0.0</v>
      </c>
      <c r="Q226" s="73">
        <v>1.0</v>
      </c>
      <c r="R226" s="73">
        <v>0.0</v>
      </c>
      <c r="S226" s="73">
        <v>1.0</v>
      </c>
      <c r="T226" s="73">
        <v>0.0</v>
      </c>
      <c r="U226" s="73">
        <v>0.0</v>
      </c>
      <c r="V226" s="73">
        <v>0.0</v>
      </c>
      <c r="W226" s="73">
        <v>1.0</v>
      </c>
      <c r="X226" s="73">
        <v>1.0</v>
      </c>
      <c r="Y226" s="73">
        <v>0.0</v>
      </c>
      <c r="Z226" s="73">
        <v>1.0</v>
      </c>
      <c r="AA226" s="73">
        <v>2.0</v>
      </c>
      <c r="AB226" s="73">
        <v>3.0</v>
      </c>
      <c r="AC226" s="73">
        <v>0.0</v>
      </c>
      <c r="AD226" s="73">
        <v>0.0</v>
      </c>
      <c r="AE226" s="73">
        <v>1.0</v>
      </c>
      <c r="AF226" s="73">
        <v>1.0</v>
      </c>
      <c r="AG226" s="73">
        <v>0.0</v>
      </c>
      <c r="AH226" s="73">
        <v>0.0</v>
      </c>
      <c r="AI226" s="73">
        <v>0.0</v>
      </c>
      <c r="AJ226" s="73">
        <v>1.0</v>
      </c>
      <c r="AK226" s="73">
        <v>0.0</v>
      </c>
      <c r="AL226" s="73">
        <v>1.0</v>
      </c>
      <c r="AM226" s="13">
        <f t="shared" si="44"/>
        <v>22</v>
      </c>
    </row>
    <row r="227" ht="12.75" customHeight="1">
      <c r="A227" s="18"/>
      <c r="B227" s="49"/>
      <c r="C227" s="50" t="s">
        <v>171</v>
      </c>
      <c r="D227" s="51"/>
      <c r="E227" s="73">
        <v>1.0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1.0</v>
      </c>
      <c r="S227" s="73">
        <v>0.0</v>
      </c>
      <c r="T227" s="73">
        <v>0.0</v>
      </c>
      <c r="U227" s="73">
        <v>0.0</v>
      </c>
      <c r="V227" s="73">
        <v>2.0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1.0</v>
      </c>
      <c r="AI227" s="73">
        <v>0.0</v>
      </c>
      <c r="AJ227" s="73">
        <v>0.0</v>
      </c>
      <c r="AK227" s="73">
        <v>0.0</v>
      </c>
      <c r="AL227" s="73">
        <v>0.0</v>
      </c>
      <c r="AM227" s="13">
        <f t="shared" si="44"/>
        <v>5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1.0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73">
        <v>0.0</v>
      </c>
      <c r="AM228" s="13">
        <f t="shared" si="44"/>
        <v>1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1.0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1.0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73">
        <v>0.0</v>
      </c>
      <c r="AM229" s="13">
        <f t="shared" si="44"/>
        <v>2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M235" si="45">SUM(E225:E234)</f>
        <v>3</v>
      </c>
      <c r="F235" s="13">
        <f t="shared" si="45"/>
        <v>2</v>
      </c>
      <c r="G235" s="13">
        <f t="shared" si="45"/>
        <v>3</v>
      </c>
      <c r="H235" s="13">
        <f t="shared" si="45"/>
        <v>4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2</v>
      </c>
      <c r="M235" s="13">
        <f t="shared" si="45"/>
        <v>2</v>
      </c>
      <c r="N235" s="13">
        <f t="shared" si="45"/>
        <v>1</v>
      </c>
      <c r="O235" s="13">
        <f t="shared" si="45"/>
        <v>1</v>
      </c>
      <c r="P235" s="13">
        <f t="shared" si="45"/>
        <v>1</v>
      </c>
      <c r="Q235" s="13">
        <f t="shared" si="45"/>
        <v>3</v>
      </c>
      <c r="R235" s="13">
        <f t="shared" si="45"/>
        <v>2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2</v>
      </c>
      <c r="W235" s="13">
        <f t="shared" si="45"/>
        <v>1</v>
      </c>
      <c r="X235" s="13">
        <f t="shared" si="45"/>
        <v>1</v>
      </c>
      <c r="Y235" s="13">
        <f t="shared" si="45"/>
        <v>1</v>
      </c>
      <c r="Z235" s="13">
        <f t="shared" si="45"/>
        <v>1</v>
      </c>
      <c r="AA235" s="13">
        <f t="shared" si="45"/>
        <v>7</v>
      </c>
      <c r="AB235" s="13">
        <f t="shared" si="45"/>
        <v>6</v>
      </c>
      <c r="AC235" s="13">
        <f t="shared" si="45"/>
        <v>1</v>
      </c>
      <c r="AD235" s="13">
        <f t="shared" si="45"/>
        <v>0</v>
      </c>
      <c r="AE235" s="13">
        <f t="shared" si="45"/>
        <v>1</v>
      </c>
      <c r="AF235" s="13">
        <f t="shared" si="45"/>
        <v>1</v>
      </c>
      <c r="AG235" s="13">
        <f t="shared" si="45"/>
        <v>0</v>
      </c>
      <c r="AH235" s="13">
        <f t="shared" si="45"/>
        <v>3</v>
      </c>
      <c r="AI235" s="13">
        <f t="shared" si="45"/>
        <v>0</v>
      </c>
      <c r="AJ235" s="13">
        <f t="shared" si="45"/>
        <v>2</v>
      </c>
      <c r="AK235" s="13">
        <f t="shared" si="45"/>
        <v>1</v>
      </c>
      <c r="AL235" s="13">
        <f t="shared" si="45"/>
        <v>1</v>
      </c>
      <c r="AM235" s="13">
        <f t="shared" si="45"/>
        <v>55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4.0</v>
      </c>
      <c r="F237" s="73">
        <v>5.0</v>
      </c>
      <c r="G237" s="73">
        <v>1.0</v>
      </c>
      <c r="H237" s="73">
        <v>0.0</v>
      </c>
      <c r="I237" s="73">
        <v>1.0</v>
      </c>
      <c r="J237" s="73">
        <v>2.0</v>
      </c>
      <c r="K237" s="73">
        <v>0.0</v>
      </c>
      <c r="L237" s="73">
        <v>1.0</v>
      </c>
      <c r="M237" s="73">
        <v>0.0</v>
      </c>
      <c r="N237" s="73">
        <v>2.0</v>
      </c>
      <c r="O237" s="73">
        <v>1.0</v>
      </c>
      <c r="P237" s="73">
        <v>2.0</v>
      </c>
      <c r="Q237" s="73">
        <v>2.0</v>
      </c>
      <c r="R237" s="73">
        <v>0.0</v>
      </c>
      <c r="S237" s="73">
        <v>1.0</v>
      </c>
      <c r="T237" s="73">
        <v>2.0</v>
      </c>
      <c r="U237" s="73">
        <v>2.0</v>
      </c>
      <c r="V237" s="73">
        <v>0.0</v>
      </c>
      <c r="W237" s="73">
        <v>2.0</v>
      </c>
      <c r="X237" s="73">
        <v>1.0</v>
      </c>
      <c r="Y237" s="73">
        <v>0.0</v>
      </c>
      <c r="Z237" s="73">
        <v>1.0</v>
      </c>
      <c r="AA237" s="73">
        <v>3.0</v>
      </c>
      <c r="AB237" s="73">
        <v>5.0</v>
      </c>
      <c r="AC237" s="73">
        <v>0.0</v>
      </c>
      <c r="AD237" s="73">
        <v>2.0</v>
      </c>
      <c r="AE237" s="73">
        <v>2.0</v>
      </c>
      <c r="AF237" s="73">
        <v>2.0</v>
      </c>
      <c r="AG237" s="73">
        <v>2.0</v>
      </c>
      <c r="AH237" s="73">
        <v>1.0</v>
      </c>
      <c r="AI237" s="73">
        <v>5.0</v>
      </c>
      <c r="AJ237" s="73">
        <v>2.0</v>
      </c>
      <c r="AK237" s="73">
        <v>1.0</v>
      </c>
      <c r="AL237" s="73">
        <v>2.0</v>
      </c>
      <c r="AM237" s="13">
        <f t="shared" ref="AM237:AM246" si="46">SUM(E237:AL237)</f>
        <v>57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0.0</v>
      </c>
      <c r="G238" s="73">
        <v>1.0</v>
      </c>
      <c r="H238" s="73">
        <v>0.0</v>
      </c>
      <c r="I238" s="73">
        <v>0.0</v>
      </c>
      <c r="J238" s="73">
        <v>2.0</v>
      </c>
      <c r="K238" s="73">
        <v>0.0</v>
      </c>
      <c r="L238" s="73">
        <v>2.0</v>
      </c>
      <c r="M238" s="73">
        <v>1.0</v>
      </c>
      <c r="N238" s="73">
        <v>0.0</v>
      </c>
      <c r="O238" s="73">
        <v>0.0</v>
      </c>
      <c r="P238" s="73">
        <v>0.0</v>
      </c>
      <c r="Q238" s="73">
        <v>0.0</v>
      </c>
      <c r="R238" s="73">
        <v>0.0</v>
      </c>
      <c r="S238" s="73">
        <v>1.0</v>
      </c>
      <c r="T238" s="73">
        <v>0.0</v>
      </c>
      <c r="U238" s="73">
        <v>0.0</v>
      </c>
      <c r="V238" s="73">
        <v>1.0</v>
      </c>
      <c r="W238" s="73">
        <v>2.0</v>
      </c>
      <c r="X238" s="73">
        <v>1.0</v>
      </c>
      <c r="Y238" s="73">
        <v>2.0</v>
      </c>
      <c r="Z238" s="73">
        <v>4.0</v>
      </c>
      <c r="AA238" s="73">
        <v>2.0</v>
      </c>
      <c r="AB238" s="73">
        <v>1.0</v>
      </c>
      <c r="AC238" s="73">
        <v>1.0</v>
      </c>
      <c r="AD238" s="73">
        <v>0.0</v>
      </c>
      <c r="AE238" s="73">
        <v>1.0</v>
      </c>
      <c r="AF238" s="73">
        <v>0.0</v>
      </c>
      <c r="AG238" s="73">
        <v>2.0</v>
      </c>
      <c r="AH238" s="73">
        <v>1.0</v>
      </c>
      <c r="AI238" s="73">
        <v>2.0</v>
      </c>
      <c r="AJ238" s="73">
        <v>1.0</v>
      </c>
      <c r="AK238" s="73">
        <v>1.0</v>
      </c>
      <c r="AL238" s="73">
        <v>1.0</v>
      </c>
      <c r="AM238" s="13">
        <f t="shared" si="46"/>
        <v>30</v>
      </c>
    </row>
    <row r="239" ht="12.75" customHeight="1">
      <c r="A239" s="18"/>
      <c r="B239" s="49"/>
      <c r="C239" s="50" t="s">
        <v>177</v>
      </c>
      <c r="D239" s="51"/>
      <c r="E239" s="73">
        <v>6.0</v>
      </c>
      <c r="F239" s="73">
        <v>4.0</v>
      </c>
      <c r="G239" s="73">
        <v>0.0</v>
      </c>
      <c r="H239" s="73">
        <v>0.0</v>
      </c>
      <c r="I239" s="73">
        <v>2.0</v>
      </c>
      <c r="J239" s="73">
        <v>1.0</v>
      </c>
      <c r="K239" s="73">
        <v>0.0</v>
      </c>
      <c r="L239" s="73">
        <v>7.0</v>
      </c>
      <c r="M239" s="73">
        <v>1.0</v>
      </c>
      <c r="N239" s="73">
        <v>0.0</v>
      </c>
      <c r="O239" s="73">
        <v>0.0</v>
      </c>
      <c r="P239" s="73">
        <v>2.0</v>
      </c>
      <c r="Q239" s="73">
        <v>1.0</v>
      </c>
      <c r="R239" s="73">
        <v>1.0</v>
      </c>
      <c r="S239" s="73">
        <v>0.0</v>
      </c>
      <c r="T239" s="73">
        <v>1.0</v>
      </c>
      <c r="U239" s="73">
        <v>2.0</v>
      </c>
      <c r="V239" s="73">
        <v>24.0</v>
      </c>
      <c r="W239" s="73">
        <v>3.0</v>
      </c>
      <c r="X239" s="73">
        <v>5.0</v>
      </c>
      <c r="Y239" s="73">
        <v>0.0</v>
      </c>
      <c r="Z239" s="73">
        <v>2.0</v>
      </c>
      <c r="AA239" s="73">
        <v>4.0</v>
      </c>
      <c r="AB239" s="73">
        <v>0.0</v>
      </c>
      <c r="AC239" s="73">
        <v>2.0</v>
      </c>
      <c r="AD239" s="73">
        <v>0.0</v>
      </c>
      <c r="AE239" s="73">
        <v>2.0</v>
      </c>
      <c r="AF239" s="73">
        <v>13.0</v>
      </c>
      <c r="AG239" s="73">
        <v>16.0</v>
      </c>
      <c r="AH239" s="73">
        <v>2.0</v>
      </c>
      <c r="AI239" s="73">
        <v>3.0</v>
      </c>
      <c r="AJ239" s="73">
        <v>5.0</v>
      </c>
      <c r="AK239" s="73">
        <v>3.0</v>
      </c>
      <c r="AL239" s="73">
        <v>4.0</v>
      </c>
      <c r="AM239" s="13">
        <f t="shared" si="46"/>
        <v>116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1.0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1.0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0.0</v>
      </c>
      <c r="AL240" s="73">
        <v>0.0</v>
      </c>
      <c r="AM240" s="13">
        <f t="shared" si="46"/>
        <v>2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1.0</v>
      </c>
      <c r="O241" s="73">
        <v>0.0</v>
      </c>
      <c r="P241" s="73">
        <v>0.0</v>
      </c>
      <c r="Q241" s="73">
        <v>0.0</v>
      </c>
      <c r="R241" s="73">
        <v>1.0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1.0</v>
      </c>
      <c r="Y241" s="73">
        <v>0.0</v>
      </c>
      <c r="Z241" s="73">
        <v>1.0</v>
      </c>
      <c r="AA241" s="73">
        <v>1.0</v>
      </c>
      <c r="AB241" s="73">
        <v>0.0</v>
      </c>
      <c r="AC241" s="73">
        <v>0.0</v>
      </c>
      <c r="AD241" s="73">
        <v>1.0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13">
        <f t="shared" si="46"/>
        <v>6</v>
      </c>
    </row>
    <row r="242" ht="12.75" customHeight="1">
      <c r="A242" s="18"/>
      <c r="B242" s="49"/>
      <c r="C242" s="50" t="s">
        <v>180</v>
      </c>
      <c r="D242" s="51"/>
      <c r="E242" s="73">
        <v>2.0</v>
      </c>
      <c r="F242" s="73">
        <v>0.0</v>
      </c>
      <c r="G242" s="73">
        <v>0.0</v>
      </c>
      <c r="H242" s="73">
        <v>1.0</v>
      </c>
      <c r="I242" s="73">
        <v>3.0</v>
      </c>
      <c r="J242" s="73">
        <v>0.0</v>
      </c>
      <c r="K242" s="73">
        <v>0.0</v>
      </c>
      <c r="L242" s="73">
        <v>0.0</v>
      </c>
      <c r="M242" s="73">
        <v>0.0</v>
      </c>
      <c r="N242" s="73">
        <v>1.0</v>
      </c>
      <c r="O242" s="73">
        <v>0.0</v>
      </c>
      <c r="P242" s="73">
        <v>0.0</v>
      </c>
      <c r="Q242" s="73">
        <v>1.0</v>
      </c>
      <c r="R242" s="73">
        <v>2.0</v>
      </c>
      <c r="S242" s="73">
        <v>0.0</v>
      </c>
      <c r="T242" s="73">
        <v>1.0</v>
      </c>
      <c r="U242" s="73">
        <v>0.0</v>
      </c>
      <c r="V242" s="73">
        <v>4.0</v>
      </c>
      <c r="W242" s="73">
        <v>1.0</v>
      </c>
      <c r="X242" s="73">
        <v>2.0</v>
      </c>
      <c r="Y242" s="73">
        <v>7.0</v>
      </c>
      <c r="Z242" s="73">
        <v>1.0</v>
      </c>
      <c r="AA242" s="73">
        <v>3.0</v>
      </c>
      <c r="AB242" s="73">
        <v>3.0</v>
      </c>
      <c r="AC242" s="73">
        <v>0.0</v>
      </c>
      <c r="AD242" s="73">
        <v>0.0</v>
      </c>
      <c r="AE242" s="73">
        <v>1.0</v>
      </c>
      <c r="AF242" s="73">
        <v>2.0</v>
      </c>
      <c r="AG242" s="73">
        <v>4.0</v>
      </c>
      <c r="AH242" s="73">
        <v>4.0</v>
      </c>
      <c r="AI242" s="73">
        <v>2.0</v>
      </c>
      <c r="AJ242" s="73">
        <v>6.0</v>
      </c>
      <c r="AK242" s="73">
        <v>1.0</v>
      </c>
      <c r="AL242" s="73">
        <v>0.0</v>
      </c>
      <c r="AM242" s="13">
        <f t="shared" si="46"/>
        <v>52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2.0</v>
      </c>
      <c r="AC243" s="73">
        <v>0.0</v>
      </c>
      <c r="AD243" s="73">
        <v>0.0</v>
      </c>
      <c r="AE243" s="73">
        <v>0.0</v>
      </c>
      <c r="AF243" s="73">
        <v>2.0</v>
      </c>
      <c r="AG243" s="73">
        <v>2.0</v>
      </c>
      <c r="AH243" s="73">
        <v>1.0</v>
      </c>
      <c r="AI243" s="73">
        <v>0.0</v>
      </c>
      <c r="AJ243" s="73">
        <v>2.0</v>
      </c>
      <c r="AK243" s="73">
        <v>0.0</v>
      </c>
      <c r="AL243" s="73">
        <v>0.0</v>
      </c>
      <c r="AM243" s="13">
        <f t="shared" si="46"/>
        <v>9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1.0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1.0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1.0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1.0</v>
      </c>
      <c r="Z244" s="73">
        <v>0.0</v>
      </c>
      <c r="AA244" s="73">
        <v>0.0</v>
      </c>
      <c r="AB244" s="73">
        <v>1.0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73">
        <v>0.0</v>
      </c>
      <c r="AM244" s="13">
        <f t="shared" si="46"/>
        <v>5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1.0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0.0</v>
      </c>
      <c r="AK245" s="73">
        <v>0.0</v>
      </c>
      <c r="AL245" s="73">
        <v>0.0</v>
      </c>
      <c r="AM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1.0</v>
      </c>
      <c r="K246" s="73">
        <v>0.0</v>
      </c>
      <c r="L246" s="73">
        <v>1.0</v>
      </c>
      <c r="M246" s="73">
        <v>1.0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2.0</v>
      </c>
      <c r="X246" s="73">
        <v>2.0</v>
      </c>
      <c r="Y246" s="73">
        <v>0.0</v>
      </c>
      <c r="Z246" s="73">
        <v>0.0</v>
      </c>
      <c r="AA246" s="73">
        <v>1.0</v>
      </c>
      <c r="AB246" s="73">
        <v>1.0</v>
      </c>
      <c r="AC246" s="73">
        <v>1.0</v>
      </c>
      <c r="AD246" s="73">
        <v>0.0</v>
      </c>
      <c r="AE246" s="73">
        <v>0.0</v>
      </c>
      <c r="AF246" s="73">
        <v>0.0</v>
      </c>
      <c r="AG246" s="73">
        <v>0.0</v>
      </c>
      <c r="AH246" s="73">
        <v>4.0</v>
      </c>
      <c r="AI246" s="73">
        <v>0.0</v>
      </c>
      <c r="AJ246" s="73">
        <v>2.0</v>
      </c>
      <c r="AK246" s="73">
        <v>0.0</v>
      </c>
      <c r="AL246" s="73">
        <v>0.0</v>
      </c>
      <c r="AM246" s="13">
        <f t="shared" si="46"/>
        <v>16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M247" si="47">SUM(E237:E246)</f>
        <v>12</v>
      </c>
      <c r="F247" s="13">
        <f t="shared" si="47"/>
        <v>10</v>
      </c>
      <c r="G247" s="13">
        <f t="shared" si="47"/>
        <v>2</v>
      </c>
      <c r="H247" s="13">
        <f t="shared" si="47"/>
        <v>1</v>
      </c>
      <c r="I247" s="13">
        <f t="shared" si="47"/>
        <v>6</v>
      </c>
      <c r="J247" s="13">
        <f t="shared" si="47"/>
        <v>6</v>
      </c>
      <c r="K247" s="13">
        <f t="shared" si="47"/>
        <v>0</v>
      </c>
      <c r="L247" s="13">
        <f t="shared" si="47"/>
        <v>12</v>
      </c>
      <c r="M247" s="13">
        <f t="shared" si="47"/>
        <v>3</v>
      </c>
      <c r="N247" s="13">
        <f t="shared" si="47"/>
        <v>5</v>
      </c>
      <c r="O247" s="13">
        <f t="shared" si="47"/>
        <v>1</v>
      </c>
      <c r="P247" s="13">
        <f t="shared" si="47"/>
        <v>4</v>
      </c>
      <c r="Q247" s="13">
        <f t="shared" si="47"/>
        <v>4</v>
      </c>
      <c r="R247" s="13">
        <f t="shared" si="47"/>
        <v>5</v>
      </c>
      <c r="S247" s="13">
        <f t="shared" si="47"/>
        <v>2</v>
      </c>
      <c r="T247" s="13">
        <f t="shared" si="47"/>
        <v>4</v>
      </c>
      <c r="U247" s="13">
        <f t="shared" si="47"/>
        <v>4</v>
      </c>
      <c r="V247" s="13">
        <f t="shared" si="47"/>
        <v>29</v>
      </c>
      <c r="W247" s="13">
        <f t="shared" si="47"/>
        <v>10</v>
      </c>
      <c r="X247" s="13">
        <f t="shared" si="47"/>
        <v>13</v>
      </c>
      <c r="Y247" s="13">
        <f t="shared" si="47"/>
        <v>10</v>
      </c>
      <c r="Z247" s="13">
        <f t="shared" si="47"/>
        <v>9</v>
      </c>
      <c r="AA247" s="13">
        <f t="shared" si="47"/>
        <v>14</v>
      </c>
      <c r="AB247" s="13">
        <f t="shared" si="47"/>
        <v>13</v>
      </c>
      <c r="AC247" s="13">
        <f t="shared" si="47"/>
        <v>4</v>
      </c>
      <c r="AD247" s="13">
        <f t="shared" si="47"/>
        <v>4</v>
      </c>
      <c r="AE247" s="13">
        <f t="shared" si="47"/>
        <v>6</v>
      </c>
      <c r="AF247" s="13">
        <f t="shared" si="47"/>
        <v>19</v>
      </c>
      <c r="AG247" s="13">
        <f t="shared" si="47"/>
        <v>26</v>
      </c>
      <c r="AH247" s="13">
        <f t="shared" si="47"/>
        <v>13</v>
      </c>
      <c r="AI247" s="13">
        <f t="shared" si="47"/>
        <v>12</v>
      </c>
      <c r="AJ247" s="13">
        <f t="shared" si="47"/>
        <v>18</v>
      </c>
      <c r="AK247" s="13">
        <f t="shared" si="47"/>
        <v>6</v>
      </c>
      <c r="AL247" s="13">
        <f t="shared" si="47"/>
        <v>7</v>
      </c>
      <c r="AM247" s="13">
        <f t="shared" si="47"/>
        <v>294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1.0</v>
      </c>
      <c r="F249" s="73">
        <v>0.0</v>
      </c>
      <c r="G249" s="73">
        <v>1.0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1.0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1.0</v>
      </c>
      <c r="AI249" s="73">
        <v>0.0</v>
      </c>
      <c r="AJ249" s="73">
        <v>0.0</v>
      </c>
      <c r="AK249" s="73">
        <v>0.0</v>
      </c>
      <c r="AL249" s="73">
        <v>0.0</v>
      </c>
      <c r="AM249" s="13">
        <f t="shared" ref="AM249:AM258" si="48">SUM(E249:AL249)</f>
        <v>4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2.0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1.0</v>
      </c>
      <c r="Q250" s="73">
        <v>0.0</v>
      </c>
      <c r="R250" s="73">
        <v>1.0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1.0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1.0</v>
      </c>
      <c r="AJ250" s="73">
        <v>0.0</v>
      </c>
      <c r="AK250" s="73">
        <v>0.0</v>
      </c>
      <c r="AL250" s="73">
        <v>0.0</v>
      </c>
      <c r="AM250" s="13">
        <f t="shared" si="48"/>
        <v>6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73">
        <v>0.0</v>
      </c>
      <c r="AM251" s="13">
        <f t="shared" si="48"/>
        <v>0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73">
        <v>0.0</v>
      </c>
      <c r="AJ252" s="73">
        <v>0.0</v>
      </c>
      <c r="AK252" s="73">
        <v>0.0</v>
      </c>
      <c r="AL252" s="73">
        <v>0.0</v>
      </c>
      <c r="AM252" s="13">
        <f t="shared" si="48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M259" si="49">SUM(E249:E258)</f>
        <v>3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1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1</v>
      </c>
      <c r="AI259" s="13">
        <f t="shared" si="49"/>
        <v>1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13"/>
      <c r="W261" s="13"/>
      <c r="X261" s="13"/>
      <c r="Y261" s="13"/>
      <c r="Z261" s="13"/>
      <c r="AA261" s="13"/>
      <c r="AB261" s="13"/>
      <c r="AC261" s="13"/>
      <c r="AD261" s="76"/>
      <c r="AE261" s="76"/>
      <c r="AF261" s="76"/>
      <c r="AG261" s="76"/>
      <c r="AH261" s="76"/>
      <c r="AI261" s="76"/>
      <c r="AJ261" s="76"/>
      <c r="AK261" s="76"/>
      <c r="AL261" s="76"/>
      <c r="AM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L262" si="50">E55+E67+E79+E91+E103+E115+E127+E139+E151+E163+E175+E187+E199+E211+E223+E235+E247+E259</f>
        <v>204</v>
      </c>
      <c r="F262" s="19">
        <f t="shared" si="50"/>
        <v>182</v>
      </c>
      <c r="G262" s="19">
        <f t="shared" si="50"/>
        <v>199</v>
      </c>
      <c r="H262" s="19">
        <f t="shared" si="50"/>
        <v>202</v>
      </c>
      <c r="I262" s="19">
        <f t="shared" si="50"/>
        <v>196</v>
      </c>
      <c r="J262" s="19">
        <f t="shared" si="50"/>
        <v>202</v>
      </c>
      <c r="K262" s="19">
        <f t="shared" si="50"/>
        <v>204</v>
      </c>
      <c r="L262" s="19">
        <f t="shared" si="50"/>
        <v>223</v>
      </c>
      <c r="M262" s="19">
        <f t="shared" si="50"/>
        <v>197</v>
      </c>
      <c r="N262" s="19">
        <f t="shared" si="50"/>
        <v>117</v>
      </c>
      <c r="O262" s="19">
        <f t="shared" si="50"/>
        <v>100</v>
      </c>
      <c r="P262" s="19">
        <f t="shared" si="50"/>
        <v>166</v>
      </c>
      <c r="Q262" s="19">
        <f t="shared" si="50"/>
        <v>190</v>
      </c>
      <c r="R262" s="19">
        <f t="shared" si="50"/>
        <v>183</v>
      </c>
      <c r="S262" s="19">
        <f t="shared" si="50"/>
        <v>162</v>
      </c>
      <c r="T262" s="19">
        <f t="shared" si="50"/>
        <v>206</v>
      </c>
      <c r="U262" s="19">
        <f t="shared" si="50"/>
        <v>176</v>
      </c>
      <c r="V262" s="19">
        <f t="shared" si="50"/>
        <v>212</v>
      </c>
      <c r="W262" s="19">
        <f t="shared" si="50"/>
        <v>161</v>
      </c>
      <c r="X262" s="19">
        <f t="shared" si="50"/>
        <v>195</v>
      </c>
      <c r="Y262" s="19">
        <f t="shared" si="50"/>
        <v>185</v>
      </c>
      <c r="Z262" s="19">
        <f t="shared" si="50"/>
        <v>153</v>
      </c>
      <c r="AA262" s="19">
        <f t="shared" si="50"/>
        <v>178</v>
      </c>
      <c r="AB262" s="19">
        <f t="shared" si="50"/>
        <v>200</v>
      </c>
      <c r="AC262" s="19">
        <f t="shared" si="50"/>
        <v>192</v>
      </c>
      <c r="AD262" s="19">
        <f t="shared" si="50"/>
        <v>180</v>
      </c>
      <c r="AE262" s="19">
        <f t="shared" si="50"/>
        <v>184</v>
      </c>
      <c r="AF262" s="19">
        <f t="shared" si="50"/>
        <v>180</v>
      </c>
      <c r="AG262" s="19">
        <f t="shared" si="50"/>
        <v>173</v>
      </c>
      <c r="AH262" s="19">
        <f t="shared" si="50"/>
        <v>177</v>
      </c>
      <c r="AI262" s="19">
        <f t="shared" si="50"/>
        <v>142</v>
      </c>
      <c r="AJ262" s="19">
        <f t="shared" si="50"/>
        <v>184</v>
      </c>
      <c r="AK262" s="19">
        <f t="shared" si="50"/>
        <v>178</v>
      </c>
      <c r="AL262" s="19">
        <f t="shared" si="50"/>
        <v>172</v>
      </c>
      <c r="AM262" s="13">
        <f t="shared" ref="AM262:AM264" si="51">SUM(E262:AL262)</f>
        <v>6155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21.0</v>
      </c>
      <c r="F263" s="73">
        <v>34.0</v>
      </c>
      <c r="G263" s="73">
        <v>11.0</v>
      </c>
      <c r="H263" s="73">
        <v>26.0</v>
      </c>
      <c r="I263" s="73">
        <v>36.0</v>
      </c>
      <c r="J263" s="73">
        <v>23.0</v>
      </c>
      <c r="K263" s="73">
        <v>16.0</v>
      </c>
      <c r="L263" s="73">
        <v>26.0</v>
      </c>
      <c r="M263" s="73">
        <v>25.0</v>
      </c>
      <c r="N263" s="73">
        <v>25.0</v>
      </c>
      <c r="O263" s="73">
        <v>36.0</v>
      </c>
      <c r="P263" s="73">
        <v>39.0</v>
      </c>
      <c r="Q263" s="73">
        <v>16.0</v>
      </c>
      <c r="R263" s="73">
        <v>30.0</v>
      </c>
      <c r="S263" s="73">
        <v>35.0</v>
      </c>
      <c r="T263" s="73">
        <v>4.0</v>
      </c>
      <c r="U263" s="73">
        <v>17.0</v>
      </c>
      <c r="V263" s="73">
        <v>9.0</v>
      </c>
      <c r="W263" s="73">
        <v>15.0</v>
      </c>
      <c r="X263" s="73">
        <v>27.0</v>
      </c>
      <c r="Y263" s="73">
        <v>22.0</v>
      </c>
      <c r="Z263" s="73">
        <v>38.0</v>
      </c>
      <c r="AA263" s="73">
        <v>13.0</v>
      </c>
      <c r="AB263" s="73">
        <v>16.0</v>
      </c>
      <c r="AC263" s="73">
        <v>19.0</v>
      </c>
      <c r="AD263" s="73">
        <v>24.0</v>
      </c>
      <c r="AE263" s="73">
        <v>19.0</v>
      </c>
      <c r="AF263" s="73">
        <v>31.0</v>
      </c>
      <c r="AG263" s="73">
        <v>24.0</v>
      </c>
      <c r="AH263" s="73">
        <v>29.0</v>
      </c>
      <c r="AI263" s="73">
        <v>53.0</v>
      </c>
      <c r="AJ263" s="73">
        <v>24.0</v>
      </c>
      <c r="AK263" s="73">
        <v>13.0</v>
      </c>
      <c r="AL263" s="73">
        <v>28.0</v>
      </c>
      <c r="AM263" s="13">
        <f t="shared" si="51"/>
        <v>824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L264" si="52">SUM(E262:E263)</f>
        <v>225</v>
      </c>
      <c r="F264" s="13">
        <f t="shared" si="52"/>
        <v>216</v>
      </c>
      <c r="G264" s="13">
        <f t="shared" si="52"/>
        <v>210</v>
      </c>
      <c r="H264" s="13">
        <f t="shared" si="52"/>
        <v>228</v>
      </c>
      <c r="I264" s="13">
        <f t="shared" si="52"/>
        <v>232</v>
      </c>
      <c r="J264" s="13">
        <f t="shared" si="52"/>
        <v>225</v>
      </c>
      <c r="K264" s="13">
        <f t="shared" si="52"/>
        <v>220</v>
      </c>
      <c r="L264" s="13">
        <f t="shared" si="52"/>
        <v>249</v>
      </c>
      <c r="M264" s="13">
        <f t="shared" si="52"/>
        <v>222</v>
      </c>
      <c r="N264" s="13">
        <f t="shared" si="52"/>
        <v>142</v>
      </c>
      <c r="O264" s="13">
        <f t="shared" si="52"/>
        <v>136</v>
      </c>
      <c r="P264" s="13">
        <f t="shared" si="52"/>
        <v>205</v>
      </c>
      <c r="Q264" s="13">
        <f t="shared" si="52"/>
        <v>206</v>
      </c>
      <c r="R264" s="13">
        <f t="shared" si="52"/>
        <v>213</v>
      </c>
      <c r="S264" s="13">
        <f t="shared" si="52"/>
        <v>197</v>
      </c>
      <c r="T264" s="13">
        <f t="shared" si="52"/>
        <v>210</v>
      </c>
      <c r="U264" s="13">
        <f t="shared" si="52"/>
        <v>193</v>
      </c>
      <c r="V264" s="13">
        <f t="shared" si="52"/>
        <v>221</v>
      </c>
      <c r="W264" s="13">
        <f t="shared" si="52"/>
        <v>176</v>
      </c>
      <c r="X264" s="13">
        <f t="shared" si="52"/>
        <v>222</v>
      </c>
      <c r="Y264" s="13">
        <f t="shared" si="52"/>
        <v>207</v>
      </c>
      <c r="Z264" s="13">
        <f t="shared" si="52"/>
        <v>191</v>
      </c>
      <c r="AA264" s="13">
        <f t="shared" si="52"/>
        <v>191</v>
      </c>
      <c r="AB264" s="13">
        <f t="shared" si="52"/>
        <v>216</v>
      </c>
      <c r="AC264" s="13">
        <f t="shared" si="52"/>
        <v>211</v>
      </c>
      <c r="AD264" s="13">
        <f t="shared" si="52"/>
        <v>204</v>
      </c>
      <c r="AE264" s="13">
        <f t="shared" si="52"/>
        <v>203</v>
      </c>
      <c r="AF264" s="13">
        <f t="shared" si="52"/>
        <v>211</v>
      </c>
      <c r="AG264" s="13">
        <f t="shared" si="52"/>
        <v>197</v>
      </c>
      <c r="AH264" s="13">
        <f t="shared" si="52"/>
        <v>206</v>
      </c>
      <c r="AI264" s="13">
        <f t="shared" si="52"/>
        <v>195</v>
      </c>
      <c r="AJ264" s="13">
        <f t="shared" si="52"/>
        <v>208</v>
      </c>
      <c r="AK264" s="13">
        <f t="shared" si="52"/>
        <v>191</v>
      </c>
      <c r="AL264" s="13">
        <f t="shared" si="52"/>
        <v>200</v>
      </c>
      <c r="AM264" s="13">
        <f t="shared" si="51"/>
        <v>6979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B38:D38"/>
    <mergeCell ref="B39:C41"/>
    <mergeCell ref="A42:D42"/>
    <mergeCell ref="E42:Y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L15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E30&lt;&gt;E47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45:AL54">
    <cfRule type="containsBlanks" dxfId="1" priority="9">
      <formula>LEN(TRIM(E45))=0</formula>
    </cfRule>
  </conditionalFormatting>
  <conditionalFormatting sqref="E57:AL66">
    <cfRule type="containsBlanks" dxfId="1" priority="10">
      <formula>LEN(TRIM(E57))=0</formula>
    </cfRule>
  </conditionalFormatting>
  <conditionalFormatting sqref="E69:AL78">
    <cfRule type="containsBlanks" dxfId="1" priority="11">
      <formula>LEN(TRIM(E69))=0</formula>
    </cfRule>
  </conditionalFormatting>
  <conditionalFormatting sqref="E81:AL90">
    <cfRule type="containsBlanks" dxfId="1" priority="12">
      <formula>LEN(TRIM(E81))=0</formula>
    </cfRule>
  </conditionalFormatting>
  <conditionalFormatting sqref="E93:AL102">
    <cfRule type="containsBlanks" dxfId="1" priority="13">
      <formula>LEN(TRIM(E93))=0</formula>
    </cfRule>
  </conditionalFormatting>
  <conditionalFormatting sqref="E105:AL114">
    <cfRule type="containsBlanks" dxfId="1" priority="14">
      <formula>LEN(TRIM(E105))=0</formula>
    </cfRule>
  </conditionalFormatting>
  <conditionalFormatting sqref="E117:AL126">
    <cfRule type="containsBlanks" dxfId="1" priority="15">
      <formula>LEN(TRIM(E117))=0</formula>
    </cfRule>
  </conditionalFormatting>
  <conditionalFormatting sqref="E129:AL138">
    <cfRule type="containsBlanks" dxfId="1" priority="16">
      <formula>LEN(TRIM(E129))=0</formula>
    </cfRule>
  </conditionalFormatting>
  <conditionalFormatting sqref="E141:AL150">
    <cfRule type="containsBlanks" dxfId="1" priority="17">
      <formula>LEN(TRIM(E141))=0</formula>
    </cfRule>
  </conditionalFormatting>
  <conditionalFormatting sqref="E153:AL162">
    <cfRule type="containsBlanks" dxfId="1" priority="18">
      <formula>LEN(TRIM(E153))=0</formula>
    </cfRule>
  </conditionalFormatting>
  <conditionalFormatting sqref="E165:AL174">
    <cfRule type="containsBlanks" dxfId="1" priority="19">
      <formula>LEN(TRIM(E165))=0</formula>
    </cfRule>
  </conditionalFormatting>
  <conditionalFormatting sqref="E177:AL186">
    <cfRule type="containsBlanks" dxfId="1" priority="20">
      <formula>LEN(TRIM(E177))=0</formula>
    </cfRule>
  </conditionalFormatting>
  <conditionalFormatting sqref="E189:AL198">
    <cfRule type="containsBlanks" dxfId="1" priority="21">
      <formula>LEN(TRIM(E189))=0</formula>
    </cfRule>
  </conditionalFormatting>
  <conditionalFormatting sqref="E201:AL210">
    <cfRule type="containsBlanks" dxfId="1" priority="22">
      <formula>LEN(TRIM(E201))=0</formula>
    </cfRule>
  </conditionalFormatting>
  <conditionalFormatting sqref="E213:AL222">
    <cfRule type="containsBlanks" dxfId="1" priority="23">
      <formula>LEN(TRIM(E213))=0</formula>
    </cfRule>
  </conditionalFormatting>
  <conditionalFormatting sqref="E225:AL234">
    <cfRule type="containsBlanks" dxfId="1" priority="24">
      <formula>LEN(TRIM(E225))=0</formula>
    </cfRule>
  </conditionalFormatting>
  <conditionalFormatting sqref="E237:AL246">
    <cfRule type="containsBlanks" dxfId="1" priority="25">
      <formula>LEN(TRIM(E237))=0</formula>
    </cfRule>
  </conditionalFormatting>
  <conditionalFormatting sqref="E249:AL258">
    <cfRule type="containsBlanks" dxfId="1" priority="26">
      <formula>LEN(TRIM(E249))=0</formula>
    </cfRule>
  </conditionalFormatting>
  <conditionalFormatting sqref="E262:AL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AK34:AL34">
    <cfRule type="expression" dxfId="0" priority="29">
      <formula>AK34&lt;&gt;AK47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3">
        <v>121.0</v>
      </c>
      <c r="F14" s="73">
        <v>121.0</v>
      </c>
      <c r="G14" s="73">
        <v>145.0</v>
      </c>
      <c r="H14" s="73">
        <v>129.0</v>
      </c>
      <c r="I14" s="73">
        <v>120.0</v>
      </c>
      <c r="J14" s="73">
        <v>134.0</v>
      </c>
      <c r="K14" s="73">
        <v>117.0</v>
      </c>
      <c r="L14" s="73">
        <v>139.0</v>
      </c>
      <c r="M14" s="73">
        <v>91.0</v>
      </c>
      <c r="N14" s="73">
        <v>126.0</v>
      </c>
      <c r="O14" s="73">
        <v>144.0</v>
      </c>
      <c r="P14" s="73">
        <v>132.0</v>
      </c>
      <c r="Q14" s="73">
        <v>104.0</v>
      </c>
      <c r="R14" s="73">
        <v>147.0</v>
      </c>
      <c r="S14" s="73">
        <v>143.0</v>
      </c>
      <c r="T14" s="73">
        <v>146.0</v>
      </c>
      <c r="U14" s="73">
        <v>136.0</v>
      </c>
      <c r="V14" s="73">
        <v>143.0</v>
      </c>
      <c r="W14" s="73">
        <v>118.0</v>
      </c>
      <c r="X14" s="73">
        <v>145.0</v>
      </c>
      <c r="Y14" s="73">
        <v>139.0</v>
      </c>
      <c r="Z14" s="73">
        <v>141.0</v>
      </c>
      <c r="AA14" s="73">
        <v>140.0</v>
      </c>
      <c r="AB14" s="73">
        <v>154.0</v>
      </c>
      <c r="AC14" s="73">
        <v>149.0</v>
      </c>
      <c r="AD14" s="73">
        <v>104.0</v>
      </c>
      <c r="AE14" s="73">
        <v>104.0</v>
      </c>
      <c r="AF14" s="13">
        <f t="shared" ref="AF14:AF16" si="1">SUM(E14:AE14)</f>
        <v>3532</v>
      </c>
    </row>
    <row r="15" ht="12.75" customHeight="1">
      <c r="A15" s="18"/>
      <c r="B15" s="26"/>
      <c r="C15" s="27"/>
      <c r="D15" s="19" t="s">
        <v>13</v>
      </c>
      <c r="E15" s="73">
        <v>121.0</v>
      </c>
      <c r="F15" s="73">
        <v>125.0</v>
      </c>
      <c r="G15" s="73">
        <v>132.0</v>
      </c>
      <c r="H15" s="73">
        <v>131.0</v>
      </c>
      <c r="I15" s="73">
        <v>128.0</v>
      </c>
      <c r="J15" s="73">
        <v>123.0</v>
      </c>
      <c r="K15" s="73">
        <v>130.0</v>
      </c>
      <c r="L15" s="73">
        <v>139.0</v>
      </c>
      <c r="M15" s="73">
        <v>97.0</v>
      </c>
      <c r="N15" s="73">
        <v>125.0</v>
      </c>
      <c r="O15" s="73">
        <v>137.0</v>
      </c>
      <c r="P15" s="73">
        <v>135.0</v>
      </c>
      <c r="Q15" s="73">
        <v>113.0</v>
      </c>
      <c r="R15" s="73">
        <v>119.0</v>
      </c>
      <c r="S15" s="73">
        <v>138.0</v>
      </c>
      <c r="T15" s="73">
        <v>141.0</v>
      </c>
      <c r="U15" s="73">
        <v>145.0</v>
      </c>
      <c r="V15" s="73">
        <v>143.0</v>
      </c>
      <c r="W15" s="73">
        <v>104.0</v>
      </c>
      <c r="X15" s="73">
        <v>133.0</v>
      </c>
      <c r="Y15" s="73">
        <v>143.0</v>
      </c>
      <c r="Z15" s="73">
        <v>145.0</v>
      </c>
      <c r="AA15" s="73">
        <v>140.0</v>
      </c>
      <c r="AB15" s="73">
        <v>139.0</v>
      </c>
      <c r="AC15" s="73">
        <v>144.0</v>
      </c>
      <c r="AD15" s="73">
        <v>104.0</v>
      </c>
      <c r="AE15" s="73">
        <v>119.0</v>
      </c>
      <c r="AF15" s="13">
        <f t="shared" si="1"/>
        <v>3493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242</v>
      </c>
      <c r="F16" s="13">
        <f t="shared" si="2"/>
        <v>246</v>
      </c>
      <c r="G16" s="13">
        <f t="shared" si="2"/>
        <v>277</v>
      </c>
      <c r="H16" s="13">
        <f t="shared" si="2"/>
        <v>260</v>
      </c>
      <c r="I16" s="13">
        <f t="shared" si="2"/>
        <v>248</v>
      </c>
      <c r="J16" s="13">
        <f t="shared" si="2"/>
        <v>257</v>
      </c>
      <c r="K16" s="13">
        <f t="shared" si="2"/>
        <v>247</v>
      </c>
      <c r="L16" s="13">
        <f t="shared" si="2"/>
        <v>278</v>
      </c>
      <c r="M16" s="13">
        <f t="shared" si="2"/>
        <v>188</v>
      </c>
      <c r="N16" s="13">
        <f t="shared" si="2"/>
        <v>251</v>
      </c>
      <c r="O16" s="13">
        <f t="shared" si="2"/>
        <v>281</v>
      </c>
      <c r="P16" s="13">
        <f t="shared" si="2"/>
        <v>267</v>
      </c>
      <c r="Q16" s="13">
        <f t="shared" si="2"/>
        <v>217</v>
      </c>
      <c r="R16" s="13">
        <f t="shared" si="2"/>
        <v>266</v>
      </c>
      <c r="S16" s="13">
        <f t="shared" si="2"/>
        <v>281</v>
      </c>
      <c r="T16" s="13">
        <f t="shared" si="2"/>
        <v>287</v>
      </c>
      <c r="U16" s="13">
        <f t="shared" si="2"/>
        <v>281</v>
      </c>
      <c r="V16" s="13">
        <f t="shared" si="2"/>
        <v>286</v>
      </c>
      <c r="W16" s="13">
        <f t="shared" si="2"/>
        <v>222</v>
      </c>
      <c r="X16" s="13">
        <f t="shared" si="2"/>
        <v>278</v>
      </c>
      <c r="Y16" s="13">
        <f t="shared" si="2"/>
        <v>282</v>
      </c>
      <c r="Z16" s="13">
        <f t="shared" si="2"/>
        <v>286</v>
      </c>
      <c r="AA16" s="13">
        <f t="shared" si="2"/>
        <v>280</v>
      </c>
      <c r="AB16" s="13">
        <f t="shared" si="2"/>
        <v>293</v>
      </c>
      <c r="AC16" s="13">
        <f t="shared" si="2"/>
        <v>293</v>
      </c>
      <c r="AD16" s="13">
        <f t="shared" si="2"/>
        <v>208</v>
      </c>
      <c r="AE16" s="13">
        <f t="shared" si="2"/>
        <v>223</v>
      </c>
      <c r="AF16" s="13">
        <f t="shared" si="1"/>
        <v>7025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83.0</v>
      </c>
      <c r="F19" s="73">
        <v>95.0</v>
      </c>
      <c r="G19" s="73">
        <v>107.0</v>
      </c>
      <c r="H19" s="73">
        <v>104.0</v>
      </c>
      <c r="I19" s="73">
        <v>95.0</v>
      </c>
      <c r="J19" s="73">
        <v>106.0</v>
      </c>
      <c r="K19" s="73">
        <v>100.0</v>
      </c>
      <c r="L19" s="73">
        <v>98.0</v>
      </c>
      <c r="M19" s="73">
        <v>78.0</v>
      </c>
      <c r="N19" s="73">
        <v>103.0</v>
      </c>
      <c r="O19" s="73">
        <v>102.0</v>
      </c>
      <c r="P19" s="73">
        <v>102.0</v>
      </c>
      <c r="Q19" s="73">
        <v>92.0</v>
      </c>
      <c r="R19" s="73">
        <v>128.0</v>
      </c>
      <c r="S19" s="73">
        <v>113.0</v>
      </c>
      <c r="T19" s="73">
        <v>108.0</v>
      </c>
      <c r="U19" s="73">
        <v>119.0</v>
      </c>
      <c r="V19" s="73">
        <v>104.0</v>
      </c>
      <c r="W19" s="73">
        <v>77.0</v>
      </c>
      <c r="X19" s="73">
        <v>106.0</v>
      </c>
      <c r="Y19" s="73">
        <v>102.0</v>
      </c>
      <c r="Z19" s="73">
        <v>107.0</v>
      </c>
      <c r="AA19" s="73">
        <v>106.0</v>
      </c>
      <c r="AB19" s="73">
        <v>123.0</v>
      </c>
      <c r="AC19" s="73">
        <v>115.0</v>
      </c>
      <c r="AD19" s="73">
        <v>69.0</v>
      </c>
      <c r="AE19" s="73">
        <v>79.0</v>
      </c>
      <c r="AF19" s="13">
        <f t="shared" ref="AF19:AF30" si="3">SUM(E19:AE19)</f>
        <v>2721</v>
      </c>
    </row>
    <row r="20" ht="12.75" customHeight="1">
      <c r="A20" s="33"/>
      <c r="B20" s="27"/>
      <c r="C20" s="34"/>
      <c r="D20" s="19" t="s">
        <v>13</v>
      </c>
      <c r="E20" s="73">
        <v>93.0</v>
      </c>
      <c r="F20" s="73">
        <v>97.0</v>
      </c>
      <c r="G20" s="73">
        <v>108.0</v>
      </c>
      <c r="H20" s="73">
        <v>113.0</v>
      </c>
      <c r="I20" s="73">
        <v>96.0</v>
      </c>
      <c r="J20" s="73">
        <v>99.0</v>
      </c>
      <c r="K20" s="73">
        <v>113.0</v>
      </c>
      <c r="L20" s="73">
        <v>108.0</v>
      </c>
      <c r="M20" s="73">
        <v>80.0</v>
      </c>
      <c r="N20" s="73">
        <v>97.0</v>
      </c>
      <c r="O20" s="73">
        <v>122.0</v>
      </c>
      <c r="P20" s="73">
        <v>111.0</v>
      </c>
      <c r="Q20" s="73">
        <v>99.0</v>
      </c>
      <c r="R20" s="73">
        <v>104.0</v>
      </c>
      <c r="S20" s="73">
        <v>112.0</v>
      </c>
      <c r="T20" s="73">
        <v>105.0</v>
      </c>
      <c r="U20" s="73">
        <v>124.0</v>
      </c>
      <c r="V20" s="73">
        <v>114.0</v>
      </c>
      <c r="W20" s="73">
        <v>73.0</v>
      </c>
      <c r="X20" s="73">
        <v>99.0</v>
      </c>
      <c r="Y20" s="73">
        <v>110.0</v>
      </c>
      <c r="Z20" s="73">
        <v>118.0</v>
      </c>
      <c r="AA20" s="73">
        <v>110.0</v>
      </c>
      <c r="AB20" s="73">
        <v>106.0</v>
      </c>
      <c r="AC20" s="73">
        <v>103.0</v>
      </c>
      <c r="AD20" s="73">
        <v>68.0</v>
      </c>
      <c r="AE20" s="73">
        <v>94.0</v>
      </c>
      <c r="AF20" s="13">
        <f t="shared" si="3"/>
        <v>2776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176</v>
      </c>
      <c r="F21" s="13">
        <f t="shared" si="4"/>
        <v>192</v>
      </c>
      <c r="G21" s="13">
        <f t="shared" si="4"/>
        <v>215</v>
      </c>
      <c r="H21" s="13">
        <f t="shared" si="4"/>
        <v>217</v>
      </c>
      <c r="I21" s="13">
        <f t="shared" si="4"/>
        <v>191</v>
      </c>
      <c r="J21" s="13">
        <f t="shared" si="4"/>
        <v>205</v>
      </c>
      <c r="K21" s="13">
        <f t="shared" si="4"/>
        <v>213</v>
      </c>
      <c r="L21" s="13">
        <f t="shared" si="4"/>
        <v>206</v>
      </c>
      <c r="M21" s="13">
        <f t="shared" si="4"/>
        <v>158</v>
      </c>
      <c r="N21" s="13">
        <f t="shared" si="4"/>
        <v>200</v>
      </c>
      <c r="O21" s="13">
        <f t="shared" si="4"/>
        <v>224</v>
      </c>
      <c r="P21" s="13">
        <f t="shared" si="4"/>
        <v>213</v>
      </c>
      <c r="Q21" s="13">
        <f t="shared" si="4"/>
        <v>191</v>
      </c>
      <c r="R21" s="13">
        <f t="shared" si="4"/>
        <v>232</v>
      </c>
      <c r="S21" s="13">
        <f t="shared" si="4"/>
        <v>225</v>
      </c>
      <c r="T21" s="13">
        <f t="shared" si="4"/>
        <v>213</v>
      </c>
      <c r="U21" s="13">
        <f t="shared" si="4"/>
        <v>243</v>
      </c>
      <c r="V21" s="13">
        <f t="shared" si="4"/>
        <v>218</v>
      </c>
      <c r="W21" s="13">
        <f t="shared" si="4"/>
        <v>150</v>
      </c>
      <c r="X21" s="13">
        <f t="shared" si="4"/>
        <v>205</v>
      </c>
      <c r="Y21" s="13">
        <f t="shared" si="4"/>
        <v>212</v>
      </c>
      <c r="Z21" s="13">
        <f t="shared" si="4"/>
        <v>225</v>
      </c>
      <c r="AA21" s="13">
        <f t="shared" si="4"/>
        <v>216</v>
      </c>
      <c r="AB21" s="13">
        <f t="shared" si="4"/>
        <v>229</v>
      </c>
      <c r="AC21" s="13">
        <f t="shared" si="4"/>
        <v>218</v>
      </c>
      <c r="AD21" s="13">
        <f t="shared" si="4"/>
        <v>137</v>
      </c>
      <c r="AE21" s="13">
        <f t="shared" si="4"/>
        <v>173</v>
      </c>
      <c r="AF21" s="13">
        <f t="shared" si="3"/>
        <v>5497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1.0</v>
      </c>
      <c r="AB22" s="73">
        <v>0.0</v>
      </c>
      <c r="AC22" s="73">
        <v>0.0</v>
      </c>
      <c r="AD22" s="73">
        <v>0.0</v>
      </c>
      <c r="AE22" s="73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3.0</v>
      </c>
      <c r="Q26" s="73">
        <v>0.0</v>
      </c>
      <c r="R26" s="73">
        <v>0.0</v>
      </c>
      <c r="S26" s="73">
        <v>0.0</v>
      </c>
      <c r="T26" s="73">
        <v>0.0</v>
      </c>
      <c r="U26" s="73">
        <v>0.0</v>
      </c>
      <c r="V26" s="73">
        <v>0.0</v>
      </c>
      <c r="W26" s="73">
        <v>0.0</v>
      </c>
      <c r="X26" s="73">
        <v>0.0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83</v>
      </c>
      <c r="F28" s="13">
        <f t="shared" si="7"/>
        <v>95</v>
      </c>
      <c r="G28" s="13">
        <f t="shared" si="7"/>
        <v>107</v>
      </c>
      <c r="H28" s="13">
        <f t="shared" si="7"/>
        <v>104</v>
      </c>
      <c r="I28" s="13">
        <f t="shared" si="7"/>
        <v>95</v>
      </c>
      <c r="J28" s="13">
        <f t="shared" si="7"/>
        <v>106</v>
      </c>
      <c r="K28" s="13">
        <f t="shared" si="7"/>
        <v>100</v>
      </c>
      <c r="L28" s="13">
        <f t="shared" si="7"/>
        <v>98</v>
      </c>
      <c r="M28" s="13">
        <f t="shared" si="7"/>
        <v>78</v>
      </c>
      <c r="N28" s="13">
        <f t="shared" si="7"/>
        <v>103</v>
      </c>
      <c r="O28" s="13">
        <f t="shared" si="7"/>
        <v>102</v>
      </c>
      <c r="P28" s="13">
        <f t="shared" si="7"/>
        <v>102</v>
      </c>
      <c r="Q28" s="13">
        <f t="shared" si="7"/>
        <v>92</v>
      </c>
      <c r="R28" s="13">
        <f t="shared" si="7"/>
        <v>128</v>
      </c>
      <c r="S28" s="13">
        <f t="shared" si="7"/>
        <v>113</v>
      </c>
      <c r="T28" s="13">
        <f t="shared" si="7"/>
        <v>108</v>
      </c>
      <c r="U28" s="13">
        <f t="shared" si="7"/>
        <v>119</v>
      </c>
      <c r="V28" s="13">
        <f t="shared" si="7"/>
        <v>104</v>
      </c>
      <c r="W28" s="13">
        <f t="shared" si="7"/>
        <v>77</v>
      </c>
      <c r="X28" s="13">
        <f t="shared" si="7"/>
        <v>106</v>
      </c>
      <c r="Y28" s="13">
        <f t="shared" si="7"/>
        <v>102</v>
      </c>
      <c r="Z28" s="13">
        <f t="shared" si="7"/>
        <v>107</v>
      </c>
      <c r="AA28" s="13">
        <f t="shared" si="7"/>
        <v>107</v>
      </c>
      <c r="AB28" s="13">
        <f t="shared" si="7"/>
        <v>123</v>
      </c>
      <c r="AC28" s="13">
        <f t="shared" si="7"/>
        <v>115</v>
      </c>
      <c r="AD28" s="13">
        <f t="shared" si="7"/>
        <v>69</v>
      </c>
      <c r="AE28" s="13">
        <f t="shared" si="7"/>
        <v>79</v>
      </c>
      <c r="AF28" s="13">
        <f t="shared" si="3"/>
        <v>2722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97</v>
      </c>
      <c r="G29" s="13">
        <f t="shared" si="8"/>
        <v>108</v>
      </c>
      <c r="H29" s="13">
        <f t="shared" si="8"/>
        <v>113</v>
      </c>
      <c r="I29" s="13">
        <f t="shared" si="8"/>
        <v>96</v>
      </c>
      <c r="J29" s="13">
        <f t="shared" si="8"/>
        <v>99</v>
      </c>
      <c r="K29" s="13">
        <f t="shared" si="8"/>
        <v>113</v>
      </c>
      <c r="L29" s="13">
        <f t="shared" si="8"/>
        <v>108</v>
      </c>
      <c r="M29" s="13">
        <f t="shared" si="8"/>
        <v>80</v>
      </c>
      <c r="N29" s="13">
        <f t="shared" si="8"/>
        <v>97</v>
      </c>
      <c r="O29" s="13">
        <f t="shared" si="8"/>
        <v>122</v>
      </c>
      <c r="P29" s="13">
        <f t="shared" si="8"/>
        <v>114</v>
      </c>
      <c r="Q29" s="13">
        <f t="shared" si="8"/>
        <v>99</v>
      </c>
      <c r="R29" s="13">
        <f t="shared" si="8"/>
        <v>104</v>
      </c>
      <c r="S29" s="13">
        <f t="shared" si="8"/>
        <v>112</v>
      </c>
      <c r="T29" s="13">
        <f t="shared" si="8"/>
        <v>105</v>
      </c>
      <c r="U29" s="13">
        <f t="shared" si="8"/>
        <v>124</v>
      </c>
      <c r="V29" s="13">
        <f t="shared" si="8"/>
        <v>114</v>
      </c>
      <c r="W29" s="13">
        <f t="shared" si="8"/>
        <v>73</v>
      </c>
      <c r="X29" s="13">
        <f t="shared" si="8"/>
        <v>99</v>
      </c>
      <c r="Y29" s="13">
        <f t="shared" si="8"/>
        <v>110</v>
      </c>
      <c r="Z29" s="13">
        <f t="shared" si="8"/>
        <v>118</v>
      </c>
      <c r="AA29" s="13">
        <f t="shared" si="8"/>
        <v>110</v>
      </c>
      <c r="AB29" s="13">
        <f t="shared" si="8"/>
        <v>106</v>
      </c>
      <c r="AC29" s="13">
        <f t="shared" si="8"/>
        <v>103</v>
      </c>
      <c r="AD29" s="13">
        <f t="shared" si="8"/>
        <v>68</v>
      </c>
      <c r="AE29" s="13">
        <f t="shared" si="8"/>
        <v>94</v>
      </c>
      <c r="AF29" s="13">
        <f t="shared" si="3"/>
        <v>2779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176</v>
      </c>
      <c r="F30" s="13">
        <f t="shared" si="9"/>
        <v>192</v>
      </c>
      <c r="G30" s="13">
        <f t="shared" si="9"/>
        <v>215</v>
      </c>
      <c r="H30" s="13">
        <f t="shared" si="9"/>
        <v>217</v>
      </c>
      <c r="I30" s="13">
        <f t="shared" si="9"/>
        <v>191</v>
      </c>
      <c r="J30" s="13">
        <f t="shared" si="9"/>
        <v>205</v>
      </c>
      <c r="K30" s="13">
        <f t="shared" si="9"/>
        <v>213</v>
      </c>
      <c r="L30" s="13">
        <f t="shared" si="9"/>
        <v>206</v>
      </c>
      <c r="M30" s="13">
        <f t="shared" si="9"/>
        <v>158</v>
      </c>
      <c r="N30" s="13">
        <f t="shared" si="9"/>
        <v>200</v>
      </c>
      <c r="O30" s="13">
        <f t="shared" si="9"/>
        <v>224</v>
      </c>
      <c r="P30" s="13">
        <f t="shared" si="9"/>
        <v>216</v>
      </c>
      <c r="Q30" s="13">
        <f t="shared" si="9"/>
        <v>191</v>
      </c>
      <c r="R30" s="13">
        <f t="shared" si="9"/>
        <v>232</v>
      </c>
      <c r="S30" s="13">
        <f t="shared" si="9"/>
        <v>225</v>
      </c>
      <c r="T30" s="13">
        <f t="shared" si="9"/>
        <v>213</v>
      </c>
      <c r="U30" s="13">
        <f t="shared" si="9"/>
        <v>243</v>
      </c>
      <c r="V30" s="13">
        <f t="shared" si="9"/>
        <v>218</v>
      </c>
      <c r="W30" s="13">
        <f t="shared" si="9"/>
        <v>150</v>
      </c>
      <c r="X30" s="13">
        <f t="shared" si="9"/>
        <v>205</v>
      </c>
      <c r="Y30" s="13">
        <f t="shared" si="9"/>
        <v>212</v>
      </c>
      <c r="Z30" s="13">
        <f t="shared" si="9"/>
        <v>225</v>
      </c>
      <c r="AA30" s="13">
        <f t="shared" si="9"/>
        <v>217</v>
      </c>
      <c r="AB30" s="13">
        <f t="shared" si="9"/>
        <v>229</v>
      </c>
      <c r="AC30" s="13">
        <f t="shared" si="9"/>
        <v>218</v>
      </c>
      <c r="AD30" s="13">
        <f t="shared" si="9"/>
        <v>137</v>
      </c>
      <c r="AE30" s="13">
        <f t="shared" si="9"/>
        <v>173</v>
      </c>
      <c r="AF30" s="13">
        <f t="shared" si="3"/>
        <v>5501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5"/>
    </row>
    <row r="33" ht="12.75" customHeight="1">
      <c r="A33" s="19">
        <v>1.0</v>
      </c>
      <c r="B33" s="20" t="s">
        <v>27</v>
      </c>
      <c r="C33" s="15"/>
      <c r="D33" s="16"/>
      <c r="E33" s="73">
        <v>247.0</v>
      </c>
      <c r="F33" s="73">
        <v>251.0</v>
      </c>
      <c r="G33" s="73">
        <v>283.0</v>
      </c>
      <c r="H33" s="73">
        <v>266.0</v>
      </c>
      <c r="I33" s="73">
        <v>254.0</v>
      </c>
      <c r="J33" s="73">
        <v>263.0</v>
      </c>
      <c r="K33" s="73">
        <v>253.0</v>
      </c>
      <c r="L33" s="73">
        <v>284.0</v>
      </c>
      <c r="M33" s="73">
        <v>190.0</v>
      </c>
      <c r="N33" s="73">
        <v>256.0</v>
      </c>
      <c r="O33" s="73">
        <v>287.0</v>
      </c>
      <c r="P33" s="73">
        <v>268.0</v>
      </c>
      <c r="Q33" s="73">
        <v>222.0</v>
      </c>
      <c r="R33" s="73">
        <v>272.0</v>
      </c>
      <c r="S33" s="73">
        <v>286.0</v>
      </c>
      <c r="T33" s="73">
        <v>293.0</v>
      </c>
      <c r="U33" s="73">
        <v>287.0</v>
      </c>
      <c r="V33" s="73">
        <v>292.0</v>
      </c>
      <c r="W33" s="73">
        <v>227.0</v>
      </c>
      <c r="X33" s="73">
        <v>284.0</v>
      </c>
      <c r="Y33" s="73">
        <v>288.0</v>
      </c>
      <c r="Z33" s="73">
        <v>292.0</v>
      </c>
      <c r="AA33" s="73">
        <v>286.0</v>
      </c>
      <c r="AB33" s="73">
        <v>299.0</v>
      </c>
      <c r="AC33" s="73">
        <v>299.0</v>
      </c>
      <c r="AD33" s="73">
        <v>213.0</v>
      </c>
      <c r="AE33" s="73">
        <v>228.0</v>
      </c>
      <c r="AF33" s="13">
        <f t="shared" ref="AF33:AF36" si="10">SUM(E33:AE33)</f>
        <v>7170</v>
      </c>
    </row>
    <row r="34" ht="12.75" customHeight="1">
      <c r="A34" s="19">
        <v>2.0</v>
      </c>
      <c r="B34" s="20" t="s">
        <v>28</v>
      </c>
      <c r="C34" s="15"/>
      <c r="D34" s="16"/>
      <c r="E34" s="77">
        <v>176.0</v>
      </c>
      <c r="F34" s="77">
        <v>192.0</v>
      </c>
      <c r="G34" s="77">
        <v>215.0</v>
      </c>
      <c r="H34" s="77">
        <v>217.0</v>
      </c>
      <c r="I34" s="77">
        <v>191.0</v>
      </c>
      <c r="J34" s="77">
        <v>205.0</v>
      </c>
      <c r="K34" s="77">
        <v>213.0</v>
      </c>
      <c r="L34" s="77">
        <v>206.0</v>
      </c>
      <c r="M34" s="77">
        <v>158.0</v>
      </c>
      <c r="N34" s="77">
        <v>200.0</v>
      </c>
      <c r="O34" s="77">
        <v>224.0</v>
      </c>
      <c r="P34" s="77">
        <v>216.0</v>
      </c>
      <c r="Q34" s="77">
        <v>191.0</v>
      </c>
      <c r="R34" s="77">
        <v>232.0</v>
      </c>
      <c r="S34" s="77">
        <v>225.0</v>
      </c>
      <c r="T34" s="77">
        <v>213.0</v>
      </c>
      <c r="U34" s="77">
        <v>243.0</v>
      </c>
      <c r="V34" s="77">
        <v>218.0</v>
      </c>
      <c r="W34" s="77">
        <v>150.0</v>
      </c>
      <c r="X34" s="77">
        <v>205.0</v>
      </c>
      <c r="Y34" s="77">
        <v>212.0</v>
      </c>
      <c r="Z34" s="77">
        <v>225.0</v>
      </c>
      <c r="AA34" s="77">
        <v>217.0</v>
      </c>
      <c r="AB34" s="77">
        <v>229.0</v>
      </c>
      <c r="AC34" s="77">
        <v>218.0</v>
      </c>
      <c r="AD34" s="77">
        <v>137.0</v>
      </c>
      <c r="AE34" s="77">
        <v>173.0</v>
      </c>
      <c r="AF34" s="13">
        <f t="shared" si="10"/>
        <v>5501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5.0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71</v>
      </c>
      <c r="F36" s="13">
        <f t="shared" si="11"/>
        <v>59</v>
      </c>
      <c r="G36" s="13">
        <f t="shared" si="11"/>
        <v>68</v>
      </c>
      <c r="H36" s="13">
        <f t="shared" si="11"/>
        <v>49</v>
      </c>
      <c r="I36" s="13">
        <f t="shared" si="11"/>
        <v>63</v>
      </c>
      <c r="J36" s="13">
        <f t="shared" si="11"/>
        <v>58</v>
      </c>
      <c r="K36" s="13">
        <f t="shared" si="11"/>
        <v>40</v>
      </c>
      <c r="L36" s="13">
        <f t="shared" si="11"/>
        <v>78</v>
      </c>
      <c r="M36" s="13">
        <f t="shared" si="11"/>
        <v>32</v>
      </c>
      <c r="N36" s="13">
        <f t="shared" si="11"/>
        <v>51</v>
      </c>
      <c r="O36" s="13">
        <f t="shared" si="11"/>
        <v>63</v>
      </c>
      <c r="P36" s="13">
        <f t="shared" si="11"/>
        <v>52</v>
      </c>
      <c r="Q36" s="13">
        <f t="shared" si="11"/>
        <v>31</v>
      </c>
      <c r="R36" s="13">
        <f t="shared" si="11"/>
        <v>40</v>
      </c>
      <c r="S36" s="13">
        <f t="shared" si="11"/>
        <v>61</v>
      </c>
      <c r="T36" s="13">
        <f t="shared" si="11"/>
        <v>80</v>
      </c>
      <c r="U36" s="13">
        <f t="shared" si="11"/>
        <v>44</v>
      </c>
      <c r="V36" s="13">
        <f t="shared" si="11"/>
        <v>74</v>
      </c>
      <c r="W36" s="13">
        <f t="shared" si="11"/>
        <v>77</v>
      </c>
      <c r="X36" s="13">
        <f t="shared" si="11"/>
        <v>79</v>
      </c>
      <c r="Y36" s="13">
        <f t="shared" si="11"/>
        <v>76</v>
      </c>
      <c r="Z36" s="13">
        <f t="shared" si="11"/>
        <v>67</v>
      </c>
      <c r="AA36" s="13">
        <f t="shared" si="11"/>
        <v>69</v>
      </c>
      <c r="AB36" s="13">
        <f t="shared" si="11"/>
        <v>70</v>
      </c>
      <c r="AC36" s="13">
        <f t="shared" si="11"/>
        <v>81</v>
      </c>
      <c r="AD36" s="13">
        <f t="shared" si="11"/>
        <v>76</v>
      </c>
      <c r="AE36" s="13">
        <f t="shared" si="11"/>
        <v>55</v>
      </c>
      <c r="AF36" s="13">
        <f t="shared" si="10"/>
        <v>1664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2.0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2.0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19"/>
      <c r="Y42" s="74"/>
      <c r="Z42" s="19"/>
      <c r="AA42" s="74"/>
      <c r="AB42" s="19"/>
      <c r="AC42" s="74"/>
      <c r="AD42" s="19"/>
      <c r="AE42" s="74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13"/>
      <c r="Y43" s="76"/>
      <c r="Z43" s="13"/>
      <c r="AA43" s="76"/>
      <c r="AB43" s="13"/>
      <c r="AC43" s="76"/>
      <c r="AD43" s="13"/>
      <c r="AE43" s="76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19"/>
      <c r="Y44" s="74"/>
      <c r="Z44" s="19"/>
      <c r="AA44" s="74"/>
      <c r="AB44" s="19"/>
      <c r="AC44" s="74"/>
      <c r="AD44" s="19"/>
      <c r="AE44" s="74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2.0</v>
      </c>
      <c r="F45" s="73">
        <v>4.0</v>
      </c>
      <c r="G45" s="73">
        <v>7.0</v>
      </c>
      <c r="H45" s="73">
        <v>6.0</v>
      </c>
      <c r="I45" s="73">
        <v>3.0</v>
      </c>
      <c r="J45" s="73">
        <v>2.0</v>
      </c>
      <c r="K45" s="73">
        <v>5.0</v>
      </c>
      <c r="L45" s="73">
        <v>12.0</v>
      </c>
      <c r="M45" s="73">
        <v>2.0</v>
      </c>
      <c r="N45" s="73">
        <v>8.0</v>
      </c>
      <c r="O45" s="73">
        <v>9.0</v>
      </c>
      <c r="P45" s="73">
        <v>2.0</v>
      </c>
      <c r="Q45" s="73">
        <v>0.0</v>
      </c>
      <c r="R45" s="73">
        <v>4.0</v>
      </c>
      <c r="S45" s="73">
        <v>3.0</v>
      </c>
      <c r="T45" s="73">
        <v>11.0</v>
      </c>
      <c r="U45" s="73">
        <v>7.0</v>
      </c>
      <c r="V45" s="73">
        <v>5.0</v>
      </c>
      <c r="W45" s="73">
        <v>6.0</v>
      </c>
      <c r="X45" s="73">
        <v>10.0</v>
      </c>
      <c r="Y45" s="73">
        <v>7.0</v>
      </c>
      <c r="Z45" s="73">
        <v>6.0</v>
      </c>
      <c r="AA45" s="73">
        <v>8.0</v>
      </c>
      <c r="AB45" s="73">
        <v>10.0</v>
      </c>
      <c r="AC45" s="73">
        <v>2.0</v>
      </c>
      <c r="AD45" s="73">
        <v>6.0</v>
      </c>
      <c r="AE45" s="73">
        <v>5.0</v>
      </c>
      <c r="AF45" s="13">
        <f t="shared" ref="AF45:AF54" si="14">SUM(E45:AE45)</f>
        <v>152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1.0</v>
      </c>
      <c r="F46" s="73">
        <v>2.0</v>
      </c>
      <c r="G46" s="73">
        <v>16.0</v>
      </c>
      <c r="H46" s="73">
        <v>12.0</v>
      </c>
      <c r="I46" s="73">
        <v>6.0</v>
      </c>
      <c r="J46" s="73">
        <v>2.0</v>
      </c>
      <c r="K46" s="73">
        <v>27.0</v>
      </c>
      <c r="L46" s="73">
        <v>9.0</v>
      </c>
      <c r="M46" s="73">
        <v>2.0</v>
      </c>
      <c r="N46" s="73">
        <v>11.0</v>
      </c>
      <c r="O46" s="73">
        <v>12.0</v>
      </c>
      <c r="P46" s="73">
        <v>5.0</v>
      </c>
      <c r="Q46" s="73">
        <v>5.0</v>
      </c>
      <c r="R46" s="73">
        <v>7.0</v>
      </c>
      <c r="S46" s="73">
        <v>10.0</v>
      </c>
      <c r="T46" s="73">
        <v>11.0</v>
      </c>
      <c r="U46" s="73">
        <v>17.0</v>
      </c>
      <c r="V46" s="73">
        <v>12.0</v>
      </c>
      <c r="W46" s="73">
        <v>8.0</v>
      </c>
      <c r="X46" s="73">
        <v>9.0</v>
      </c>
      <c r="Y46" s="73">
        <v>2.0</v>
      </c>
      <c r="Z46" s="73">
        <v>13.0</v>
      </c>
      <c r="AA46" s="73">
        <v>21.0</v>
      </c>
      <c r="AB46" s="73">
        <v>21.0</v>
      </c>
      <c r="AC46" s="73">
        <v>8.0</v>
      </c>
      <c r="AD46" s="73">
        <v>13.0</v>
      </c>
      <c r="AE46" s="73">
        <v>8.0</v>
      </c>
      <c r="AF46" s="13">
        <f t="shared" si="14"/>
        <v>270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1.0</v>
      </c>
      <c r="G47" s="73">
        <v>2.0</v>
      </c>
      <c r="H47" s="73">
        <v>2.0</v>
      </c>
      <c r="I47" s="73">
        <v>1.0</v>
      </c>
      <c r="J47" s="73">
        <v>0.0</v>
      </c>
      <c r="K47" s="73">
        <v>1.0</v>
      </c>
      <c r="L47" s="73">
        <v>1.0</v>
      </c>
      <c r="M47" s="73">
        <v>1.0</v>
      </c>
      <c r="N47" s="73">
        <v>2.0</v>
      </c>
      <c r="O47" s="73">
        <v>1.0</v>
      </c>
      <c r="P47" s="73">
        <v>0.0</v>
      </c>
      <c r="Q47" s="73">
        <v>1.0</v>
      </c>
      <c r="R47" s="73">
        <v>1.0</v>
      </c>
      <c r="S47" s="73">
        <v>3.0</v>
      </c>
      <c r="T47" s="73">
        <v>1.0</v>
      </c>
      <c r="U47" s="73">
        <v>6.0</v>
      </c>
      <c r="V47" s="73">
        <v>0.0</v>
      </c>
      <c r="W47" s="73">
        <v>1.0</v>
      </c>
      <c r="X47" s="73">
        <v>0.0</v>
      </c>
      <c r="Y47" s="73">
        <v>5.0</v>
      </c>
      <c r="Z47" s="73">
        <v>2.0</v>
      </c>
      <c r="AA47" s="73">
        <v>2.0</v>
      </c>
      <c r="AB47" s="73">
        <v>0.0</v>
      </c>
      <c r="AC47" s="73">
        <v>1.0</v>
      </c>
      <c r="AD47" s="73">
        <v>2.0</v>
      </c>
      <c r="AE47" s="73">
        <v>1.0</v>
      </c>
      <c r="AF47" s="13">
        <f t="shared" si="14"/>
        <v>38</v>
      </c>
    </row>
    <row r="48" ht="12.75" customHeight="1">
      <c r="A48" s="18"/>
      <c r="B48" s="49"/>
      <c r="C48" s="50" t="s">
        <v>42</v>
      </c>
      <c r="D48" s="51"/>
      <c r="E48" s="73">
        <v>2.0</v>
      </c>
      <c r="F48" s="73">
        <v>0.0</v>
      </c>
      <c r="G48" s="73">
        <v>0.0</v>
      </c>
      <c r="H48" s="73">
        <v>0.0</v>
      </c>
      <c r="I48" s="73">
        <v>0.0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1.0</v>
      </c>
      <c r="Q48" s="73">
        <v>0.0</v>
      </c>
      <c r="R48" s="73">
        <v>2.0</v>
      </c>
      <c r="S48" s="73">
        <v>0.0</v>
      </c>
      <c r="T48" s="73">
        <v>1.0</v>
      </c>
      <c r="U48" s="73">
        <v>0.0</v>
      </c>
      <c r="V48" s="73">
        <v>1.0</v>
      </c>
      <c r="W48" s="73">
        <v>0.0</v>
      </c>
      <c r="X48" s="73">
        <v>0.0</v>
      </c>
      <c r="Y48" s="73">
        <v>1.0</v>
      </c>
      <c r="Z48" s="73">
        <v>0.0</v>
      </c>
      <c r="AA48" s="73">
        <v>0.0</v>
      </c>
      <c r="AB48" s="73">
        <v>1.0</v>
      </c>
      <c r="AC48" s="73">
        <v>0.0</v>
      </c>
      <c r="AD48" s="73">
        <v>1.0</v>
      </c>
      <c r="AE48" s="73">
        <v>0.0</v>
      </c>
      <c r="AF48" s="13">
        <f t="shared" si="14"/>
        <v>11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0.0</v>
      </c>
      <c r="G49" s="73">
        <v>2.0</v>
      </c>
      <c r="H49" s="73">
        <v>3.0</v>
      </c>
      <c r="I49" s="73">
        <v>0.0</v>
      </c>
      <c r="J49" s="73">
        <v>0.0</v>
      </c>
      <c r="K49" s="73">
        <v>4.0</v>
      </c>
      <c r="L49" s="73">
        <v>0.0</v>
      </c>
      <c r="M49" s="73">
        <v>1.0</v>
      </c>
      <c r="N49" s="73">
        <v>0.0</v>
      </c>
      <c r="O49" s="73">
        <v>1.0</v>
      </c>
      <c r="P49" s="73">
        <v>2.0</v>
      </c>
      <c r="Q49" s="73">
        <v>0.0</v>
      </c>
      <c r="R49" s="73">
        <v>0.0</v>
      </c>
      <c r="S49" s="73">
        <v>1.0</v>
      </c>
      <c r="T49" s="73">
        <v>0.0</v>
      </c>
      <c r="U49" s="73">
        <v>3.0</v>
      </c>
      <c r="V49" s="73">
        <v>1.0</v>
      </c>
      <c r="W49" s="73">
        <v>0.0</v>
      </c>
      <c r="X49" s="73">
        <v>2.0</v>
      </c>
      <c r="Y49" s="73">
        <v>0.0</v>
      </c>
      <c r="Z49" s="73">
        <v>2.0</v>
      </c>
      <c r="AA49" s="73">
        <v>0.0</v>
      </c>
      <c r="AB49" s="73">
        <v>4.0</v>
      </c>
      <c r="AC49" s="73">
        <v>2.0</v>
      </c>
      <c r="AD49" s="73">
        <v>1.0</v>
      </c>
      <c r="AE49" s="73">
        <v>1.0</v>
      </c>
      <c r="AF49" s="13">
        <f t="shared" si="14"/>
        <v>31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1.0</v>
      </c>
      <c r="G50" s="73">
        <v>0.0</v>
      </c>
      <c r="H50" s="73">
        <v>0.0</v>
      </c>
      <c r="I50" s="73">
        <v>3.0</v>
      </c>
      <c r="J50" s="73">
        <v>5.0</v>
      </c>
      <c r="K50" s="73">
        <v>2.0</v>
      </c>
      <c r="L50" s="73">
        <v>1.0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1.0</v>
      </c>
      <c r="U50" s="73">
        <v>0.0</v>
      </c>
      <c r="V50" s="73">
        <v>3.0</v>
      </c>
      <c r="W50" s="73">
        <v>0.0</v>
      </c>
      <c r="X50" s="73">
        <v>0.0</v>
      </c>
      <c r="Y50" s="73">
        <v>0.0</v>
      </c>
      <c r="Z50" s="73">
        <v>1.0</v>
      </c>
      <c r="AA50" s="73">
        <v>2.0</v>
      </c>
      <c r="AB50" s="73">
        <v>0.0</v>
      </c>
      <c r="AC50" s="73">
        <v>0.0</v>
      </c>
      <c r="AD50" s="73">
        <v>1.0</v>
      </c>
      <c r="AE50" s="73">
        <v>0.0</v>
      </c>
      <c r="AF50" s="13">
        <f t="shared" si="14"/>
        <v>20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1.0</v>
      </c>
      <c r="L51" s="73">
        <v>0.0</v>
      </c>
      <c r="M51" s="73">
        <v>0.0</v>
      </c>
      <c r="N51" s="73">
        <v>0.0</v>
      </c>
      <c r="O51" s="73">
        <v>1.0</v>
      </c>
      <c r="P51" s="73">
        <v>0.0</v>
      </c>
      <c r="Q51" s="73">
        <v>0.0</v>
      </c>
      <c r="R51" s="73">
        <v>0.0</v>
      </c>
      <c r="S51" s="73">
        <v>1.0</v>
      </c>
      <c r="T51" s="73">
        <v>0.0</v>
      </c>
      <c r="U51" s="73">
        <v>0.0</v>
      </c>
      <c r="V51" s="73">
        <v>0.0</v>
      </c>
      <c r="W51" s="73">
        <v>0.0</v>
      </c>
      <c r="X51" s="73">
        <v>0.0</v>
      </c>
      <c r="Y51" s="73">
        <v>1.0</v>
      </c>
      <c r="Z51" s="73">
        <v>0.0</v>
      </c>
      <c r="AA51" s="73">
        <v>0.0</v>
      </c>
      <c r="AB51" s="73">
        <v>2.0</v>
      </c>
      <c r="AC51" s="73">
        <v>0.0</v>
      </c>
      <c r="AD51" s="73">
        <v>0.0</v>
      </c>
      <c r="AE51" s="73">
        <v>1.0</v>
      </c>
      <c r="AF51" s="13">
        <f t="shared" si="14"/>
        <v>7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1.0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1.0</v>
      </c>
      <c r="S52" s="73">
        <v>1.0</v>
      </c>
      <c r="T52" s="73">
        <v>0.0</v>
      </c>
      <c r="U52" s="73">
        <v>1.0</v>
      </c>
      <c r="V52" s="73">
        <v>0.0</v>
      </c>
      <c r="W52" s="73">
        <v>1.0</v>
      </c>
      <c r="X52" s="73">
        <v>1.0</v>
      </c>
      <c r="Y52" s="73">
        <v>0.0</v>
      </c>
      <c r="Z52" s="73">
        <v>0.0</v>
      </c>
      <c r="AA52" s="73">
        <v>1.0</v>
      </c>
      <c r="AB52" s="73">
        <v>1.0</v>
      </c>
      <c r="AC52" s="73">
        <v>1.0</v>
      </c>
      <c r="AD52" s="73">
        <v>0.0</v>
      </c>
      <c r="AE52" s="73">
        <v>0.0</v>
      </c>
      <c r="AF52" s="13">
        <f t="shared" si="14"/>
        <v>9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1.0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1.0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1.0</v>
      </c>
      <c r="AC53" s="73">
        <v>0.0</v>
      </c>
      <c r="AD53" s="73">
        <v>0.0</v>
      </c>
      <c r="AE53" s="73">
        <v>0.0</v>
      </c>
      <c r="AF53" s="13">
        <f t="shared" si="14"/>
        <v>3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2.0</v>
      </c>
      <c r="I54" s="73">
        <v>0.0</v>
      </c>
      <c r="J54" s="73">
        <v>0.0</v>
      </c>
      <c r="K54" s="73">
        <v>1.0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1.0</v>
      </c>
      <c r="S54" s="73">
        <v>0.0</v>
      </c>
      <c r="T54" s="73">
        <v>1.0</v>
      </c>
      <c r="U54" s="73">
        <v>1.0</v>
      </c>
      <c r="V54" s="73">
        <v>0.0</v>
      </c>
      <c r="W54" s="73">
        <v>1.0</v>
      </c>
      <c r="X54" s="73">
        <v>2.0</v>
      </c>
      <c r="Y54" s="73">
        <v>1.0</v>
      </c>
      <c r="Z54" s="73">
        <v>0.0</v>
      </c>
      <c r="AA54" s="73">
        <v>1.0</v>
      </c>
      <c r="AB54" s="73">
        <v>1.0</v>
      </c>
      <c r="AC54" s="73">
        <v>1.0</v>
      </c>
      <c r="AD54" s="73">
        <v>0.0</v>
      </c>
      <c r="AE54" s="73">
        <v>0.0</v>
      </c>
      <c r="AF54" s="13">
        <f t="shared" si="14"/>
        <v>13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F55" si="15">SUM(E45:E54)</f>
        <v>6</v>
      </c>
      <c r="F55" s="13">
        <f t="shared" si="15"/>
        <v>8</v>
      </c>
      <c r="G55" s="13">
        <f t="shared" si="15"/>
        <v>27</v>
      </c>
      <c r="H55" s="13">
        <f t="shared" si="15"/>
        <v>26</v>
      </c>
      <c r="I55" s="13">
        <f t="shared" si="15"/>
        <v>13</v>
      </c>
      <c r="J55" s="13">
        <f t="shared" si="15"/>
        <v>10</v>
      </c>
      <c r="K55" s="13">
        <f t="shared" si="15"/>
        <v>42</v>
      </c>
      <c r="L55" s="13">
        <f t="shared" si="15"/>
        <v>23</v>
      </c>
      <c r="M55" s="13">
        <f t="shared" si="15"/>
        <v>6</v>
      </c>
      <c r="N55" s="13">
        <f t="shared" si="15"/>
        <v>21</v>
      </c>
      <c r="O55" s="13">
        <f t="shared" si="15"/>
        <v>24</v>
      </c>
      <c r="P55" s="13">
        <f t="shared" si="15"/>
        <v>10</v>
      </c>
      <c r="Q55" s="13">
        <f t="shared" si="15"/>
        <v>6</v>
      </c>
      <c r="R55" s="13">
        <f t="shared" si="15"/>
        <v>16</v>
      </c>
      <c r="S55" s="13">
        <f t="shared" si="15"/>
        <v>19</v>
      </c>
      <c r="T55" s="13">
        <f t="shared" si="15"/>
        <v>26</v>
      </c>
      <c r="U55" s="13">
        <f t="shared" si="15"/>
        <v>36</v>
      </c>
      <c r="V55" s="13">
        <f t="shared" si="15"/>
        <v>22</v>
      </c>
      <c r="W55" s="13">
        <f t="shared" si="15"/>
        <v>17</v>
      </c>
      <c r="X55" s="13">
        <f t="shared" si="15"/>
        <v>24</v>
      </c>
      <c r="Y55" s="13">
        <f t="shared" si="15"/>
        <v>17</v>
      </c>
      <c r="Z55" s="13">
        <f t="shared" si="15"/>
        <v>24</v>
      </c>
      <c r="AA55" s="13">
        <f t="shared" si="15"/>
        <v>35</v>
      </c>
      <c r="AB55" s="13">
        <f t="shared" si="15"/>
        <v>41</v>
      </c>
      <c r="AC55" s="13">
        <f t="shared" si="15"/>
        <v>15</v>
      </c>
      <c r="AD55" s="13">
        <f t="shared" si="15"/>
        <v>24</v>
      </c>
      <c r="AE55" s="13">
        <f t="shared" si="15"/>
        <v>16</v>
      </c>
      <c r="AF55" s="13">
        <f t="shared" si="15"/>
        <v>554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11.0</v>
      </c>
      <c r="F57" s="73">
        <v>9.0</v>
      </c>
      <c r="G57" s="73">
        <v>14.0</v>
      </c>
      <c r="H57" s="73">
        <v>10.0</v>
      </c>
      <c r="I57" s="73">
        <v>3.0</v>
      </c>
      <c r="J57" s="73">
        <v>8.0</v>
      </c>
      <c r="K57" s="73">
        <v>4.0</v>
      </c>
      <c r="L57" s="73">
        <v>3.0</v>
      </c>
      <c r="M57" s="73">
        <v>6.0</v>
      </c>
      <c r="N57" s="73">
        <v>8.0</v>
      </c>
      <c r="O57" s="73">
        <v>10.0</v>
      </c>
      <c r="P57" s="73">
        <v>5.0</v>
      </c>
      <c r="Q57" s="73">
        <v>2.0</v>
      </c>
      <c r="R57" s="73">
        <v>12.0</v>
      </c>
      <c r="S57" s="73">
        <v>6.0</v>
      </c>
      <c r="T57" s="73">
        <v>10.0</v>
      </c>
      <c r="U57" s="73">
        <v>8.0</v>
      </c>
      <c r="V57" s="73">
        <v>13.0</v>
      </c>
      <c r="W57" s="73">
        <v>9.0</v>
      </c>
      <c r="X57" s="73">
        <v>10.0</v>
      </c>
      <c r="Y57" s="73">
        <v>12.0</v>
      </c>
      <c r="Z57" s="73">
        <v>7.0</v>
      </c>
      <c r="AA57" s="73">
        <v>5.0</v>
      </c>
      <c r="AB57" s="73">
        <v>17.0</v>
      </c>
      <c r="AC57" s="73">
        <v>7.0</v>
      </c>
      <c r="AD57" s="73">
        <v>2.0</v>
      </c>
      <c r="AE57" s="73">
        <v>5.0</v>
      </c>
      <c r="AF57" s="13">
        <f t="shared" ref="AF57:AF66" si="16">SUM(E57:AE57)</f>
        <v>216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21.0</v>
      </c>
      <c r="F58" s="73">
        <v>6.0</v>
      </c>
      <c r="G58" s="73">
        <v>8.0</v>
      </c>
      <c r="H58" s="73">
        <v>5.0</v>
      </c>
      <c r="I58" s="73">
        <v>2.0</v>
      </c>
      <c r="J58" s="73">
        <v>3.0</v>
      </c>
      <c r="K58" s="73">
        <v>5.0</v>
      </c>
      <c r="L58" s="73">
        <v>28.0</v>
      </c>
      <c r="M58" s="73">
        <v>3.0</v>
      </c>
      <c r="N58" s="73">
        <v>17.0</v>
      </c>
      <c r="O58" s="73">
        <v>65.0</v>
      </c>
      <c r="P58" s="73">
        <v>40.0</v>
      </c>
      <c r="Q58" s="73">
        <v>154.0</v>
      </c>
      <c r="R58" s="73">
        <v>108.0</v>
      </c>
      <c r="S58" s="73">
        <v>51.0</v>
      </c>
      <c r="T58" s="73">
        <v>27.0</v>
      </c>
      <c r="U58" s="73">
        <v>54.0</v>
      </c>
      <c r="V58" s="73">
        <v>78.0</v>
      </c>
      <c r="W58" s="73">
        <v>40.0</v>
      </c>
      <c r="X58" s="73">
        <v>43.0</v>
      </c>
      <c r="Y58" s="73">
        <v>36.0</v>
      </c>
      <c r="Z58" s="73">
        <v>88.0</v>
      </c>
      <c r="AA58" s="73">
        <v>70.0</v>
      </c>
      <c r="AB58" s="73">
        <v>34.0</v>
      </c>
      <c r="AC58" s="73">
        <v>92.0</v>
      </c>
      <c r="AD58" s="73">
        <v>25.0</v>
      </c>
      <c r="AE58" s="73">
        <v>66.0</v>
      </c>
      <c r="AF58" s="13">
        <f t="shared" si="16"/>
        <v>1169</v>
      </c>
    </row>
    <row r="59" ht="12.75" customHeight="1">
      <c r="A59" s="18"/>
      <c r="B59" s="49"/>
      <c r="C59" s="50" t="s">
        <v>52</v>
      </c>
      <c r="D59" s="51"/>
      <c r="E59" s="73">
        <v>1.0</v>
      </c>
      <c r="F59" s="73">
        <v>1.0</v>
      </c>
      <c r="G59" s="73">
        <v>5.0</v>
      </c>
      <c r="H59" s="73">
        <v>4.0</v>
      </c>
      <c r="I59" s="73">
        <v>3.0</v>
      </c>
      <c r="J59" s="73">
        <v>3.0</v>
      </c>
      <c r="K59" s="73">
        <v>0.0</v>
      </c>
      <c r="L59" s="73">
        <v>4.0</v>
      </c>
      <c r="M59" s="73">
        <v>1.0</v>
      </c>
      <c r="N59" s="73">
        <v>2.0</v>
      </c>
      <c r="O59" s="73">
        <v>0.0</v>
      </c>
      <c r="P59" s="73">
        <v>2.0</v>
      </c>
      <c r="Q59" s="73">
        <v>0.0</v>
      </c>
      <c r="R59" s="73">
        <v>9.0</v>
      </c>
      <c r="S59" s="73">
        <v>5.0</v>
      </c>
      <c r="T59" s="73">
        <v>4.0</v>
      </c>
      <c r="U59" s="73">
        <v>3.0</v>
      </c>
      <c r="V59" s="73">
        <v>1.0</v>
      </c>
      <c r="W59" s="73">
        <v>2.0</v>
      </c>
      <c r="X59" s="73">
        <v>1.0</v>
      </c>
      <c r="Y59" s="73">
        <v>8.0</v>
      </c>
      <c r="Z59" s="73">
        <v>0.0</v>
      </c>
      <c r="AA59" s="73">
        <v>1.0</v>
      </c>
      <c r="AB59" s="73">
        <v>2.0</v>
      </c>
      <c r="AC59" s="73">
        <v>5.0</v>
      </c>
      <c r="AD59" s="73">
        <v>0.0</v>
      </c>
      <c r="AE59" s="73">
        <v>2.0</v>
      </c>
      <c r="AF59" s="13">
        <f t="shared" si="16"/>
        <v>69</v>
      </c>
    </row>
    <row r="60" ht="12.75" customHeight="1">
      <c r="A60" s="18"/>
      <c r="B60" s="49"/>
      <c r="C60" s="50" t="s">
        <v>53</v>
      </c>
      <c r="D60" s="51"/>
      <c r="E60" s="73">
        <v>3.0</v>
      </c>
      <c r="F60" s="73">
        <v>1.0</v>
      </c>
      <c r="G60" s="73">
        <v>0.0</v>
      </c>
      <c r="H60" s="73">
        <v>2.0</v>
      </c>
      <c r="I60" s="73">
        <v>1.0</v>
      </c>
      <c r="J60" s="73">
        <v>0.0</v>
      </c>
      <c r="K60" s="73">
        <v>2.0</v>
      </c>
      <c r="L60" s="73">
        <v>1.0</v>
      </c>
      <c r="M60" s="73">
        <v>0.0</v>
      </c>
      <c r="N60" s="73">
        <v>0.0</v>
      </c>
      <c r="O60" s="73">
        <v>2.0</v>
      </c>
      <c r="P60" s="73">
        <v>2.0</v>
      </c>
      <c r="Q60" s="73">
        <v>3.0</v>
      </c>
      <c r="R60" s="73">
        <v>1.0</v>
      </c>
      <c r="S60" s="73">
        <v>1.0</v>
      </c>
      <c r="T60" s="73">
        <v>2.0</v>
      </c>
      <c r="U60" s="73">
        <v>0.0</v>
      </c>
      <c r="V60" s="73">
        <v>0.0</v>
      </c>
      <c r="W60" s="73">
        <v>0.0</v>
      </c>
      <c r="X60" s="73">
        <v>1.0</v>
      </c>
      <c r="Y60" s="73">
        <v>2.0</v>
      </c>
      <c r="Z60" s="73">
        <v>2.0</v>
      </c>
      <c r="AA60" s="73">
        <v>0.0</v>
      </c>
      <c r="AB60" s="73">
        <v>2.0</v>
      </c>
      <c r="AC60" s="73">
        <v>0.0</v>
      </c>
      <c r="AD60" s="73">
        <v>0.0</v>
      </c>
      <c r="AE60" s="73">
        <v>1.0</v>
      </c>
      <c r="AF60" s="13">
        <f t="shared" si="16"/>
        <v>29</v>
      </c>
    </row>
    <row r="61" ht="12.75" customHeight="1">
      <c r="A61" s="18"/>
      <c r="B61" s="49"/>
      <c r="C61" s="50" t="s">
        <v>54</v>
      </c>
      <c r="D61" s="51"/>
      <c r="E61" s="73">
        <v>1.0</v>
      </c>
      <c r="F61" s="73">
        <v>1.0</v>
      </c>
      <c r="G61" s="73">
        <v>7.0</v>
      </c>
      <c r="H61" s="73">
        <v>13.0</v>
      </c>
      <c r="I61" s="73">
        <v>1.0</v>
      </c>
      <c r="J61" s="73">
        <v>0.0</v>
      </c>
      <c r="K61" s="73">
        <v>5.0</v>
      </c>
      <c r="L61" s="73">
        <v>3.0</v>
      </c>
      <c r="M61" s="73">
        <v>2.0</v>
      </c>
      <c r="N61" s="73">
        <v>16.0</v>
      </c>
      <c r="O61" s="73">
        <v>4.0</v>
      </c>
      <c r="P61" s="73">
        <v>22.0</v>
      </c>
      <c r="Q61" s="73">
        <v>1.0</v>
      </c>
      <c r="R61" s="73">
        <v>3.0</v>
      </c>
      <c r="S61" s="73">
        <v>3.0</v>
      </c>
      <c r="T61" s="73">
        <v>0.0</v>
      </c>
      <c r="U61" s="73">
        <v>5.0</v>
      </c>
      <c r="V61" s="73">
        <v>1.0</v>
      </c>
      <c r="W61" s="73">
        <v>0.0</v>
      </c>
      <c r="X61" s="73">
        <v>1.0</v>
      </c>
      <c r="Y61" s="73">
        <v>2.0</v>
      </c>
      <c r="Z61" s="73">
        <v>2.0</v>
      </c>
      <c r="AA61" s="73">
        <v>1.0</v>
      </c>
      <c r="AB61" s="73">
        <v>2.0</v>
      </c>
      <c r="AC61" s="73">
        <v>2.0</v>
      </c>
      <c r="AD61" s="73">
        <v>1.0</v>
      </c>
      <c r="AE61" s="73">
        <v>2.0</v>
      </c>
      <c r="AF61" s="13">
        <f t="shared" si="16"/>
        <v>101</v>
      </c>
    </row>
    <row r="62" ht="12.75" customHeight="1">
      <c r="A62" s="18"/>
      <c r="B62" s="49"/>
      <c r="C62" s="50" t="s">
        <v>55</v>
      </c>
      <c r="D62" s="51"/>
      <c r="E62" s="73">
        <v>2.0</v>
      </c>
      <c r="F62" s="73">
        <v>1.0</v>
      </c>
      <c r="G62" s="73">
        <v>1.0</v>
      </c>
      <c r="H62" s="73">
        <v>1.0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1.0</v>
      </c>
      <c r="O62" s="73">
        <v>1.0</v>
      </c>
      <c r="P62" s="73">
        <v>1.0</v>
      </c>
      <c r="Q62" s="73">
        <v>0.0</v>
      </c>
      <c r="R62" s="73">
        <v>0.0</v>
      </c>
      <c r="S62" s="73">
        <v>1.0</v>
      </c>
      <c r="T62" s="73">
        <v>3.0</v>
      </c>
      <c r="U62" s="73">
        <v>0.0</v>
      </c>
      <c r="V62" s="73">
        <v>1.0</v>
      </c>
      <c r="W62" s="73">
        <v>0.0</v>
      </c>
      <c r="X62" s="73">
        <v>1.0</v>
      </c>
      <c r="Y62" s="73">
        <v>4.0</v>
      </c>
      <c r="Z62" s="73">
        <v>2.0</v>
      </c>
      <c r="AA62" s="73">
        <v>1.0</v>
      </c>
      <c r="AB62" s="73">
        <v>1.0</v>
      </c>
      <c r="AC62" s="73">
        <v>1.0</v>
      </c>
      <c r="AD62" s="73">
        <v>3.0</v>
      </c>
      <c r="AE62" s="73">
        <v>0.0</v>
      </c>
      <c r="AF62" s="13">
        <f t="shared" si="16"/>
        <v>26</v>
      </c>
    </row>
    <row r="63" ht="12.75" customHeight="1">
      <c r="A63" s="18"/>
      <c r="B63" s="49"/>
      <c r="C63" s="50" t="s">
        <v>56</v>
      </c>
      <c r="D63" s="51"/>
      <c r="E63" s="73">
        <v>1.0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2.0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1.0</v>
      </c>
      <c r="U63" s="73">
        <v>1.0</v>
      </c>
      <c r="V63" s="73">
        <v>0.0</v>
      </c>
      <c r="W63" s="73">
        <v>0.0</v>
      </c>
      <c r="X63" s="73">
        <v>0.0</v>
      </c>
      <c r="Y63" s="73">
        <v>1.0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13">
        <f t="shared" si="16"/>
        <v>6</v>
      </c>
    </row>
    <row r="64" ht="12.75" customHeight="1">
      <c r="A64" s="18"/>
      <c r="B64" s="49"/>
      <c r="C64" s="50" t="s">
        <v>57</v>
      </c>
      <c r="D64" s="51"/>
      <c r="E64" s="73">
        <v>1.0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1.0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3.0</v>
      </c>
      <c r="T64" s="73">
        <v>0.0</v>
      </c>
      <c r="U64" s="73">
        <v>0.0</v>
      </c>
      <c r="V64" s="73">
        <v>1.0</v>
      </c>
      <c r="W64" s="73">
        <v>0.0</v>
      </c>
      <c r="X64" s="73">
        <v>0.0</v>
      </c>
      <c r="Y64" s="73">
        <v>0.0</v>
      </c>
      <c r="Z64" s="73">
        <v>1.0</v>
      </c>
      <c r="AA64" s="73">
        <v>0.0</v>
      </c>
      <c r="AB64" s="73">
        <v>0.0</v>
      </c>
      <c r="AC64" s="73">
        <v>0.0</v>
      </c>
      <c r="AD64" s="73">
        <v>0.0</v>
      </c>
      <c r="AE64" s="73">
        <v>0.0</v>
      </c>
      <c r="AF64" s="13">
        <f t="shared" si="16"/>
        <v>7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1.0</v>
      </c>
      <c r="G65" s="73">
        <v>1.0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1.0</v>
      </c>
      <c r="U65" s="73">
        <v>0.0</v>
      </c>
      <c r="V65" s="73">
        <v>0.0</v>
      </c>
      <c r="W65" s="73">
        <v>0.0</v>
      </c>
      <c r="X65" s="73">
        <v>1.0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13">
        <f t="shared" si="16"/>
        <v>4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1.0</v>
      </c>
      <c r="L66" s="73">
        <v>0.0</v>
      </c>
      <c r="M66" s="73">
        <v>0.0</v>
      </c>
      <c r="N66" s="73">
        <v>0.0</v>
      </c>
      <c r="O66" s="73">
        <v>1.0</v>
      </c>
      <c r="P66" s="73">
        <v>0.0</v>
      </c>
      <c r="Q66" s="73">
        <v>0.0</v>
      </c>
      <c r="R66" s="73">
        <v>0.0</v>
      </c>
      <c r="S66" s="73">
        <v>0.0</v>
      </c>
      <c r="T66" s="73">
        <v>0.0</v>
      </c>
      <c r="U66" s="73">
        <v>0.0</v>
      </c>
      <c r="V66" s="73">
        <v>0.0</v>
      </c>
      <c r="W66" s="73">
        <v>0.0</v>
      </c>
      <c r="X66" s="73">
        <v>0.0</v>
      </c>
      <c r="Y66" s="73">
        <v>1.0</v>
      </c>
      <c r="Z66" s="73">
        <v>0.0</v>
      </c>
      <c r="AA66" s="73">
        <v>0.0</v>
      </c>
      <c r="AB66" s="73">
        <v>0.0</v>
      </c>
      <c r="AC66" s="73">
        <v>0.0</v>
      </c>
      <c r="AD66" s="73">
        <v>0.0</v>
      </c>
      <c r="AE66" s="73">
        <v>0.0</v>
      </c>
      <c r="AF66" s="13">
        <f t="shared" si="16"/>
        <v>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F67" si="17">SUM(E57:E66)</f>
        <v>41</v>
      </c>
      <c r="F67" s="13">
        <f t="shared" si="17"/>
        <v>20</v>
      </c>
      <c r="G67" s="13">
        <f t="shared" si="17"/>
        <v>36</v>
      </c>
      <c r="H67" s="13">
        <f t="shared" si="17"/>
        <v>35</v>
      </c>
      <c r="I67" s="13">
        <f t="shared" si="17"/>
        <v>10</v>
      </c>
      <c r="J67" s="13">
        <f t="shared" si="17"/>
        <v>14</v>
      </c>
      <c r="K67" s="13">
        <f t="shared" si="17"/>
        <v>17</v>
      </c>
      <c r="L67" s="13">
        <f t="shared" si="17"/>
        <v>40</v>
      </c>
      <c r="M67" s="13">
        <f t="shared" si="17"/>
        <v>12</v>
      </c>
      <c r="N67" s="13">
        <f t="shared" si="17"/>
        <v>46</v>
      </c>
      <c r="O67" s="13">
        <f t="shared" si="17"/>
        <v>83</v>
      </c>
      <c r="P67" s="13">
        <f t="shared" si="17"/>
        <v>72</v>
      </c>
      <c r="Q67" s="13">
        <f t="shared" si="17"/>
        <v>160</v>
      </c>
      <c r="R67" s="13">
        <f t="shared" si="17"/>
        <v>133</v>
      </c>
      <c r="S67" s="13">
        <f t="shared" si="17"/>
        <v>70</v>
      </c>
      <c r="T67" s="13">
        <f t="shared" si="17"/>
        <v>48</v>
      </c>
      <c r="U67" s="13">
        <f t="shared" si="17"/>
        <v>71</v>
      </c>
      <c r="V67" s="13">
        <f t="shared" si="17"/>
        <v>95</v>
      </c>
      <c r="W67" s="13">
        <f t="shared" si="17"/>
        <v>51</v>
      </c>
      <c r="X67" s="13">
        <f t="shared" si="17"/>
        <v>58</v>
      </c>
      <c r="Y67" s="13">
        <f t="shared" si="17"/>
        <v>66</v>
      </c>
      <c r="Z67" s="13">
        <f t="shared" si="17"/>
        <v>102</v>
      </c>
      <c r="AA67" s="13">
        <f t="shared" si="17"/>
        <v>78</v>
      </c>
      <c r="AB67" s="13">
        <f t="shared" si="17"/>
        <v>58</v>
      </c>
      <c r="AC67" s="13">
        <f t="shared" si="17"/>
        <v>107</v>
      </c>
      <c r="AD67" s="13">
        <f t="shared" si="17"/>
        <v>31</v>
      </c>
      <c r="AE67" s="13">
        <f t="shared" si="17"/>
        <v>76</v>
      </c>
      <c r="AF67" s="13">
        <f t="shared" si="17"/>
        <v>1630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14.0</v>
      </c>
      <c r="F69" s="73">
        <v>4.0</v>
      </c>
      <c r="G69" s="73">
        <v>7.0</v>
      </c>
      <c r="H69" s="73">
        <v>6.0</v>
      </c>
      <c r="I69" s="73">
        <v>6.0</v>
      </c>
      <c r="J69" s="73">
        <v>4.0</v>
      </c>
      <c r="K69" s="73">
        <v>2.0</v>
      </c>
      <c r="L69" s="73">
        <v>5.0</v>
      </c>
      <c r="M69" s="73">
        <v>0.0</v>
      </c>
      <c r="N69" s="73">
        <v>6.0</v>
      </c>
      <c r="O69" s="73">
        <v>9.0</v>
      </c>
      <c r="P69" s="73">
        <v>5.0</v>
      </c>
      <c r="Q69" s="73">
        <v>0.0</v>
      </c>
      <c r="R69" s="73">
        <v>1.0</v>
      </c>
      <c r="S69" s="73">
        <v>7.0</v>
      </c>
      <c r="T69" s="73">
        <v>2.0</v>
      </c>
      <c r="U69" s="73">
        <v>7.0</v>
      </c>
      <c r="V69" s="73">
        <v>6.0</v>
      </c>
      <c r="W69" s="73">
        <v>3.0</v>
      </c>
      <c r="X69" s="73">
        <v>6.0</v>
      </c>
      <c r="Y69" s="73">
        <v>17.0</v>
      </c>
      <c r="Z69" s="73">
        <v>5.0</v>
      </c>
      <c r="AA69" s="73">
        <v>5.0</v>
      </c>
      <c r="AB69" s="73">
        <v>10.0</v>
      </c>
      <c r="AC69" s="73">
        <v>7.0</v>
      </c>
      <c r="AD69" s="73">
        <v>6.0</v>
      </c>
      <c r="AE69" s="73">
        <v>5.0</v>
      </c>
      <c r="AF69" s="13">
        <f t="shared" ref="AF69:AF78" si="18">SUM(E69:AE69)</f>
        <v>155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4.0</v>
      </c>
      <c r="F70" s="73">
        <v>6.0</v>
      </c>
      <c r="G70" s="73">
        <v>1.0</v>
      </c>
      <c r="H70" s="73">
        <v>2.0</v>
      </c>
      <c r="I70" s="73">
        <v>1.0</v>
      </c>
      <c r="J70" s="73">
        <v>2.0</v>
      </c>
      <c r="K70" s="73">
        <v>2.0</v>
      </c>
      <c r="L70" s="73">
        <v>2.0</v>
      </c>
      <c r="M70" s="73">
        <v>2.0</v>
      </c>
      <c r="N70" s="73">
        <v>3.0</v>
      </c>
      <c r="O70" s="73">
        <v>2.0</v>
      </c>
      <c r="P70" s="73">
        <v>3.0</v>
      </c>
      <c r="Q70" s="73">
        <v>5.0</v>
      </c>
      <c r="R70" s="73">
        <v>4.0</v>
      </c>
      <c r="S70" s="73">
        <v>14.0</v>
      </c>
      <c r="T70" s="73">
        <v>1.0</v>
      </c>
      <c r="U70" s="73">
        <v>3.0</v>
      </c>
      <c r="V70" s="73">
        <v>2.0</v>
      </c>
      <c r="W70" s="73">
        <v>2.0</v>
      </c>
      <c r="X70" s="73">
        <v>3.0</v>
      </c>
      <c r="Y70" s="73">
        <v>10.0</v>
      </c>
      <c r="Z70" s="73">
        <v>4.0</v>
      </c>
      <c r="AA70" s="73">
        <v>2.0</v>
      </c>
      <c r="AB70" s="73">
        <v>4.0</v>
      </c>
      <c r="AC70" s="73">
        <v>3.0</v>
      </c>
      <c r="AD70" s="73">
        <v>3.0</v>
      </c>
      <c r="AE70" s="73">
        <v>3.0</v>
      </c>
      <c r="AF70" s="13">
        <f t="shared" si="18"/>
        <v>93</v>
      </c>
    </row>
    <row r="71" ht="12.75" customHeight="1">
      <c r="A71" s="18"/>
      <c r="B71" s="49"/>
      <c r="C71" s="50" t="s">
        <v>62</v>
      </c>
      <c r="D71" s="51"/>
      <c r="E71" s="73">
        <v>6.0</v>
      </c>
      <c r="F71" s="73">
        <v>5.0</v>
      </c>
      <c r="G71" s="73">
        <v>0.0</v>
      </c>
      <c r="H71" s="73">
        <v>2.0</v>
      </c>
      <c r="I71" s="73">
        <v>16.0</v>
      </c>
      <c r="J71" s="73">
        <v>2.0</v>
      </c>
      <c r="K71" s="73">
        <v>4.0</v>
      </c>
      <c r="L71" s="73">
        <v>0.0</v>
      </c>
      <c r="M71" s="73">
        <v>0.0</v>
      </c>
      <c r="N71" s="73">
        <v>0.0</v>
      </c>
      <c r="O71" s="73">
        <v>2.0</v>
      </c>
      <c r="P71" s="73">
        <v>1.0</v>
      </c>
      <c r="Q71" s="73">
        <v>0.0</v>
      </c>
      <c r="R71" s="73">
        <v>1.0</v>
      </c>
      <c r="S71" s="73">
        <v>6.0</v>
      </c>
      <c r="T71" s="73">
        <v>2.0</v>
      </c>
      <c r="U71" s="73">
        <v>2.0</v>
      </c>
      <c r="V71" s="73">
        <v>2.0</v>
      </c>
      <c r="W71" s="73">
        <v>5.0</v>
      </c>
      <c r="X71" s="73">
        <v>2.0</v>
      </c>
      <c r="Y71" s="73">
        <v>4.0</v>
      </c>
      <c r="Z71" s="73">
        <v>1.0</v>
      </c>
      <c r="AA71" s="73">
        <v>1.0</v>
      </c>
      <c r="AB71" s="73">
        <v>5.0</v>
      </c>
      <c r="AC71" s="73">
        <v>6.0</v>
      </c>
      <c r="AD71" s="73">
        <v>2.0</v>
      </c>
      <c r="AE71" s="73">
        <v>3.0</v>
      </c>
      <c r="AF71" s="13">
        <f t="shared" si="18"/>
        <v>80</v>
      </c>
    </row>
    <row r="72" ht="12.75" customHeight="1">
      <c r="A72" s="18"/>
      <c r="B72" s="49"/>
      <c r="C72" s="50" t="s">
        <v>63</v>
      </c>
      <c r="D72" s="51"/>
      <c r="E72" s="73">
        <v>11.0</v>
      </c>
      <c r="F72" s="73">
        <v>7.0</v>
      </c>
      <c r="G72" s="73">
        <v>2.0</v>
      </c>
      <c r="H72" s="73">
        <v>3.0</v>
      </c>
      <c r="I72" s="73">
        <v>0.0</v>
      </c>
      <c r="J72" s="73">
        <v>0.0</v>
      </c>
      <c r="K72" s="73">
        <v>0.0</v>
      </c>
      <c r="L72" s="73">
        <v>0.0</v>
      </c>
      <c r="M72" s="73">
        <v>0.0</v>
      </c>
      <c r="N72" s="73">
        <v>1.0</v>
      </c>
      <c r="O72" s="73">
        <v>7.0</v>
      </c>
      <c r="P72" s="73">
        <v>0.0</v>
      </c>
      <c r="Q72" s="73">
        <v>0.0</v>
      </c>
      <c r="R72" s="73">
        <v>6.0</v>
      </c>
      <c r="S72" s="73">
        <v>7.0</v>
      </c>
      <c r="T72" s="73">
        <v>7.0</v>
      </c>
      <c r="U72" s="73">
        <v>3.0</v>
      </c>
      <c r="V72" s="73">
        <v>2.0</v>
      </c>
      <c r="W72" s="73">
        <v>6.0</v>
      </c>
      <c r="X72" s="73">
        <v>3.0</v>
      </c>
      <c r="Y72" s="73">
        <v>5.0</v>
      </c>
      <c r="Z72" s="73">
        <v>0.0</v>
      </c>
      <c r="AA72" s="73">
        <v>0.0</v>
      </c>
      <c r="AB72" s="73">
        <v>3.0</v>
      </c>
      <c r="AC72" s="73">
        <v>2.0</v>
      </c>
      <c r="AD72" s="73">
        <v>2.0</v>
      </c>
      <c r="AE72" s="73">
        <v>2.0</v>
      </c>
      <c r="AF72" s="13">
        <f t="shared" si="18"/>
        <v>79</v>
      </c>
    </row>
    <row r="73" ht="12.75" customHeight="1">
      <c r="A73" s="18"/>
      <c r="B73" s="49"/>
      <c r="C73" s="50" t="s">
        <v>64</v>
      </c>
      <c r="D73" s="51"/>
      <c r="E73" s="73">
        <v>6.0</v>
      </c>
      <c r="F73" s="73">
        <v>1.0</v>
      </c>
      <c r="G73" s="73">
        <v>0.0</v>
      </c>
      <c r="H73" s="73">
        <v>4.0</v>
      </c>
      <c r="I73" s="73">
        <v>0.0</v>
      </c>
      <c r="J73" s="73">
        <v>1.0</v>
      </c>
      <c r="K73" s="73">
        <v>1.0</v>
      </c>
      <c r="L73" s="73">
        <v>0.0</v>
      </c>
      <c r="M73" s="73">
        <v>0.0</v>
      </c>
      <c r="N73" s="73">
        <v>3.0</v>
      </c>
      <c r="O73" s="73">
        <v>0.0</v>
      </c>
      <c r="P73" s="73">
        <v>0.0</v>
      </c>
      <c r="Q73" s="73">
        <v>0.0</v>
      </c>
      <c r="R73" s="73">
        <v>2.0</v>
      </c>
      <c r="S73" s="73">
        <v>10.0</v>
      </c>
      <c r="T73" s="73">
        <v>2.0</v>
      </c>
      <c r="U73" s="73">
        <v>3.0</v>
      </c>
      <c r="V73" s="73">
        <v>6.0</v>
      </c>
      <c r="W73" s="73">
        <v>7.0</v>
      </c>
      <c r="X73" s="73">
        <v>3.0</v>
      </c>
      <c r="Y73" s="73">
        <v>5.0</v>
      </c>
      <c r="Z73" s="73">
        <v>0.0</v>
      </c>
      <c r="AA73" s="73">
        <v>3.0</v>
      </c>
      <c r="AB73" s="73">
        <v>3.0</v>
      </c>
      <c r="AC73" s="73">
        <v>3.0</v>
      </c>
      <c r="AD73" s="73">
        <v>1.0</v>
      </c>
      <c r="AE73" s="73">
        <v>1.0</v>
      </c>
      <c r="AF73" s="13">
        <f t="shared" si="18"/>
        <v>65</v>
      </c>
    </row>
    <row r="74" ht="12.75" customHeight="1">
      <c r="A74" s="18"/>
      <c r="B74" s="49"/>
      <c r="C74" s="50" t="s">
        <v>65</v>
      </c>
      <c r="D74" s="51"/>
      <c r="E74" s="73">
        <v>2.0</v>
      </c>
      <c r="F74" s="73">
        <v>1.0</v>
      </c>
      <c r="G74" s="73">
        <v>3.0</v>
      </c>
      <c r="H74" s="73">
        <v>1.0</v>
      </c>
      <c r="I74" s="73">
        <v>1.0</v>
      </c>
      <c r="J74" s="73">
        <v>1.0</v>
      </c>
      <c r="K74" s="73">
        <v>0.0</v>
      </c>
      <c r="L74" s="73">
        <v>0.0</v>
      </c>
      <c r="M74" s="73">
        <v>0.0</v>
      </c>
      <c r="N74" s="73">
        <v>1.0</v>
      </c>
      <c r="O74" s="73">
        <v>1.0</v>
      </c>
      <c r="P74" s="73">
        <v>2.0</v>
      </c>
      <c r="Q74" s="73">
        <v>1.0</v>
      </c>
      <c r="R74" s="73">
        <v>0.0</v>
      </c>
      <c r="S74" s="73">
        <v>2.0</v>
      </c>
      <c r="T74" s="73">
        <v>2.0</v>
      </c>
      <c r="U74" s="73">
        <v>1.0</v>
      </c>
      <c r="V74" s="73">
        <v>0.0</v>
      </c>
      <c r="W74" s="73">
        <v>2.0</v>
      </c>
      <c r="X74" s="73">
        <v>0.0</v>
      </c>
      <c r="Y74" s="73">
        <v>1.0</v>
      </c>
      <c r="Z74" s="73">
        <v>3.0</v>
      </c>
      <c r="AA74" s="73">
        <v>1.0</v>
      </c>
      <c r="AB74" s="73">
        <v>1.0</v>
      </c>
      <c r="AC74" s="73">
        <v>1.0</v>
      </c>
      <c r="AD74" s="73">
        <v>0.0</v>
      </c>
      <c r="AE74" s="73">
        <v>1.0</v>
      </c>
      <c r="AF74" s="13">
        <f t="shared" si="18"/>
        <v>29</v>
      </c>
    </row>
    <row r="75" ht="12.75" customHeight="1">
      <c r="A75" s="18"/>
      <c r="B75" s="49"/>
      <c r="C75" s="50" t="s">
        <v>66</v>
      </c>
      <c r="D75" s="51"/>
      <c r="E75" s="73">
        <v>2.0</v>
      </c>
      <c r="F75" s="73">
        <v>1.0</v>
      </c>
      <c r="G75" s="73">
        <v>1.0</v>
      </c>
      <c r="H75" s="73">
        <v>1.0</v>
      </c>
      <c r="I75" s="73">
        <v>0.0</v>
      </c>
      <c r="J75" s="73">
        <v>1.0</v>
      </c>
      <c r="K75" s="73">
        <v>0.0</v>
      </c>
      <c r="L75" s="73">
        <v>0.0</v>
      </c>
      <c r="M75" s="73">
        <v>1.0</v>
      </c>
      <c r="N75" s="73">
        <v>0.0</v>
      </c>
      <c r="O75" s="73">
        <v>1.0</v>
      </c>
      <c r="P75" s="73">
        <v>2.0</v>
      </c>
      <c r="Q75" s="73">
        <v>1.0</v>
      </c>
      <c r="R75" s="73">
        <v>2.0</v>
      </c>
      <c r="S75" s="73">
        <v>0.0</v>
      </c>
      <c r="T75" s="73">
        <v>2.0</v>
      </c>
      <c r="U75" s="73">
        <v>1.0</v>
      </c>
      <c r="V75" s="73">
        <v>0.0</v>
      </c>
      <c r="W75" s="73">
        <v>2.0</v>
      </c>
      <c r="X75" s="73">
        <v>1.0</v>
      </c>
      <c r="Y75" s="73">
        <v>0.0</v>
      </c>
      <c r="Z75" s="73">
        <v>2.0</v>
      </c>
      <c r="AA75" s="73">
        <v>0.0</v>
      </c>
      <c r="AB75" s="73">
        <v>1.0</v>
      </c>
      <c r="AC75" s="73">
        <v>0.0</v>
      </c>
      <c r="AD75" s="73">
        <v>1.0</v>
      </c>
      <c r="AE75" s="73">
        <v>2.0</v>
      </c>
      <c r="AF75" s="13">
        <f t="shared" si="18"/>
        <v>25</v>
      </c>
    </row>
    <row r="76" ht="12.75" customHeight="1">
      <c r="A76" s="18"/>
      <c r="B76" s="49"/>
      <c r="C76" s="50" t="s">
        <v>67</v>
      </c>
      <c r="D76" s="51"/>
      <c r="E76" s="73">
        <v>1.0</v>
      </c>
      <c r="F76" s="73">
        <v>1.0</v>
      </c>
      <c r="G76" s="73">
        <v>0.0</v>
      </c>
      <c r="H76" s="73">
        <v>0.0</v>
      </c>
      <c r="I76" s="73">
        <v>0.0</v>
      </c>
      <c r="J76" s="73">
        <v>1.0</v>
      </c>
      <c r="K76" s="73">
        <v>0.0</v>
      </c>
      <c r="L76" s="73">
        <v>0.0</v>
      </c>
      <c r="M76" s="73">
        <v>0.0</v>
      </c>
      <c r="N76" s="73">
        <v>0.0</v>
      </c>
      <c r="O76" s="73">
        <v>0.0</v>
      </c>
      <c r="P76" s="73">
        <v>2.0</v>
      </c>
      <c r="Q76" s="73">
        <v>0.0</v>
      </c>
      <c r="R76" s="73">
        <v>0.0</v>
      </c>
      <c r="S76" s="73">
        <v>0.0</v>
      </c>
      <c r="T76" s="73">
        <v>0.0</v>
      </c>
      <c r="U76" s="73">
        <v>2.0</v>
      </c>
      <c r="V76" s="73">
        <v>0.0</v>
      </c>
      <c r="W76" s="73">
        <v>1.0</v>
      </c>
      <c r="X76" s="73">
        <v>0.0</v>
      </c>
      <c r="Y76" s="73">
        <v>1.0</v>
      </c>
      <c r="Z76" s="73">
        <v>1.0</v>
      </c>
      <c r="AA76" s="73">
        <v>0.0</v>
      </c>
      <c r="AB76" s="73">
        <v>1.0</v>
      </c>
      <c r="AC76" s="73">
        <v>1.0</v>
      </c>
      <c r="AD76" s="73">
        <v>2.0</v>
      </c>
      <c r="AE76" s="73">
        <v>0.0</v>
      </c>
      <c r="AF76" s="13">
        <f t="shared" si="18"/>
        <v>14</v>
      </c>
    </row>
    <row r="77" ht="12.75" customHeight="1">
      <c r="A77" s="18"/>
      <c r="B77" s="49"/>
      <c r="C77" s="50" t="s">
        <v>68</v>
      </c>
      <c r="D77" s="51"/>
      <c r="E77" s="73">
        <v>2.0</v>
      </c>
      <c r="F77" s="73">
        <v>1.0</v>
      </c>
      <c r="G77" s="73">
        <v>1.0</v>
      </c>
      <c r="H77" s="73">
        <v>0.0</v>
      </c>
      <c r="I77" s="73">
        <v>0.0</v>
      </c>
      <c r="J77" s="73">
        <v>1.0</v>
      </c>
      <c r="K77" s="73">
        <v>0.0</v>
      </c>
      <c r="L77" s="73">
        <v>0.0</v>
      </c>
      <c r="M77" s="73">
        <v>0.0</v>
      </c>
      <c r="N77" s="73">
        <v>1.0</v>
      </c>
      <c r="O77" s="73">
        <v>0.0</v>
      </c>
      <c r="P77" s="73">
        <v>0.0</v>
      </c>
      <c r="Q77" s="73">
        <v>0.0</v>
      </c>
      <c r="R77" s="73">
        <v>0.0</v>
      </c>
      <c r="S77" s="73">
        <v>0.0</v>
      </c>
      <c r="T77" s="73">
        <v>2.0</v>
      </c>
      <c r="U77" s="73">
        <v>0.0</v>
      </c>
      <c r="V77" s="73">
        <v>0.0</v>
      </c>
      <c r="W77" s="73">
        <v>1.0</v>
      </c>
      <c r="X77" s="73">
        <v>1.0</v>
      </c>
      <c r="Y77" s="73">
        <v>1.0</v>
      </c>
      <c r="Z77" s="73">
        <v>1.0</v>
      </c>
      <c r="AA77" s="73">
        <v>0.0</v>
      </c>
      <c r="AB77" s="73">
        <v>0.0</v>
      </c>
      <c r="AC77" s="73">
        <v>0.0</v>
      </c>
      <c r="AD77" s="73">
        <v>1.0</v>
      </c>
      <c r="AE77" s="73">
        <v>0.0</v>
      </c>
      <c r="AF77" s="13">
        <f t="shared" si="18"/>
        <v>13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0.0</v>
      </c>
      <c r="I78" s="73">
        <v>0.0</v>
      </c>
      <c r="J78" s="73">
        <v>2.0</v>
      </c>
      <c r="K78" s="73">
        <v>0.0</v>
      </c>
      <c r="L78" s="73">
        <v>0.0</v>
      </c>
      <c r="M78" s="73">
        <v>0.0</v>
      </c>
      <c r="N78" s="73">
        <v>0.0</v>
      </c>
      <c r="O78" s="73">
        <v>0.0</v>
      </c>
      <c r="P78" s="73">
        <v>1.0</v>
      </c>
      <c r="Q78" s="73">
        <v>0.0</v>
      </c>
      <c r="R78" s="73">
        <v>0.0</v>
      </c>
      <c r="S78" s="73">
        <v>0.0</v>
      </c>
      <c r="T78" s="73">
        <v>0.0</v>
      </c>
      <c r="U78" s="73">
        <v>0.0</v>
      </c>
      <c r="V78" s="73">
        <v>0.0</v>
      </c>
      <c r="W78" s="73">
        <v>0.0</v>
      </c>
      <c r="X78" s="73">
        <v>0.0</v>
      </c>
      <c r="Y78" s="73">
        <v>1.0</v>
      </c>
      <c r="Z78" s="73">
        <v>0.0</v>
      </c>
      <c r="AA78" s="73">
        <v>2.0</v>
      </c>
      <c r="AB78" s="73">
        <v>0.0</v>
      </c>
      <c r="AC78" s="73">
        <v>0.0</v>
      </c>
      <c r="AD78" s="73">
        <v>2.0</v>
      </c>
      <c r="AE78" s="73">
        <v>0.0</v>
      </c>
      <c r="AF78" s="13">
        <f t="shared" si="18"/>
        <v>8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F79" si="19">SUM(E69:E78)</f>
        <v>48</v>
      </c>
      <c r="F79" s="13">
        <f t="shared" si="19"/>
        <v>27</v>
      </c>
      <c r="G79" s="13">
        <f t="shared" si="19"/>
        <v>15</v>
      </c>
      <c r="H79" s="13">
        <f t="shared" si="19"/>
        <v>19</v>
      </c>
      <c r="I79" s="13">
        <f t="shared" si="19"/>
        <v>24</v>
      </c>
      <c r="J79" s="13">
        <f t="shared" si="19"/>
        <v>15</v>
      </c>
      <c r="K79" s="13">
        <f t="shared" si="19"/>
        <v>9</v>
      </c>
      <c r="L79" s="13">
        <f t="shared" si="19"/>
        <v>7</v>
      </c>
      <c r="M79" s="13">
        <f t="shared" si="19"/>
        <v>3</v>
      </c>
      <c r="N79" s="13">
        <f t="shared" si="19"/>
        <v>15</v>
      </c>
      <c r="O79" s="13">
        <f t="shared" si="19"/>
        <v>22</v>
      </c>
      <c r="P79" s="13">
        <f t="shared" si="19"/>
        <v>16</v>
      </c>
      <c r="Q79" s="13">
        <f t="shared" si="19"/>
        <v>7</v>
      </c>
      <c r="R79" s="13">
        <f t="shared" si="19"/>
        <v>16</v>
      </c>
      <c r="S79" s="13">
        <f t="shared" si="19"/>
        <v>46</v>
      </c>
      <c r="T79" s="13">
        <f t="shared" si="19"/>
        <v>20</v>
      </c>
      <c r="U79" s="13">
        <f t="shared" si="19"/>
        <v>22</v>
      </c>
      <c r="V79" s="13">
        <f t="shared" si="19"/>
        <v>18</v>
      </c>
      <c r="W79" s="13">
        <f t="shared" si="19"/>
        <v>29</v>
      </c>
      <c r="X79" s="13">
        <f t="shared" si="19"/>
        <v>19</v>
      </c>
      <c r="Y79" s="13">
        <f t="shared" si="19"/>
        <v>45</v>
      </c>
      <c r="Z79" s="13">
        <f t="shared" si="19"/>
        <v>17</v>
      </c>
      <c r="AA79" s="13">
        <f t="shared" si="19"/>
        <v>14</v>
      </c>
      <c r="AB79" s="13">
        <f t="shared" si="19"/>
        <v>28</v>
      </c>
      <c r="AC79" s="13">
        <f t="shared" si="19"/>
        <v>23</v>
      </c>
      <c r="AD79" s="13">
        <f t="shared" si="19"/>
        <v>20</v>
      </c>
      <c r="AE79" s="13">
        <f t="shared" si="19"/>
        <v>17</v>
      </c>
      <c r="AF79" s="13">
        <f t="shared" si="19"/>
        <v>561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1.0</v>
      </c>
      <c r="G81" s="73">
        <v>3.0</v>
      </c>
      <c r="H81" s="73">
        <v>5.0</v>
      </c>
      <c r="I81" s="73">
        <v>1.0</v>
      </c>
      <c r="J81" s="73">
        <v>2.0</v>
      </c>
      <c r="K81" s="73">
        <v>0.0</v>
      </c>
      <c r="L81" s="73">
        <v>2.0</v>
      </c>
      <c r="M81" s="73">
        <v>3.0</v>
      </c>
      <c r="N81" s="73">
        <v>2.0</v>
      </c>
      <c r="O81" s="73">
        <v>2.0</v>
      </c>
      <c r="P81" s="73">
        <v>6.0</v>
      </c>
      <c r="Q81" s="73">
        <v>0.0</v>
      </c>
      <c r="R81" s="73">
        <v>0.0</v>
      </c>
      <c r="S81" s="73">
        <v>11.0</v>
      </c>
      <c r="T81" s="73">
        <v>0.0</v>
      </c>
      <c r="U81" s="73">
        <v>2.0</v>
      </c>
      <c r="V81" s="73">
        <v>2.0</v>
      </c>
      <c r="W81" s="73">
        <v>4.0</v>
      </c>
      <c r="X81" s="73">
        <v>2.0</v>
      </c>
      <c r="Y81" s="73">
        <v>8.0</v>
      </c>
      <c r="Z81" s="73">
        <v>2.0</v>
      </c>
      <c r="AA81" s="73">
        <v>2.0</v>
      </c>
      <c r="AB81" s="73">
        <v>4.0</v>
      </c>
      <c r="AC81" s="73">
        <v>4.0</v>
      </c>
      <c r="AD81" s="73">
        <v>1.0</v>
      </c>
      <c r="AE81" s="73">
        <v>2.0</v>
      </c>
      <c r="AF81" s="13">
        <f t="shared" ref="AF81:AF90" si="20">SUM(E81:AE81)</f>
        <v>72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0.0</v>
      </c>
      <c r="F82" s="73">
        <v>2.0</v>
      </c>
      <c r="G82" s="73">
        <v>0.0</v>
      </c>
      <c r="H82" s="73">
        <v>1.0</v>
      </c>
      <c r="I82" s="73">
        <v>2.0</v>
      </c>
      <c r="J82" s="73">
        <v>0.0</v>
      </c>
      <c r="K82" s="73">
        <v>1.0</v>
      </c>
      <c r="L82" s="73">
        <v>2.0</v>
      </c>
      <c r="M82" s="73">
        <v>1.0</v>
      </c>
      <c r="N82" s="73">
        <v>3.0</v>
      </c>
      <c r="O82" s="73">
        <v>1.0</v>
      </c>
      <c r="P82" s="73">
        <v>3.0</v>
      </c>
      <c r="Q82" s="73">
        <v>2.0</v>
      </c>
      <c r="R82" s="73">
        <v>4.0</v>
      </c>
      <c r="S82" s="73">
        <v>3.0</v>
      </c>
      <c r="T82" s="73">
        <v>2.0</v>
      </c>
      <c r="U82" s="73">
        <v>0.0</v>
      </c>
      <c r="V82" s="73">
        <v>1.0</v>
      </c>
      <c r="W82" s="73">
        <v>3.0</v>
      </c>
      <c r="X82" s="73">
        <v>1.0</v>
      </c>
      <c r="Y82" s="73">
        <v>1.0</v>
      </c>
      <c r="Z82" s="73">
        <v>0.0</v>
      </c>
      <c r="AA82" s="73">
        <v>0.0</v>
      </c>
      <c r="AB82" s="73">
        <v>1.0</v>
      </c>
      <c r="AC82" s="73">
        <v>0.0</v>
      </c>
      <c r="AD82" s="73">
        <v>1.0</v>
      </c>
      <c r="AE82" s="73">
        <v>1.0</v>
      </c>
      <c r="AF82" s="13">
        <f t="shared" si="20"/>
        <v>36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1.0</v>
      </c>
      <c r="G83" s="73">
        <v>1.0</v>
      </c>
      <c r="H83" s="73">
        <v>0.0</v>
      </c>
      <c r="I83" s="73">
        <v>0.0</v>
      </c>
      <c r="J83" s="73">
        <v>1.0</v>
      </c>
      <c r="K83" s="73">
        <v>0.0</v>
      </c>
      <c r="L83" s="73">
        <v>0.0</v>
      </c>
      <c r="M83" s="73">
        <v>0.0</v>
      </c>
      <c r="N83" s="73">
        <v>0.0</v>
      </c>
      <c r="O83" s="73">
        <v>0.0</v>
      </c>
      <c r="P83" s="73">
        <v>0.0</v>
      </c>
      <c r="Q83" s="73">
        <v>0.0</v>
      </c>
      <c r="R83" s="73">
        <v>1.0</v>
      </c>
      <c r="S83" s="73">
        <v>1.0</v>
      </c>
      <c r="T83" s="73">
        <v>1.0</v>
      </c>
      <c r="U83" s="73">
        <v>0.0</v>
      </c>
      <c r="V83" s="73">
        <v>0.0</v>
      </c>
      <c r="W83" s="73">
        <v>1.0</v>
      </c>
      <c r="X83" s="73">
        <v>0.0</v>
      </c>
      <c r="Y83" s="73">
        <v>0.0</v>
      </c>
      <c r="Z83" s="73">
        <v>1.0</v>
      </c>
      <c r="AA83" s="73">
        <v>0.0</v>
      </c>
      <c r="AB83" s="73">
        <v>0.0</v>
      </c>
      <c r="AC83" s="73">
        <v>1.0</v>
      </c>
      <c r="AD83" s="73">
        <v>0.0</v>
      </c>
      <c r="AE83" s="73">
        <v>0.0</v>
      </c>
      <c r="AF83" s="13">
        <f t="shared" si="20"/>
        <v>10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1.0</v>
      </c>
      <c r="G84" s="73">
        <v>0.0</v>
      </c>
      <c r="H84" s="73">
        <v>1.0</v>
      </c>
      <c r="I84" s="73">
        <v>0.0</v>
      </c>
      <c r="J84" s="73">
        <v>0.0</v>
      </c>
      <c r="K84" s="73">
        <v>0.0</v>
      </c>
      <c r="L84" s="73">
        <v>0.0</v>
      </c>
      <c r="M84" s="73">
        <v>0.0</v>
      </c>
      <c r="N84" s="73">
        <v>0.0</v>
      </c>
      <c r="O84" s="73">
        <v>1.0</v>
      </c>
      <c r="P84" s="73">
        <v>1.0</v>
      </c>
      <c r="Q84" s="73">
        <v>0.0</v>
      </c>
      <c r="R84" s="73">
        <v>0.0</v>
      </c>
      <c r="S84" s="73">
        <v>0.0</v>
      </c>
      <c r="T84" s="73">
        <v>1.0</v>
      </c>
      <c r="U84" s="73">
        <v>0.0</v>
      </c>
      <c r="V84" s="73">
        <v>0.0</v>
      </c>
      <c r="W84" s="73">
        <v>0.0</v>
      </c>
      <c r="X84" s="73">
        <v>0.0</v>
      </c>
      <c r="Y84" s="73">
        <v>1.0</v>
      </c>
      <c r="Z84" s="73">
        <v>2.0</v>
      </c>
      <c r="AA84" s="73">
        <v>0.0</v>
      </c>
      <c r="AB84" s="73">
        <v>0.0</v>
      </c>
      <c r="AC84" s="73">
        <v>0.0</v>
      </c>
      <c r="AD84" s="73">
        <v>0.0</v>
      </c>
      <c r="AE84" s="73">
        <v>0.0</v>
      </c>
      <c r="AF84" s="13">
        <f t="shared" si="20"/>
        <v>8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0.0</v>
      </c>
      <c r="G85" s="73">
        <v>0.0</v>
      </c>
      <c r="H85" s="73">
        <v>3.0</v>
      </c>
      <c r="I85" s="73">
        <v>1.0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1.0</v>
      </c>
      <c r="P85" s="73">
        <v>1.0</v>
      </c>
      <c r="Q85" s="73">
        <v>0.0</v>
      </c>
      <c r="R85" s="73">
        <v>7.0</v>
      </c>
      <c r="S85" s="73">
        <v>4.0</v>
      </c>
      <c r="T85" s="73">
        <v>1.0</v>
      </c>
      <c r="U85" s="73">
        <v>3.0</v>
      </c>
      <c r="V85" s="73">
        <v>1.0</v>
      </c>
      <c r="W85" s="73">
        <v>0.0</v>
      </c>
      <c r="X85" s="73">
        <v>0.0</v>
      </c>
      <c r="Y85" s="73">
        <v>5.0</v>
      </c>
      <c r="Z85" s="73">
        <v>0.0</v>
      </c>
      <c r="AA85" s="73">
        <v>0.0</v>
      </c>
      <c r="AB85" s="73">
        <v>1.0</v>
      </c>
      <c r="AC85" s="73">
        <v>0.0</v>
      </c>
      <c r="AD85" s="73">
        <v>1.0</v>
      </c>
      <c r="AE85" s="73">
        <v>0.0</v>
      </c>
      <c r="AF85" s="13">
        <f t="shared" si="20"/>
        <v>30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1.0</v>
      </c>
      <c r="V86" s="73">
        <v>1.0</v>
      </c>
      <c r="W86" s="73">
        <v>0.0</v>
      </c>
      <c r="X86" s="73">
        <v>0.0</v>
      </c>
      <c r="Y86" s="73">
        <v>0.0</v>
      </c>
      <c r="Z86" s="73">
        <v>1.0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13">
        <f t="shared" si="20"/>
        <v>3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1.0</v>
      </c>
      <c r="G87" s="73">
        <v>0.0</v>
      </c>
      <c r="H87" s="73">
        <v>0.0</v>
      </c>
      <c r="I87" s="73">
        <v>1.0</v>
      </c>
      <c r="J87" s="73">
        <v>1.0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2.0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13">
        <f t="shared" si="20"/>
        <v>5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13">
        <f t="shared" si="20"/>
        <v>1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1.0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2.0</v>
      </c>
      <c r="G90" s="73">
        <v>0.0</v>
      </c>
      <c r="H90" s="73">
        <v>1.0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1.0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1.0</v>
      </c>
      <c r="V90" s="73">
        <v>0.0</v>
      </c>
      <c r="W90" s="73">
        <v>0.0</v>
      </c>
      <c r="X90" s="73">
        <v>1.0</v>
      </c>
      <c r="Y90" s="73">
        <v>0.0</v>
      </c>
      <c r="Z90" s="73">
        <v>1.0</v>
      </c>
      <c r="AA90" s="73">
        <v>1.0</v>
      </c>
      <c r="AB90" s="73">
        <v>1.0</v>
      </c>
      <c r="AC90" s="73">
        <v>0.0</v>
      </c>
      <c r="AD90" s="73">
        <v>0.0</v>
      </c>
      <c r="AE90" s="73">
        <v>1.0</v>
      </c>
      <c r="AF90" s="13">
        <f t="shared" si="20"/>
        <v>10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F91" si="21">SUM(E81:E90)</f>
        <v>3</v>
      </c>
      <c r="F91" s="13">
        <f t="shared" si="21"/>
        <v>8</v>
      </c>
      <c r="G91" s="13">
        <f t="shared" si="21"/>
        <v>4</v>
      </c>
      <c r="H91" s="13">
        <f t="shared" si="21"/>
        <v>11</v>
      </c>
      <c r="I91" s="13">
        <f t="shared" si="21"/>
        <v>5</v>
      </c>
      <c r="J91" s="13">
        <f t="shared" si="21"/>
        <v>5</v>
      </c>
      <c r="K91" s="13">
        <f t="shared" si="21"/>
        <v>1</v>
      </c>
      <c r="L91" s="13">
        <f t="shared" si="21"/>
        <v>4</v>
      </c>
      <c r="M91" s="13">
        <f t="shared" si="21"/>
        <v>4</v>
      </c>
      <c r="N91" s="13">
        <f t="shared" si="21"/>
        <v>6</v>
      </c>
      <c r="O91" s="13">
        <f t="shared" si="21"/>
        <v>6</v>
      </c>
      <c r="P91" s="13">
        <f t="shared" si="21"/>
        <v>11</v>
      </c>
      <c r="Q91" s="13">
        <f t="shared" si="21"/>
        <v>2</v>
      </c>
      <c r="R91" s="13">
        <f t="shared" si="21"/>
        <v>14</v>
      </c>
      <c r="S91" s="13">
        <f t="shared" si="21"/>
        <v>19</v>
      </c>
      <c r="T91" s="13">
        <f t="shared" si="21"/>
        <v>5</v>
      </c>
      <c r="U91" s="13">
        <f t="shared" si="21"/>
        <v>7</v>
      </c>
      <c r="V91" s="13">
        <f t="shared" si="21"/>
        <v>5</v>
      </c>
      <c r="W91" s="13">
        <f t="shared" si="21"/>
        <v>8</v>
      </c>
      <c r="X91" s="13">
        <f t="shared" si="21"/>
        <v>4</v>
      </c>
      <c r="Y91" s="13">
        <f t="shared" si="21"/>
        <v>15</v>
      </c>
      <c r="Z91" s="13">
        <f t="shared" si="21"/>
        <v>7</v>
      </c>
      <c r="AA91" s="13">
        <f t="shared" si="21"/>
        <v>3</v>
      </c>
      <c r="AB91" s="13">
        <f t="shared" si="21"/>
        <v>7</v>
      </c>
      <c r="AC91" s="13">
        <f t="shared" si="21"/>
        <v>5</v>
      </c>
      <c r="AD91" s="13">
        <f t="shared" si="21"/>
        <v>3</v>
      </c>
      <c r="AE91" s="13">
        <f t="shared" si="21"/>
        <v>4</v>
      </c>
      <c r="AF91" s="13">
        <f t="shared" si="21"/>
        <v>176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1.0</v>
      </c>
      <c r="F93" s="73">
        <v>4.0</v>
      </c>
      <c r="G93" s="73">
        <v>4.0</v>
      </c>
      <c r="H93" s="73">
        <v>4.0</v>
      </c>
      <c r="I93" s="73">
        <v>2.0</v>
      </c>
      <c r="J93" s="73">
        <v>8.0</v>
      </c>
      <c r="K93" s="73">
        <v>4.0</v>
      </c>
      <c r="L93" s="73">
        <v>9.0</v>
      </c>
      <c r="M93" s="73">
        <v>5.0</v>
      </c>
      <c r="N93" s="73">
        <v>2.0</v>
      </c>
      <c r="O93" s="73">
        <v>1.0</v>
      </c>
      <c r="P93" s="73">
        <v>2.0</v>
      </c>
      <c r="Q93" s="73">
        <v>0.0</v>
      </c>
      <c r="R93" s="73">
        <v>0.0</v>
      </c>
      <c r="S93" s="73">
        <v>0.0</v>
      </c>
      <c r="T93" s="73">
        <v>1.0</v>
      </c>
      <c r="U93" s="73">
        <v>0.0</v>
      </c>
      <c r="V93" s="73">
        <v>1.0</v>
      </c>
      <c r="W93" s="73">
        <v>2.0</v>
      </c>
      <c r="X93" s="73">
        <v>1.0</v>
      </c>
      <c r="Y93" s="73">
        <v>1.0</v>
      </c>
      <c r="Z93" s="73">
        <v>2.0</v>
      </c>
      <c r="AA93" s="73">
        <v>1.0</v>
      </c>
      <c r="AB93" s="73">
        <v>1.0</v>
      </c>
      <c r="AC93" s="73">
        <v>1.0</v>
      </c>
      <c r="AD93" s="73">
        <v>1.0</v>
      </c>
      <c r="AE93" s="73">
        <v>0.0</v>
      </c>
      <c r="AF93" s="13">
        <f t="shared" ref="AF93:AF102" si="22">SUM(E93:AE93)</f>
        <v>58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18.0</v>
      </c>
      <c r="F94" s="73">
        <v>39.0</v>
      </c>
      <c r="G94" s="73">
        <v>31.0</v>
      </c>
      <c r="H94" s="73">
        <v>36.0</v>
      </c>
      <c r="I94" s="73">
        <v>52.0</v>
      </c>
      <c r="J94" s="73">
        <v>76.0</v>
      </c>
      <c r="K94" s="73">
        <v>82.0</v>
      </c>
      <c r="L94" s="73">
        <v>59.0</v>
      </c>
      <c r="M94" s="73">
        <v>65.0</v>
      </c>
      <c r="N94" s="73">
        <v>17.0</v>
      </c>
      <c r="O94" s="73">
        <v>9.0</v>
      </c>
      <c r="P94" s="73">
        <v>31.0</v>
      </c>
      <c r="Q94" s="73">
        <v>0.0</v>
      </c>
      <c r="R94" s="73">
        <v>1.0</v>
      </c>
      <c r="S94" s="73">
        <v>4.0</v>
      </c>
      <c r="T94" s="73">
        <v>1.0</v>
      </c>
      <c r="U94" s="73">
        <v>2.0</v>
      </c>
      <c r="V94" s="73">
        <v>0.0</v>
      </c>
      <c r="W94" s="73">
        <v>0.0</v>
      </c>
      <c r="X94" s="73">
        <v>1.0</v>
      </c>
      <c r="Y94" s="73">
        <v>1.0</v>
      </c>
      <c r="Z94" s="73">
        <v>6.0</v>
      </c>
      <c r="AA94" s="73">
        <v>1.0</v>
      </c>
      <c r="AB94" s="73">
        <v>7.0</v>
      </c>
      <c r="AC94" s="73">
        <v>8.0</v>
      </c>
      <c r="AD94" s="73">
        <v>4.0</v>
      </c>
      <c r="AE94" s="73">
        <v>2.0</v>
      </c>
      <c r="AF94" s="13">
        <f t="shared" si="22"/>
        <v>553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3.0</v>
      </c>
      <c r="L95" s="73">
        <v>0.0</v>
      </c>
      <c r="M95" s="73">
        <v>0.0</v>
      </c>
      <c r="N95" s="73">
        <v>1.0</v>
      </c>
      <c r="O95" s="73">
        <v>1.0</v>
      </c>
      <c r="P95" s="73">
        <v>0.0</v>
      </c>
      <c r="Q95" s="73">
        <v>0.0</v>
      </c>
      <c r="R95" s="73">
        <v>0.0</v>
      </c>
      <c r="S95" s="73">
        <v>1.0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13">
        <f t="shared" si="22"/>
        <v>6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1.0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1.0</v>
      </c>
      <c r="W96" s="73">
        <v>0.0</v>
      </c>
      <c r="X96" s="73">
        <v>1.0</v>
      </c>
      <c r="Y96" s="73">
        <v>1.0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13">
        <f t="shared" si="22"/>
        <v>4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1.0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1.0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13">
        <f t="shared" si="22"/>
        <v>2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1.0</v>
      </c>
      <c r="G98" s="73">
        <v>1.0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2.0</v>
      </c>
      <c r="AB98" s="73">
        <v>0.0</v>
      </c>
      <c r="AC98" s="73">
        <v>0.0</v>
      </c>
      <c r="AD98" s="73">
        <v>1.0</v>
      </c>
      <c r="AE98" s="73">
        <v>0.0</v>
      </c>
      <c r="AF98" s="13">
        <f t="shared" si="22"/>
        <v>5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1.0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1.0</v>
      </c>
      <c r="AC99" s="73">
        <v>0.0</v>
      </c>
      <c r="AD99" s="73">
        <v>0.0</v>
      </c>
      <c r="AE99" s="73">
        <v>0.0</v>
      </c>
      <c r="AF99" s="13">
        <f t="shared" si="22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1.0</v>
      </c>
      <c r="Y100" s="73">
        <v>0.0</v>
      </c>
      <c r="Z100" s="73">
        <v>1.0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13">
        <f t="shared" si="22"/>
        <v>2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1.0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1.0</v>
      </c>
      <c r="AF101" s="13">
        <f t="shared" si="22"/>
        <v>2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F103" si="23">SUM(E93:E102)</f>
        <v>19</v>
      </c>
      <c r="F103" s="13">
        <f t="shared" si="23"/>
        <v>44</v>
      </c>
      <c r="G103" s="13">
        <f t="shared" si="23"/>
        <v>36</v>
      </c>
      <c r="H103" s="13">
        <f t="shared" si="23"/>
        <v>41</v>
      </c>
      <c r="I103" s="13">
        <f t="shared" si="23"/>
        <v>54</v>
      </c>
      <c r="J103" s="13">
        <f t="shared" si="23"/>
        <v>84</v>
      </c>
      <c r="K103" s="13">
        <f t="shared" si="23"/>
        <v>89</v>
      </c>
      <c r="L103" s="13">
        <f t="shared" si="23"/>
        <v>69</v>
      </c>
      <c r="M103" s="13">
        <f t="shared" si="23"/>
        <v>71</v>
      </c>
      <c r="N103" s="13">
        <f t="shared" si="23"/>
        <v>20</v>
      </c>
      <c r="O103" s="13">
        <f t="shared" si="23"/>
        <v>11</v>
      </c>
      <c r="P103" s="13">
        <f t="shared" si="23"/>
        <v>33</v>
      </c>
      <c r="Q103" s="13">
        <f t="shared" si="23"/>
        <v>0</v>
      </c>
      <c r="R103" s="13">
        <f t="shared" si="23"/>
        <v>2</v>
      </c>
      <c r="S103" s="13">
        <f t="shared" si="23"/>
        <v>5</v>
      </c>
      <c r="T103" s="13">
        <f t="shared" si="23"/>
        <v>2</v>
      </c>
      <c r="U103" s="13">
        <f t="shared" si="23"/>
        <v>2</v>
      </c>
      <c r="V103" s="13">
        <f t="shared" si="23"/>
        <v>2</v>
      </c>
      <c r="W103" s="13">
        <f t="shared" si="23"/>
        <v>2</v>
      </c>
      <c r="X103" s="13">
        <f t="shared" si="23"/>
        <v>4</v>
      </c>
      <c r="Y103" s="13">
        <f t="shared" si="23"/>
        <v>3</v>
      </c>
      <c r="Z103" s="13">
        <f t="shared" si="23"/>
        <v>10</v>
      </c>
      <c r="AA103" s="13">
        <f t="shared" si="23"/>
        <v>4</v>
      </c>
      <c r="AB103" s="13">
        <f t="shared" si="23"/>
        <v>9</v>
      </c>
      <c r="AC103" s="13">
        <f t="shared" si="23"/>
        <v>9</v>
      </c>
      <c r="AD103" s="13">
        <f t="shared" si="23"/>
        <v>6</v>
      </c>
      <c r="AE103" s="13">
        <f t="shared" si="23"/>
        <v>3</v>
      </c>
      <c r="AF103" s="13">
        <f t="shared" si="23"/>
        <v>634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0.0</v>
      </c>
      <c r="J105" s="73">
        <v>2.0</v>
      </c>
      <c r="K105" s="73">
        <v>0.0</v>
      </c>
      <c r="L105" s="73">
        <v>2.0</v>
      </c>
      <c r="M105" s="73">
        <v>0.0</v>
      </c>
      <c r="N105" s="73">
        <v>1.0</v>
      </c>
      <c r="O105" s="73">
        <v>1.0</v>
      </c>
      <c r="P105" s="73">
        <v>0.0</v>
      </c>
      <c r="Q105" s="73">
        <v>0.0</v>
      </c>
      <c r="R105" s="73">
        <v>0.0</v>
      </c>
      <c r="S105" s="73">
        <v>0.0</v>
      </c>
      <c r="T105" s="73">
        <v>2.0</v>
      </c>
      <c r="U105" s="73">
        <v>0.0</v>
      </c>
      <c r="V105" s="73">
        <v>2.0</v>
      </c>
      <c r="W105" s="73">
        <v>1.0</v>
      </c>
      <c r="X105" s="73">
        <v>2.0</v>
      </c>
      <c r="Y105" s="73">
        <v>2.0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13">
        <f t="shared" ref="AF105:AF114" si="24">SUM(E105:AE105)</f>
        <v>16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1.0</v>
      </c>
      <c r="AE106" s="73">
        <v>0.0</v>
      </c>
      <c r="AF106" s="13">
        <f t="shared" si="24"/>
        <v>3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13">
        <f t="shared" si="24"/>
        <v>0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F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2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2</v>
      </c>
      <c r="W115" s="13">
        <f t="shared" si="25"/>
        <v>1</v>
      </c>
      <c r="X115" s="13">
        <f t="shared" si="25"/>
        <v>2</v>
      </c>
      <c r="Y115" s="13">
        <f t="shared" si="25"/>
        <v>2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19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0.0</v>
      </c>
      <c r="H117" s="73">
        <v>2.0</v>
      </c>
      <c r="I117" s="73">
        <v>1.0</v>
      </c>
      <c r="J117" s="73">
        <v>0.0</v>
      </c>
      <c r="K117" s="73">
        <v>1.0</v>
      </c>
      <c r="L117" s="73">
        <v>4.0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1.0</v>
      </c>
      <c r="S117" s="73">
        <v>0.0</v>
      </c>
      <c r="T117" s="73">
        <v>2.0</v>
      </c>
      <c r="U117" s="73">
        <v>0.0</v>
      </c>
      <c r="V117" s="73">
        <v>1.0</v>
      </c>
      <c r="W117" s="73">
        <v>0.0</v>
      </c>
      <c r="X117" s="73">
        <v>1.0</v>
      </c>
      <c r="Y117" s="73">
        <v>1.0</v>
      </c>
      <c r="Z117" s="73">
        <v>1.0</v>
      </c>
      <c r="AA117" s="73">
        <v>0.0</v>
      </c>
      <c r="AB117" s="73">
        <v>0.0</v>
      </c>
      <c r="AC117" s="73">
        <v>1.0</v>
      </c>
      <c r="AD117" s="73">
        <v>0.0</v>
      </c>
      <c r="AE117" s="73">
        <v>0.0</v>
      </c>
      <c r="AF117" s="13">
        <f t="shared" ref="AF117:AF126" si="26">SUM(E117:AE117)</f>
        <v>18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1.0</v>
      </c>
      <c r="J118" s="73">
        <v>0.0</v>
      </c>
      <c r="K118" s="73">
        <v>1.0</v>
      </c>
      <c r="L118" s="73">
        <v>1.0</v>
      </c>
      <c r="M118" s="73">
        <v>0.0</v>
      </c>
      <c r="N118" s="73">
        <v>1.0</v>
      </c>
      <c r="O118" s="73">
        <v>1.0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1.0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13">
        <f t="shared" si="26"/>
        <v>7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1.0</v>
      </c>
      <c r="S119" s="73">
        <v>0.0</v>
      </c>
      <c r="T119" s="73">
        <v>0.0</v>
      </c>
      <c r="U119" s="73">
        <v>0.0</v>
      </c>
      <c r="V119" s="73">
        <v>0.0</v>
      </c>
      <c r="W119" s="73">
        <v>1.0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1.0</v>
      </c>
      <c r="AC119" s="73">
        <v>0.0</v>
      </c>
      <c r="AD119" s="73">
        <v>0.0</v>
      </c>
      <c r="AE119" s="73">
        <v>0.0</v>
      </c>
      <c r="AF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1.0</v>
      </c>
      <c r="AC120" s="73">
        <v>0.0</v>
      </c>
      <c r="AD120" s="73">
        <v>0.0</v>
      </c>
      <c r="AE120" s="73">
        <v>0.0</v>
      </c>
      <c r="AF120" s="13">
        <f t="shared" si="26"/>
        <v>1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1.0</v>
      </c>
      <c r="T122" s="73">
        <v>0.0</v>
      </c>
      <c r="U122" s="73">
        <v>0.0</v>
      </c>
      <c r="V122" s="73">
        <v>0.0</v>
      </c>
      <c r="W122" s="73">
        <v>1.0</v>
      </c>
      <c r="X122" s="73">
        <v>1.0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13">
        <f t="shared" si="26"/>
        <v>3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F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2</v>
      </c>
      <c r="I127" s="13">
        <f t="shared" si="27"/>
        <v>2</v>
      </c>
      <c r="J127" s="13">
        <f t="shared" si="27"/>
        <v>0</v>
      </c>
      <c r="K127" s="13">
        <f t="shared" si="27"/>
        <v>2</v>
      </c>
      <c r="L127" s="13">
        <f t="shared" si="27"/>
        <v>5</v>
      </c>
      <c r="M127" s="13">
        <f t="shared" si="27"/>
        <v>0</v>
      </c>
      <c r="N127" s="13">
        <f t="shared" si="27"/>
        <v>2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2</v>
      </c>
      <c r="S127" s="13">
        <f t="shared" si="27"/>
        <v>1</v>
      </c>
      <c r="T127" s="13">
        <f t="shared" si="27"/>
        <v>2</v>
      </c>
      <c r="U127" s="13">
        <f t="shared" si="27"/>
        <v>0</v>
      </c>
      <c r="V127" s="13">
        <f t="shared" si="27"/>
        <v>1</v>
      </c>
      <c r="W127" s="13">
        <f t="shared" si="27"/>
        <v>2</v>
      </c>
      <c r="X127" s="13">
        <f t="shared" si="27"/>
        <v>3</v>
      </c>
      <c r="Y127" s="13">
        <f t="shared" si="27"/>
        <v>1</v>
      </c>
      <c r="Z127" s="13">
        <f t="shared" si="27"/>
        <v>1</v>
      </c>
      <c r="AA127" s="13">
        <f t="shared" si="27"/>
        <v>0</v>
      </c>
      <c r="AB127" s="13">
        <f t="shared" si="27"/>
        <v>2</v>
      </c>
      <c r="AC127" s="13">
        <f t="shared" si="27"/>
        <v>1</v>
      </c>
      <c r="AD127" s="13">
        <f t="shared" si="27"/>
        <v>0</v>
      </c>
      <c r="AE127" s="13">
        <f t="shared" si="27"/>
        <v>0</v>
      </c>
      <c r="AF127" s="13">
        <f t="shared" si="27"/>
        <v>32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1.0</v>
      </c>
      <c r="P129" s="73">
        <v>1.0</v>
      </c>
      <c r="Q129" s="73">
        <v>0.0</v>
      </c>
      <c r="R129" s="73">
        <v>2.0</v>
      </c>
      <c r="S129" s="73">
        <v>0.0</v>
      </c>
      <c r="T129" s="73">
        <v>0.0</v>
      </c>
      <c r="U129" s="73">
        <v>0.0</v>
      </c>
      <c r="V129" s="73">
        <v>2.0</v>
      </c>
      <c r="W129" s="73">
        <v>0.0</v>
      </c>
      <c r="X129" s="73">
        <v>0.0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0.0</v>
      </c>
      <c r="AD129" s="73">
        <v>0.0</v>
      </c>
      <c r="AE129" s="73">
        <v>0.0</v>
      </c>
      <c r="AF129" s="13">
        <f t="shared" ref="AF129:AF138" si="28">SUM(E129:AE129)</f>
        <v>6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0.0</v>
      </c>
      <c r="G130" s="73">
        <v>0.0</v>
      </c>
      <c r="H130" s="73">
        <v>0.0</v>
      </c>
      <c r="I130" s="73">
        <v>1.0</v>
      </c>
      <c r="J130" s="73">
        <v>0.0</v>
      </c>
      <c r="K130" s="73">
        <v>0.0</v>
      </c>
      <c r="L130" s="73">
        <v>1.0</v>
      </c>
      <c r="M130" s="73">
        <v>0.0</v>
      </c>
      <c r="N130" s="73">
        <v>0.0</v>
      </c>
      <c r="O130" s="73">
        <v>1.0</v>
      </c>
      <c r="P130" s="73">
        <v>1.0</v>
      </c>
      <c r="Q130" s="73">
        <v>0.0</v>
      </c>
      <c r="R130" s="73">
        <v>1.0</v>
      </c>
      <c r="S130" s="73">
        <v>0.0</v>
      </c>
      <c r="T130" s="73">
        <v>2.0</v>
      </c>
      <c r="U130" s="73">
        <v>0.0</v>
      </c>
      <c r="V130" s="73">
        <v>0.0</v>
      </c>
      <c r="W130" s="73">
        <v>1.0</v>
      </c>
      <c r="X130" s="73">
        <v>2.0</v>
      </c>
      <c r="Y130" s="73">
        <v>0.0</v>
      </c>
      <c r="Z130" s="73">
        <v>8.0</v>
      </c>
      <c r="AA130" s="73">
        <v>5.0</v>
      </c>
      <c r="AB130" s="73">
        <v>1.0</v>
      </c>
      <c r="AC130" s="73">
        <v>0.0</v>
      </c>
      <c r="AD130" s="73">
        <v>0.0</v>
      </c>
      <c r="AE130" s="73">
        <v>0.0</v>
      </c>
      <c r="AF130" s="13">
        <f t="shared" si="28"/>
        <v>25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1.0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13">
        <f t="shared" si="28"/>
        <v>1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2.0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13">
        <f t="shared" si="28"/>
        <v>2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1.0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1.0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1.0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13">
        <f t="shared" si="28"/>
        <v>2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13">
        <f t="shared" si="28"/>
        <v>0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1.0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13">
        <f t="shared" si="28"/>
        <v>1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1.0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1.0</v>
      </c>
      <c r="AD138" s="73">
        <v>0.0</v>
      </c>
      <c r="AE138" s="73">
        <v>0.0</v>
      </c>
      <c r="AF138" s="13">
        <f t="shared" si="28"/>
        <v>2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F139" si="29">SUM(E129:E138)</f>
        <v>1</v>
      </c>
      <c r="F139" s="13">
        <f t="shared" si="29"/>
        <v>0</v>
      </c>
      <c r="G139" s="13">
        <f t="shared" si="29"/>
        <v>0</v>
      </c>
      <c r="H139" s="13">
        <f t="shared" si="29"/>
        <v>2</v>
      </c>
      <c r="I139" s="13">
        <f t="shared" si="29"/>
        <v>1</v>
      </c>
      <c r="J139" s="13">
        <f t="shared" si="29"/>
        <v>0</v>
      </c>
      <c r="K139" s="13">
        <f t="shared" si="29"/>
        <v>3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2</v>
      </c>
      <c r="P139" s="13">
        <f t="shared" si="29"/>
        <v>3</v>
      </c>
      <c r="Q139" s="13">
        <f t="shared" si="29"/>
        <v>0</v>
      </c>
      <c r="R139" s="13">
        <f t="shared" si="29"/>
        <v>3</v>
      </c>
      <c r="S139" s="13">
        <f t="shared" si="29"/>
        <v>0</v>
      </c>
      <c r="T139" s="13">
        <f t="shared" si="29"/>
        <v>3</v>
      </c>
      <c r="U139" s="13">
        <f t="shared" si="29"/>
        <v>0</v>
      </c>
      <c r="V139" s="13">
        <f t="shared" si="29"/>
        <v>2</v>
      </c>
      <c r="W139" s="13">
        <f t="shared" si="29"/>
        <v>1</v>
      </c>
      <c r="X139" s="13">
        <f t="shared" si="29"/>
        <v>2</v>
      </c>
      <c r="Y139" s="13">
        <f t="shared" si="29"/>
        <v>0</v>
      </c>
      <c r="Z139" s="13">
        <f t="shared" si="29"/>
        <v>9</v>
      </c>
      <c r="AA139" s="13">
        <f t="shared" si="29"/>
        <v>5</v>
      </c>
      <c r="AB139" s="13">
        <f t="shared" si="29"/>
        <v>1</v>
      </c>
      <c r="AC139" s="13">
        <f t="shared" si="29"/>
        <v>1</v>
      </c>
      <c r="AD139" s="13">
        <f t="shared" si="29"/>
        <v>0</v>
      </c>
      <c r="AE139" s="13">
        <f t="shared" si="29"/>
        <v>0</v>
      </c>
      <c r="AF139" s="13">
        <f t="shared" si="29"/>
        <v>40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1.0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13">
        <f t="shared" ref="AF141:AF150" si="30">SUM(E141:AE141)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1.0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83">
        <v>0.0</v>
      </c>
      <c r="F151" s="13">
        <f t="shared" ref="F151:AE151" si="31">SUM(F141:F150)</f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83">
        <v>1.0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1.0</v>
      </c>
      <c r="U153" s="73">
        <v>1.0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1.0</v>
      </c>
      <c r="AB153" s="73">
        <v>0.0</v>
      </c>
      <c r="AC153" s="73">
        <v>1.0</v>
      </c>
      <c r="AD153" s="73">
        <v>0.0</v>
      </c>
      <c r="AE153" s="73">
        <v>0.0</v>
      </c>
      <c r="AF153" s="13">
        <f t="shared" ref="AF153:AF156" si="32">SUM(E154:AE154)</f>
        <v>5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1.0</v>
      </c>
      <c r="I154" s="73">
        <v>0.0</v>
      </c>
      <c r="J154" s="73">
        <v>0.0</v>
      </c>
      <c r="K154" s="73">
        <v>1.0</v>
      </c>
      <c r="L154" s="73">
        <v>0.0</v>
      </c>
      <c r="M154" s="73">
        <v>0.0</v>
      </c>
      <c r="N154" s="73">
        <v>0.0</v>
      </c>
      <c r="O154" s="73">
        <v>1.0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1.0</v>
      </c>
      <c r="AB154" s="73">
        <v>1.0</v>
      </c>
      <c r="AC154" s="73">
        <v>0.0</v>
      </c>
      <c r="AD154" s="73">
        <v>0.0</v>
      </c>
      <c r="AE154" s="73">
        <v>0.0</v>
      </c>
      <c r="AF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2.0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13">
        <f t="shared" si="32"/>
        <v>3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1.0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1.0</v>
      </c>
      <c r="X156" s="73">
        <v>0.0</v>
      </c>
      <c r="Y156" s="73">
        <v>1.0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0.0</v>
      </c>
      <c r="R157" s="73">
        <v>0.0</v>
      </c>
      <c r="S157" s="73">
        <v>1.0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3">
        <f t="shared" ref="AF157:AF162" si="33">SUM(E163:AE163)</f>
        <v>20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3">
        <f t="shared" si="33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1.0</v>
      </c>
      <c r="O159" s="73">
        <v>0.0</v>
      </c>
      <c r="P159" s="73">
        <v>1.0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1.0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3">
        <f t="shared" si="33"/>
        <v>4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1.0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13">
        <f t="shared" si="33"/>
        <v>6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3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3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F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2</v>
      </c>
      <c r="I163" s="13">
        <f t="shared" si="34"/>
        <v>0</v>
      </c>
      <c r="J163" s="13">
        <f t="shared" si="34"/>
        <v>0</v>
      </c>
      <c r="K163" s="13">
        <f t="shared" si="34"/>
        <v>1</v>
      </c>
      <c r="L163" s="13">
        <f t="shared" si="34"/>
        <v>0</v>
      </c>
      <c r="M163" s="13">
        <f t="shared" si="34"/>
        <v>0</v>
      </c>
      <c r="N163" s="13">
        <f t="shared" si="34"/>
        <v>2</v>
      </c>
      <c r="O163" s="13">
        <f t="shared" si="34"/>
        <v>1</v>
      </c>
      <c r="P163" s="13">
        <f t="shared" si="34"/>
        <v>1</v>
      </c>
      <c r="Q163" s="13">
        <f t="shared" si="34"/>
        <v>0</v>
      </c>
      <c r="R163" s="13">
        <f t="shared" si="34"/>
        <v>0</v>
      </c>
      <c r="S163" s="13">
        <f t="shared" si="34"/>
        <v>1</v>
      </c>
      <c r="T163" s="13">
        <f t="shared" si="34"/>
        <v>3</v>
      </c>
      <c r="U163" s="13">
        <f t="shared" si="34"/>
        <v>1</v>
      </c>
      <c r="V163" s="13">
        <f t="shared" si="34"/>
        <v>0</v>
      </c>
      <c r="W163" s="13">
        <f t="shared" si="34"/>
        <v>1</v>
      </c>
      <c r="X163" s="13">
        <f t="shared" si="34"/>
        <v>0</v>
      </c>
      <c r="Y163" s="13">
        <f t="shared" si="34"/>
        <v>3</v>
      </c>
      <c r="Z163" s="13">
        <f t="shared" si="34"/>
        <v>0</v>
      </c>
      <c r="AA163" s="13">
        <f t="shared" si="34"/>
        <v>2</v>
      </c>
      <c r="AB163" s="13">
        <f t="shared" si="34"/>
        <v>1</v>
      </c>
      <c r="AC163" s="13">
        <f t="shared" si="34"/>
        <v>1</v>
      </c>
      <c r="AD163" s="13">
        <f t="shared" si="34"/>
        <v>0</v>
      </c>
      <c r="AE163" s="13">
        <f t="shared" si="34"/>
        <v>0</v>
      </c>
      <c r="AF163" s="13">
        <f t="shared" si="34"/>
        <v>42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1.0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2.0</v>
      </c>
      <c r="Z165" s="73">
        <v>1.0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13">
        <f t="shared" ref="AF165:AF174" si="35">SUM(E165:AE165)</f>
        <v>4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1.0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1.0</v>
      </c>
      <c r="P166" s="73">
        <v>0.0</v>
      </c>
      <c r="Q166" s="73">
        <v>0.0</v>
      </c>
      <c r="R166" s="73">
        <v>1.0</v>
      </c>
      <c r="S166" s="73">
        <v>2.0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0.0</v>
      </c>
      <c r="Z166" s="73">
        <v>0.0</v>
      </c>
      <c r="AA166" s="73">
        <v>0.0</v>
      </c>
      <c r="AB166" s="73">
        <v>1.0</v>
      </c>
      <c r="AC166" s="73">
        <v>0.0</v>
      </c>
      <c r="AD166" s="73">
        <v>0.0</v>
      </c>
      <c r="AE166" s="73">
        <v>0.0</v>
      </c>
      <c r="AF166" s="13">
        <f t="shared" si="35"/>
        <v>6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3">
        <f t="shared" si="35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3">
        <f t="shared" si="35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3">
        <f t="shared" si="35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3">
        <f t="shared" si="35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3">
        <f t="shared" si="35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3">
        <f t="shared" si="35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5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5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F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2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2</v>
      </c>
      <c r="Z175" s="13">
        <f t="shared" si="36"/>
        <v>1</v>
      </c>
      <c r="AA175" s="13">
        <f t="shared" si="36"/>
        <v>0</v>
      </c>
      <c r="AB175" s="13">
        <f t="shared" si="36"/>
        <v>1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10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1.0</v>
      </c>
      <c r="G177" s="73">
        <v>1.0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73">
        <v>0.0</v>
      </c>
      <c r="W177" s="73">
        <v>0.0</v>
      </c>
      <c r="X177" s="73">
        <v>0.0</v>
      </c>
      <c r="Y177" s="73">
        <v>1.0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0.0</v>
      </c>
      <c r="AF177" s="13">
        <f t="shared" ref="AF177:AF186" si="37">SUM(E177:AE177)</f>
        <v>5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1.0</v>
      </c>
      <c r="G178" s="73">
        <v>0.0</v>
      </c>
      <c r="H178" s="73">
        <v>2.0</v>
      </c>
      <c r="I178" s="73">
        <v>0.0</v>
      </c>
      <c r="J178" s="73">
        <v>2.0</v>
      </c>
      <c r="K178" s="73">
        <v>0.0</v>
      </c>
      <c r="L178" s="73">
        <v>0.0</v>
      </c>
      <c r="M178" s="73">
        <v>0.0</v>
      </c>
      <c r="N178" s="73">
        <v>1.0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1.0</v>
      </c>
      <c r="U178" s="73">
        <v>0.0</v>
      </c>
      <c r="V178" s="73">
        <v>0.0</v>
      </c>
      <c r="W178" s="73">
        <v>0.0</v>
      </c>
      <c r="X178" s="73">
        <v>1.0</v>
      </c>
      <c r="Y178" s="73">
        <v>2.0</v>
      </c>
      <c r="Z178" s="73">
        <v>0.0</v>
      </c>
      <c r="AA178" s="73">
        <v>0.0</v>
      </c>
      <c r="AB178" s="73">
        <v>0.0</v>
      </c>
      <c r="AC178" s="73">
        <v>1.0</v>
      </c>
      <c r="AD178" s="73">
        <v>0.0</v>
      </c>
      <c r="AE178" s="73">
        <v>1.0</v>
      </c>
      <c r="AF178" s="13">
        <f t="shared" si="37"/>
        <v>12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1.0</v>
      </c>
      <c r="AD179" s="73">
        <v>0.0</v>
      </c>
      <c r="AE179" s="73">
        <v>0.0</v>
      </c>
      <c r="AF179" s="13">
        <f t="shared" si="37"/>
        <v>3</v>
      </c>
    </row>
    <row r="180" ht="12.75" customHeight="1">
      <c r="A180" s="18"/>
      <c r="B180" s="49"/>
      <c r="C180" s="50" t="s">
        <v>134</v>
      </c>
      <c r="D180" s="51"/>
      <c r="E180" s="73">
        <v>1.0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1.0</v>
      </c>
      <c r="O180" s="73">
        <v>0.0</v>
      </c>
      <c r="P180" s="73">
        <v>0.0</v>
      </c>
      <c r="Q180" s="73">
        <v>0.0</v>
      </c>
      <c r="R180" s="73">
        <v>0.0</v>
      </c>
      <c r="S180" s="73">
        <v>2.0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13">
        <f t="shared" si="37"/>
        <v>4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1.0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1.0</v>
      </c>
      <c r="AD181" s="73">
        <v>0.0</v>
      </c>
      <c r="AE181" s="73">
        <v>0.0</v>
      </c>
      <c r="AF181" s="13">
        <f t="shared" si="37"/>
        <v>2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1.0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1.0</v>
      </c>
      <c r="W182" s="73">
        <v>0.0</v>
      </c>
      <c r="X182" s="73">
        <v>0.0</v>
      </c>
      <c r="Y182" s="73">
        <v>1.0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13">
        <f t="shared" si="37"/>
        <v>3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1.0</v>
      </c>
      <c r="S183" s="73">
        <v>1.0</v>
      </c>
      <c r="T183" s="73">
        <v>1.0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13">
        <f t="shared" si="37"/>
        <v>3</v>
      </c>
    </row>
    <row r="184" ht="12.75" customHeight="1">
      <c r="A184" s="18"/>
      <c r="B184" s="49"/>
      <c r="C184" s="50" t="s">
        <v>138</v>
      </c>
      <c r="D184" s="51"/>
      <c r="E184" s="73">
        <v>1.0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1.0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13">
        <f t="shared" si="37"/>
        <v>2</v>
      </c>
    </row>
    <row r="185" ht="12.75" customHeight="1">
      <c r="A185" s="18"/>
      <c r="B185" s="49"/>
      <c r="C185" s="50" t="s">
        <v>139</v>
      </c>
      <c r="D185" s="51"/>
      <c r="E185" s="73">
        <v>1.0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1.0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13">
        <f t="shared" si="37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1.0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13">
        <f t="shared" si="37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F187" si="38">SUM(E177:E186)</f>
        <v>3</v>
      </c>
      <c r="F187" s="13">
        <f t="shared" si="38"/>
        <v>2</v>
      </c>
      <c r="G187" s="13">
        <f t="shared" si="38"/>
        <v>1</v>
      </c>
      <c r="H187" s="13">
        <f t="shared" si="38"/>
        <v>2</v>
      </c>
      <c r="I187" s="13">
        <f t="shared" si="38"/>
        <v>1</v>
      </c>
      <c r="J187" s="13">
        <f t="shared" si="38"/>
        <v>4</v>
      </c>
      <c r="K187" s="13">
        <f t="shared" si="38"/>
        <v>0</v>
      </c>
      <c r="L187" s="13">
        <f t="shared" si="38"/>
        <v>1</v>
      </c>
      <c r="M187" s="13">
        <f t="shared" si="38"/>
        <v>0</v>
      </c>
      <c r="N187" s="13">
        <f t="shared" si="38"/>
        <v>3</v>
      </c>
      <c r="O187" s="13">
        <f t="shared" si="38"/>
        <v>0</v>
      </c>
      <c r="P187" s="13">
        <f t="shared" si="38"/>
        <v>0</v>
      </c>
      <c r="Q187" s="13">
        <f t="shared" si="38"/>
        <v>0</v>
      </c>
      <c r="R187" s="13">
        <f t="shared" si="38"/>
        <v>2</v>
      </c>
      <c r="S187" s="13">
        <f t="shared" si="38"/>
        <v>3</v>
      </c>
      <c r="T187" s="13">
        <f t="shared" si="38"/>
        <v>2</v>
      </c>
      <c r="U187" s="13">
        <f t="shared" si="38"/>
        <v>1</v>
      </c>
      <c r="V187" s="13">
        <f t="shared" si="38"/>
        <v>2</v>
      </c>
      <c r="W187" s="13">
        <f t="shared" si="38"/>
        <v>0</v>
      </c>
      <c r="X187" s="13">
        <f t="shared" si="38"/>
        <v>2</v>
      </c>
      <c r="Y187" s="13">
        <f t="shared" si="38"/>
        <v>4</v>
      </c>
      <c r="Z187" s="13">
        <f t="shared" si="38"/>
        <v>0</v>
      </c>
      <c r="AA187" s="13">
        <f t="shared" si="38"/>
        <v>0</v>
      </c>
      <c r="AB187" s="13">
        <f t="shared" si="38"/>
        <v>0</v>
      </c>
      <c r="AC187" s="13">
        <f t="shared" si="38"/>
        <v>3</v>
      </c>
      <c r="AD187" s="13">
        <f t="shared" si="38"/>
        <v>0</v>
      </c>
      <c r="AE187" s="13">
        <f t="shared" si="38"/>
        <v>1</v>
      </c>
      <c r="AF187" s="13">
        <f t="shared" si="38"/>
        <v>37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AF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1.0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1.0</v>
      </c>
      <c r="AB189" s="73">
        <v>0.0</v>
      </c>
      <c r="AC189" s="73">
        <v>0.0</v>
      </c>
      <c r="AD189" s="73">
        <v>0.0</v>
      </c>
      <c r="AE189" s="73">
        <v>0.0</v>
      </c>
      <c r="AF189" s="13">
        <f t="shared" ref="AF189:AF198" si="39">SUM(E189:AE189)</f>
        <v>2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1.0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13">
        <f t="shared" si="39"/>
        <v>1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13">
        <f t="shared" si="39"/>
        <v>0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1.0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1.0</v>
      </c>
      <c r="T192" s="73">
        <v>1.0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13">
        <f t="shared" si="39"/>
        <v>3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13">
        <f t="shared" si="39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1.0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13">
        <f t="shared" si="39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13">
        <f t="shared" si="39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13">
        <f t="shared" si="39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1.0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13">
        <f t="shared" si="39"/>
        <v>1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13">
        <f t="shared" si="39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F199" si="40">SUM(E189:E198)</f>
        <v>0</v>
      </c>
      <c r="F199" s="13">
        <f t="shared" si="40"/>
        <v>0</v>
      </c>
      <c r="G199" s="13">
        <f t="shared" si="40"/>
        <v>1</v>
      </c>
      <c r="H199" s="13">
        <f t="shared" si="40"/>
        <v>0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1</v>
      </c>
      <c r="S199" s="13">
        <f t="shared" si="40"/>
        <v>1</v>
      </c>
      <c r="T199" s="13">
        <f t="shared" si="40"/>
        <v>2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1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8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7.0</v>
      </c>
      <c r="F201" s="73">
        <v>7.0</v>
      </c>
      <c r="G201" s="73">
        <v>12.0</v>
      </c>
      <c r="H201" s="73">
        <v>11.0</v>
      </c>
      <c r="I201" s="73">
        <v>6.0</v>
      </c>
      <c r="J201" s="73">
        <v>3.0</v>
      </c>
      <c r="K201" s="73">
        <v>2.0</v>
      </c>
      <c r="L201" s="73">
        <v>8.0</v>
      </c>
      <c r="M201" s="73">
        <v>3.0</v>
      </c>
      <c r="N201" s="73">
        <v>5.0</v>
      </c>
      <c r="O201" s="73">
        <v>9.0</v>
      </c>
      <c r="P201" s="73">
        <v>6.0</v>
      </c>
      <c r="Q201" s="73">
        <v>1.0</v>
      </c>
      <c r="R201" s="73">
        <v>0.0</v>
      </c>
      <c r="S201" s="73">
        <v>4.0</v>
      </c>
      <c r="T201" s="73">
        <v>7.0</v>
      </c>
      <c r="U201" s="73">
        <v>7.0</v>
      </c>
      <c r="V201" s="73">
        <v>5.0</v>
      </c>
      <c r="W201" s="73">
        <v>2.0</v>
      </c>
      <c r="X201" s="73">
        <v>6.0</v>
      </c>
      <c r="Y201" s="73">
        <v>6.0</v>
      </c>
      <c r="Z201" s="73">
        <v>7.0</v>
      </c>
      <c r="AA201" s="73">
        <v>6.0</v>
      </c>
      <c r="AB201" s="73">
        <v>7.0</v>
      </c>
      <c r="AC201" s="73">
        <v>1.0</v>
      </c>
      <c r="AD201" s="73">
        <v>3.0</v>
      </c>
      <c r="AE201" s="73">
        <v>3.0</v>
      </c>
      <c r="AF201" s="13">
        <f t="shared" ref="AF201:AF210" si="41">SUM(E201:AE201)</f>
        <v>144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15.0</v>
      </c>
      <c r="F202" s="73">
        <v>33.0</v>
      </c>
      <c r="G202" s="73">
        <v>46.0</v>
      </c>
      <c r="H202" s="73">
        <v>29.0</v>
      </c>
      <c r="I202" s="73">
        <v>53.0</v>
      </c>
      <c r="J202" s="73">
        <v>46.0</v>
      </c>
      <c r="K202" s="73">
        <v>2.0</v>
      </c>
      <c r="L202" s="73">
        <v>17.0</v>
      </c>
      <c r="M202" s="73">
        <v>39.0</v>
      </c>
      <c r="N202" s="73">
        <v>46.0</v>
      </c>
      <c r="O202" s="73">
        <v>36.0</v>
      </c>
      <c r="P202" s="73">
        <v>30.0</v>
      </c>
      <c r="Q202" s="73">
        <v>2.0</v>
      </c>
      <c r="R202" s="73">
        <v>5.0</v>
      </c>
      <c r="S202" s="73">
        <v>19.0</v>
      </c>
      <c r="T202" s="73">
        <v>31.0</v>
      </c>
      <c r="U202" s="73">
        <v>28.0</v>
      </c>
      <c r="V202" s="73">
        <v>18.0</v>
      </c>
      <c r="W202" s="73">
        <v>8.0</v>
      </c>
      <c r="X202" s="73">
        <v>12.0</v>
      </c>
      <c r="Y202" s="73">
        <v>13.0</v>
      </c>
      <c r="Z202" s="73">
        <v>6.0</v>
      </c>
      <c r="AA202" s="73">
        <v>17.0</v>
      </c>
      <c r="AB202" s="73">
        <v>23.0</v>
      </c>
      <c r="AC202" s="73">
        <v>5.0</v>
      </c>
      <c r="AD202" s="73">
        <v>27.0</v>
      </c>
      <c r="AE202" s="73">
        <v>7.0</v>
      </c>
      <c r="AF202" s="13">
        <f t="shared" si="41"/>
        <v>613</v>
      </c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1.0</v>
      </c>
      <c r="G203" s="73">
        <v>3.0</v>
      </c>
      <c r="H203" s="73">
        <v>3.0</v>
      </c>
      <c r="I203" s="73">
        <v>4.0</v>
      </c>
      <c r="J203" s="73">
        <v>2.0</v>
      </c>
      <c r="K203" s="73">
        <v>2.0</v>
      </c>
      <c r="L203" s="73">
        <v>1.0</v>
      </c>
      <c r="M203" s="73">
        <v>1.0</v>
      </c>
      <c r="N203" s="73">
        <v>1.0</v>
      </c>
      <c r="O203" s="73">
        <v>1.0</v>
      </c>
      <c r="P203" s="73">
        <v>3.0</v>
      </c>
      <c r="Q203" s="73">
        <v>1.0</v>
      </c>
      <c r="R203" s="73">
        <v>5.0</v>
      </c>
      <c r="S203" s="73">
        <v>5.0</v>
      </c>
      <c r="T203" s="73">
        <v>4.0</v>
      </c>
      <c r="U203" s="73">
        <v>2.0</v>
      </c>
      <c r="V203" s="73">
        <v>0.0</v>
      </c>
      <c r="W203" s="73">
        <v>2.0</v>
      </c>
      <c r="X203" s="73">
        <v>4.0</v>
      </c>
      <c r="Y203" s="73">
        <v>3.0</v>
      </c>
      <c r="Z203" s="73">
        <v>2.0</v>
      </c>
      <c r="AA203" s="73">
        <v>5.0</v>
      </c>
      <c r="AB203" s="73">
        <v>7.0</v>
      </c>
      <c r="AC203" s="73">
        <v>10.0</v>
      </c>
      <c r="AD203" s="73">
        <v>1.0</v>
      </c>
      <c r="AE203" s="73">
        <v>4.0</v>
      </c>
      <c r="AF203" s="13">
        <f t="shared" si="41"/>
        <v>78</v>
      </c>
    </row>
    <row r="204" ht="12.75" customHeight="1">
      <c r="A204" s="18"/>
      <c r="B204" s="49"/>
      <c r="C204" s="50" t="s">
        <v>156</v>
      </c>
      <c r="D204" s="51"/>
      <c r="E204" s="73">
        <v>1.0</v>
      </c>
      <c r="F204" s="73">
        <v>1.0</v>
      </c>
      <c r="G204" s="73">
        <v>3.0</v>
      </c>
      <c r="H204" s="73">
        <v>0.0</v>
      </c>
      <c r="I204" s="73">
        <v>0.0</v>
      </c>
      <c r="J204" s="73">
        <v>0.0</v>
      </c>
      <c r="K204" s="73">
        <v>1.0</v>
      </c>
      <c r="L204" s="73">
        <v>0.0</v>
      </c>
      <c r="M204" s="73">
        <v>0.0</v>
      </c>
      <c r="N204" s="73">
        <v>0.0</v>
      </c>
      <c r="O204" s="73">
        <v>1.0</v>
      </c>
      <c r="P204" s="73">
        <v>0.0</v>
      </c>
      <c r="Q204" s="73">
        <v>0.0</v>
      </c>
      <c r="R204" s="73">
        <v>2.0</v>
      </c>
      <c r="S204" s="73">
        <v>0.0</v>
      </c>
      <c r="T204" s="73">
        <v>0.0</v>
      </c>
      <c r="U204" s="73">
        <v>0.0</v>
      </c>
      <c r="V204" s="73">
        <v>0.0</v>
      </c>
      <c r="W204" s="73">
        <v>2.0</v>
      </c>
      <c r="X204" s="73">
        <v>0.0</v>
      </c>
      <c r="Y204" s="73">
        <v>0.0</v>
      </c>
      <c r="Z204" s="73">
        <v>0.0</v>
      </c>
      <c r="AA204" s="73">
        <v>1.0</v>
      </c>
      <c r="AB204" s="73">
        <v>2.0</v>
      </c>
      <c r="AC204" s="73">
        <v>0.0</v>
      </c>
      <c r="AD204" s="73">
        <v>1.0</v>
      </c>
      <c r="AE204" s="73">
        <v>0.0</v>
      </c>
      <c r="AF204" s="13">
        <f t="shared" si="41"/>
        <v>15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2.0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1.0</v>
      </c>
      <c r="Y205" s="73">
        <v>0.0</v>
      </c>
      <c r="Z205" s="73">
        <v>0.0</v>
      </c>
      <c r="AA205" s="73">
        <v>1.0</v>
      </c>
      <c r="AB205" s="73">
        <v>0.0</v>
      </c>
      <c r="AC205" s="73">
        <v>0.0</v>
      </c>
      <c r="AD205" s="73">
        <v>1.0</v>
      </c>
      <c r="AE205" s="73">
        <v>0.0</v>
      </c>
      <c r="AF205" s="13">
        <f t="shared" si="41"/>
        <v>7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1.0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1.0</v>
      </c>
      <c r="AB206" s="73">
        <v>0.0</v>
      </c>
      <c r="AC206" s="73">
        <v>0.0</v>
      </c>
      <c r="AD206" s="73">
        <v>0.0</v>
      </c>
      <c r="AE206" s="73">
        <v>0.0</v>
      </c>
      <c r="AF206" s="13">
        <f t="shared" si="41"/>
        <v>2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1.0</v>
      </c>
      <c r="I207" s="73">
        <v>0.0</v>
      </c>
      <c r="J207" s="73">
        <v>1.0</v>
      </c>
      <c r="K207" s="73">
        <v>0.0</v>
      </c>
      <c r="L207" s="73">
        <v>0.0</v>
      </c>
      <c r="M207" s="73">
        <v>1.0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2.0</v>
      </c>
      <c r="T207" s="73">
        <v>0.0</v>
      </c>
      <c r="U207" s="73">
        <v>3.0</v>
      </c>
      <c r="V207" s="73">
        <v>0.0</v>
      </c>
      <c r="W207" s="73">
        <v>0.0</v>
      </c>
      <c r="X207" s="73">
        <v>2.0</v>
      </c>
      <c r="Y207" s="73">
        <v>2.0</v>
      </c>
      <c r="Z207" s="73">
        <v>1.0</v>
      </c>
      <c r="AA207" s="73">
        <v>3.0</v>
      </c>
      <c r="AB207" s="73">
        <v>1.0</v>
      </c>
      <c r="AC207" s="73">
        <v>0.0</v>
      </c>
      <c r="AD207" s="73">
        <v>0.0</v>
      </c>
      <c r="AE207" s="73">
        <v>0.0</v>
      </c>
      <c r="AF207" s="13">
        <f t="shared" si="41"/>
        <v>17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1.0</v>
      </c>
      <c r="L208" s="73">
        <v>0.0</v>
      </c>
      <c r="M208" s="73">
        <v>0.0</v>
      </c>
      <c r="N208" s="73">
        <v>2.0</v>
      </c>
      <c r="O208" s="73">
        <v>1.0</v>
      </c>
      <c r="P208" s="73">
        <v>0.0</v>
      </c>
      <c r="Q208" s="73">
        <v>0.0</v>
      </c>
      <c r="R208" s="73">
        <v>0.0</v>
      </c>
      <c r="S208" s="73">
        <v>1.0</v>
      </c>
      <c r="T208" s="73">
        <v>1.0</v>
      </c>
      <c r="U208" s="73">
        <v>1.0</v>
      </c>
      <c r="V208" s="73">
        <v>1.0</v>
      </c>
      <c r="W208" s="73">
        <v>0.0</v>
      </c>
      <c r="X208" s="73">
        <v>0.0</v>
      </c>
      <c r="Y208" s="73">
        <v>1.0</v>
      </c>
      <c r="Z208" s="73">
        <v>0.0</v>
      </c>
      <c r="AA208" s="73">
        <v>0.0</v>
      </c>
      <c r="AB208" s="73">
        <v>0.0</v>
      </c>
      <c r="AC208" s="73">
        <v>0.0</v>
      </c>
      <c r="AD208" s="73">
        <v>0.0</v>
      </c>
      <c r="AE208" s="73">
        <v>0.0</v>
      </c>
      <c r="AF208" s="13">
        <f t="shared" si="41"/>
        <v>9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13">
        <f t="shared" si="41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1.0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1.0</v>
      </c>
      <c r="AA210" s="73">
        <v>0.0</v>
      </c>
      <c r="AB210" s="73">
        <v>0.0</v>
      </c>
      <c r="AC210" s="73">
        <v>1.0</v>
      </c>
      <c r="AD210" s="73">
        <v>2.0</v>
      </c>
      <c r="AE210" s="73">
        <v>0.0</v>
      </c>
      <c r="AF210" s="13">
        <f t="shared" si="41"/>
        <v>5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F211" si="42">SUM(E201:E210)</f>
        <v>24</v>
      </c>
      <c r="F211" s="13">
        <f t="shared" si="42"/>
        <v>42</v>
      </c>
      <c r="G211" s="13">
        <f t="shared" si="42"/>
        <v>66</v>
      </c>
      <c r="H211" s="13">
        <f t="shared" si="42"/>
        <v>45</v>
      </c>
      <c r="I211" s="13">
        <f t="shared" si="42"/>
        <v>63</v>
      </c>
      <c r="J211" s="13">
        <f t="shared" si="42"/>
        <v>52</v>
      </c>
      <c r="K211" s="13">
        <f t="shared" si="42"/>
        <v>9</v>
      </c>
      <c r="L211" s="13">
        <f t="shared" si="42"/>
        <v>26</v>
      </c>
      <c r="M211" s="13">
        <f t="shared" si="42"/>
        <v>44</v>
      </c>
      <c r="N211" s="13">
        <f t="shared" si="42"/>
        <v>54</v>
      </c>
      <c r="O211" s="13">
        <f t="shared" si="42"/>
        <v>48</v>
      </c>
      <c r="P211" s="13">
        <f t="shared" si="42"/>
        <v>39</v>
      </c>
      <c r="Q211" s="13">
        <f t="shared" si="42"/>
        <v>4</v>
      </c>
      <c r="R211" s="13">
        <f t="shared" si="42"/>
        <v>14</v>
      </c>
      <c r="S211" s="13">
        <f t="shared" si="42"/>
        <v>31</v>
      </c>
      <c r="T211" s="13">
        <f t="shared" si="42"/>
        <v>43</v>
      </c>
      <c r="U211" s="13">
        <f t="shared" si="42"/>
        <v>41</v>
      </c>
      <c r="V211" s="13">
        <f t="shared" si="42"/>
        <v>24</v>
      </c>
      <c r="W211" s="13">
        <f t="shared" si="42"/>
        <v>14</v>
      </c>
      <c r="X211" s="13">
        <f t="shared" si="42"/>
        <v>25</v>
      </c>
      <c r="Y211" s="13">
        <f t="shared" si="42"/>
        <v>25</v>
      </c>
      <c r="Z211" s="13">
        <f t="shared" si="42"/>
        <v>17</v>
      </c>
      <c r="AA211" s="13">
        <f t="shared" si="42"/>
        <v>34</v>
      </c>
      <c r="AB211" s="13">
        <f t="shared" si="42"/>
        <v>40</v>
      </c>
      <c r="AC211" s="13">
        <f t="shared" si="42"/>
        <v>17</v>
      </c>
      <c r="AD211" s="13">
        <f t="shared" si="42"/>
        <v>35</v>
      </c>
      <c r="AE211" s="13">
        <f t="shared" si="42"/>
        <v>14</v>
      </c>
      <c r="AF211" s="13">
        <f t="shared" si="42"/>
        <v>890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1.0</v>
      </c>
      <c r="G213" s="73">
        <v>1.0</v>
      </c>
      <c r="H213" s="73">
        <v>0.0</v>
      </c>
      <c r="I213" s="73">
        <v>1.0</v>
      </c>
      <c r="J213" s="73">
        <v>1.0</v>
      </c>
      <c r="K213" s="73">
        <v>3.0</v>
      </c>
      <c r="L213" s="73">
        <v>2.0</v>
      </c>
      <c r="M213" s="73">
        <v>1.0</v>
      </c>
      <c r="N213" s="73">
        <v>2.0</v>
      </c>
      <c r="O213" s="73">
        <v>0.0</v>
      </c>
      <c r="P213" s="73">
        <v>0.0</v>
      </c>
      <c r="Q213" s="73">
        <v>1.0</v>
      </c>
      <c r="R213" s="73">
        <v>0.0</v>
      </c>
      <c r="S213" s="73">
        <v>2.0</v>
      </c>
      <c r="T213" s="73">
        <v>0.0</v>
      </c>
      <c r="U213" s="73">
        <v>1.0</v>
      </c>
      <c r="V213" s="73">
        <v>0.0</v>
      </c>
      <c r="W213" s="73">
        <v>1.0</v>
      </c>
      <c r="X213" s="73">
        <v>2.0</v>
      </c>
      <c r="Y213" s="73">
        <v>0.0</v>
      </c>
      <c r="Z213" s="73">
        <v>1.0</v>
      </c>
      <c r="AA213" s="73">
        <v>3.0</v>
      </c>
      <c r="AB213" s="73">
        <v>1.0</v>
      </c>
      <c r="AC213" s="73">
        <v>0.0</v>
      </c>
      <c r="AD213" s="73">
        <v>0.0</v>
      </c>
      <c r="AE213" s="73">
        <v>1.0</v>
      </c>
      <c r="AF213" s="13">
        <f t="shared" ref="AF213:AF222" si="43">SUM(E213:AE213)</f>
        <v>26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1.0</v>
      </c>
      <c r="F214" s="73">
        <v>2.0</v>
      </c>
      <c r="G214" s="73">
        <v>0.0</v>
      </c>
      <c r="H214" s="73">
        <v>0.0</v>
      </c>
      <c r="I214" s="73">
        <v>0.0</v>
      </c>
      <c r="J214" s="73">
        <v>2.0</v>
      </c>
      <c r="K214" s="73">
        <v>0.0</v>
      </c>
      <c r="L214" s="73">
        <v>2.0</v>
      </c>
      <c r="M214" s="73">
        <v>1.0</v>
      </c>
      <c r="N214" s="73">
        <v>0.0</v>
      </c>
      <c r="O214" s="73">
        <v>0.0</v>
      </c>
      <c r="P214" s="73">
        <v>1.0</v>
      </c>
      <c r="Q214" s="73">
        <v>1.0</v>
      </c>
      <c r="R214" s="73">
        <v>1.0</v>
      </c>
      <c r="S214" s="73">
        <v>0.0</v>
      </c>
      <c r="T214" s="73">
        <v>1.0</v>
      </c>
      <c r="U214" s="73">
        <v>1.0</v>
      </c>
      <c r="V214" s="73">
        <v>0.0</v>
      </c>
      <c r="W214" s="73">
        <v>0.0</v>
      </c>
      <c r="X214" s="73">
        <v>0.0</v>
      </c>
      <c r="Y214" s="73">
        <v>0.0</v>
      </c>
      <c r="Z214" s="73">
        <v>1.0</v>
      </c>
      <c r="AA214" s="73">
        <v>0.0</v>
      </c>
      <c r="AB214" s="73">
        <v>0.0</v>
      </c>
      <c r="AC214" s="73">
        <v>0.0</v>
      </c>
      <c r="AD214" s="73">
        <v>0.0</v>
      </c>
      <c r="AE214" s="73">
        <v>0.0</v>
      </c>
      <c r="AF214" s="13">
        <f t="shared" si="43"/>
        <v>14</v>
      </c>
    </row>
    <row r="215" ht="12.75" customHeight="1">
      <c r="A215" s="18"/>
      <c r="B215" s="49"/>
      <c r="C215" s="50" t="s">
        <v>166</v>
      </c>
      <c r="D215" s="51"/>
      <c r="E215" s="73">
        <v>2.0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1.0</v>
      </c>
      <c r="L215" s="73">
        <v>0.0</v>
      </c>
      <c r="M215" s="73">
        <v>0.0</v>
      </c>
      <c r="N215" s="73">
        <v>3.0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1.0</v>
      </c>
      <c r="U215" s="73">
        <v>0.0</v>
      </c>
      <c r="V215" s="73">
        <v>0.0</v>
      </c>
      <c r="W215" s="73">
        <v>0.0</v>
      </c>
      <c r="X215" s="73">
        <v>1.0</v>
      </c>
      <c r="Y215" s="73">
        <v>1.0</v>
      </c>
      <c r="Z215" s="73">
        <v>1.0</v>
      </c>
      <c r="AA215" s="73">
        <v>2.0</v>
      </c>
      <c r="AB215" s="73">
        <v>1.0</v>
      </c>
      <c r="AC215" s="73">
        <v>0.0</v>
      </c>
      <c r="AD215" s="73">
        <v>0.0</v>
      </c>
      <c r="AE215" s="73">
        <v>1.0</v>
      </c>
      <c r="AF215" s="13">
        <f t="shared" si="43"/>
        <v>14</v>
      </c>
    </row>
    <row r="216" ht="12.75" customHeight="1">
      <c r="A216" s="18"/>
      <c r="B216" s="49"/>
      <c r="C216" s="50" t="s">
        <v>167</v>
      </c>
      <c r="D216" s="51"/>
      <c r="E216" s="73">
        <v>1.0</v>
      </c>
      <c r="F216" s="73">
        <v>0.0</v>
      </c>
      <c r="G216" s="73">
        <v>0.0</v>
      </c>
      <c r="H216" s="73">
        <v>0.0</v>
      </c>
      <c r="I216" s="73">
        <v>1.0</v>
      </c>
      <c r="J216" s="73">
        <v>0.0</v>
      </c>
      <c r="K216" s="73">
        <v>1.0</v>
      </c>
      <c r="L216" s="73">
        <v>0.0</v>
      </c>
      <c r="M216" s="73">
        <v>0.0</v>
      </c>
      <c r="N216" s="73">
        <v>1.0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1.0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1.0</v>
      </c>
      <c r="AB216" s="73">
        <v>0.0</v>
      </c>
      <c r="AC216" s="73">
        <v>0.0</v>
      </c>
      <c r="AD216" s="73">
        <v>0.0</v>
      </c>
      <c r="AE216" s="73">
        <v>0.0</v>
      </c>
      <c r="AF216" s="13">
        <f t="shared" si="43"/>
        <v>6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3">
        <f t="shared" si="43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3">
        <f t="shared" si="43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3">
        <f t="shared" si="43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3">
        <f t="shared" si="43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3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3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F223" si="44">SUM(E213:E222)</f>
        <v>5</v>
      </c>
      <c r="F223" s="13">
        <f t="shared" si="44"/>
        <v>3</v>
      </c>
      <c r="G223" s="13">
        <f t="shared" si="44"/>
        <v>1</v>
      </c>
      <c r="H223" s="13">
        <f t="shared" si="44"/>
        <v>0</v>
      </c>
      <c r="I223" s="13">
        <f t="shared" si="44"/>
        <v>2</v>
      </c>
      <c r="J223" s="13">
        <f t="shared" si="44"/>
        <v>3</v>
      </c>
      <c r="K223" s="13">
        <f t="shared" si="44"/>
        <v>5</v>
      </c>
      <c r="L223" s="13">
        <f t="shared" si="44"/>
        <v>4</v>
      </c>
      <c r="M223" s="13">
        <f t="shared" si="44"/>
        <v>2</v>
      </c>
      <c r="N223" s="13">
        <f t="shared" si="44"/>
        <v>6</v>
      </c>
      <c r="O223" s="13">
        <f t="shared" si="44"/>
        <v>0</v>
      </c>
      <c r="P223" s="13">
        <f t="shared" si="44"/>
        <v>1</v>
      </c>
      <c r="Q223" s="13">
        <f t="shared" si="44"/>
        <v>2</v>
      </c>
      <c r="R223" s="13">
        <f t="shared" si="44"/>
        <v>1</v>
      </c>
      <c r="S223" s="13">
        <f t="shared" si="44"/>
        <v>2</v>
      </c>
      <c r="T223" s="13">
        <f t="shared" si="44"/>
        <v>3</v>
      </c>
      <c r="U223" s="13">
        <f t="shared" si="44"/>
        <v>2</v>
      </c>
      <c r="V223" s="13">
        <f t="shared" si="44"/>
        <v>0</v>
      </c>
      <c r="W223" s="13">
        <f t="shared" si="44"/>
        <v>1</v>
      </c>
      <c r="X223" s="13">
        <f t="shared" si="44"/>
        <v>3</v>
      </c>
      <c r="Y223" s="13">
        <f t="shared" si="44"/>
        <v>1</v>
      </c>
      <c r="Z223" s="13">
        <f t="shared" si="44"/>
        <v>3</v>
      </c>
      <c r="AA223" s="13">
        <f t="shared" si="44"/>
        <v>6</v>
      </c>
      <c r="AB223" s="13">
        <f t="shared" si="44"/>
        <v>2</v>
      </c>
      <c r="AC223" s="13">
        <f t="shared" si="44"/>
        <v>0</v>
      </c>
      <c r="AD223" s="13">
        <f t="shared" si="44"/>
        <v>0</v>
      </c>
      <c r="AE223" s="13">
        <f t="shared" si="44"/>
        <v>2</v>
      </c>
      <c r="AF223" s="13">
        <f t="shared" si="44"/>
        <v>60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1.0</v>
      </c>
      <c r="G225" s="73">
        <v>2.0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1.0</v>
      </c>
      <c r="Z225" s="73">
        <v>0.0</v>
      </c>
      <c r="AA225" s="73">
        <v>0.0</v>
      </c>
      <c r="AB225" s="73">
        <v>1.0</v>
      </c>
      <c r="AC225" s="73">
        <v>0.0</v>
      </c>
      <c r="AD225" s="73">
        <v>0.0</v>
      </c>
      <c r="AE225" s="73">
        <v>0.0</v>
      </c>
      <c r="AF225" s="13">
        <f t="shared" ref="AF225:AF234" si="45">SUM(E225:AE225)</f>
        <v>7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1.0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1.0</v>
      </c>
      <c r="O226" s="73">
        <v>0.0</v>
      </c>
      <c r="P226" s="73">
        <v>1.0</v>
      </c>
      <c r="Q226" s="73">
        <v>2.0</v>
      </c>
      <c r="R226" s="73">
        <v>0.0</v>
      </c>
      <c r="S226" s="73">
        <v>0.0</v>
      </c>
      <c r="T226" s="73">
        <v>0.0</v>
      </c>
      <c r="U226" s="73">
        <v>0.0</v>
      </c>
      <c r="V226" s="73">
        <v>2.0</v>
      </c>
      <c r="W226" s="73">
        <v>1.0</v>
      </c>
      <c r="X226" s="73">
        <v>0.0</v>
      </c>
      <c r="Y226" s="73">
        <v>1.0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1.0</v>
      </c>
      <c r="AF226" s="13">
        <f t="shared" si="45"/>
        <v>10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13">
        <f t="shared" si="45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13">
        <f t="shared" si="45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1.0</v>
      </c>
      <c r="AF229" s="13">
        <f t="shared" si="45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3">
        <f t="shared" si="45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3">
        <f t="shared" si="45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3">
        <f t="shared" si="45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5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5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F235" si="46">SUM(E225:E234)</f>
        <v>1</v>
      </c>
      <c r="F235" s="13">
        <f t="shared" si="46"/>
        <v>1</v>
      </c>
      <c r="G235" s="13">
        <f t="shared" si="46"/>
        <v>3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1</v>
      </c>
      <c r="Q235" s="13">
        <f t="shared" si="46"/>
        <v>2</v>
      </c>
      <c r="R235" s="13">
        <f t="shared" si="46"/>
        <v>1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2</v>
      </c>
      <c r="W235" s="13">
        <f t="shared" si="46"/>
        <v>1</v>
      </c>
      <c r="X235" s="13">
        <f t="shared" si="46"/>
        <v>0</v>
      </c>
      <c r="Y235" s="13">
        <f t="shared" si="46"/>
        <v>2</v>
      </c>
      <c r="Z235" s="13">
        <f t="shared" si="46"/>
        <v>0</v>
      </c>
      <c r="AA235" s="13">
        <f t="shared" si="46"/>
        <v>0</v>
      </c>
      <c r="AB235" s="13">
        <f t="shared" si="46"/>
        <v>1</v>
      </c>
      <c r="AC235" s="13">
        <f t="shared" si="46"/>
        <v>0</v>
      </c>
      <c r="AD235" s="13">
        <f t="shared" si="46"/>
        <v>0</v>
      </c>
      <c r="AE235" s="13">
        <f t="shared" si="46"/>
        <v>2</v>
      </c>
      <c r="AF235" s="13">
        <f t="shared" si="46"/>
        <v>18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1.0</v>
      </c>
      <c r="G237" s="73">
        <v>1.0</v>
      </c>
      <c r="H237" s="73">
        <v>2.0</v>
      </c>
      <c r="I237" s="73">
        <v>2.0</v>
      </c>
      <c r="J237" s="73">
        <v>1.0</v>
      </c>
      <c r="K237" s="73">
        <v>4.0</v>
      </c>
      <c r="L237" s="73">
        <v>0.0</v>
      </c>
      <c r="M237" s="73">
        <v>2.0</v>
      </c>
      <c r="N237" s="73">
        <v>0.0</v>
      </c>
      <c r="O237" s="73">
        <v>1.0</v>
      </c>
      <c r="P237" s="73">
        <v>2.0</v>
      </c>
      <c r="Q237" s="73">
        <v>0.0</v>
      </c>
      <c r="R237" s="73">
        <v>3.0</v>
      </c>
      <c r="S237" s="73">
        <v>2.0</v>
      </c>
      <c r="T237" s="73">
        <v>6.0</v>
      </c>
      <c r="U237" s="73">
        <v>5.0</v>
      </c>
      <c r="V237" s="73">
        <v>8.0</v>
      </c>
      <c r="W237" s="73">
        <v>2.0</v>
      </c>
      <c r="X237" s="73">
        <v>11.0</v>
      </c>
      <c r="Y237" s="73">
        <v>1.0</v>
      </c>
      <c r="Z237" s="73">
        <v>2.0</v>
      </c>
      <c r="AA237" s="73">
        <v>3.0</v>
      </c>
      <c r="AB237" s="73">
        <v>1.0</v>
      </c>
      <c r="AC237" s="73">
        <v>3.0</v>
      </c>
      <c r="AD237" s="73">
        <v>1.0</v>
      </c>
      <c r="AE237" s="73">
        <v>1.0</v>
      </c>
      <c r="AF237" s="13">
        <f t="shared" ref="AF237:AF246" si="47">SUM(E237:AE237)</f>
        <v>65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0.0</v>
      </c>
      <c r="G238" s="73">
        <v>2.0</v>
      </c>
      <c r="H238" s="73">
        <v>0.0</v>
      </c>
      <c r="I238" s="73">
        <v>1.0</v>
      </c>
      <c r="J238" s="73">
        <v>0.0</v>
      </c>
      <c r="K238" s="73">
        <v>3.0</v>
      </c>
      <c r="L238" s="73">
        <v>2.0</v>
      </c>
      <c r="M238" s="73">
        <v>0.0</v>
      </c>
      <c r="N238" s="73">
        <v>0.0</v>
      </c>
      <c r="O238" s="73">
        <v>1.0</v>
      </c>
      <c r="P238" s="73">
        <v>1.0</v>
      </c>
      <c r="Q238" s="73">
        <v>1.0</v>
      </c>
      <c r="R238" s="73">
        <v>0.0</v>
      </c>
      <c r="S238" s="73">
        <v>0.0</v>
      </c>
      <c r="T238" s="73">
        <v>5.0</v>
      </c>
      <c r="U238" s="73">
        <v>0.0</v>
      </c>
      <c r="V238" s="73">
        <v>0.0</v>
      </c>
      <c r="W238" s="73">
        <v>1.0</v>
      </c>
      <c r="X238" s="73">
        <v>1.0</v>
      </c>
      <c r="Y238" s="73">
        <v>1.0</v>
      </c>
      <c r="Z238" s="73">
        <v>1.0</v>
      </c>
      <c r="AA238" s="73">
        <v>2.0</v>
      </c>
      <c r="AB238" s="73">
        <v>0.0</v>
      </c>
      <c r="AC238" s="73">
        <v>1.0</v>
      </c>
      <c r="AD238" s="73">
        <v>1.0</v>
      </c>
      <c r="AE238" s="73">
        <v>1.0</v>
      </c>
      <c r="AF238" s="13">
        <f t="shared" si="47"/>
        <v>25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3.0</v>
      </c>
      <c r="G239" s="73">
        <v>1.0</v>
      </c>
      <c r="H239" s="73">
        <v>4.0</v>
      </c>
      <c r="I239" s="73">
        <v>0.0</v>
      </c>
      <c r="J239" s="73">
        <v>0.0</v>
      </c>
      <c r="K239" s="73">
        <v>10.0</v>
      </c>
      <c r="L239" s="73">
        <v>1.0</v>
      </c>
      <c r="M239" s="73">
        <v>6.0</v>
      </c>
      <c r="N239" s="73">
        <v>1.0</v>
      </c>
      <c r="O239" s="73">
        <v>0.0</v>
      </c>
      <c r="P239" s="73">
        <v>4.0</v>
      </c>
      <c r="Q239" s="73">
        <v>1.0</v>
      </c>
      <c r="R239" s="73">
        <v>1.0</v>
      </c>
      <c r="S239" s="73">
        <v>0.0</v>
      </c>
      <c r="T239" s="73">
        <v>4.0</v>
      </c>
      <c r="U239" s="73">
        <v>4.0</v>
      </c>
      <c r="V239" s="73">
        <v>3.0</v>
      </c>
      <c r="W239" s="73">
        <v>5.0</v>
      </c>
      <c r="X239" s="73">
        <v>8.0</v>
      </c>
      <c r="Y239" s="73">
        <v>1.0</v>
      </c>
      <c r="Z239" s="73">
        <v>2.0</v>
      </c>
      <c r="AA239" s="73">
        <v>4.0</v>
      </c>
      <c r="AB239" s="73">
        <v>2.0</v>
      </c>
      <c r="AC239" s="73">
        <v>4.0</v>
      </c>
      <c r="AD239" s="73">
        <v>0.0</v>
      </c>
      <c r="AE239" s="73">
        <v>1.0</v>
      </c>
      <c r="AF239" s="13">
        <f t="shared" si="47"/>
        <v>70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1.0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1.0</v>
      </c>
      <c r="U240" s="73">
        <v>1.0</v>
      </c>
      <c r="V240" s="73">
        <v>0.0</v>
      </c>
      <c r="W240" s="73">
        <v>1.0</v>
      </c>
      <c r="X240" s="73">
        <v>0.0</v>
      </c>
      <c r="Y240" s="73">
        <v>1.0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13">
        <f t="shared" si="47"/>
        <v>6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2.0</v>
      </c>
      <c r="U241" s="73">
        <v>0.0</v>
      </c>
      <c r="V241" s="73">
        <v>0.0</v>
      </c>
      <c r="W241" s="73">
        <v>1.0</v>
      </c>
      <c r="X241" s="73">
        <v>0.0</v>
      </c>
      <c r="Y241" s="73">
        <v>1.0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1.0</v>
      </c>
      <c r="AE241" s="73">
        <v>1.0</v>
      </c>
      <c r="AF241" s="13">
        <f t="shared" si="47"/>
        <v>8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1.0</v>
      </c>
      <c r="G242" s="73">
        <v>0.0</v>
      </c>
      <c r="H242" s="73">
        <v>0.0</v>
      </c>
      <c r="I242" s="73">
        <v>0.0</v>
      </c>
      <c r="J242" s="73">
        <v>0.0</v>
      </c>
      <c r="K242" s="73">
        <v>2.0</v>
      </c>
      <c r="L242" s="73">
        <v>1.0</v>
      </c>
      <c r="M242" s="73">
        <v>0.0</v>
      </c>
      <c r="N242" s="73">
        <v>0.0</v>
      </c>
      <c r="O242" s="73">
        <v>0.0</v>
      </c>
      <c r="P242" s="73">
        <v>1.0</v>
      </c>
      <c r="Q242" s="73">
        <v>0.0</v>
      </c>
      <c r="R242" s="73">
        <v>3.0</v>
      </c>
      <c r="S242" s="73">
        <v>1.0</v>
      </c>
      <c r="T242" s="73">
        <v>4.0</v>
      </c>
      <c r="U242" s="73">
        <v>1.0</v>
      </c>
      <c r="V242" s="73">
        <v>4.0</v>
      </c>
      <c r="W242" s="73">
        <v>1.0</v>
      </c>
      <c r="X242" s="73">
        <v>2.0</v>
      </c>
      <c r="Y242" s="73">
        <v>1.0</v>
      </c>
      <c r="Z242" s="73">
        <v>1.0</v>
      </c>
      <c r="AA242" s="73">
        <v>1.0</v>
      </c>
      <c r="AB242" s="73">
        <v>0.0</v>
      </c>
      <c r="AC242" s="73">
        <v>0.0</v>
      </c>
      <c r="AD242" s="73">
        <v>0.0</v>
      </c>
      <c r="AE242" s="73">
        <v>1.0</v>
      </c>
      <c r="AF242" s="13">
        <f t="shared" si="47"/>
        <v>25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1.0</v>
      </c>
      <c r="G243" s="73">
        <v>0.0</v>
      </c>
      <c r="H243" s="73">
        <v>0.0</v>
      </c>
      <c r="I243" s="73">
        <v>1.0</v>
      </c>
      <c r="J243" s="73">
        <v>0.0</v>
      </c>
      <c r="K243" s="73">
        <v>1.0</v>
      </c>
      <c r="L243" s="73">
        <v>0.0</v>
      </c>
      <c r="M243" s="73">
        <v>1.0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1.0</v>
      </c>
      <c r="U243" s="73">
        <v>1.0</v>
      </c>
      <c r="V243" s="73">
        <v>1.0</v>
      </c>
      <c r="W243" s="73">
        <v>0.0</v>
      </c>
      <c r="X243" s="73">
        <v>9.0</v>
      </c>
      <c r="Y243" s="73">
        <v>1.0</v>
      </c>
      <c r="Z243" s="73">
        <v>2.0</v>
      </c>
      <c r="AA243" s="73">
        <v>0.0</v>
      </c>
      <c r="AB243" s="73">
        <v>0.0</v>
      </c>
      <c r="AC243" s="73">
        <v>2.0</v>
      </c>
      <c r="AD243" s="73">
        <v>1.0</v>
      </c>
      <c r="AE243" s="73">
        <v>0.0</v>
      </c>
      <c r="AF243" s="13">
        <f t="shared" si="47"/>
        <v>22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2.0</v>
      </c>
      <c r="M244" s="73">
        <v>0.0</v>
      </c>
      <c r="N244" s="73">
        <v>0.0</v>
      </c>
      <c r="O244" s="73">
        <v>0.0</v>
      </c>
      <c r="P244" s="73">
        <v>1.0</v>
      </c>
      <c r="Q244" s="73">
        <v>0.0</v>
      </c>
      <c r="R244" s="73">
        <v>1.0</v>
      </c>
      <c r="S244" s="73">
        <v>1.0</v>
      </c>
      <c r="T244" s="73">
        <v>2.0</v>
      </c>
      <c r="U244" s="73">
        <v>2.0</v>
      </c>
      <c r="V244" s="73">
        <v>2.0</v>
      </c>
      <c r="W244" s="73">
        <v>0.0</v>
      </c>
      <c r="X244" s="73">
        <v>2.0</v>
      </c>
      <c r="Y244" s="73">
        <v>2.0</v>
      </c>
      <c r="Z244" s="73">
        <v>2.0</v>
      </c>
      <c r="AA244" s="73">
        <v>0.0</v>
      </c>
      <c r="AB244" s="73">
        <v>1.0</v>
      </c>
      <c r="AC244" s="73">
        <v>2.0</v>
      </c>
      <c r="AD244" s="73">
        <v>1.0</v>
      </c>
      <c r="AE244" s="73">
        <v>1.0</v>
      </c>
      <c r="AF244" s="13">
        <f t="shared" si="47"/>
        <v>22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1.0</v>
      </c>
      <c r="T245" s="73">
        <v>0.0</v>
      </c>
      <c r="U245" s="73">
        <v>0.0</v>
      </c>
      <c r="V245" s="73">
        <v>1.0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13">
        <f t="shared" si="47"/>
        <v>2</v>
      </c>
    </row>
    <row r="246" ht="12.75" customHeight="1">
      <c r="A246" s="18"/>
      <c r="B246" s="49"/>
      <c r="C246" s="50" t="s">
        <v>184</v>
      </c>
      <c r="D246" s="51"/>
      <c r="E246" s="73">
        <v>1.0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2.0</v>
      </c>
      <c r="S246" s="73">
        <v>0.0</v>
      </c>
      <c r="T246" s="73">
        <v>5.0</v>
      </c>
      <c r="U246" s="73">
        <v>1.0</v>
      </c>
      <c r="V246" s="73">
        <v>0.0</v>
      </c>
      <c r="W246" s="73">
        <v>2.0</v>
      </c>
      <c r="X246" s="73">
        <v>4.0</v>
      </c>
      <c r="Y246" s="73">
        <v>0.0</v>
      </c>
      <c r="Z246" s="73">
        <v>2.0</v>
      </c>
      <c r="AA246" s="73">
        <v>1.0</v>
      </c>
      <c r="AB246" s="73">
        <v>0.0</v>
      </c>
      <c r="AC246" s="73">
        <v>0.0</v>
      </c>
      <c r="AD246" s="73">
        <v>0.0</v>
      </c>
      <c r="AE246" s="73">
        <v>1.0</v>
      </c>
      <c r="AF246" s="13">
        <f t="shared" si="47"/>
        <v>19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F247" si="48">SUM(E237:E246)</f>
        <v>1</v>
      </c>
      <c r="F247" s="13">
        <f t="shared" si="48"/>
        <v>6</v>
      </c>
      <c r="G247" s="13">
        <f t="shared" si="48"/>
        <v>4</v>
      </c>
      <c r="H247" s="13">
        <f t="shared" si="48"/>
        <v>6</v>
      </c>
      <c r="I247" s="13">
        <f t="shared" si="48"/>
        <v>4</v>
      </c>
      <c r="J247" s="13">
        <f t="shared" si="48"/>
        <v>3</v>
      </c>
      <c r="K247" s="13">
        <f t="shared" si="48"/>
        <v>22</v>
      </c>
      <c r="L247" s="13">
        <f t="shared" si="48"/>
        <v>6</v>
      </c>
      <c r="M247" s="13">
        <f t="shared" si="48"/>
        <v>9</v>
      </c>
      <c r="N247" s="13">
        <f t="shared" si="48"/>
        <v>1</v>
      </c>
      <c r="O247" s="13">
        <f t="shared" si="48"/>
        <v>2</v>
      </c>
      <c r="P247" s="13">
        <f t="shared" si="48"/>
        <v>9</v>
      </c>
      <c r="Q247" s="13">
        <f t="shared" si="48"/>
        <v>2</v>
      </c>
      <c r="R247" s="13">
        <f t="shared" si="48"/>
        <v>10</v>
      </c>
      <c r="S247" s="13">
        <f t="shared" si="48"/>
        <v>5</v>
      </c>
      <c r="T247" s="13">
        <f t="shared" si="48"/>
        <v>30</v>
      </c>
      <c r="U247" s="13">
        <f t="shared" si="48"/>
        <v>15</v>
      </c>
      <c r="V247" s="13">
        <f t="shared" si="48"/>
        <v>19</v>
      </c>
      <c r="W247" s="13">
        <f t="shared" si="48"/>
        <v>13</v>
      </c>
      <c r="X247" s="13">
        <f t="shared" si="48"/>
        <v>37</v>
      </c>
      <c r="Y247" s="13">
        <f t="shared" si="48"/>
        <v>9</v>
      </c>
      <c r="Z247" s="13">
        <f t="shared" si="48"/>
        <v>12</v>
      </c>
      <c r="AA247" s="13">
        <f t="shared" si="48"/>
        <v>11</v>
      </c>
      <c r="AB247" s="13">
        <f t="shared" si="48"/>
        <v>4</v>
      </c>
      <c r="AC247" s="13">
        <f t="shared" si="48"/>
        <v>12</v>
      </c>
      <c r="AD247" s="13">
        <f t="shared" si="48"/>
        <v>5</v>
      </c>
      <c r="AE247" s="13">
        <f t="shared" si="48"/>
        <v>7</v>
      </c>
      <c r="AF247" s="13">
        <f t="shared" si="48"/>
        <v>264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0.0</v>
      </c>
      <c r="T249" s="73">
        <v>0.0</v>
      </c>
      <c r="U249" s="73">
        <v>1.0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1.0</v>
      </c>
      <c r="AF249" s="13">
        <f t="shared" ref="AF249:AF258" si="49">SUM(E249:AE249)</f>
        <v>3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1.0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3.0</v>
      </c>
      <c r="AC250" s="73">
        <v>4.0</v>
      </c>
      <c r="AD250" s="73">
        <v>0.0</v>
      </c>
      <c r="AE250" s="73">
        <v>1.0</v>
      </c>
      <c r="AF250" s="13">
        <f t="shared" si="49"/>
        <v>9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1.0</v>
      </c>
      <c r="AD251" s="73">
        <v>0.0</v>
      </c>
      <c r="AE251" s="73">
        <v>0.0</v>
      </c>
      <c r="AF251" s="13">
        <f t="shared" si="49"/>
        <v>1</v>
      </c>
    </row>
    <row r="252" ht="12.75" customHeight="1">
      <c r="A252" s="18"/>
      <c r="B252" s="49"/>
      <c r="C252" s="50" t="s">
        <v>189</v>
      </c>
      <c r="D252" s="51"/>
      <c r="E252" s="73">
        <v>1.0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13">
        <f t="shared" si="49"/>
        <v>1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F259" si="50">SUM(E249:E258)</f>
        <v>1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1</v>
      </c>
      <c r="S259" s="13">
        <f t="shared" si="50"/>
        <v>0</v>
      </c>
      <c r="T259" s="13">
        <f t="shared" si="50"/>
        <v>0</v>
      </c>
      <c r="U259" s="13">
        <f t="shared" si="50"/>
        <v>1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3</v>
      </c>
      <c r="AC259" s="13">
        <f t="shared" si="50"/>
        <v>5</v>
      </c>
      <c r="AD259" s="13">
        <f t="shared" si="50"/>
        <v>0</v>
      </c>
      <c r="AE259" s="13">
        <f t="shared" si="50"/>
        <v>2</v>
      </c>
      <c r="AF259" s="13">
        <f t="shared" si="50"/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E262" si="51">E55+E67+E79+E91+E103+E115+E127+E139+E151+E163+E175+E187+E199+E211+E223+E235+E247+E259</f>
        <v>155</v>
      </c>
      <c r="F262" s="19">
        <f t="shared" si="51"/>
        <v>164</v>
      </c>
      <c r="G262" s="19">
        <f t="shared" si="51"/>
        <v>195</v>
      </c>
      <c r="H262" s="19">
        <f t="shared" si="51"/>
        <v>191</v>
      </c>
      <c r="I262" s="19">
        <f t="shared" si="51"/>
        <v>181</v>
      </c>
      <c r="J262" s="19">
        <f t="shared" si="51"/>
        <v>193</v>
      </c>
      <c r="K262" s="19">
        <f t="shared" si="51"/>
        <v>200</v>
      </c>
      <c r="L262" s="19">
        <f t="shared" si="51"/>
        <v>188</v>
      </c>
      <c r="M262" s="19">
        <f t="shared" si="51"/>
        <v>151</v>
      </c>
      <c r="N262" s="19">
        <f t="shared" si="51"/>
        <v>179</v>
      </c>
      <c r="O262" s="19">
        <f t="shared" si="51"/>
        <v>202</v>
      </c>
      <c r="P262" s="19">
        <f t="shared" si="51"/>
        <v>197</v>
      </c>
      <c r="Q262" s="19">
        <f t="shared" si="51"/>
        <v>185</v>
      </c>
      <c r="R262" s="19">
        <f t="shared" si="51"/>
        <v>217</v>
      </c>
      <c r="S262" s="19">
        <f t="shared" si="51"/>
        <v>205</v>
      </c>
      <c r="T262" s="19">
        <f t="shared" si="51"/>
        <v>191</v>
      </c>
      <c r="U262" s="19">
        <f t="shared" si="51"/>
        <v>199</v>
      </c>
      <c r="V262" s="19">
        <f t="shared" si="51"/>
        <v>194</v>
      </c>
      <c r="W262" s="19">
        <f t="shared" si="51"/>
        <v>141</v>
      </c>
      <c r="X262" s="19">
        <f t="shared" si="51"/>
        <v>183</v>
      </c>
      <c r="Y262" s="19">
        <f t="shared" si="51"/>
        <v>195</v>
      </c>
      <c r="Z262" s="19">
        <f t="shared" si="51"/>
        <v>203</v>
      </c>
      <c r="AA262" s="19">
        <f t="shared" si="51"/>
        <v>193</v>
      </c>
      <c r="AB262" s="19">
        <f t="shared" si="51"/>
        <v>198</v>
      </c>
      <c r="AC262" s="19">
        <f t="shared" si="51"/>
        <v>199</v>
      </c>
      <c r="AD262" s="19">
        <f t="shared" si="51"/>
        <v>125</v>
      </c>
      <c r="AE262" s="19">
        <f t="shared" si="51"/>
        <v>144</v>
      </c>
      <c r="AF262" s="13">
        <f t="shared" ref="AF262:AF264" si="52">SUM(E262:AE262)</f>
        <v>4968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21.0</v>
      </c>
      <c r="F263" s="73">
        <v>28.0</v>
      </c>
      <c r="G263" s="73">
        <v>20.0</v>
      </c>
      <c r="H263" s="73">
        <v>26.0</v>
      </c>
      <c r="I263" s="73">
        <v>10.0</v>
      </c>
      <c r="J263" s="73">
        <v>12.0</v>
      </c>
      <c r="K263" s="73">
        <v>13.0</v>
      </c>
      <c r="L263" s="73">
        <v>18.0</v>
      </c>
      <c r="M263" s="73">
        <v>7.0</v>
      </c>
      <c r="N263" s="73">
        <v>21.0</v>
      </c>
      <c r="O263" s="73">
        <v>22.0</v>
      </c>
      <c r="P263" s="73">
        <v>19.0</v>
      </c>
      <c r="Q263" s="73">
        <v>6.0</v>
      </c>
      <c r="R263" s="73">
        <v>15.0</v>
      </c>
      <c r="S263" s="73">
        <v>20.0</v>
      </c>
      <c r="T263" s="73">
        <v>22.0</v>
      </c>
      <c r="U263" s="73">
        <v>44.0</v>
      </c>
      <c r="V263" s="73">
        <v>24.0</v>
      </c>
      <c r="W263" s="73">
        <v>9.0</v>
      </c>
      <c r="X263" s="73">
        <v>22.0</v>
      </c>
      <c r="Y263" s="73">
        <v>17.0</v>
      </c>
      <c r="Z263" s="73">
        <v>22.0</v>
      </c>
      <c r="AA263" s="73">
        <v>24.0</v>
      </c>
      <c r="AB263" s="73">
        <v>31.0</v>
      </c>
      <c r="AC263" s="73">
        <v>19.0</v>
      </c>
      <c r="AD263" s="73">
        <v>12.0</v>
      </c>
      <c r="AE263" s="73">
        <v>29.0</v>
      </c>
      <c r="AF263" s="13">
        <f t="shared" si="52"/>
        <v>533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E264" si="53">SUM(E262:E263)</f>
        <v>176</v>
      </c>
      <c r="F264" s="13">
        <f t="shared" si="53"/>
        <v>192</v>
      </c>
      <c r="G264" s="13">
        <f t="shared" si="53"/>
        <v>215</v>
      </c>
      <c r="H264" s="13">
        <f t="shared" si="53"/>
        <v>217</v>
      </c>
      <c r="I264" s="13">
        <f t="shared" si="53"/>
        <v>191</v>
      </c>
      <c r="J264" s="13">
        <f t="shared" si="53"/>
        <v>205</v>
      </c>
      <c r="K264" s="13">
        <f t="shared" si="53"/>
        <v>213</v>
      </c>
      <c r="L264" s="13">
        <f t="shared" si="53"/>
        <v>206</v>
      </c>
      <c r="M264" s="13">
        <f t="shared" si="53"/>
        <v>158</v>
      </c>
      <c r="N264" s="13">
        <f t="shared" si="53"/>
        <v>200</v>
      </c>
      <c r="O264" s="13">
        <f t="shared" si="53"/>
        <v>224</v>
      </c>
      <c r="P264" s="13">
        <f t="shared" si="53"/>
        <v>216</v>
      </c>
      <c r="Q264" s="13">
        <f t="shared" si="53"/>
        <v>191</v>
      </c>
      <c r="R264" s="13">
        <f t="shared" si="53"/>
        <v>232</v>
      </c>
      <c r="S264" s="13">
        <f t="shared" si="53"/>
        <v>225</v>
      </c>
      <c r="T264" s="13">
        <f t="shared" si="53"/>
        <v>213</v>
      </c>
      <c r="U264" s="13">
        <f t="shared" si="53"/>
        <v>243</v>
      </c>
      <c r="V264" s="13">
        <f t="shared" si="53"/>
        <v>218</v>
      </c>
      <c r="W264" s="13">
        <f t="shared" si="53"/>
        <v>150</v>
      </c>
      <c r="X264" s="13">
        <f t="shared" si="53"/>
        <v>205</v>
      </c>
      <c r="Y264" s="13">
        <f t="shared" si="53"/>
        <v>212</v>
      </c>
      <c r="Z264" s="13">
        <f t="shared" si="53"/>
        <v>225</v>
      </c>
      <c r="AA264" s="13">
        <f t="shared" si="53"/>
        <v>217</v>
      </c>
      <c r="AB264" s="13">
        <f t="shared" si="53"/>
        <v>229</v>
      </c>
      <c r="AC264" s="13">
        <f t="shared" si="53"/>
        <v>218</v>
      </c>
      <c r="AD264" s="13">
        <f t="shared" si="53"/>
        <v>137</v>
      </c>
      <c r="AE264" s="13">
        <f t="shared" si="53"/>
        <v>173</v>
      </c>
      <c r="AF264" s="13">
        <f t="shared" si="52"/>
        <v>5501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45:AE54">
    <cfRule type="containsBlanks" dxfId="1" priority="9">
      <formula>LEN(TRIM(E45))=0</formula>
    </cfRule>
  </conditionalFormatting>
  <conditionalFormatting sqref="E57:AE66">
    <cfRule type="containsBlanks" dxfId="1" priority="10">
      <formula>LEN(TRIM(E57))=0</formula>
    </cfRule>
  </conditionalFormatting>
  <conditionalFormatting sqref="E69:AE78">
    <cfRule type="containsBlanks" dxfId="1" priority="11">
      <formula>LEN(TRIM(E69))=0</formula>
    </cfRule>
  </conditionalFormatting>
  <conditionalFormatting sqref="E81:AE90">
    <cfRule type="containsBlanks" dxfId="1" priority="12">
      <formula>LEN(TRIM(E81))=0</formula>
    </cfRule>
  </conditionalFormatting>
  <conditionalFormatting sqref="E93:AE102">
    <cfRule type="containsBlanks" dxfId="1" priority="13">
      <formula>LEN(TRIM(E93))=0</formula>
    </cfRule>
  </conditionalFormatting>
  <conditionalFormatting sqref="E105:AE114">
    <cfRule type="containsBlanks" dxfId="1" priority="14">
      <formula>LEN(TRIM(E105))=0</formula>
    </cfRule>
  </conditionalFormatting>
  <conditionalFormatting sqref="E117:AE126">
    <cfRule type="containsBlanks" dxfId="1" priority="15">
      <formula>LEN(TRIM(E117))=0</formula>
    </cfRule>
  </conditionalFormatting>
  <conditionalFormatting sqref="E129:AE138">
    <cfRule type="containsBlanks" dxfId="1" priority="16">
      <formula>LEN(TRIM(E129))=0</formula>
    </cfRule>
  </conditionalFormatting>
  <conditionalFormatting sqref="E141:AE150">
    <cfRule type="containsBlanks" dxfId="1" priority="17">
      <formula>LEN(TRIM(E141))=0</formula>
    </cfRule>
  </conditionalFormatting>
  <conditionalFormatting sqref="E153:AE162">
    <cfRule type="containsBlanks" dxfId="1" priority="18">
      <formula>LEN(TRIM(E153))=0</formula>
    </cfRule>
  </conditionalFormatting>
  <conditionalFormatting sqref="E165:AE174">
    <cfRule type="containsBlanks" dxfId="1" priority="19">
      <formula>LEN(TRIM(E165))=0</formula>
    </cfRule>
  </conditionalFormatting>
  <conditionalFormatting sqref="E177:AE186">
    <cfRule type="containsBlanks" dxfId="1" priority="20">
      <formula>LEN(TRIM(E177))=0</formula>
    </cfRule>
  </conditionalFormatting>
  <conditionalFormatting sqref="E189:AE198">
    <cfRule type="containsBlanks" dxfId="1" priority="21">
      <formula>LEN(TRIM(E189))=0</formula>
    </cfRule>
  </conditionalFormatting>
  <conditionalFormatting sqref="E201:AE210">
    <cfRule type="containsBlanks" dxfId="1" priority="22">
      <formula>LEN(TRIM(E201))=0</formula>
    </cfRule>
  </conditionalFormatting>
  <conditionalFormatting sqref="E213:AE222">
    <cfRule type="containsBlanks" dxfId="1" priority="23">
      <formula>LEN(TRIM(E213))=0</formula>
    </cfRule>
  </conditionalFormatting>
  <conditionalFormatting sqref="E225:AE234">
    <cfRule type="containsBlanks" dxfId="1" priority="24">
      <formula>LEN(TRIM(E225))=0</formula>
    </cfRule>
  </conditionalFormatting>
  <conditionalFormatting sqref="E237:AE246">
    <cfRule type="containsBlanks" dxfId="1" priority="25">
      <formula>LEN(TRIM(E237))=0</formula>
    </cfRule>
  </conditionalFormatting>
  <conditionalFormatting sqref="E249:AE258">
    <cfRule type="containsBlanks" dxfId="1" priority="26">
      <formula>LEN(TRIM(E249))=0</formula>
    </cfRule>
  </conditionalFormatting>
  <conditionalFormatting sqref="E262:AE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W34">
    <cfRule type="expression" dxfId="0" priority="29">
      <formula>W34&lt;&gt;W47</formula>
    </cfRule>
  </conditionalFormatting>
  <conditionalFormatting sqref="AB34">
    <cfRule type="expression" dxfId="0" priority="30">
      <formula>AB34&lt;&gt;AB47</formula>
    </cfRule>
  </conditionalFormatting>
  <conditionalFormatting sqref="AD34:AE34">
    <cfRule type="expression" dxfId="0" priority="31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73">
        <v>108.0</v>
      </c>
      <c r="F14" s="73">
        <v>112.0</v>
      </c>
      <c r="G14" s="73">
        <v>113.0</v>
      </c>
      <c r="H14" s="73">
        <v>115.0</v>
      </c>
      <c r="I14" s="73">
        <v>136.0</v>
      </c>
      <c r="J14" s="73">
        <v>130.0</v>
      </c>
      <c r="K14" s="73">
        <v>128.0</v>
      </c>
      <c r="L14" s="73">
        <v>134.0</v>
      </c>
      <c r="M14" s="73">
        <v>130.0</v>
      </c>
      <c r="N14" s="73">
        <v>131.0</v>
      </c>
      <c r="O14" s="73">
        <v>136.0</v>
      </c>
      <c r="P14" s="73">
        <v>79.0</v>
      </c>
      <c r="Q14" s="73">
        <v>123.0</v>
      </c>
      <c r="R14" s="73">
        <v>111.0</v>
      </c>
      <c r="S14" s="73">
        <v>100.0</v>
      </c>
      <c r="T14" s="73">
        <v>114.0</v>
      </c>
      <c r="U14" s="73">
        <v>98.0</v>
      </c>
      <c r="V14" s="13">
        <f t="shared" ref="V14:V16" si="1">SUM(E14:U14)</f>
        <v>1998</v>
      </c>
    </row>
    <row r="15" ht="12.75" customHeight="1">
      <c r="A15" s="18"/>
      <c r="B15" s="26"/>
      <c r="C15" s="27"/>
      <c r="D15" s="19" t="s">
        <v>13</v>
      </c>
      <c r="E15" s="73">
        <v>113.0</v>
      </c>
      <c r="F15" s="73">
        <v>106.0</v>
      </c>
      <c r="G15" s="73">
        <v>112.0</v>
      </c>
      <c r="H15" s="73">
        <v>115.0</v>
      </c>
      <c r="I15" s="73">
        <v>120.0</v>
      </c>
      <c r="J15" s="73">
        <v>133.0</v>
      </c>
      <c r="K15" s="73">
        <v>127.0</v>
      </c>
      <c r="L15" s="73">
        <v>130.0</v>
      </c>
      <c r="M15" s="73">
        <v>127.0</v>
      </c>
      <c r="N15" s="73">
        <v>126.0</v>
      </c>
      <c r="O15" s="73">
        <v>122.0</v>
      </c>
      <c r="P15" s="73">
        <v>92.0</v>
      </c>
      <c r="Q15" s="73">
        <v>121.0</v>
      </c>
      <c r="R15" s="73">
        <v>107.0</v>
      </c>
      <c r="S15" s="73">
        <v>96.0</v>
      </c>
      <c r="T15" s="73">
        <v>105.0</v>
      </c>
      <c r="U15" s="73">
        <v>92.0</v>
      </c>
      <c r="V15" s="13">
        <f t="shared" si="1"/>
        <v>1944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221</v>
      </c>
      <c r="F16" s="13">
        <f t="shared" si="2"/>
        <v>218</v>
      </c>
      <c r="G16" s="13">
        <f t="shared" si="2"/>
        <v>225</v>
      </c>
      <c r="H16" s="13">
        <f t="shared" si="2"/>
        <v>230</v>
      </c>
      <c r="I16" s="13">
        <f t="shared" si="2"/>
        <v>256</v>
      </c>
      <c r="J16" s="13">
        <f t="shared" si="2"/>
        <v>263</v>
      </c>
      <c r="K16" s="13">
        <f t="shared" si="2"/>
        <v>255</v>
      </c>
      <c r="L16" s="13">
        <f t="shared" si="2"/>
        <v>264</v>
      </c>
      <c r="M16" s="13">
        <f t="shared" si="2"/>
        <v>257</v>
      </c>
      <c r="N16" s="13">
        <f t="shared" si="2"/>
        <v>257</v>
      </c>
      <c r="O16" s="13">
        <f t="shared" si="2"/>
        <v>258</v>
      </c>
      <c r="P16" s="13">
        <f t="shared" si="2"/>
        <v>171</v>
      </c>
      <c r="Q16" s="13">
        <f t="shared" si="2"/>
        <v>244</v>
      </c>
      <c r="R16" s="13">
        <f t="shared" si="2"/>
        <v>218</v>
      </c>
      <c r="S16" s="13">
        <f t="shared" si="2"/>
        <v>196</v>
      </c>
      <c r="T16" s="13">
        <f t="shared" si="2"/>
        <v>219</v>
      </c>
      <c r="U16" s="13">
        <f t="shared" si="2"/>
        <v>190</v>
      </c>
      <c r="V16" s="13">
        <f t="shared" si="1"/>
        <v>3942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19"/>
      <c r="S17" s="19"/>
      <c r="T17" s="74"/>
      <c r="U17" s="74"/>
      <c r="V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19"/>
      <c r="S18" s="19"/>
      <c r="T18" s="74"/>
      <c r="U18" s="74"/>
      <c r="V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92.0</v>
      </c>
      <c r="F19" s="73">
        <v>95.0</v>
      </c>
      <c r="G19" s="73">
        <v>88.0</v>
      </c>
      <c r="H19" s="73">
        <v>91.0</v>
      </c>
      <c r="I19" s="73">
        <v>111.0</v>
      </c>
      <c r="J19" s="73">
        <v>115.0</v>
      </c>
      <c r="K19" s="73">
        <v>109.0</v>
      </c>
      <c r="L19" s="73">
        <v>118.0</v>
      </c>
      <c r="M19" s="73">
        <v>99.0</v>
      </c>
      <c r="N19" s="73">
        <v>92.0</v>
      </c>
      <c r="O19" s="73">
        <v>93.0</v>
      </c>
      <c r="P19" s="73">
        <v>67.0</v>
      </c>
      <c r="Q19" s="73">
        <v>102.0</v>
      </c>
      <c r="R19" s="73">
        <v>85.0</v>
      </c>
      <c r="S19" s="73">
        <v>76.0</v>
      </c>
      <c r="T19" s="73">
        <v>94.0</v>
      </c>
      <c r="U19" s="73">
        <v>82.0</v>
      </c>
      <c r="V19" s="13">
        <f t="shared" ref="V19:V30" si="3">SUM(E19:U19)</f>
        <v>1609</v>
      </c>
    </row>
    <row r="20" ht="12.75" customHeight="1">
      <c r="A20" s="33"/>
      <c r="B20" s="27"/>
      <c r="C20" s="34"/>
      <c r="D20" s="19" t="s">
        <v>13</v>
      </c>
      <c r="E20" s="73">
        <v>83.0</v>
      </c>
      <c r="F20" s="73">
        <v>86.0</v>
      </c>
      <c r="G20" s="73">
        <v>94.0</v>
      </c>
      <c r="H20" s="73">
        <v>97.0</v>
      </c>
      <c r="I20" s="73">
        <v>104.0</v>
      </c>
      <c r="J20" s="73">
        <v>107.0</v>
      </c>
      <c r="K20" s="73">
        <v>107.0</v>
      </c>
      <c r="L20" s="73">
        <v>117.0</v>
      </c>
      <c r="M20" s="73">
        <v>98.0</v>
      </c>
      <c r="N20" s="73">
        <v>94.0</v>
      </c>
      <c r="O20" s="73">
        <v>97.0</v>
      </c>
      <c r="P20" s="73">
        <v>77.0</v>
      </c>
      <c r="Q20" s="73">
        <v>103.0</v>
      </c>
      <c r="R20" s="73">
        <v>87.0</v>
      </c>
      <c r="S20" s="73">
        <v>76.0</v>
      </c>
      <c r="T20" s="73">
        <v>86.0</v>
      </c>
      <c r="U20" s="73">
        <v>77.0</v>
      </c>
      <c r="V20" s="13">
        <f t="shared" si="3"/>
        <v>1590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175</v>
      </c>
      <c r="F21" s="13">
        <f t="shared" si="4"/>
        <v>181</v>
      </c>
      <c r="G21" s="13">
        <f t="shared" si="4"/>
        <v>182</v>
      </c>
      <c r="H21" s="13">
        <f t="shared" si="4"/>
        <v>188</v>
      </c>
      <c r="I21" s="13">
        <f t="shared" si="4"/>
        <v>215</v>
      </c>
      <c r="J21" s="13">
        <f t="shared" si="4"/>
        <v>222</v>
      </c>
      <c r="K21" s="13">
        <f t="shared" si="4"/>
        <v>216</v>
      </c>
      <c r="L21" s="13">
        <f t="shared" si="4"/>
        <v>235</v>
      </c>
      <c r="M21" s="13">
        <f t="shared" si="4"/>
        <v>197</v>
      </c>
      <c r="N21" s="13">
        <f t="shared" si="4"/>
        <v>186</v>
      </c>
      <c r="O21" s="13">
        <f t="shared" si="4"/>
        <v>190</v>
      </c>
      <c r="P21" s="13">
        <f t="shared" si="4"/>
        <v>144</v>
      </c>
      <c r="Q21" s="13">
        <f t="shared" si="4"/>
        <v>205</v>
      </c>
      <c r="R21" s="13">
        <f t="shared" si="4"/>
        <v>172</v>
      </c>
      <c r="S21" s="13">
        <f t="shared" si="4"/>
        <v>152</v>
      </c>
      <c r="T21" s="13">
        <f t="shared" si="4"/>
        <v>180</v>
      </c>
      <c r="U21" s="13">
        <f t="shared" si="4"/>
        <v>159</v>
      </c>
      <c r="V21" s="13">
        <f t="shared" si="3"/>
        <v>3199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1.0</v>
      </c>
      <c r="I22" s="73">
        <v>0.0</v>
      </c>
      <c r="J22" s="73">
        <v>0.0</v>
      </c>
      <c r="K22" s="73">
        <v>0.0</v>
      </c>
      <c r="L22" s="73">
        <v>0.0</v>
      </c>
      <c r="M22" s="73">
        <v>2.0</v>
      </c>
      <c r="N22" s="73">
        <v>0.0</v>
      </c>
      <c r="O22" s="73">
        <v>1.0</v>
      </c>
      <c r="P22" s="73">
        <v>0.0</v>
      </c>
      <c r="Q22" s="73">
        <v>1.0</v>
      </c>
      <c r="R22" s="73">
        <v>0.0</v>
      </c>
      <c r="S22" s="73">
        <v>0.0</v>
      </c>
      <c r="T22" s="73">
        <v>0.0</v>
      </c>
      <c r="U22" s="73">
        <v>0.0</v>
      </c>
      <c r="V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1.0</v>
      </c>
      <c r="K23" s="73">
        <v>1.0</v>
      </c>
      <c r="L23" s="73">
        <v>0.0</v>
      </c>
      <c r="M23" s="73">
        <v>2.0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4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1.0</v>
      </c>
      <c r="R25" s="73">
        <v>0.0</v>
      </c>
      <c r="S25" s="73">
        <v>0.0</v>
      </c>
      <c r="T25" s="73">
        <v>0.0</v>
      </c>
      <c r="U25" s="73">
        <v>0.0</v>
      </c>
      <c r="V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0.0</v>
      </c>
      <c r="U26" s="73">
        <v>0.0</v>
      </c>
      <c r="V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92</v>
      </c>
      <c r="F28" s="13">
        <f t="shared" si="7"/>
        <v>95</v>
      </c>
      <c r="G28" s="13">
        <f t="shared" si="7"/>
        <v>88</v>
      </c>
      <c r="H28" s="13">
        <f t="shared" si="7"/>
        <v>92</v>
      </c>
      <c r="I28" s="13">
        <f t="shared" si="7"/>
        <v>111</v>
      </c>
      <c r="J28" s="13">
        <f t="shared" si="7"/>
        <v>115</v>
      </c>
      <c r="K28" s="13">
        <f t="shared" si="7"/>
        <v>109</v>
      </c>
      <c r="L28" s="13">
        <f t="shared" si="7"/>
        <v>118</v>
      </c>
      <c r="M28" s="13">
        <f t="shared" si="7"/>
        <v>101</v>
      </c>
      <c r="N28" s="13">
        <f t="shared" si="7"/>
        <v>92</v>
      </c>
      <c r="O28" s="13">
        <f t="shared" si="7"/>
        <v>94</v>
      </c>
      <c r="P28" s="13">
        <f t="shared" si="7"/>
        <v>67</v>
      </c>
      <c r="Q28" s="13">
        <f t="shared" si="7"/>
        <v>104</v>
      </c>
      <c r="R28" s="13">
        <f t="shared" si="7"/>
        <v>85</v>
      </c>
      <c r="S28" s="13">
        <f t="shared" si="7"/>
        <v>76</v>
      </c>
      <c r="T28" s="13">
        <f t="shared" si="7"/>
        <v>94</v>
      </c>
      <c r="U28" s="13">
        <f t="shared" si="7"/>
        <v>82</v>
      </c>
      <c r="V28" s="13">
        <f t="shared" si="3"/>
        <v>1615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83</v>
      </c>
      <c r="F29" s="13">
        <f t="shared" si="8"/>
        <v>86</v>
      </c>
      <c r="G29" s="13">
        <f t="shared" si="8"/>
        <v>94</v>
      </c>
      <c r="H29" s="13">
        <f t="shared" si="8"/>
        <v>97</v>
      </c>
      <c r="I29" s="13">
        <f t="shared" si="8"/>
        <v>104</v>
      </c>
      <c r="J29" s="13">
        <f t="shared" si="8"/>
        <v>108</v>
      </c>
      <c r="K29" s="13">
        <f t="shared" si="8"/>
        <v>108</v>
      </c>
      <c r="L29" s="13">
        <f t="shared" si="8"/>
        <v>117</v>
      </c>
      <c r="M29" s="13">
        <f t="shared" si="8"/>
        <v>100</v>
      </c>
      <c r="N29" s="13">
        <f t="shared" si="8"/>
        <v>95</v>
      </c>
      <c r="O29" s="13">
        <f t="shared" si="8"/>
        <v>97</v>
      </c>
      <c r="P29" s="13">
        <f t="shared" si="8"/>
        <v>77</v>
      </c>
      <c r="Q29" s="13">
        <f t="shared" si="8"/>
        <v>103</v>
      </c>
      <c r="R29" s="13">
        <f t="shared" si="8"/>
        <v>87</v>
      </c>
      <c r="S29" s="13">
        <f t="shared" si="8"/>
        <v>76</v>
      </c>
      <c r="T29" s="13">
        <f t="shared" si="8"/>
        <v>86</v>
      </c>
      <c r="U29" s="13">
        <f t="shared" si="8"/>
        <v>77</v>
      </c>
      <c r="V29" s="13">
        <f t="shared" si="3"/>
        <v>1595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175</v>
      </c>
      <c r="F30" s="13">
        <f t="shared" si="9"/>
        <v>181</v>
      </c>
      <c r="G30" s="13">
        <f t="shared" si="9"/>
        <v>182</v>
      </c>
      <c r="H30" s="13">
        <f t="shared" si="9"/>
        <v>189</v>
      </c>
      <c r="I30" s="13">
        <f t="shared" si="9"/>
        <v>215</v>
      </c>
      <c r="J30" s="13">
        <f t="shared" si="9"/>
        <v>223</v>
      </c>
      <c r="K30" s="13">
        <f t="shared" si="9"/>
        <v>217</v>
      </c>
      <c r="L30" s="13">
        <f t="shared" si="9"/>
        <v>235</v>
      </c>
      <c r="M30" s="13">
        <f t="shared" si="9"/>
        <v>201</v>
      </c>
      <c r="N30" s="13">
        <f t="shared" si="9"/>
        <v>187</v>
      </c>
      <c r="O30" s="13">
        <f t="shared" si="9"/>
        <v>191</v>
      </c>
      <c r="P30" s="13">
        <f t="shared" si="9"/>
        <v>144</v>
      </c>
      <c r="Q30" s="13">
        <f t="shared" si="9"/>
        <v>207</v>
      </c>
      <c r="R30" s="13">
        <f t="shared" si="9"/>
        <v>172</v>
      </c>
      <c r="S30" s="13">
        <f t="shared" si="9"/>
        <v>152</v>
      </c>
      <c r="T30" s="13">
        <f t="shared" si="9"/>
        <v>180</v>
      </c>
      <c r="U30" s="13">
        <f t="shared" si="9"/>
        <v>159</v>
      </c>
      <c r="V30" s="13">
        <f t="shared" si="3"/>
        <v>3210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19"/>
      <c r="S31" s="19"/>
      <c r="T31" s="74"/>
      <c r="U31" s="74"/>
      <c r="V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13"/>
      <c r="S32" s="13"/>
      <c r="T32" s="76"/>
      <c r="U32" s="76"/>
      <c r="V32" s="75"/>
    </row>
    <row r="33" ht="12.75" customHeight="1">
      <c r="A33" s="19">
        <v>1.0</v>
      </c>
      <c r="B33" s="20" t="s">
        <v>27</v>
      </c>
      <c r="C33" s="15"/>
      <c r="D33" s="16"/>
      <c r="E33" s="73">
        <v>221.0</v>
      </c>
      <c r="F33" s="73">
        <v>223.0</v>
      </c>
      <c r="G33" s="73">
        <v>230.0</v>
      </c>
      <c r="H33" s="73">
        <v>235.0</v>
      </c>
      <c r="I33" s="73">
        <v>262.0</v>
      </c>
      <c r="J33" s="73">
        <v>269.0</v>
      </c>
      <c r="K33" s="73">
        <v>261.0</v>
      </c>
      <c r="L33" s="73">
        <v>270.0</v>
      </c>
      <c r="M33" s="73">
        <v>263.0</v>
      </c>
      <c r="N33" s="73">
        <v>263.0</v>
      </c>
      <c r="O33" s="73">
        <v>264.0</v>
      </c>
      <c r="P33" s="73">
        <v>172.0</v>
      </c>
      <c r="Q33" s="73">
        <v>248.0</v>
      </c>
      <c r="R33" s="73">
        <v>223.0</v>
      </c>
      <c r="S33" s="73">
        <v>200.0</v>
      </c>
      <c r="T33" s="73">
        <v>218.0</v>
      </c>
      <c r="U33" s="73">
        <v>194.0</v>
      </c>
      <c r="V33" s="13">
        <f t="shared" ref="V33:V36" si="10">SUM(E33:U33)</f>
        <v>4016</v>
      </c>
    </row>
    <row r="34" ht="12.75" customHeight="1">
      <c r="A34" s="19">
        <v>2.0</v>
      </c>
      <c r="B34" s="20" t="s">
        <v>28</v>
      </c>
      <c r="C34" s="15"/>
      <c r="D34" s="16"/>
      <c r="E34" s="77">
        <v>175.0</v>
      </c>
      <c r="F34" s="77">
        <v>181.0</v>
      </c>
      <c r="G34" s="77">
        <v>182.0</v>
      </c>
      <c r="H34" s="77">
        <v>189.0</v>
      </c>
      <c r="I34" s="77">
        <v>215.0</v>
      </c>
      <c r="J34" s="77">
        <v>223.0</v>
      </c>
      <c r="K34" s="77">
        <v>217.0</v>
      </c>
      <c r="L34" s="77">
        <v>235.0</v>
      </c>
      <c r="M34" s="77">
        <v>201.0</v>
      </c>
      <c r="N34" s="77">
        <v>187.0</v>
      </c>
      <c r="O34" s="77">
        <v>191.0</v>
      </c>
      <c r="P34" s="77">
        <v>144.0</v>
      </c>
      <c r="Q34" s="77">
        <v>207.0</v>
      </c>
      <c r="R34" s="77">
        <v>172.0</v>
      </c>
      <c r="S34" s="77">
        <v>152.0</v>
      </c>
      <c r="T34" s="77">
        <v>180.0</v>
      </c>
      <c r="U34" s="77">
        <v>159.0</v>
      </c>
      <c r="V34" s="13">
        <f t="shared" si="10"/>
        <v>3210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1.0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46</v>
      </c>
      <c r="F36" s="13">
        <f t="shared" si="11"/>
        <v>42</v>
      </c>
      <c r="G36" s="13">
        <f t="shared" si="11"/>
        <v>48</v>
      </c>
      <c r="H36" s="13">
        <f t="shared" si="11"/>
        <v>45</v>
      </c>
      <c r="I36" s="13">
        <f t="shared" si="11"/>
        <v>47</v>
      </c>
      <c r="J36" s="13">
        <f t="shared" si="11"/>
        <v>46</v>
      </c>
      <c r="K36" s="13">
        <f t="shared" si="11"/>
        <v>44</v>
      </c>
      <c r="L36" s="13">
        <f t="shared" si="11"/>
        <v>35</v>
      </c>
      <c r="M36" s="13">
        <f t="shared" si="11"/>
        <v>62</v>
      </c>
      <c r="N36" s="13">
        <f t="shared" si="11"/>
        <v>76</v>
      </c>
      <c r="O36" s="13">
        <f t="shared" si="11"/>
        <v>73</v>
      </c>
      <c r="P36" s="13">
        <f t="shared" si="11"/>
        <v>28</v>
      </c>
      <c r="Q36" s="13">
        <f t="shared" si="11"/>
        <v>41</v>
      </c>
      <c r="R36" s="13">
        <f t="shared" si="11"/>
        <v>51</v>
      </c>
      <c r="S36" s="13">
        <f t="shared" si="11"/>
        <v>48</v>
      </c>
      <c r="T36" s="13">
        <f t="shared" si="11"/>
        <v>38</v>
      </c>
      <c r="U36" s="13">
        <f t="shared" si="11"/>
        <v>35</v>
      </c>
      <c r="V36" s="13">
        <f t="shared" si="10"/>
        <v>805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2"/>
      <c r="P37" s="82"/>
      <c r="Q37" s="82"/>
      <c r="R37" s="19"/>
      <c r="S37" s="19"/>
      <c r="T37" s="74"/>
      <c r="U37" s="82"/>
      <c r="V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13"/>
      <c r="S38" s="13"/>
      <c r="T38" s="76"/>
      <c r="U38" s="76"/>
      <c r="V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2.0</v>
      </c>
      <c r="V39" s="13">
        <f t="shared" ref="V39:V41" si="12">SUM(E39:U39)</f>
        <v>2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19"/>
      <c r="S42" s="19"/>
      <c r="T42" s="74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76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74"/>
      <c r="U44" s="19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6.0</v>
      </c>
      <c r="G45" s="73">
        <v>5.0</v>
      </c>
      <c r="H45" s="73">
        <v>7.0</v>
      </c>
      <c r="I45" s="73">
        <v>8.0</v>
      </c>
      <c r="J45" s="73">
        <v>5.0</v>
      </c>
      <c r="K45" s="73">
        <v>8.0</v>
      </c>
      <c r="L45" s="73">
        <v>8.0</v>
      </c>
      <c r="M45" s="73">
        <v>1.0</v>
      </c>
      <c r="N45" s="73">
        <v>10.0</v>
      </c>
      <c r="O45" s="73">
        <v>4.0</v>
      </c>
      <c r="P45" s="73">
        <v>5.0</v>
      </c>
      <c r="Q45" s="73">
        <v>8.0</v>
      </c>
      <c r="R45" s="73">
        <v>3.0</v>
      </c>
      <c r="S45" s="73">
        <v>2.0</v>
      </c>
      <c r="T45" s="73">
        <v>3.0</v>
      </c>
      <c r="U45" s="73">
        <v>1.0</v>
      </c>
      <c r="V45" s="13">
        <f t="shared" ref="V45:V54" si="14">SUM(E45:U45)</f>
        <v>92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9.0</v>
      </c>
      <c r="F46" s="73">
        <v>14.0</v>
      </c>
      <c r="G46" s="73">
        <v>17.0</v>
      </c>
      <c r="H46" s="73">
        <v>18.0</v>
      </c>
      <c r="I46" s="73">
        <v>17.0</v>
      </c>
      <c r="J46" s="73">
        <v>6.0</v>
      </c>
      <c r="K46" s="73">
        <v>13.0</v>
      </c>
      <c r="L46" s="73">
        <v>15.0</v>
      </c>
      <c r="M46" s="73">
        <v>5.0</v>
      </c>
      <c r="N46" s="73">
        <v>20.0</v>
      </c>
      <c r="O46" s="73">
        <v>12.0</v>
      </c>
      <c r="P46" s="73">
        <v>4.0</v>
      </c>
      <c r="Q46" s="73">
        <v>31.0</v>
      </c>
      <c r="R46" s="73">
        <v>13.0</v>
      </c>
      <c r="S46" s="73">
        <v>3.0</v>
      </c>
      <c r="T46" s="73">
        <v>1.0</v>
      </c>
      <c r="U46" s="73">
        <v>3.0</v>
      </c>
      <c r="V46" s="13">
        <f t="shared" si="14"/>
        <v>201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1.0</v>
      </c>
      <c r="G47" s="73">
        <v>1.0</v>
      </c>
      <c r="H47" s="73">
        <v>0.0</v>
      </c>
      <c r="I47" s="73">
        <v>2.0</v>
      </c>
      <c r="J47" s="73">
        <v>3.0</v>
      </c>
      <c r="K47" s="73">
        <v>2.0</v>
      </c>
      <c r="L47" s="73">
        <v>0.0</v>
      </c>
      <c r="M47" s="73">
        <v>5.0</v>
      </c>
      <c r="N47" s="73">
        <v>1.0</v>
      </c>
      <c r="O47" s="73">
        <v>0.0</v>
      </c>
      <c r="P47" s="73">
        <v>1.0</v>
      </c>
      <c r="Q47" s="73">
        <v>1.0</v>
      </c>
      <c r="R47" s="73">
        <v>1.0</v>
      </c>
      <c r="S47" s="73">
        <v>2.0</v>
      </c>
      <c r="T47" s="73">
        <v>1.0</v>
      </c>
      <c r="U47" s="73">
        <v>0.0</v>
      </c>
      <c r="V47" s="13">
        <f t="shared" si="14"/>
        <v>23</v>
      </c>
    </row>
    <row r="48" ht="12.75" customHeight="1">
      <c r="A48" s="18"/>
      <c r="B48" s="49"/>
      <c r="C48" s="50" t="s">
        <v>42</v>
      </c>
      <c r="D48" s="51"/>
      <c r="E48" s="73">
        <v>2.0</v>
      </c>
      <c r="F48" s="73">
        <v>0.0</v>
      </c>
      <c r="G48" s="73">
        <v>0.0</v>
      </c>
      <c r="H48" s="73">
        <v>0.0</v>
      </c>
      <c r="I48" s="73">
        <v>1.0</v>
      </c>
      <c r="J48" s="73">
        <v>1.0</v>
      </c>
      <c r="K48" s="73">
        <v>1.0</v>
      </c>
      <c r="L48" s="73">
        <v>0.0</v>
      </c>
      <c r="M48" s="73">
        <v>0.0</v>
      </c>
      <c r="N48" s="73">
        <v>0.0</v>
      </c>
      <c r="O48" s="73">
        <v>0.0</v>
      </c>
      <c r="P48" s="73">
        <v>1.0</v>
      </c>
      <c r="Q48" s="73">
        <v>0.0</v>
      </c>
      <c r="R48" s="73">
        <v>1.0</v>
      </c>
      <c r="S48" s="73">
        <v>0.0</v>
      </c>
      <c r="T48" s="73">
        <v>0.0</v>
      </c>
      <c r="U48" s="73">
        <v>0.0</v>
      </c>
      <c r="V48" s="13">
        <f t="shared" si="14"/>
        <v>7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3.0</v>
      </c>
      <c r="G49" s="73">
        <v>1.0</v>
      </c>
      <c r="H49" s="73">
        <v>1.0</v>
      </c>
      <c r="I49" s="73">
        <v>0.0</v>
      </c>
      <c r="J49" s="73">
        <v>1.0</v>
      </c>
      <c r="K49" s="73">
        <v>3.0</v>
      </c>
      <c r="L49" s="73">
        <v>0.0</v>
      </c>
      <c r="M49" s="73">
        <v>0.0</v>
      </c>
      <c r="N49" s="73">
        <v>1.0</v>
      </c>
      <c r="O49" s="73">
        <v>3.0</v>
      </c>
      <c r="P49" s="73">
        <v>0.0</v>
      </c>
      <c r="Q49" s="73">
        <v>0.0</v>
      </c>
      <c r="R49" s="73">
        <v>1.0</v>
      </c>
      <c r="S49" s="73">
        <v>1.0</v>
      </c>
      <c r="T49" s="73">
        <v>1.0</v>
      </c>
      <c r="U49" s="73">
        <v>0.0</v>
      </c>
      <c r="V49" s="13">
        <f t="shared" si="14"/>
        <v>16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1.0</v>
      </c>
      <c r="G50" s="73">
        <v>2.0</v>
      </c>
      <c r="H50" s="73">
        <v>0.0</v>
      </c>
      <c r="I50" s="73">
        <v>0.0</v>
      </c>
      <c r="J50" s="73">
        <v>0.0</v>
      </c>
      <c r="K50" s="73">
        <v>2.0</v>
      </c>
      <c r="L50" s="73">
        <v>1.0</v>
      </c>
      <c r="M50" s="73">
        <v>0.0</v>
      </c>
      <c r="N50" s="73">
        <v>1.0</v>
      </c>
      <c r="O50" s="73">
        <v>1.0</v>
      </c>
      <c r="P50" s="73">
        <v>0.0</v>
      </c>
      <c r="Q50" s="73">
        <v>1.0</v>
      </c>
      <c r="R50" s="73">
        <v>0.0</v>
      </c>
      <c r="S50" s="73">
        <v>1.0</v>
      </c>
      <c r="T50" s="73">
        <v>0.0</v>
      </c>
      <c r="U50" s="73">
        <v>0.0</v>
      </c>
      <c r="V50" s="13">
        <f t="shared" si="14"/>
        <v>10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0.0</v>
      </c>
      <c r="H51" s="73">
        <v>2.0</v>
      </c>
      <c r="I51" s="73">
        <v>1.0</v>
      </c>
      <c r="J51" s="73">
        <v>0.0</v>
      </c>
      <c r="K51" s="73">
        <v>2.0</v>
      </c>
      <c r="L51" s="73">
        <v>0.0</v>
      </c>
      <c r="M51" s="73">
        <v>0.0</v>
      </c>
      <c r="N51" s="73">
        <v>1.0</v>
      </c>
      <c r="O51" s="73">
        <v>0.0</v>
      </c>
      <c r="P51" s="73">
        <v>1.0</v>
      </c>
      <c r="Q51" s="73">
        <v>0.0</v>
      </c>
      <c r="R51" s="73">
        <v>0.0</v>
      </c>
      <c r="S51" s="73">
        <v>0.0</v>
      </c>
      <c r="T51" s="73">
        <v>0.0</v>
      </c>
      <c r="U51" s="73">
        <v>0.0</v>
      </c>
      <c r="V51" s="13">
        <f t="shared" si="14"/>
        <v>8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1.0</v>
      </c>
      <c r="G52" s="73">
        <v>0.0</v>
      </c>
      <c r="H52" s="73">
        <v>1.0</v>
      </c>
      <c r="I52" s="73">
        <v>0.0</v>
      </c>
      <c r="J52" s="73">
        <v>0.0</v>
      </c>
      <c r="K52" s="73">
        <v>2.0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1.0</v>
      </c>
      <c r="T52" s="73">
        <v>0.0</v>
      </c>
      <c r="U52" s="73">
        <v>0.0</v>
      </c>
      <c r="V52" s="13">
        <f t="shared" si="14"/>
        <v>5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1.0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13">
        <f t="shared" si="14"/>
        <v>1</v>
      </c>
    </row>
    <row r="54" ht="12.75" customHeight="1">
      <c r="A54" s="18"/>
      <c r="B54" s="49"/>
      <c r="C54" s="50" t="s">
        <v>48</v>
      </c>
      <c r="D54" s="51"/>
      <c r="E54" s="73">
        <v>1.0</v>
      </c>
      <c r="F54" s="73">
        <v>0.0</v>
      </c>
      <c r="G54" s="73">
        <v>1.0</v>
      </c>
      <c r="H54" s="73">
        <v>0.0</v>
      </c>
      <c r="I54" s="73">
        <v>2.0</v>
      </c>
      <c r="J54" s="73">
        <v>0.0</v>
      </c>
      <c r="K54" s="73">
        <v>1.0</v>
      </c>
      <c r="L54" s="73">
        <v>0.0</v>
      </c>
      <c r="M54" s="73">
        <v>0.0</v>
      </c>
      <c r="N54" s="73">
        <v>0.0</v>
      </c>
      <c r="O54" s="73">
        <v>1.0</v>
      </c>
      <c r="P54" s="73">
        <v>2.0</v>
      </c>
      <c r="Q54" s="73">
        <v>0.0</v>
      </c>
      <c r="R54" s="73">
        <v>0.0</v>
      </c>
      <c r="S54" s="73">
        <v>1.0</v>
      </c>
      <c r="T54" s="73">
        <v>0.0</v>
      </c>
      <c r="U54" s="73">
        <v>1.0</v>
      </c>
      <c r="V54" s="13">
        <f t="shared" si="14"/>
        <v>10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V55" si="15">SUM(E45:E54)</f>
        <v>22</v>
      </c>
      <c r="F55" s="13">
        <f t="shared" si="15"/>
        <v>27</v>
      </c>
      <c r="G55" s="13">
        <f t="shared" si="15"/>
        <v>28</v>
      </c>
      <c r="H55" s="13">
        <f t="shared" si="15"/>
        <v>29</v>
      </c>
      <c r="I55" s="13">
        <f t="shared" si="15"/>
        <v>31</v>
      </c>
      <c r="J55" s="13">
        <f t="shared" si="15"/>
        <v>16</v>
      </c>
      <c r="K55" s="13">
        <f t="shared" si="15"/>
        <v>34</v>
      </c>
      <c r="L55" s="13">
        <f t="shared" si="15"/>
        <v>24</v>
      </c>
      <c r="M55" s="13">
        <f t="shared" si="15"/>
        <v>11</v>
      </c>
      <c r="N55" s="13">
        <f t="shared" si="15"/>
        <v>34</v>
      </c>
      <c r="O55" s="13">
        <f t="shared" si="15"/>
        <v>21</v>
      </c>
      <c r="P55" s="13">
        <f t="shared" si="15"/>
        <v>14</v>
      </c>
      <c r="Q55" s="13">
        <f t="shared" si="15"/>
        <v>41</v>
      </c>
      <c r="R55" s="13">
        <f t="shared" si="15"/>
        <v>19</v>
      </c>
      <c r="S55" s="13">
        <f t="shared" si="15"/>
        <v>11</v>
      </c>
      <c r="T55" s="13">
        <f t="shared" si="15"/>
        <v>6</v>
      </c>
      <c r="U55" s="13">
        <f t="shared" si="15"/>
        <v>5</v>
      </c>
      <c r="V55" s="13">
        <f t="shared" si="15"/>
        <v>373</v>
      </c>
    </row>
    <row r="56" ht="12.75" customHeight="1">
      <c r="A56" s="45"/>
      <c r="B56" s="44"/>
      <c r="C56" s="44"/>
      <c r="D56" s="44"/>
      <c r="E56" s="44"/>
      <c r="V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4.0</v>
      </c>
      <c r="F57" s="73">
        <v>7.0</v>
      </c>
      <c r="G57" s="73">
        <v>8.0</v>
      </c>
      <c r="H57" s="73">
        <v>6.0</v>
      </c>
      <c r="I57" s="73">
        <v>2.0</v>
      </c>
      <c r="J57" s="73">
        <v>3.0</v>
      </c>
      <c r="K57" s="73">
        <v>5.0</v>
      </c>
      <c r="L57" s="73">
        <v>5.0</v>
      </c>
      <c r="M57" s="73">
        <v>7.0</v>
      </c>
      <c r="N57" s="73">
        <v>10.0</v>
      </c>
      <c r="O57" s="73">
        <v>9.0</v>
      </c>
      <c r="P57" s="73">
        <v>6.0</v>
      </c>
      <c r="Q57" s="73">
        <v>9.0</v>
      </c>
      <c r="R57" s="73">
        <v>3.0</v>
      </c>
      <c r="S57" s="73">
        <v>4.0</v>
      </c>
      <c r="T57" s="73">
        <v>2.0</v>
      </c>
      <c r="U57" s="73">
        <v>4.0</v>
      </c>
      <c r="V57" s="13">
        <f t="shared" ref="V57:V66" si="16">SUM(E57:U57)</f>
        <v>94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19.0</v>
      </c>
      <c r="F58" s="73">
        <v>16.0</v>
      </c>
      <c r="G58" s="73">
        <v>3.0</v>
      </c>
      <c r="H58" s="73">
        <v>7.0</v>
      </c>
      <c r="I58" s="73">
        <v>20.0</v>
      </c>
      <c r="J58" s="73">
        <v>15.0</v>
      </c>
      <c r="K58" s="73">
        <v>24.0</v>
      </c>
      <c r="L58" s="73">
        <v>76.0</v>
      </c>
      <c r="M58" s="73">
        <v>47.0</v>
      </c>
      <c r="N58" s="73">
        <v>24.0</v>
      </c>
      <c r="O58" s="73">
        <v>61.0</v>
      </c>
      <c r="P58" s="73">
        <v>7.0</v>
      </c>
      <c r="Q58" s="73">
        <v>48.0</v>
      </c>
      <c r="R58" s="73">
        <v>36.0</v>
      </c>
      <c r="S58" s="73">
        <v>3.0</v>
      </c>
      <c r="T58" s="73">
        <v>3.0</v>
      </c>
      <c r="U58" s="73">
        <v>4.0</v>
      </c>
      <c r="V58" s="13">
        <f t="shared" si="16"/>
        <v>413</v>
      </c>
    </row>
    <row r="59" ht="12.75" customHeight="1">
      <c r="A59" s="18"/>
      <c r="B59" s="49"/>
      <c r="C59" s="50" t="s">
        <v>52</v>
      </c>
      <c r="D59" s="51"/>
      <c r="E59" s="73">
        <v>3.0</v>
      </c>
      <c r="F59" s="73">
        <v>2.0</v>
      </c>
      <c r="G59" s="73">
        <v>2.0</v>
      </c>
      <c r="H59" s="73">
        <v>2.0</v>
      </c>
      <c r="I59" s="73">
        <v>8.0</v>
      </c>
      <c r="J59" s="73">
        <v>29.0</v>
      </c>
      <c r="K59" s="73">
        <v>6.0</v>
      </c>
      <c r="L59" s="73">
        <v>3.0</v>
      </c>
      <c r="M59" s="73">
        <v>6.0</v>
      </c>
      <c r="N59" s="73">
        <v>1.0</v>
      </c>
      <c r="O59" s="73">
        <v>7.0</v>
      </c>
      <c r="P59" s="73">
        <v>0.0</v>
      </c>
      <c r="Q59" s="73">
        <v>0.0</v>
      </c>
      <c r="R59" s="73">
        <v>0.0</v>
      </c>
      <c r="S59" s="73">
        <v>1.0</v>
      </c>
      <c r="T59" s="73">
        <v>1.0</v>
      </c>
      <c r="U59" s="73">
        <v>5.0</v>
      </c>
      <c r="V59" s="13">
        <f t="shared" si="16"/>
        <v>76</v>
      </c>
    </row>
    <row r="60" ht="12.75" customHeight="1">
      <c r="A60" s="18"/>
      <c r="B60" s="49"/>
      <c r="C60" s="50" t="s">
        <v>53</v>
      </c>
      <c r="D60" s="51"/>
      <c r="E60" s="73">
        <v>0.0</v>
      </c>
      <c r="F60" s="73">
        <v>2.0</v>
      </c>
      <c r="G60" s="73">
        <v>0.0</v>
      </c>
      <c r="H60" s="73">
        <v>2.0</v>
      </c>
      <c r="I60" s="73">
        <v>1.0</v>
      </c>
      <c r="J60" s="73">
        <v>1.0</v>
      </c>
      <c r="K60" s="73">
        <v>1.0</v>
      </c>
      <c r="L60" s="73">
        <v>0.0</v>
      </c>
      <c r="M60" s="73">
        <v>1.0</v>
      </c>
      <c r="N60" s="73">
        <v>2.0</v>
      </c>
      <c r="O60" s="73">
        <v>1.0</v>
      </c>
      <c r="P60" s="73">
        <v>1.0</v>
      </c>
      <c r="Q60" s="73">
        <v>1.0</v>
      </c>
      <c r="R60" s="73">
        <v>0.0</v>
      </c>
      <c r="S60" s="73">
        <v>0.0</v>
      </c>
      <c r="T60" s="73">
        <v>0.0</v>
      </c>
      <c r="U60" s="73">
        <v>1.0</v>
      </c>
      <c r="V60" s="13">
        <f t="shared" si="16"/>
        <v>14</v>
      </c>
    </row>
    <row r="61" ht="12.75" customHeight="1">
      <c r="A61" s="18"/>
      <c r="B61" s="49"/>
      <c r="C61" s="50" t="s">
        <v>54</v>
      </c>
      <c r="D61" s="51"/>
      <c r="E61" s="73">
        <v>3.0</v>
      </c>
      <c r="F61" s="73">
        <v>8.0</v>
      </c>
      <c r="G61" s="73">
        <v>0.0</v>
      </c>
      <c r="H61" s="73">
        <v>50.0</v>
      </c>
      <c r="I61" s="73">
        <v>0.0</v>
      </c>
      <c r="J61" s="73">
        <v>33.0</v>
      </c>
      <c r="K61" s="73">
        <v>4.0</v>
      </c>
      <c r="L61" s="73">
        <v>5.0</v>
      </c>
      <c r="M61" s="73">
        <v>10.0</v>
      </c>
      <c r="N61" s="73">
        <v>4.0</v>
      </c>
      <c r="O61" s="73">
        <v>2.0</v>
      </c>
      <c r="P61" s="73">
        <v>49.0</v>
      </c>
      <c r="Q61" s="73">
        <v>19.0</v>
      </c>
      <c r="R61" s="73">
        <v>24.0</v>
      </c>
      <c r="S61" s="73">
        <v>15.0</v>
      </c>
      <c r="T61" s="73">
        <v>4.0</v>
      </c>
      <c r="U61" s="73">
        <v>44.0</v>
      </c>
      <c r="V61" s="13">
        <f t="shared" si="16"/>
        <v>274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3.0</v>
      </c>
      <c r="G62" s="73">
        <v>2.0</v>
      </c>
      <c r="H62" s="73">
        <v>2.0</v>
      </c>
      <c r="I62" s="73">
        <v>0.0</v>
      </c>
      <c r="J62" s="73">
        <v>0.0</v>
      </c>
      <c r="K62" s="73">
        <v>1.0</v>
      </c>
      <c r="L62" s="73">
        <v>0.0</v>
      </c>
      <c r="M62" s="73">
        <v>0.0</v>
      </c>
      <c r="N62" s="73">
        <v>0.0</v>
      </c>
      <c r="O62" s="73">
        <v>1.0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13">
        <f t="shared" si="16"/>
        <v>9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1.0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1.0</v>
      </c>
      <c r="T63" s="73">
        <v>0.0</v>
      </c>
      <c r="U63" s="73">
        <v>0.0</v>
      </c>
      <c r="V63" s="13">
        <f t="shared" si="16"/>
        <v>2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1.0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13">
        <f t="shared" si="16"/>
        <v>1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13">
        <f t="shared" si="16"/>
        <v>0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1.0</v>
      </c>
      <c r="K66" s="73">
        <v>0.0</v>
      </c>
      <c r="L66" s="73">
        <v>0.0</v>
      </c>
      <c r="M66" s="73">
        <v>0.0</v>
      </c>
      <c r="N66" s="73">
        <v>0.0</v>
      </c>
      <c r="O66" s="73">
        <v>0.0</v>
      </c>
      <c r="P66" s="73">
        <v>0.0</v>
      </c>
      <c r="Q66" s="73">
        <v>1.0</v>
      </c>
      <c r="R66" s="73">
        <v>0.0</v>
      </c>
      <c r="S66" s="73">
        <v>0.0</v>
      </c>
      <c r="T66" s="73">
        <v>0.0</v>
      </c>
      <c r="U66" s="73">
        <v>0.0</v>
      </c>
      <c r="V66" s="13">
        <f t="shared" si="16"/>
        <v>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V67" si="17">SUM(E57:E66)</f>
        <v>29</v>
      </c>
      <c r="F67" s="13">
        <f t="shared" si="17"/>
        <v>38</v>
      </c>
      <c r="G67" s="13">
        <f t="shared" si="17"/>
        <v>15</v>
      </c>
      <c r="H67" s="13">
        <f t="shared" si="17"/>
        <v>70</v>
      </c>
      <c r="I67" s="13">
        <f t="shared" si="17"/>
        <v>31</v>
      </c>
      <c r="J67" s="13">
        <f t="shared" si="17"/>
        <v>82</v>
      </c>
      <c r="K67" s="13">
        <f t="shared" si="17"/>
        <v>41</v>
      </c>
      <c r="L67" s="13">
        <f t="shared" si="17"/>
        <v>90</v>
      </c>
      <c r="M67" s="13">
        <f t="shared" si="17"/>
        <v>71</v>
      </c>
      <c r="N67" s="13">
        <f t="shared" si="17"/>
        <v>41</v>
      </c>
      <c r="O67" s="13">
        <f t="shared" si="17"/>
        <v>81</v>
      </c>
      <c r="P67" s="13">
        <f t="shared" si="17"/>
        <v>63</v>
      </c>
      <c r="Q67" s="13">
        <f t="shared" si="17"/>
        <v>78</v>
      </c>
      <c r="R67" s="13">
        <f t="shared" si="17"/>
        <v>63</v>
      </c>
      <c r="S67" s="13">
        <f t="shared" si="17"/>
        <v>24</v>
      </c>
      <c r="T67" s="13">
        <f t="shared" si="17"/>
        <v>10</v>
      </c>
      <c r="U67" s="13">
        <f t="shared" si="17"/>
        <v>58</v>
      </c>
      <c r="V67" s="13">
        <f t="shared" si="17"/>
        <v>885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11.0</v>
      </c>
      <c r="F69" s="73">
        <v>10.0</v>
      </c>
      <c r="G69" s="73">
        <v>6.0</v>
      </c>
      <c r="H69" s="73">
        <v>3.0</v>
      </c>
      <c r="I69" s="73">
        <v>7.0</v>
      </c>
      <c r="J69" s="73">
        <v>6.0</v>
      </c>
      <c r="K69" s="73">
        <v>4.0</v>
      </c>
      <c r="L69" s="73">
        <v>2.0</v>
      </c>
      <c r="M69" s="73">
        <v>7.0</v>
      </c>
      <c r="N69" s="73">
        <v>10.0</v>
      </c>
      <c r="O69" s="73">
        <v>6.0</v>
      </c>
      <c r="P69" s="73">
        <v>4.0</v>
      </c>
      <c r="Q69" s="73">
        <v>2.0</v>
      </c>
      <c r="R69" s="73">
        <v>2.0</v>
      </c>
      <c r="S69" s="73">
        <v>1.0</v>
      </c>
      <c r="T69" s="73">
        <v>8.0</v>
      </c>
      <c r="U69" s="73">
        <v>3.0</v>
      </c>
      <c r="V69" s="13">
        <f t="shared" ref="V69:V78" si="18">SUM(E69:U69)</f>
        <v>92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4.0</v>
      </c>
      <c r="F70" s="73">
        <v>5.0</v>
      </c>
      <c r="G70" s="73">
        <v>5.0</v>
      </c>
      <c r="H70" s="73">
        <v>1.0</v>
      </c>
      <c r="I70" s="73">
        <v>2.0</v>
      </c>
      <c r="J70" s="73">
        <v>2.0</v>
      </c>
      <c r="K70" s="73">
        <v>6.0</v>
      </c>
      <c r="L70" s="73">
        <v>2.0</v>
      </c>
      <c r="M70" s="73">
        <v>3.0</v>
      </c>
      <c r="N70" s="73">
        <v>5.0</v>
      </c>
      <c r="O70" s="73">
        <v>0.0</v>
      </c>
      <c r="P70" s="73">
        <v>0.0</v>
      </c>
      <c r="Q70" s="73">
        <v>0.0</v>
      </c>
      <c r="R70" s="73">
        <v>1.0</v>
      </c>
      <c r="S70" s="73">
        <v>1.0</v>
      </c>
      <c r="T70" s="73">
        <v>0.0</v>
      </c>
      <c r="U70" s="73">
        <v>1.0</v>
      </c>
      <c r="V70" s="13">
        <f t="shared" si="18"/>
        <v>38</v>
      </c>
    </row>
    <row r="71" ht="12.75" customHeight="1">
      <c r="A71" s="18"/>
      <c r="B71" s="49"/>
      <c r="C71" s="50" t="s">
        <v>62</v>
      </c>
      <c r="D71" s="51"/>
      <c r="E71" s="73">
        <v>2.0</v>
      </c>
      <c r="F71" s="73">
        <v>7.0</v>
      </c>
      <c r="G71" s="73">
        <v>3.0</v>
      </c>
      <c r="H71" s="73">
        <v>2.0</v>
      </c>
      <c r="I71" s="73">
        <v>0.0</v>
      </c>
      <c r="J71" s="73">
        <v>4.0</v>
      </c>
      <c r="K71" s="73">
        <v>2.0</v>
      </c>
      <c r="L71" s="73">
        <v>4.0</v>
      </c>
      <c r="M71" s="73">
        <v>6.0</v>
      </c>
      <c r="N71" s="73">
        <v>7.0</v>
      </c>
      <c r="O71" s="73">
        <v>2.0</v>
      </c>
      <c r="P71" s="73">
        <v>0.0</v>
      </c>
      <c r="Q71" s="73">
        <v>7.0</v>
      </c>
      <c r="R71" s="73">
        <v>8.0</v>
      </c>
      <c r="S71" s="73">
        <v>1.0</v>
      </c>
      <c r="T71" s="73">
        <v>9.0</v>
      </c>
      <c r="U71" s="73">
        <v>3.0</v>
      </c>
      <c r="V71" s="13">
        <f t="shared" si="18"/>
        <v>67</v>
      </c>
    </row>
    <row r="72" ht="12.75" customHeight="1">
      <c r="A72" s="18"/>
      <c r="B72" s="49"/>
      <c r="C72" s="50" t="s">
        <v>63</v>
      </c>
      <c r="D72" s="51"/>
      <c r="E72" s="73">
        <v>6.0</v>
      </c>
      <c r="F72" s="73">
        <v>8.0</v>
      </c>
      <c r="G72" s="73">
        <v>1.0</v>
      </c>
      <c r="H72" s="73">
        <v>4.0</v>
      </c>
      <c r="I72" s="73">
        <v>1.0</v>
      </c>
      <c r="J72" s="73">
        <v>3.0</v>
      </c>
      <c r="K72" s="73">
        <v>1.0</v>
      </c>
      <c r="L72" s="73">
        <v>4.0</v>
      </c>
      <c r="M72" s="73">
        <v>4.0</v>
      </c>
      <c r="N72" s="73">
        <v>1.0</v>
      </c>
      <c r="O72" s="73">
        <v>1.0</v>
      </c>
      <c r="P72" s="73">
        <v>4.0</v>
      </c>
      <c r="Q72" s="73">
        <v>0.0</v>
      </c>
      <c r="R72" s="73">
        <v>1.0</v>
      </c>
      <c r="S72" s="73">
        <v>1.0</v>
      </c>
      <c r="T72" s="73">
        <v>1.0</v>
      </c>
      <c r="U72" s="73">
        <v>5.0</v>
      </c>
      <c r="V72" s="13">
        <f t="shared" si="18"/>
        <v>46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6.0</v>
      </c>
      <c r="G73" s="73">
        <v>5.0</v>
      </c>
      <c r="H73" s="73">
        <v>6.0</v>
      </c>
      <c r="I73" s="73">
        <v>1.0</v>
      </c>
      <c r="J73" s="73">
        <v>4.0</v>
      </c>
      <c r="K73" s="73">
        <v>1.0</v>
      </c>
      <c r="L73" s="73">
        <v>3.0</v>
      </c>
      <c r="M73" s="73">
        <v>4.0</v>
      </c>
      <c r="N73" s="73">
        <v>5.0</v>
      </c>
      <c r="O73" s="73">
        <v>6.0</v>
      </c>
      <c r="P73" s="73">
        <v>3.0</v>
      </c>
      <c r="Q73" s="73">
        <v>2.0</v>
      </c>
      <c r="R73" s="73">
        <v>0.0</v>
      </c>
      <c r="S73" s="73">
        <v>1.0</v>
      </c>
      <c r="T73" s="73">
        <v>0.0</v>
      </c>
      <c r="U73" s="73">
        <v>2.0</v>
      </c>
      <c r="V73" s="13">
        <f t="shared" si="18"/>
        <v>51</v>
      </c>
    </row>
    <row r="74" ht="12.75" customHeight="1">
      <c r="A74" s="18"/>
      <c r="B74" s="49"/>
      <c r="C74" s="50" t="s">
        <v>65</v>
      </c>
      <c r="D74" s="51"/>
      <c r="E74" s="73">
        <v>1.0</v>
      </c>
      <c r="F74" s="73">
        <v>3.0</v>
      </c>
      <c r="G74" s="73">
        <v>0.0</v>
      </c>
      <c r="H74" s="73">
        <v>0.0</v>
      </c>
      <c r="I74" s="73">
        <v>2.0</v>
      </c>
      <c r="J74" s="73">
        <v>2.0</v>
      </c>
      <c r="K74" s="73">
        <v>2.0</v>
      </c>
      <c r="L74" s="73">
        <v>1.0</v>
      </c>
      <c r="M74" s="73">
        <v>1.0</v>
      </c>
      <c r="N74" s="73">
        <v>1.0</v>
      </c>
      <c r="O74" s="73">
        <v>1.0</v>
      </c>
      <c r="P74" s="73">
        <v>0.0</v>
      </c>
      <c r="Q74" s="73">
        <v>0.0</v>
      </c>
      <c r="R74" s="73">
        <v>0.0</v>
      </c>
      <c r="S74" s="73">
        <v>2.0</v>
      </c>
      <c r="T74" s="73">
        <v>0.0</v>
      </c>
      <c r="U74" s="73">
        <v>0.0</v>
      </c>
      <c r="V74" s="13">
        <f t="shared" si="18"/>
        <v>16</v>
      </c>
    </row>
    <row r="75" ht="12.75" customHeight="1">
      <c r="A75" s="18"/>
      <c r="B75" s="49"/>
      <c r="C75" s="50" t="s">
        <v>66</v>
      </c>
      <c r="D75" s="51"/>
      <c r="E75" s="73">
        <v>2.0</v>
      </c>
      <c r="F75" s="73">
        <v>0.0</v>
      </c>
      <c r="G75" s="73">
        <v>0.0</v>
      </c>
      <c r="H75" s="73">
        <v>1.0</v>
      </c>
      <c r="I75" s="73">
        <v>0.0</v>
      </c>
      <c r="J75" s="73">
        <v>0.0</v>
      </c>
      <c r="K75" s="73">
        <v>1.0</v>
      </c>
      <c r="L75" s="73">
        <v>2.0</v>
      </c>
      <c r="M75" s="73">
        <v>1.0</v>
      </c>
      <c r="N75" s="73">
        <v>0.0</v>
      </c>
      <c r="O75" s="73">
        <v>1.0</v>
      </c>
      <c r="P75" s="73">
        <v>0.0</v>
      </c>
      <c r="Q75" s="73">
        <v>1.0</v>
      </c>
      <c r="R75" s="73">
        <v>0.0</v>
      </c>
      <c r="S75" s="73">
        <v>0.0</v>
      </c>
      <c r="T75" s="73">
        <v>0.0</v>
      </c>
      <c r="U75" s="73">
        <v>0.0</v>
      </c>
      <c r="V75" s="13">
        <f t="shared" si="18"/>
        <v>9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1.0</v>
      </c>
      <c r="H76" s="73">
        <v>1.0</v>
      </c>
      <c r="I76" s="73">
        <v>0.0</v>
      </c>
      <c r="J76" s="73">
        <v>0.0</v>
      </c>
      <c r="K76" s="73">
        <v>2.0</v>
      </c>
      <c r="L76" s="73">
        <v>2.0</v>
      </c>
      <c r="M76" s="73">
        <v>1.0</v>
      </c>
      <c r="N76" s="73">
        <v>0.0</v>
      </c>
      <c r="O76" s="73">
        <v>0.0</v>
      </c>
      <c r="P76" s="73">
        <v>1.0</v>
      </c>
      <c r="Q76" s="73">
        <v>0.0</v>
      </c>
      <c r="R76" s="73">
        <v>0.0</v>
      </c>
      <c r="S76" s="73">
        <v>0.0</v>
      </c>
      <c r="T76" s="73">
        <v>4.0</v>
      </c>
      <c r="U76" s="73">
        <v>2.0</v>
      </c>
      <c r="V76" s="13">
        <f t="shared" si="18"/>
        <v>14</v>
      </c>
    </row>
    <row r="77" ht="12.75" customHeight="1">
      <c r="A77" s="18"/>
      <c r="B77" s="49"/>
      <c r="C77" s="50" t="s">
        <v>68</v>
      </c>
      <c r="D77" s="51"/>
      <c r="E77" s="73">
        <v>1.0</v>
      </c>
      <c r="F77" s="73">
        <v>1.0</v>
      </c>
      <c r="G77" s="73">
        <v>0.0</v>
      </c>
      <c r="H77" s="73">
        <v>1.0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1.0</v>
      </c>
      <c r="P77" s="73">
        <v>0.0</v>
      </c>
      <c r="Q77" s="73">
        <v>0.0</v>
      </c>
      <c r="R77" s="73">
        <v>0.0</v>
      </c>
      <c r="S77" s="73">
        <v>0.0</v>
      </c>
      <c r="T77" s="73">
        <v>0.0</v>
      </c>
      <c r="U77" s="73">
        <v>2.0</v>
      </c>
      <c r="V77" s="13">
        <f t="shared" si="18"/>
        <v>6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1.0</v>
      </c>
      <c r="G78" s="73">
        <v>1.0</v>
      </c>
      <c r="H78" s="73">
        <v>0.0</v>
      </c>
      <c r="I78" s="73">
        <v>0.0</v>
      </c>
      <c r="J78" s="73">
        <v>0.0</v>
      </c>
      <c r="K78" s="73">
        <v>1.0</v>
      </c>
      <c r="L78" s="73">
        <v>1.0</v>
      </c>
      <c r="M78" s="73">
        <v>1.0</v>
      </c>
      <c r="N78" s="73">
        <v>0.0</v>
      </c>
      <c r="O78" s="73">
        <v>0.0</v>
      </c>
      <c r="P78" s="73">
        <v>0.0</v>
      </c>
      <c r="Q78" s="73">
        <v>0.0</v>
      </c>
      <c r="R78" s="73">
        <v>0.0</v>
      </c>
      <c r="S78" s="73">
        <v>1.0</v>
      </c>
      <c r="T78" s="73">
        <v>1.0</v>
      </c>
      <c r="U78" s="73">
        <v>1.0</v>
      </c>
      <c r="V78" s="13">
        <f t="shared" si="18"/>
        <v>8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V79" si="19">SUM(E69:E78)</f>
        <v>29</v>
      </c>
      <c r="F79" s="13">
        <f t="shared" si="19"/>
        <v>41</v>
      </c>
      <c r="G79" s="13">
        <f t="shared" si="19"/>
        <v>22</v>
      </c>
      <c r="H79" s="13">
        <f t="shared" si="19"/>
        <v>19</v>
      </c>
      <c r="I79" s="13">
        <f t="shared" si="19"/>
        <v>13</v>
      </c>
      <c r="J79" s="13">
        <f t="shared" si="19"/>
        <v>21</v>
      </c>
      <c r="K79" s="13">
        <f t="shared" si="19"/>
        <v>20</v>
      </c>
      <c r="L79" s="13">
        <f t="shared" si="19"/>
        <v>21</v>
      </c>
      <c r="M79" s="13">
        <f t="shared" si="19"/>
        <v>28</v>
      </c>
      <c r="N79" s="13">
        <f t="shared" si="19"/>
        <v>29</v>
      </c>
      <c r="O79" s="13">
        <f t="shared" si="19"/>
        <v>18</v>
      </c>
      <c r="P79" s="13">
        <f t="shared" si="19"/>
        <v>12</v>
      </c>
      <c r="Q79" s="13">
        <f t="shared" si="19"/>
        <v>12</v>
      </c>
      <c r="R79" s="13">
        <f t="shared" si="19"/>
        <v>12</v>
      </c>
      <c r="S79" s="13">
        <f t="shared" si="19"/>
        <v>8</v>
      </c>
      <c r="T79" s="13">
        <f t="shared" si="19"/>
        <v>23</v>
      </c>
      <c r="U79" s="13">
        <f t="shared" si="19"/>
        <v>19</v>
      </c>
      <c r="V79" s="13">
        <f t="shared" si="19"/>
        <v>347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1.0</v>
      </c>
      <c r="G81" s="73">
        <v>4.0</v>
      </c>
      <c r="H81" s="73">
        <v>2.0</v>
      </c>
      <c r="I81" s="73">
        <v>1.0</v>
      </c>
      <c r="J81" s="73">
        <v>2.0</v>
      </c>
      <c r="K81" s="73">
        <v>3.0</v>
      </c>
      <c r="L81" s="73">
        <v>6.0</v>
      </c>
      <c r="M81" s="73">
        <v>3.0</v>
      </c>
      <c r="N81" s="73">
        <v>5.0</v>
      </c>
      <c r="O81" s="73">
        <v>3.0</v>
      </c>
      <c r="P81" s="73">
        <v>4.0</v>
      </c>
      <c r="Q81" s="73">
        <v>1.0</v>
      </c>
      <c r="R81" s="73">
        <v>1.0</v>
      </c>
      <c r="S81" s="73">
        <v>5.0</v>
      </c>
      <c r="T81" s="73">
        <v>5.0</v>
      </c>
      <c r="U81" s="73">
        <v>2.0</v>
      </c>
      <c r="V81" s="13">
        <f t="shared" ref="V81:V90" si="20">SUM(E81:U81)</f>
        <v>49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18.0</v>
      </c>
      <c r="F82" s="73">
        <v>2.0</v>
      </c>
      <c r="G82" s="73">
        <v>2.0</v>
      </c>
      <c r="H82" s="73">
        <v>3.0</v>
      </c>
      <c r="I82" s="73">
        <v>2.0</v>
      </c>
      <c r="J82" s="73">
        <v>0.0</v>
      </c>
      <c r="K82" s="73">
        <v>3.0</v>
      </c>
      <c r="L82" s="73">
        <v>21.0</v>
      </c>
      <c r="M82" s="73">
        <v>18.0</v>
      </c>
      <c r="N82" s="73">
        <v>3.0</v>
      </c>
      <c r="O82" s="73">
        <v>5.0</v>
      </c>
      <c r="P82" s="73">
        <v>24.0</v>
      </c>
      <c r="Q82" s="73">
        <v>1.0</v>
      </c>
      <c r="R82" s="73">
        <v>1.0</v>
      </c>
      <c r="S82" s="73">
        <v>10.0</v>
      </c>
      <c r="T82" s="73">
        <v>59.0</v>
      </c>
      <c r="U82" s="73">
        <v>13.0</v>
      </c>
      <c r="V82" s="13">
        <f t="shared" si="20"/>
        <v>185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0.0</v>
      </c>
      <c r="G83" s="73">
        <v>4.0</v>
      </c>
      <c r="H83" s="73">
        <v>0.0</v>
      </c>
      <c r="I83" s="73">
        <v>1.0</v>
      </c>
      <c r="J83" s="73">
        <v>0.0</v>
      </c>
      <c r="K83" s="73">
        <v>1.0</v>
      </c>
      <c r="L83" s="73">
        <v>0.0</v>
      </c>
      <c r="M83" s="73">
        <v>2.0</v>
      </c>
      <c r="N83" s="73">
        <v>1.0</v>
      </c>
      <c r="O83" s="73">
        <v>0.0</v>
      </c>
      <c r="P83" s="73">
        <v>1.0</v>
      </c>
      <c r="Q83" s="73">
        <v>0.0</v>
      </c>
      <c r="R83" s="73">
        <v>0.0</v>
      </c>
      <c r="S83" s="73">
        <v>1.0</v>
      </c>
      <c r="T83" s="73">
        <v>0.0</v>
      </c>
      <c r="U83" s="73">
        <v>2.0</v>
      </c>
      <c r="V83" s="13">
        <f t="shared" si="20"/>
        <v>13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2.0</v>
      </c>
      <c r="G84" s="73">
        <v>0.0</v>
      </c>
      <c r="H84" s="73">
        <v>0.0</v>
      </c>
      <c r="I84" s="73">
        <v>0.0</v>
      </c>
      <c r="J84" s="73">
        <v>1.0</v>
      </c>
      <c r="K84" s="73">
        <v>1.0</v>
      </c>
      <c r="L84" s="73">
        <v>1.0</v>
      </c>
      <c r="M84" s="73">
        <v>2.0</v>
      </c>
      <c r="N84" s="73">
        <v>2.0</v>
      </c>
      <c r="O84" s="73">
        <v>0.0</v>
      </c>
      <c r="P84" s="73">
        <v>0.0</v>
      </c>
      <c r="Q84" s="73">
        <v>0.0</v>
      </c>
      <c r="R84" s="73">
        <v>0.0</v>
      </c>
      <c r="S84" s="73">
        <v>1.0</v>
      </c>
      <c r="T84" s="73">
        <v>0.0</v>
      </c>
      <c r="U84" s="73">
        <v>1.0</v>
      </c>
      <c r="V84" s="13">
        <f t="shared" si="20"/>
        <v>11</v>
      </c>
    </row>
    <row r="85" ht="12.75" customHeight="1">
      <c r="A85" s="18"/>
      <c r="B85" s="49"/>
      <c r="C85" s="50" t="s">
        <v>74</v>
      </c>
      <c r="D85" s="51"/>
      <c r="E85" s="73">
        <v>2.0</v>
      </c>
      <c r="F85" s="73">
        <v>1.0</v>
      </c>
      <c r="G85" s="73">
        <v>14.0</v>
      </c>
      <c r="H85" s="73">
        <v>3.0</v>
      </c>
      <c r="I85" s="73">
        <v>0.0</v>
      </c>
      <c r="J85" s="73">
        <v>0.0</v>
      </c>
      <c r="K85" s="73">
        <v>2.0</v>
      </c>
      <c r="L85" s="73">
        <v>1.0</v>
      </c>
      <c r="M85" s="73">
        <v>2.0</v>
      </c>
      <c r="N85" s="73">
        <v>1.0</v>
      </c>
      <c r="O85" s="73">
        <v>3.0</v>
      </c>
      <c r="P85" s="73">
        <v>2.0</v>
      </c>
      <c r="Q85" s="73">
        <v>0.0</v>
      </c>
      <c r="R85" s="73">
        <v>0.0</v>
      </c>
      <c r="S85" s="73">
        <v>2.0</v>
      </c>
      <c r="T85" s="73">
        <v>0.0</v>
      </c>
      <c r="U85" s="73">
        <v>0.0</v>
      </c>
      <c r="V85" s="13">
        <f t="shared" si="20"/>
        <v>33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1.0</v>
      </c>
      <c r="H86" s="73">
        <v>0.0</v>
      </c>
      <c r="I86" s="73">
        <v>0.0</v>
      </c>
      <c r="J86" s="73">
        <v>1.0</v>
      </c>
      <c r="K86" s="73">
        <v>2.0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1.0</v>
      </c>
      <c r="R86" s="73">
        <v>0.0</v>
      </c>
      <c r="S86" s="73">
        <v>0.0</v>
      </c>
      <c r="T86" s="73">
        <v>0.0</v>
      </c>
      <c r="U86" s="73">
        <v>0.0</v>
      </c>
      <c r="V86" s="13">
        <f t="shared" si="20"/>
        <v>5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1.0</v>
      </c>
      <c r="T87" s="73">
        <v>0.0</v>
      </c>
      <c r="U87" s="73">
        <v>0.0</v>
      </c>
      <c r="V87" s="13">
        <f t="shared" si="20"/>
        <v>2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1.0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1.0</v>
      </c>
      <c r="S88" s="73">
        <v>0.0</v>
      </c>
      <c r="T88" s="73">
        <v>1.0</v>
      </c>
      <c r="U88" s="73">
        <v>0.0</v>
      </c>
      <c r="V88" s="13">
        <f t="shared" si="20"/>
        <v>3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1.0</v>
      </c>
      <c r="T89" s="73">
        <v>0.0</v>
      </c>
      <c r="U89" s="73">
        <v>0.0</v>
      </c>
      <c r="V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1.0</v>
      </c>
      <c r="H90" s="73">
        <v>0.0</v>
      </c>
      <c r="I90" s="73">
        <v>0.0</v>
      </c>
      <c r="J90" s="73">
        <v>0.0</v>
      </c>
      <c r="K90" s="73">
        <v>6.0</v>
      </c>
      <c r="L90" s="73">
        <v>2.0</v>
      </c>
      <c r="M90" s="73">
        <v>3.0</v>
      </c>
      <c r="N90" s="73">
        <v>1.0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1.0</v>
      </c>
      <c r="U90" s="73">
        <v>0.0</v>
      </c>
      <c r="V90" s="13">
        <f t="shared" si="20"/>
        <v>14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V91" si="21">SUM(E81:E90)</f>
        <v>21</v>
      </c>
      <c r="F91" s="13">
        <f t="shared" si="21"/>
        <v>6</v>
      </c>
      <c r="G91" s="13">
        <f t="shared" si="21"/>
        <v>26</v>
      </c>
      <c r="H91" s="13">
        <f t="shared" si="21"/>
        <v>8</v>
      </c>
      <c r="I91" s="13">
        <f t="shared" si="21"/>
        <v>4</v>
      </c>
      <c r="J91" s="13">
        <f t="shared" si="21"/>
        <v>4</v>
      </c>
      <c r="K91" s="13">
        <f t="shared" si="21"/>
        <v>19</v>
      </c>
      <c r="L91" s="13">
        <f t="shared" si="21"/>
        <v>32</v>
      </c>
      <c r="M91" s="13">
        <f t="shared" si="21"/>
        <v>30</v>
      </c>
      <c r="N91" s="13">
        <f t="shared" si="21"/>
        <v>13</v>
      </c>
      <c r="O91" s="13">
        <f t="shared" si="21"/>
        <v>11</v>
      </c>
      <c r="P91" s="13">
        <f t="shared" si="21"/>
        <v>31</v>
      </c>
      <c r="Q91" s="13">
        <f t="shared" si="21"/>
        <v>3</v>
      </c>
      <c r="R91" s="13">
        <f t="shared" si="21"/>
        <v>3</v>
      </c>
      <c r="S91" s="13">
        <f t="shared" si="21"/>
        <v>21</v>
      </c>
      <c r="T91" s="13">
        <f t="shared" si="21"/>
        <v>66</v>
      </c>
      <c r="U91" s="13">
        <f t="shared" si="21"/>
        <v>18</v>
      </c>
      <c r="V91" s="13">
        <f t="shared" si="21"/>
        <v>316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0.0</v>
      </c>
      <c r="H93" s="73">
        <v>0.0</v>
      </c>
      <c r="I93" s="73">
        <v>1.0</v>
      </c>
      <c r="J93" s="73">
        <v>1.0</v>
      </c>
      <c r="K93" s="73">
        <v>2.0</v>
      </c>
      <c r="L93" s="73">
        <v>2.0</v>
      </c>
      <c r="M93" s="73">
        <v>1.0</v>
      </c>
      <c r="N93" s="73">
        <v>1.0</v>
      </c>
      <c r="O93" s="73">
        <v>1.0</v>
      </c>
      <c r="P93" s="73">
        <v>1.0</v>
      </c>
      <c r="Q93" s="73">
        <v>0.0</v>
      </c>
      <c r="R93" s="73">
        <v>0.0</v>
      </c>
      <c r="S93" s="73">
        <v>3.0</v>
      </c>
      <c r="T93" s="73">
        <v>1.0</v>
      </c>
      <c r="U93" s="73">
        <v>0.0</v>
      </c>
      <c r="V93" s="13">
        <f t="shared" ref="V93:V102" si="22">SUM(E93:U93)</f>
        <v>14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3.0</v>
      </c>
      <c r="F94" s="73">
        <v>2.0</v>
      </c>
      <c r="G94" s="73">
        <v>11.0</v>
      </c>
      <c r="H94" s="73">
        <v>0.0</v>
      </c>
      <c r="I94" s="73">
        <v>20.0</v>
      </c>
      <c r="J94" s="73">
        <v>6.0</v>
      </c>
      <c r="K94" s="73">
        <v>35.0</v>
      </c>
      <c r="L94" s="73">
        <v>32.0</v>
      </c>
      <c r="M94" s="73">
        <v>4.0</v>
      </c>
      <c r="N94" s="73">
        <v>4.0</v>
      </c>
      <c r="O94" s="73">
        <v>7.0</v>
      </c>
      <c r="P94" s="73">
        <v>0.0</v>
      </c>
      <c r="Q94" s="73">
        <v>1.0</v>
      </c>
      <c r="R94" s="73">
        <v>1.0</v>
      </c>
      <c r="S94" s="73">
        <v>0.0</v>
      </c>
      <c r="T94" s="73">
        <v>1.0</v>
      </c>
      <c r="U94" s="73">
        <v>0.0</v>
      </c>
      <c r="V94" s="13">
        <f t="shared" si="22"/>
        <v>127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1.0</v>
      </c>
      <c r="M95" s="73">
        <v>0.0</v>
      </c>
      <c r="N95" s="73">
        <v>0.0</v>
      </c>
      <c r="O95" s="73">
        <v>1.0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13">
        <f t="shared" si="22"/>
        <v>2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1.0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13">
        <f t="shared" si="22"/>
        <v>2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13">
        <f t="shared" si="22"/>
        <v>0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1.0</v>
      </c>
      <c r="M98" s="73">
        <v>1.0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13">
        <f t="shared" si="22"/>
        <v>2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1.0</v>
      </c>
      <c r="N99" s="73">
        <v>0.0</v>
      </c>
      <c r="O99" s="73">
        <v>0.0</v>
      </c>
      <c r="P99" s="73">
        <v>0.0</v>
      </c>
      <c r="Q99" s="73">
        <v>1.0</v>
      </c>
      <c r="R99" s="73">
        <v>0.0</v>
      </c>
      <c r="S99" s="73">
        <v>0.0</v>
      </c>
      <c r="T99" s="73">
        <v>0.0</v>
      </c>
      <c r="U99" s="73">
        <v>0.0</v>
      </c>
      <c r="V99" s="13">
        <f t="shared" si="22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13">
        <f t="shared" si="22"/>
        <v>0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V103" si="23">SUM(E93:E102)</f>
        <v>3</v>
      </c>
      <c r="F103" s="13">
        <f t="shared" si="23"/>
        <v>2</v>
      </c>
      <c r="G103" s="13">
        <f t="shared" si="23"/>
        <v>12</v>
      </c>
      <c r="H103" s="13">
        <f t="shared" si="23"/>
        <v>0</v>
      </c>
      <c r="I103" s="13">
        <f t="shared" si="23"/>
        <v>22</v>
      </c>
      <c r="J103" s="13">
        <f t="shared" si="23"/>
        <v>7</v>
      </c>
      <c r="K103" s="13">
        <f t="shared" si="23"/>
        <v>37</v>
      </c>
      <c r="L103" s="13">
        <f t="shared" si="23"/>
        <v>36</v>
      </c>
      <c r="M103" s="13">
        <f t="shared" si="23"/>
        <v>7</v>
      </c>
      <c r="N103" s="13">
        <f t="shared" si="23"/>
        <v>5</v>
      </c>
      <c r="O103" s="13">
        <f t="shared" si="23"/>
        <v>9</v>
      </c>
      <c r="P103" s="13">
        <f t="shared" si="23"/>
        <v>1</v>
      </c>
      <c r="Q103" s="13">
        <f t="shared" si="23"/>
        <v>2</v>
      </c>
      <c r="R103" s="13">
        <f t="shared" si="23"/>
        <v>1</v>
      </c>
      <c r="S103" s="13">
        <f t="shared" si="23"/>
        <v>3</v>
      </c>
      <c r="T103" s="13">
        <f t="shared" si="23"/>
        <v>2</v>
      </c>
      <c r="U103" s="13">
        <f t="shared" si="23"/>
        <v>0</v>
      </c>
      <c r="V103" s="13">
        <f t="shared" si="23"/>
        <v>149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0.0</v>
      </c>
      <c r="J105" s="73">
        <v>2.0</v>
      </c>
      <c r="K105" s="73">
        <v>0.0</v>
      </c>
      <c r="L105" s="73">
        <v>0.0</v>
      </c>
      <c r="M105" s="73">
        <v>1.0</v>
      </c>
      <c r="N105" s="73">
        <v>1.0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1.0</v>
      </c>
      <c r="U105" s="73">
        <v>3.0</v>
      </c>
      <c r="V105" s="13">
        <f t="shared" ref="V105:V114" si="24">SUM(E105:U105)</f>
        <v>9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1.0</v>
      </c>
      <c r="V106" s="13">
        <f t="shared" si="24"/>
        <v>1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1.0</v>
      </c>
      <c r="K107" s="73">
        <v>0.0</v>
      </c>
      <c r="L107" s="73">
        <v>0.0</v>
      </c>
      <c r="M107" s="73">
        <v>1.0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13">
        <f t="shared" si="24"/>
        <v>2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V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3</v>
      </c>
      <c r="K115" s="13">
        <f t="shared" si="25"/>
        <v>0</v>
      </c>
      <c r="L115" s="13">
        <f t="shared" si="25"/>
        <v>0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4</v>
      </c>
      <c r="V115" s="13">
        <f t="shared" si="25"/>
        <v>12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2.0</v>
      </c>
      <c r="F117" s="73">
        <v>0.0</v>
      </c>
      <c r="G117" s="73">
        <v>1.0</v>
      </c>
      <c r="H117" s="73">
        <v>0.0</v>
      </c>
      <c r="I117" s="73">
        <v>0.0</v>
      </c>
      <c r="J117" s="73">
        <v>2.0</v>
      </c>
      <c r="K117" s="73">
        <v>3.0</v>
      </c>
      <c r="L117" s="73">
        <v>1.0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0.0</v>
      </c>
      <c r="S117" s="73">
        <v>1.0</v>
      </c>
      <c r="T117" s="73">
        <v>1.0</v>
      </c>
      <c r="U117" s="73">
        <v>0.0</v>
      </c>
      <c r="V117" s="13">
        <f t="shared" ref="V117:V126" si="26">SUM(E117:U117)</f>
        <v>12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1.0</v>
      </c>
      <c r="I118" s="73">
        <v>1.0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1.0</v>
      </c>
      <c r="T118" s="73">
        <v>0.0</v>
      </c>
      <c r="U118" s="73">
        <v>0.0</v>
      </c>
      <c r="V118" s="13">
        <f t="shared" si="26"/>
        <v>3</v>
      </c>
    </row>
    <row r="119" ht="12.75" customHeight="1">
      <c r="A119" s="18"/>
      <c r="B119" s="49"/>
      <c r="C119" s="50" t="s">
        <v>98</v>
      </c>
      <c r="D119" s="51"/>
      <c r="E119" s="73">
        <v>1.0</v>
      </c>
      <c r="F119" s="73">
        <v>0.0</v>
      </c>
      <c r="G119" s="73">
        <v>0.0</v>
      </c>
      <c r="H119" s="73">
        <v>0.0</v>
      </c>
      <c r="I119" s="73">
        <v>0.0</v>
      </c>
      <c r="J119" s="73">
        <v>1.0</v>
      </c>
      <c r="K119" s="73">
        <v>0.0</v>
      </c>
      <c r="L119" s="73">
        <v>0.0</v>
      </c>
      <c r="M119" s="73">
        <v>0.0</v>
      </c>
      <c r="N119" s="73">
        <v>2.0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13">
        <f t="shared" si="26"/>
        <v>4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1.0</v>
      </c>
      <c r="H120" s="73">
        <v>1.0</v>
      </c>
      <c r="I120" s="73">
        <v>0.0</v>
      </c>
      <c r="J120" s="73">
        <v>0.0</v>
      </c>
      <c r="K120" s="73">
        <v>0.0</v>
      </c>
      <c r="L120" s="73">
        <v>0.0</v>
      </c>
      <c r="M120" s="73">
        <v>1.0</v>
      </c>
      <c r="N120" s="73">
        <v>0.0</v>
      </c>
      <c r="O120" s="73">
        <v>0.0</v>
      </c>
      <c r="P120" s="73">
        <v>1.0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13">
        <f t="shared" si="26"/>
        <v>4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1.0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13">
        <f t="shared" si="26"/>
        <v>1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1.0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1.0</v>
      </c>
      <c r="U122" s="73">
        <v>0.0</v>
      </c>
      <c r="V122" s="13">
        <f t="shared" si="26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V127" si="27">SUM(E117:E126)</f>
        <v>3</v>
      </c>
      <c r="F127" s="13">
        <f t="shared" si="27"/>
        <v>1</v>
      </c>
      <c r="G127" s="13">
        <f t="shared" si="27"/>
        <v>2</v>
      </c>
      <c r="H127" s="13">
        <f t="shared" si="27"/>
        <v>2</v>
      </c>
      <c r="I127" s="13">
        <f t="shared" si="27"/>
        <v>1</v>
      </c>
      <c r="J127" s="13">
        <f t="shared" si="27"/>
        <v>3</v>
      </c>
      <c r="K127" s="13">
        <f t="shared" si="27"/>
        <v>4</v>
      </c>
      <c r="L127" s="13">
        <f t="shared" si="27"/>
        <v>1</v>
      </c>
      <c r="M127" s="13">
        <f t="shared" si="27"/>
        <v>1</v>
      </c>
      <c r="N127" s="13">
        <f t="shared" si="27"/>
        <v>3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2</v>
      </c>
      <c r="T127" s="13">
        <f t="shared" si="27"/>
        <v>2</v>
      </c>
      <c r="U127" s="13">
        <f t="shared" si="27"/>
        <v>0</v>
      </c>
      <c r="V127" s="13">
        <f t="shared" si="27"/>
        <v>26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3.0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0.0</v>
      </c>
      <c r="T129" s="73">
        <v>0.0</v>
      </c>
      <c r="U129" s="73">
        <v>0.0</v>
      </c>
      <c r="V129" s="13">
        <f t="shared" ref="V129:V138" si="28">SUM(E129:U129)</f>
        <v>3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1.0</v>
      </c>
      <c r="H130" s="73">
        <v>0.0</v>
      </c>
      <c r="I130" s="73">
        <v>3.0</v>
      </c>
      <c r="J130" s="73">
        <v>1.0</v>
      </c>
      <c r="K130" s="73">
        <v>0.0</v>
      </c>
      <c r="L130" s="73">
        <v>0.0</v>
      </c>
      <c r="M130" s="73">
        <v>0.0</v>
      </c>
      <c r="N130" s="73">
        <v>2.0</v>
      </c>
      <c r="O130" s="73">
        <v>1.0</v>
      </c>
      <c r="P130" s="73">
        <v>1.0</v>
      </c>
      <c r="Q130" s="73">
        <v>5.0</v>
      </c>
      <c r="R130" s="73">
        <v>0.0</v>
      </c>
      <c r="S130" s="73">
        <v>0.0</v>
      </c>
      <c r="T130" s="73">
        <v>0.0</v>
      </c>
      <c r="U130" s="73">
        <v>0.0</v>
      </c>
      <c r="V130" s="13">
        <f t="shared" si="28"/>
        <v>14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1.0</v>
      </c>
      <c r="I131" s="73">
        <v>1.0</v>
      </c>
      <c r="J131" s="73">
        <v>0.0</v>
      </c>
      <c r="K131" s="73">
        <v>0.0</v>
      </c>
      <c r="L131" s="73">
        <v>0.0</v>
      </c>
      <c r="M131" s="73">
        <v>1.0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13">
        <f t="shared" si="28"/>
        <v>3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13">
        <f t="shared" si="28"/>
        <v>0</v>
      </c>
    </row>
    <row r="133" ht="12.75" customHeight="1">
      <c r="A133" s="18"/>
      <c r="B133" s="49"/>
      <c r="C133" s="50" t="s">
        <v>107</v>
      </c>
      <c r="D133" s="51"/>
      <c r="E133" s="73">
        <v>2.0</v>
      </c>
      <c r="F133" s="73">
        <v>0.0</v>
      </c>
      <c r="G133" s="73">
        <v>1.0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13">
        <f t="shared" si="28"/>
        <v>3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1.0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13">
        <f t="shared" si="28"/>
        <v>1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1.0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13">
        <f t="shared" si="28"/>
        <v>1</v>
      </c>
    </row>
    <row r="136" ht="12.75" customHeight="1">
      <c r="A136" s="18"/>
      <c r="B136" s="49"/>
      <c r="C136" s="50" t="s">
        <v>110</v>
      </c>
      <c r="D136" s="51"/>
      <c r="E136" s="73">
        <v>1.0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1.0</v>
      </c>
      <c r="O136" s="73">
        <v>0.0</v>
      </c>
      <c r="P136" s="73">
        <v>0.0</v>
      </c>
      <c r="Q136" s="73">
        <v>1.0</v>
      </c>
      <c r="R136" s="73">
        <v>0.0</v>
      </c>
      <c r="S136" s="73">
        <v>0.0</v>
      </c>
      <c r="T136" s="73">
        <v>0.0</v>
      </c>
      <c r="U136" s="73">
        <v>0.0</v>
      </c>
      <c r="V136" s="13">
        <f t="shared" si="28"/>
        <v>3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1.0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13">
        <f t="shared" si="28"/>
        <v>1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V139" si="29">SUM(E129:E138)</f>
        <v>3</v>
      </c>
      <c r="F139" s="13">
        <f t="shared" si="29"/>
        <v>0</v>
      </c>
      <c r="G139" s="13">
        <f t="shared" si="29"/>
        <v>6</v>
      </c>
      <c r="H139" s="13">
        <f t="shared" si="29"/>
        <v>1</v>
      </c>
      <c r="I139" s="13">
        <f t="shared" si="29"/>
        <v>4</v>
      </c>
      <c r="J139" s="13">
        <f t="shared" si="29"/>
        <v>2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3</v>
      </c>
      <c r="O139" s="13">
        <f t="shared" si="29"/>
        <v>2</v>
      </c>
      <c r="P139" s="13">
        <f t="shared" si="29"/>
        <v>1</v>
      </c>
      <c r="Q139" s="13">
        <f t="shared" si="29"/>
        <v>6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29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1.0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13">
        <f t="shared" ref="V141:V150" si="30">SUM(E141:U141)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V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13">
        <f t="shared" ref="V153:V162" si="32">SUM(E153:U153)</f>
        <v>1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1.0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1.0</v>
      </c>
      <c r="T154" s="73">
        <v>0.0</v>
      </c>
      <c r="U154" s="73">
        <v>0.0</v>
      </c>
      <c r="V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1.0</v>
      </c>
      <c r="I155" s="73">
        <v>1.0</v>
      </c>
      <c r="J155" s="73">
        <v>0.0</v>
      </c>
      <c r="K155" s="73">
        <v>0.0</v>
      </c>
      <c r="L155" s="73">
        <v>0.0</v>
      </c>
      <c r="M155" s="73">
        <v>0.0</v>
      </c>
      <c r="N155" s="73">
        <v>1.0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13">
        <f t="shared" si="32"/>
        <v>3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13">
        <f t="shared" si="32"/>
        <v>0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13">
        <f t="shared" si="32"/>
        <v>0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1.0</v>
      </c>
      <c r="V160" s="13">
        <f t="shared" si="32"/>
        <v>1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V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3"/>
        <v>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1.0</v>
      </c>
      <c r="L165" s="73">
        <v>0.0</v>
      </c>
      <c r="M165" s="73">
        <v>1.0</v>
      </c>
      <c r="N165" s="73">
        <v>1.0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13">
        <f t="shared" ref="V165:V174" si="34">SUM(E165:U165)</f>
        <v>5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1.0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1.0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13">
        <f t="shared" si="34"/>
        <v>2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V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2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2.0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13">
        <f t="shared" ref="V177:V186" si="36">SUM(E177:U177)</f>
        <v>3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0.0</v>
      </c>
      <c r="H178" s="73">
        <v>2.0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13">
        <f t="shared" si="36"/>
        <v>2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13">
        <f t="shared" si="36"/>
        <v>0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1.0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1.0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13">
        <f t="shared" si="36"/>
        <v>2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2.0</v>
      </c>
      <c r="G181" s="73">
        <v>1.0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1.0</v>
      </c>
      <c r="R181" s="73">
        <v>0.0</v>
      </c>
      <c r="S181" s="73">
        <v>0.0</v>
      </c>
      <c r="T181" s="73">
        <v>0.0</v>
      </c>
      <c r="U181" s="73">
        <v>0.0</v>
      </c>
      <c r="V181" s="13">
        <f t="shared" si="36"/>
        <v>4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13">
        <f t="shared" si="36"/>
        <v>0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1.0</v>
      </c>
      <c r="G183" s="73">
        <v>1.0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1.0</v>
      </c>
      <c r="U183" s="73">
        <v>0.0</v>
      </c>
      <c r="V183" s="13">
        <f t="shared" si="36"/>
        <v>3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2.0</v>
      </c>
      <c r="H184" s="73">
        <v>1.0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1.0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13">
        <f t="shared" si="36"/>
        <v>4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13">
        <f t="shared" si="36"/>
        <v>0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1.0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2.0</v>
      </c>
      <c r="S186" s="73">
        <v>0.0</v>
      </c>
      <c r="T186" s="73">
        <v>0.0</v>
      </c>
      <c r="U186" s="73">
        <v>0.0</v>
      </c>
      <c r="V186" s="13">
        <f t="shared" si="36"/>
        <v>3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V187" si="37">SUM(E177:E186)</f>
        <v>0</v>
      </c>
      <c r="F187" s="13">
        <f t="shared" si="37"/>
        <v>5</v>
      </c>
      <c r="G187" s="13">
        <f t="shared" si="37"/>
        <v>6</v>
      </c>
      <c r="H187" s="13">
        <f t="shared" si="37"/>
        <v>3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1</v>
      </c>
      <c r="O187" s="13">
        <f t="shared" si="37"/>
        <v>1</v>
      </c>
      <c r="P187" s="13">
        <f t="shared" si="37"/>
        <v>0</v>
      </c>
      <c r="Q187" s="13">
        <f t="shared" si="37"/>
        <v>1</v>
      </c>
      <c r="R187" s="13">
        <f t="shared" si="37"/>
        <v>2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21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78"/>
      <c r="T188" s="78"/>
      <c r="V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2.0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1.0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13">
        <f t="shared" ref="V189:V198" si="38">SUM(E189:U189)</f>
        <v>3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1.0</v>
      </c>
      <c r="S190" s="73">
        <v>0.0</v>
      </c>
      <c r="T190" s="73">
        <v>0.0</v>
      </c>
      <c r="U190" s="73">
        <v>0.0</v>
      </c>
      <c r="V190" s="13">
        <f t="shared" si="38"/>
        <v>1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1.0</v>
      </c>
      <c r="V191" s="13">
        <f t="shared" si="38"/>
        <v>1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1.0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13">
        <f t="shared" si="38"/>
        <v>1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1.0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13">
        <f t="shared" si="38"/>
        <v>1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1.0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1.0</v>
      </c>
      <c r="Q195" s="73">
        <v>1.0</v>
      </c>
      <c r="R195" s="73">
        <v>0.0</v>
      </c>
      <c r="S195" s="73">
        <v>0.0</v>
      </c>
      <c r="T195" s="73">
        <v>0.0</v>
      </c>
      <c r="U195" s="73">
        <v>0.0</v>
      </c>
      <c r="V195" s="13">
        <f t="shared" si="38"/>
        <v>2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1.0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13">
        <f t="shared" si="38"/>
        <v>1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1.0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13">
        <f t="shared" si="38"/>
        <v>1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13">
        <f t="shared" si="38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V199" si="39">SUM(E189:E198)</f>
        <v>2</v>
      </c>
      <c r="F199" s="13">
        <f t="shared" si="39"/>
        <v>2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1</v>
      </c>
      <c r="P199" s="13">
        <f t="shared" si="39"/>
        <v>1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12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3.0</v>
      </c>
      <c r="F201" s="73">
        <v>4.0</v>
      </c>
      <c r="G201" s="73">
        <v>8.0</v>
      </c>
      <c r="H201" s="73">
        <v>3.0</v>
      </c>
      <c r="I201" s="73">
        <v>2.0</v>
      </c>
      <c r="J201" s="73">
        <v>2.0</v>
      </c>
      <c r="K201" s="73">
        <v>3.0</v>
      </c>
      <c r="L201" s="73">
        <v>3.0</v>
      </c>
      <c r="M201" s="73">
        <v>6.0</v>
      </c>
      <c r="N201" s="73">
        <v>14.0</v>
      </c>
      <c r="O201" s="73">
        <v>7.0</v>
      </c>
      <c r="P201" s="73">
        <v>4.0</v>
      </c>
      <c r="Q201" s="73">
        <v>9.0</v>
      </c>
      <c r="R201" s="73">
        <v>7.0</v>
      </c>
      <c r="S201" s="73">
        <v>22.0</v>
      </c>
      <c r="T201" s="73">
        <v>4.0</v>
      </c>
      <c r="U201" s="73">
        <v>5.0</v>
      </c>
      <c r="V201" s="13">
        <f t="shared" ref="V201:V210" si="40">SUM(E201:U201)</f>
        <v>106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15.0</v>
      </c>
      <c r="F202" s="73">
        <v>15.0</v>
      </c>
      <c r="G202" s="73">
        <v>17.0</v>
      </c>
      <c r="H202" s="73">
        <v>15.0</v>
      </c>
      <c r="I202" s="73">
        <v>86.0</v>
      </c>
      <c r="J202" s="73">
        <v>15.0</v>
      </c>
      <c r="K202" s="73">
        <v>13.0</v>
      </c>
      <c r="L202" s="73">
        <v>5.0</v>
      </c>
      <c r="M202" s="73">
        <v>10.0</v>
      </c>
      <c r="N202" s="73">
        <v>19.0</v>
      </c>
      <c r="O202" s="73">
        <v>9.0</v>
      </c>
      <c r="P202" s="73">
        <v>3.0</v>
      </c>
      <c r="Q202" s="73">
        <v>21.0</v>
      </c>
      <c r="R202" s="73">
        <v>28.0</v>
      </c>
      <c r="S202" s="73">
        <v>38.0</v>
      </c>
      <c r="T202" s="73">
        <v>55.0</v>
      </c>
      <c r="U202" s="73">
        <v>21.0</v>
      </c>
      <c r="V202" s="13">
        <f t="shared" si="40"/>
        <v>385</v>
      </c>
    </row>
    <row r="203" ht="12.75" customHeight="1">
      <c r="A203" s="18"/>
      <c r="B203" s="49"/>
      <c r="C203" s="50" t="s">
        <v>155</v>
      </c>
      <c r="D203" s="51"/>
      <c r="E203" s="73">
        <v>5.0</v>
      </c>
      <c r="F203" s="73">
        <v>0.0</v>
      </c>
      <c r="G203" s="73">
        <v>4.0</v>
      </c>
      <c r="H203" s="73">
        <v>2.0</v>
      </c>
      <c r="I203" s="73">
        <v>1.0</v>
      </c>
      <c r="J203" s="73">
        <v>7.0</v>
      </c>
      <c r="K203" s="73">
        <v>2.0</v>
      </c>
      <c r="L203" s="73">
        <v>1.0</v>
      </c>
      <c r="M203" s="73">
        <v>6.0</v>
      </c>
      <c r="N203" s="73">
        <v>1.0</v>
      </c>
      <c r="O203" s="73">
        <v>5.0</v>
      </c>
      <c r="P203" s="73">
        <v>0.0</v>
      </c>
      <c r="Q203" s="73">
        <v>3.0</v>
      </c>
      <c r="R203" s="73">
        <v>6.0</v>
      </c>
      <c r="S203" s="73">
        <v>3.0</v>
      </c>
      <c r="T203" s="73">
        <v>0.0</v>
      </c>
      <c r="U203" s="73">
        <v>2.0</v>
      </c>
      <c r="V203" s="13">
        <f t="shared" si="40"/>
        <v>48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1.0</v>
      </c>
      <c r="J204" s="73">
        <v>0.0</v>
      </c>
      <c r="K204" s="73">
        <v>0.0</v>
      </c>
      <c r="L204" s="73">
        <v>1.0</v>
      </c>
      <c r="M204" s="73">
        <v>0.0</v>
      </c>
      <c r="N204" s="73">
        <v>0.0</v>
      </c>
      <c r="O204" s="73">
        <v>0.0</v>
      </c>
      <c r="P204" s="73">
        <v>1.0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13">
        <f t="shared" si="40"/>
        <v>3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1.0</v>
      </c>
      <c r="H205" s="73">
        <v>1.0</v>
      </c>
      <c r="I205" s="73">
        <v>0.0</v>
      </c>
      <c r="J205" s="73">
        <v>1.0</v>
      </c>
      <c r="K205" s="73">
        <v>0.0</v>
      </c>
      <c r="L205" s="73">
        <v>1.0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13">
        <f t="shared" si="40"/>
        <v>4</v>
      </c>
    </row>
    <row r="206" ht="12.75" customHeight="1">
      <c r="A206" s="18"/>
      <c r="B206" s="49"/>
      <c r="C206" s="50" t="s">
        <v>158</v>
      </c>
      <c r="D206" s="51"/>
      <c r="E206" s="73">
        <v>1.0</v>
      </c>
      <c r="F206" s="73">
        <v>1.0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1.0</v>
      </c>
      <c r="N206" s="73">
        <v>0.0</v>
      </c>
      <c r="O206" s="73">
        <v>0.0</v>
      </c>
      <c r="P206" s="73">
        <v>0.0</v>
      </c>
      <c r="Q206" s="73">
        <v>0.0</v>
      </c>
      <c r="R206" s="73">
        <v>1.0</v>
      </c>
      <c r="S206" s="73">
        <v>0.0</v>
      </c>
      <c r="T206" s="73">
        <v>0.0</v>
      </c>
      <c r="U206" s="73">
        <v>0.0</v>
      </c>
      <c r="V206" s="13">
        <f t="shared" si="40"/>
        <v>4</v>
      </c>
    </row>
    <row r="207" ht="12.75" customHeight="1">
      <c r="A207" s="18"/>
      <c r="B207" s="49"/>
      <c r="C207" s="50" t="s">
        <v>159</v>
      </c>
      <c r="D207" s="51"/>
      <c r="E207" s="73">
        <v>1.0</v>
      </c>
      <c r="F207" s="73">
        <v>0.0</v>
      </c>
      <c r="G207" s="73">
        <v>0.0</v>
      </c>
      <c r="H207" s="73">
        <v>0.0</v>
      </c>
      <c r="I207" s="73">
        <v>0.0</v>
      </c>
      <c r="J207" s="73">
        <v>1.0</v>
      </c>
      <c r="K207" s="73">
        <v>1.0</v>
      </c>
      <c r="L207" s="73">
        <v>0.0</v>
      </c>
      <c r="M207" s="73">
        <v>0.0</v>
      </c>
      <c r="N207" s="73">
        <v>0.0</v>
      </c>
      <c r="O207" s="73">
        <v>1.0</v>
      </c>
      <c r="P207" s="73">
        <v>1.0</v>
      </c>
      <c r="Q207" s="73">
        <v>2.0</v>
      </c>
      <c r="R207" s="73">
        <v>0.0</v>
      </c>
      <c r="S207" s="73">
        <v>1.0</v>
      </c>
      <c r="T207" s="73">
        <v>0.0</v>
      </c>
      <c r="U207" s="73">
        <v>0.0</v>
      </c>
      <c r="V207" s="13">
        <f t="shared" si="40"/>
        <v>8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1.0</v>
      </c>
      <c r="H208" s="73">
        <v>1.0</v>
      </c>
      <c r="I208" s="73">
        <v>3.0</v>
      </c>
      <c r="J208" s="73">
        <v>1.0</v>
      </c>
      <c r="K208" s="73">
        <v>0.0</v>
      </c>
      <c r="L208" s="73">
        <v>1.0</v>
      </c>
      <c r="M208" s="73">
        <v>0.0</v>
      </c>
      <c r="N208" s="73">
        <v>2.0</v>
      </c>
      <c r="O208" s="73">
        <v>0.0</v>
      </c>
      <c r="P208" s="73">
        <v>0.0</v>
      </c>
      <c r="Q208" s="73">
        <v>0.0</v>
      </c>
      <c r="R208" s="73">
        <v>0.0</v>
      </c>
      <c r="S208" s="73">
        <v>0.0</v>
      </c>
      <c r="T208" s="73">
        <v>0.0</v>
      </c>
      <c r="U208" s="73">
        <v>0.0</v>
      </c>
      <c r="V208" s="13">
        <f t="shared" si="40"/>
        <v>9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13">
        <f t="shared" si="40"/>
        <v>0</v>
      </c>
    </row>
    <row r="210" ht="12.75" customHeight="1">
      <c r="A210" s="18"/>
      <c r="B210" s="49"/>
      <c r="C210" s="50" t="s">
        <v>162</v>
      </c>
      <c r="D210" s="51"/>
      <c r="E210" s="73">
        <v>2.0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3.0</v>
      </c>
      <c r="Q210" s="73">
        <v>0.0</v>
      </c>
      <c r="R210" s="73">
        <v>0.0</v>
      </c>
      <c r="S210" s="73">
        <v>0.0</v>
      </c>
      <c r="T210" s="73">
        <v>2.0</v>
      </c>
      <c r="U210" s="73">
        <v>0.0</v>
      </c>
      <c r="V210" s="13">
        <f t="shared" si="40"/>
        <v>7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V211" si="41">SUM(E201:E210)</f>
        <v>27</v>
      </c>
      <c r="F211" s="13">
        <f t="shared" si="41"/>
        <v>20</v>
      </c>
      <c r="G211" s="13">
        <f t="shared" si="41"/>
        <v>31</v>
      </c>
      <c r="H211" s="13">
        <f t="shared" si="41"/>
        <v>22</v>
      </c>
      <c r="I211" s="13">
        <f t="shared" si="41"/>
        <v>93</v>
      </c>
      <c r="J211" s="13">
        <f t="shared" si="41"/>
        <v>27</v>
      </c>
      <c r="K211" s="13">
        <f t="shared" si="41"/>
        <v>19</v>
      </c>
      <c r="L211" s="13">
        <f t="shared" si="41"/>
        <v>12</v>
      </c>
      <c r="M211" s="13">
        <f t="shared" si="41"/>
        <v>23</v>
      </c>
      <c r="N211" s="13">
        <f t="shared" si="41"/>
        <v>36</v>
      </c>
      <c r="O211" s="13">
        <f t="shared" si="41"/>
        <v>22</v>
      </c>
      <c r="P211" s="13">
        <f t="shared" si="41"/>
        <v>12</v>
      </c>
      <c r="Q211" s="13">
        <f t="shared" si="41"/>
        <v>35</v>
      </c>
      <c r="R211" s="13">
        <f t="shared" si="41"/>
        <v>42</v>
      </c>
      <c r="S211" s="13">
        <f t="shared" si="41"/>
        <v>64</v>
      </c>
      <c r="T211" s="13">
        <f t="shared" si="41"/>
        <v>61</v>
      </c>
      <c r="U211" s="13">
        <f t="shared" si="41"/>
        <v>28</v>
      </c>
      <c r="V211" s="13">
        <f t="shared" si="41"/>
        <v>574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1.0</v>
      </c>
      <c r="G213" s="73">
        <v>2.0</v>
      </c>
      <c r="H213" s="73">
        <v>1.0</v>
      </c>
      <c r="I213" s="73">
        <v>0.0</v>
      </c>
      <c r="J213" s="73">
        <v>3.0</v>
      </c>
      <c r="K213" s="73">
        <v>0.0</v>
      </c>
      <c r="L213" s="73">
        <v>1.0</v>
      </c>
      <c r="M213" s="73">
        <v>0.0</v>
      </c>
      <c r="N213" s="73">
        <v>2.0</v>
      </c>
      <c r="O213" s="73">
        <v>0.0</v>
      </c>
      <c r="P213" s="73">
        <v>2.0</v>
      </c>
      <c r="Q213" s="73">
        <v>0.0</v>
      </c>
      <c r="R213" s="73">
        <v>1.0</v>
      </c>
      <c r="S213" s="73">
        <v>0.0</v>
      </c>
      <c r="T213" s="73">
        <v>0.0</v>
      </c>
      <c r="U213" s="73">
        <v>0.0</v>
      </c>
      <c r="V213" s="13">
        <f t="shared" ref="V213:V222" si="42">SUM(E213:U213)</f>
        <v>14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1.0</v>
      </c>
      <c r="F214" s="73">
        <v>1.0</v>
      </c>
      <c r="G214" s="73">
        <v>0.0</v>
      </c>
      <c r="H214" s="73">
        <v>1.0</v>
      </c>
      <c r="I214" s="73">
        <v>0.0</v>
      </c>
      <c r="J214" s="73">
        <v>0.0</v>
      </c>
      <c r="K214" s="73">
        <v>1.0</v>
      </c>
      <c r="L214" s="73">
        <v>0.0</v>
      </c>
      <c r="M214" s="73">
        <v>0.0</v>
      </c>
      <c r="N214" s="73">
        <v>1.0</v>
      </c>
      <c r="O214" s="73">
        <v>0.0</v>
      </c>
      <c r="P214" s="73">
        <v>0.0</v>
      </c>
      <c r="Q214" s="73">
        <v>0.0</v>
      </c>
      <c r="R214" s="73">
        <v>0.0</v>
      </c>
      <c r="S214" s="73">
        <v>0.0</v>
      </c>
      <c r="T214" s="73">
        <v>0.0</v>
      </c>
      <c r="U214" s="73">
        <v>0.0</v>
      </c>
      <c r="V214" s="13">
        <f t="shared" si="42"/>
        <v>5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1.0</v>
      </c>
      <c r="G215" s="73">
        <v>0.0</v>
      </c>
      <c r="H215" s="73">
        <v>1.0</v>
      </c>
      <c r="I215" s="73">
        <v>0.0</v>
      </c>
      <c r="J215" s="73">
        <v>0.0</v>
      </c>
      <c r="K215" s="73">
        <v>0.0</v>
      </c>
      <c r="L215" s="73">
        <v>0.0</v>
      </c>
      <c r="M215" s="73">
        <v>0.0</v>
      </c>
      <c r="N215" s="73">
        <v>2.0</v>
      </c>
      <c r="O215" s="73">
        <v>1.0</v>
      </c>
      <c r="P215" s="73">
        <v>0.0</v>
      </c>
      <c r="Q215" s="73">
        <v>0.0</v>
      </c>
      <c r="R215" s="73">
        <v>2.0</v>
      </c>
      <c r="S215" s="73">
        <v>0.0</v>
      </c>
      <c r="T215" s="73">
        <v>0.0</v>
      </c>
      <c r="U215" s="73">
        <v>0.0</v>
      </c>
      <c r="V215" s="13">
        <f t="shared" si="42"/>
        <v>7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1.0</v>
      </c>
      <c r="I216" s="73">
        <v>0.0</v>
      </c>
      <c r="J216" s="73">
        <v>2.0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13">
        <f t="shared" si="42"/>
        <v>3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V223" si="43">SUM(E213:E222)</f>
        <v>2</v>
      </c>
      <c r="F223" s="13">
        <f t="shared" si="43"/>
        <v>3</v>
      </c>
      <c r="G223" s="13">
        <f t="shared" si="43"/>
        <v>2</v>
      </c>
      <c r="H223" s="13">
        <f t="shared" si="43"/>
        <v>4</v>
      </c>
      <c r="I223" s="13">
        <f t="shared" si="43"/>
        <v>0</v>
      </c>
      <c r="J223" s="13">
        <f t="shared" si="43"/>
        <v>5</v>
      </c>
      <c r="K223" s="13">
        <f t="shared" si="43"/>
        <v>1</v>
      </c>
      <c r="L223" s="13">
        <f t="shared" si="43"/>
        <v>1</v>
      </c>
      <c r="M223" s="13">
        <f t="shared" si="43"/>
        <v>0</v>
      </c>
      <c r="N223" s="13">
        <f t="shared" si="43"/>
        <v>5</v>
      </c>
      <c r="O223" s="13">
        <f t="shared" si="43"/>
        <v>1</v>
      </c>
      <c r="P223" s="13">
        <f t="shared" si="43"/>
        <v>2</v>
      </c>
      <c r="Q223" s="13">
        <f t="shared" si="43"/>
        <v>0</v>
      </c>
      <c r="R223" s="13">
        <f t="shared" si="43"/>
        <v>3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29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1.0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13">
        <f t="shared" ref="V225:V234" si="44">SUM(E225:U225)</f>
        <v>1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1.0</v>
      </c>
      <c r="Q226" s="73">
        <v>0.0</v>
      </c>
      <c r="R226" s="73">
        <v>0.0</v>
      </c>
      <c r="S226" s="73">
        <v>2.0</v>
      </c>
      <c r="T226" s="73">
        <v>0.0</v>
      </c>
      <c r="U226" s="73">
        <v>1.0</v>
      </c>
      <c r="V226" s="13">
        <f t="shared" si="44"/>
        <v>4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13">
        <f t="shared" si="44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1.0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13">
        <f t="shared" si="44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V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2</v>
      </c>
      <c r="T235" s="13">
        <f t="shared" si="45"/>
        <v>0</v>
      </c>
      <c r="U235" s="13">
        <f t="shared" si="45"/>
        <v>1</v>
      </c>
      <c r="V235" s="13">
        <f t="shared" si="45"/>
        <v>6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1.0</v>
      </c>
      <c r="G237" s="73">
        <v>1.0</v>
      </c>
      <c r="H237" s="73">
        <v>2.0</v>
      </c>
      <c r="I237" s="73">
        <v>2.0</v>
      </c>
      <c r="J237" s="73">
        <v>3.0</v>
      </c>
      <c r="K237" s="73">
        <v>6.0</v>
      </c>
      <c r="L237" s="73">
        <v>0.0</v>
      </c>
      <c r="M237" s="73">
        <v>1.0</v>
      </c>
      <c r="N237" s="73">
        <v>3.0</v>
      </c>
      <c r="O237" s="73">
        <v>1.0</v>
      </c>
      <c r="P237" s="73">
        <v>0.0</v>
      </c>
      <c r="Q237" s="73">
        <v>1.0</v>
      </c>
      <c r="R237" s="73">
        <v>1.0</v>
      </c>
      <c r="S237" s="73">
        <v>2.0</v>
      </c>
      <c r="T237" s="73">
        <v>1.0</v>
      </c>
      <c r="U237" s="73">
        <v>7.0</v>
      </c>
      <c r="V237" s="13">
        <f t="shared" ref="V237:V246" si="46">SUM(E237:U237)</f>
        <v>32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2.0</v>
      </c>
      <c r="F238" s="73">
        <v>0.0</v>
      </c>
      <c r="G238" s="73">
        <v>1.0</v>
      </c>
      <c r="H238" s="73">
        <v>0.0</v>
      </c>
      <c r="I238" s="73">
        <v>0.0</v>
      </c>
      <c r="J238" s="73">
        <v>1.0</v>
      </c>
      <c r="K238" s="73">
        <v>0.0</v>
      </c>
      <c r="L238" s="73">
        <v>1.0</v>
      </c>
      <c r="M238" s="73">
        <v>0.0</v>
      </c>
      <c r="N238" s="73">
        <v>1.0</v>
      </c>
      <c r="O238" s="73">
        <v>0.0</v>
      </c>
      <c r="P238" s="73">
        <v>0.0</v>
      </c>
      <c r="Q238" s="73">
        <v>1.0</v>
      </c>
      <c r="R238" s="73">
        <v>0.0</v>
      </c>
      <c r="S238" s="73">
        <v>0.0</v>
      </c>
      <c r="T238" s="73">
        <v>0.0</v>
      </c>
      <c r="U238" s="73">
        <v>2.0</v>
      </c>
      <c r="V238" s="13">
        <f t="shared" si="46"/>
        <v>9</v>
      </c>
    </row>
    <row r="239" ht="12.75" customHeight="1">
      <c r="A239" s="18"/>
      <c r="B239" s="49"/>
      <c r="C239" s="50" t="s">
        <v>177</v>
      </c>
      <c r="D239" s="51"/>
      <c r="E239" s="73">
        <v>2.0</v>
      </c>
      <c r="F239" s="73">
        <v>5.0</v>
      </c>
      <c r="G239" s="73">
        <v>4.0</v>
      </c>
      <c r="H239" s="73">
        <v>7.0</v>
      </c>
      <c r="I239" s="73">
        <v>0.0</v>
      </c>
      <c r="J239" s="73">
        <v>1.0</v>
      </c>
      <c r="K239" s="73">
        <v>0.0</v>
      </c>
      <c r="L239" s="73">
        <v>5.0</v>
      </c>
      <c r="M239" s="73">
        <v>2.0</v>
      </c>
      <c r="N239" s="73">
        <v>1.0</v>
      </c>
      <c r="O239" s="73">
        <v>2.0</v>
      </c>
      <c r="P239" s="73">
        <v>0.0</v>
      </c>
      <c r="Q239" s="73">
        <v>0.0</v>
      </c>
      <c r="R239" s="73">
        <v>0.0</v>
      </c>
      <c r="S239" s="73">
        <v>0.0</v>
      </c>
      <c r="T239" s="73">
        <v>0.0</v>
      </c>
      <c r="U239" s="73">
        <v>6.0</v>
      </c>
      <c r="V239" s="13">
        <f t="shared" si="46"/>
        <v>35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1.0</v>
      </c>
      <c r="H240" s="73">
        <v>0.0</v>
      </c>
      <c r="I240" s="73">
        <v>1.0</v>
      </c>
      <c r="J240" s="73">
        <v>1.0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13">
        <f t="shared" si="46"/>
        <v>3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1.0</v>
      </c>
      <c r="G241" s="73">
        <v>0.0</v>
      </c>
      <c r="H241" s="73">
        <v>0.0</v>
      </c>
      <c r="I241" s="73">
        <v>0.0</v>
      </c>
      <c r="J241" s="73">
        <v>1.0</v>
      </c>
      <c r="K241" s="73">
        <v>3.0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1.0</v>
      </c>
      <c r="U241" s="73">
        <v>1.0</v>
      </c>
      <c r="V241" s="13">
        <f t="shared" si="46"/>
        <v>7</v>
      </c>
    </row>
    <row r="242" ht="12.75" customHeight="1">
      <c r="A242" s="18"/>
      <c r="B242" s="49"/>
      <c r="C242" s="50" t="s">
        <v>180</v>
      </c>
      <c r="D242" s="51"/>
      <c r="E242" s="73">
        <v>1.0</v>
      </c>
      <c r="F242" s="73">
        <v>1.0</v>
      </c>
      <c r="G242" s="73">
        <v>0.0</v>
      </c>
      <c r="H242" s="73">
        <v>1.0</v>
      </c>
      <c r="I242" s="73">
        <v>4.0</v>
      </c>
      <c r="J242" s="73">
        <v>2.0</v>
      </c>
      <c r="K242" s="73">
        <v>2.0</v>
      </c>
      <c r="L242" s="73">
        <v>0.0</v>
      </c>
      <c r="M242" s="73">
        <v>2.0</v>
      </c>
      <c r="N242" s="73">
        <v>1.0</v>
      </c>
      <c r="O242" s="73">
        <v>1.0</v>
      </c>
      <c r="P242" s="73">
        <v>0.0</v>
      </c>
      <c r="Q242" s="73">
        <v>1.0</v>
      </c>
      <c r="R242" s="73">
        <v>2.0</v>
      </c>
      <c r="S242" s="73">
        <v>1.0</v>
      </c>
      <c r="T242" s="73">
        <v>2.0</v>
      </c>
      <c r="U242" s="73">
        <v>2.0</v>
      </c>
      <c r="V242" s="13">
        <f t="shared" si="46"/>
        <v>23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1.0</v>
      </c>
      <c r="K243" s="73">
        <v>0.0</v>
      </c>
      <c r="L243" s="73">
        <v>1.0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2.0</v>
      </c>
      <c r="T243" s="73">
        <v>0.0</v>
      </c>
      <c r="U243" s="73">
        <v>2.0</v>
      </c>
      <c r="V243" s="13">
        <f t="shared" si="46"/>
        <v>6</v>
      </c>
    </row>
    <row r="244" ht="12.75" customHeight="1">
      <c r="A244" s="18"/>
      <c r="B244" s="49"/>
      <c r="C244" s="50" t="s">
        <v>182</v>
      </c>
      <c r="D244" s="51"/>
      <c r="E244" s="73">
        <v>1.0</v>
      </c>
      <c r="F244" s="73">
        <v>1.0</v>
      </c>
      <c r="G244" s="73">
        <v>0.0</v>
      </c>
      <c r="H244" s="73">
        <v>1.0</v>
      </c>
      <c r="I244" s="73">
        <v>0.0</v>
      </c>
      <c r="J244" s="73">
        <v>0.0</v>
      </c>
      <c r="K244" s="73">
        <v>1.0</v>
      </c>
      <c r="L244" s="73">
        <v>2.0</v>
      </c>
      <c r="M244" s="73">
        <v>1.0</v>
      </c>
      <c r="N244" s="73">
        <v>0.0</v>
      </c>
      <c r="O244" s="73">
        <v>1.0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13">
        <f t="shared" si="46"/>
        <v>8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1.0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1.0</v>
      </c>
      <c r="R245" s="73">
        <v>0.0</v>
      </c>
      <c r="S245" s="73">
        <v>0.0</v>
      </c>
      <c r="T245" s="73">
        <v>0.0</v>
      </c>
      <c r="U245" s="73">
        <v>0.0</v>
      </c>
      <c r="V245" s="13">
        <f t="shared" si="46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1.0</v>
      </c>
      <c r="J246" s="73">
        <v>2.0</v>
      </c>
      <c r="K246" s="73">
        <v>2.0</v>
      </c>
      <c r="L246" s="73">
        <v>1.0</v>
      </c>
      <c r="M246" s="73">
        <v>0.0</v>
      </c>
      <c r="N246" s="73">
        <v>0.0</v>
      </c>
      <c r="O246" s="73">
        <v>0.0</v>
      </c>
      <c r="P246" s="73">
        <v>0.0</v>
      </c>
      <c r="Q246" s="73">
        <v>1.0</v>
      </c>
      <c r="R246" s="73">
        <v>0.0</v>
      </c>
      <c r="S246" s="73">
        <v>1.0</v>
      </c>
      <c r="T246" s="73">
        <v>0.0</v>
      </c>
      <c r="U246" s="73">
        <v>0.0</v>
      </c>
      <c r="V246" s="13">
        <f t="shared" si="46"/>
        <v>8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V247" si="47">SUM(E237:E246)</f>
        <v>6</v>
      </c>
      <c r="F247" s="13">
        <f t="shared" si="47"/>
        <v>9</v>
      </c>
      <c r="G247" s="13">
        <f t="shared" si="47"/>
        <v>7</v>
      </c>
      <c r="H247" s="13">
        <f t="shared" si="47"/>
        <v>12</v>
      </c>
      <c r="I247" s="13">
        <f t="shared" si="47"/>
        <v>8</v>
      </c>
      <c r="J247" s="13">
        <f t="shared" si="47"/>
        <v>12</v>
      </c>
      <c r="K247" s="13">
        <f t="shared" si="47"/>
        <v>14</v>
      </c>
      <c r="L247" s="13">
        <f t="shared" si="47"/>
        <v>10</v>
      </c>
      <c r="M247" s="13">
        <f t="shared" si="47"/>
        <v>6</v>
      </c>
      <c r="N247" s="13">
        <f t="shared" si="47"/>
        <v>6</v>
      </c>
      <c r="O247" s="13">
        <f t="shared" si="47"/>
        <v>5</v>
      </c>
      <c r="P247" s="13">
        <f t="shared" si="47"/>
        <v>0</v>
      </c>
      <c r="Q247" s="13">
        <f t="shared" si="47"/>
        <v>5</v>
      </c>
      <c r="R247" s="13">
        <f t="shared" si="47"/>
        <v>3</v>
      </c>
      <c r="S247" s="13">
        <f t="shared" si="47"/>
        <v>6</v>
      </c>
      <c r="T247" s="13">
        <f t="shared" si="47"/>
        <v>4</v>
      </c>
      <c r="U247" s="13">
        <f t="shared" si="47"/>
        <v>20</v>
      </c>
      <c r="V247" s="13">
        <f t="shared" si="47"/>
        <v>133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1.0</v>
      </c>
      <c r="T249" s="73">
        <v>0.0</v>
      </c>
      <c r="U249" s="73">
        <v>0.0</v>
      </c>
      <c r="V249" s="13">
        <f t="shared" ref="V249:V258" si="48">SUM(E249:U249)</f>
        <v>2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2.0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1.0</v>
      </c>
      <c r="U250" s="73">
        <v>1.0</v>
      </c>
      <c r="V250" s="13">
        <f t="shared" si="48"/>
        <v>4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1.0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13">
        <f t="shared" si="48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13">
        <f t="shared" si="48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V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1</v>
      </c>
      <c r="T259" s="13">
        <f t="shared" si="49"/>
        <v>1</v>
      </c>
      <c r="U259" s="13">
        <f t="shared" si="49"/>
        <v>1</v>
      </c>
      <c r="V259" s="13">
        <f t="shared" si="49"/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13"/>
      <c r="S261" s="13"/>
      <c r="T261" s="76"/>
      <c r="U261" s="76"/>
      <c r="V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H262" si="50">E55+E67+E79+E91+E103+E115+E127+E139+E151+E163+E175+E187+E199+E211+E223+E235+E247+E259</f>
        <v>148</v>
      </c>
      <c r="F262" s="19">
        <f t="shared" si="50"/>
        <v>154</v>
      </c>
      <c r="G262" s="19">
        <f t="shared" si="50"/>
        <v>159</v>
      </c>
      <c r="H262" s="19">
        <f t="shared" si="50"/>
        <v>174</v>
      </c>
      <c r="I262" s="84">
        <v>209.0</v>
      </c>
      <c r="J262" s="19">
        <f t="shared" ref="J262:Q262" si="51">J55+J67+J79+J91+J103+J115+J127+J139+J151+J163+J175+J187+J199+J211+J223+J235+J247+J259</f>
        <v>186</v>
      </c>
      <c r="K262" s="19">
        <f t="shared" si="51"/>
        <v>192</v>
      </c>
      <c r="L262" s="19">
        <f t="shared" si="51"/>
        <v>227</v>
      </c>
      <c r="M262" s="19">
        <f t="shared" si="51"/>
        <v>184</v>
      </c>
      <c r="N262" s="19">
        <f t="shared" si="51"/>
        <v>180</v>
      </c>
      <c r="O262" s="19">
        <f t="shared" si="51"/>
        <v>173</v>
      </c>
      <c r="P262" s="19">
        <f t="shared" si="51"/>
        <v>139</v>
      </c>
      <c r="Q262" s="19">
        <f t="shared" si="51"/>
        <v>184</v>
      </c>
      <c r="R262" s="84">
        <v>152.0</v>
      </c>
      <c r="S262" s="19">
        <f t="shared" ref="S262:U262" si="52">S55+S67+S79+S91+S103+S115+S127+S139+S151+S163+S175+S187+S199+S211+S223+S235+S247+S259</f>
        <v>143</v>
      </c>
      <c r="T262" s="19">
        <f t="shared" si="52"/>
        <v>177</v>
      </c>
      <c r="U262" s="19">
        <f t="shared" si="52"/>
        <v>156</v>
      </c>
      <c r="V262" s="13">
        <f t="shared" ref="V262:V264" si="53">SUM(E262:U262)</f>
        <v>2937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27.0</v>
      </c>
      <c r="F263" s="73">
        <v>27.0</v>
      </c>
      <c r="G263" s="73">
        <v>23.0</v>
      </c>
      <c r="H263" s="73">
        <v>15.0</v>
      </c>
      <c r="I263" s="73">
        <v>6.0</v>
      </c>
      <c r="J263" s="73">
        <v>37.0</v>
      </c>
      <c r="K263" s="73">
        <v>25.0</v>
      </c>
      <c r="L263" s="73">
        <v>8.0</v>
      </c>
      <c r="M263" s="73">
        <v>17.0</v>
      </c>
      <c r="N263" s="73">
        <v>7.0</v>
      </c>
      <c r="O263" s="73">
        <v>18.0</v>
      </c>
      <c r="P263" s="73">
        <v>5.0</v>
      </c>
      <c r="Q263" s="73">
        <v>23.0</v>
      </c>
      <c r="R263" s="73">
        <v>20.0</v>
      </c>
      <c r="S263" s="73">
        <v>9.0</v>
      </c>
      <c r="T263" s="73">
        <v>3.0</v>
      </c>
      <c r="U263" s="73">
        <v>3.0</v>
      </c>
      <c r="V263" s="13">
        <f t="shared" si="53"/>
        <v>273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U264" si="54">SUM(E262:E263)</f>
        <v>175</v>
      </c>
      <c r="F264" s="13">
        <f t="shared" si="54"/>
        <v>181</v>
      </c>
      <c r="G264" s="13">
        <f t="shared" si="54"/>
        <v>182</v>
      </c>
      <c r="H264" s="13">
        <f t="shared" si="54"/>
        <v>189</v>
      </c>
      <c r="I264" s="13">
        <f t="shared" si="54"/>
        <v>215</v>
      </c>
      <c r="J264" s="13">
        <f t="shared" si="54"/>
        <v>223</v>
      </c>
      <c r="K264" s="13">
        <f t="shared" si="54"/>
        <v>217</v>
      </c>
      <c r="L264" s="13">
        <f t="shared" si="54"/>
        <v>235</v>
      </c>
      <c r="M264" s="13">
        <f t="shared" si="54"/>
        <v>201</v>
      </c>
      <c r="N264" s="13">
        <f t="shared" si="54"/>
        <v>187</v>
      </c>
      <c r="O264" s="13">
        <f t="shared" si="54"/>
        <v>191</v>
      </c>
      <c r="P264" s="13">
        <f t="shared" si="54"/>
        <v>144</v>
      </c>
      <c r="Q264" s="13">
        <f t="shared" si="54"/>
        <v>207</v>
      </c>
      <c r="R264" s="13">
        <f t="shared" si="54"/>
        <v>172</v>
      </c>
      <c r="S264" s="13">
        <f t="shared" si="54"/>
        <v>152</v>
      </c>
      <c r="T264" s="13">
        <f t="shared" si="54"/>
        <v>180</v>
      </c>
      <c r="U264" s="13">
        <f t="shared" si="54"/>
        <v>159</v>
      </c>
      <c r="V264" s="13">
        <f t="shared" si="53"/>
        <v>3210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8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73">
        <v>140.0</v>
      </c>
      <c r="F14" s="73">
        <v>97.0</v>
      </c>
      <c r="G14" s="73">
        <v>117.0</v>
      </c>
      <c r="H14" s="73">
        <v>127.0</v>
      </c>
      <c r="I14" s="73">
        <v>131.0</v>
      </c>
      <c r="J14" s="73">
        <v>133.0</v>
      </c>
      <c r="K14" s="73">
        <v>116.0</v>
      </c>
      <c r="L14" s="73">
        <v>108.0</v>
      </c>
      <c r="M14" s="73">
        <v>131.0</v>
      </c>
      <c r="N14" s="73">
        <v>123.0</v>
      </c>
      <c r="O14" s="73">
        <v>118.0</v>
      </c>
      <c r="P14" s="73">
        <v>116.0</v>
      </c>
      <c r="Q14" s="73">
        <v>128.0</v>
      </c>
      <c r="R14" s="73">
        <v>129.0</v>
      </c>
      <c r="S14" s="13">
        <f t="shared" ref="S14:S16" si="1">SUM(E14:R14)</f>
        <v>1714</v>
      </c>
    </row>
    <row r="15" ht="12.75" customHeight="1">
      <c r="A15" s="18"/>
      <c r="B15" s="26"/>
      <c r="C15" s="27"/>
      <c r="D15" s="19" t="s">
        <v>13</v>
      </c>
      <c r="E15" s="73">
        <v>115.0</v>
      </c>
      <c r="F15" s="73">
        <v>100.0</v>
      </c>
      <c r="G15" s="73">
        <v>116.0</v>
      </c>
      <c r="H15" s="73">
        <v>135.0</v>
      </c>
      <c r="I15" s="73">
        <v>128.0</v>
      </c>
      <c r="J15" s="73">
        <v>135.0</v>
      </c>
      <c r="K15" s="73">
        <v>124.0</v>
      </c>
      <c r="L15" s="73">
        <v>94.0</v>
      </c>
      <c r="M15" s="73">
        <v>140.0</v>
      </c>
      <c r="N15" s="73">
        <v>128.0</v>
      </c>
      <c r="O15" s="73">
        <v>108.0</v>
      </c>
      <c r="P15" s="73">
        <v>111.0</v>
      </c>
      <c r="Q15" s="73">
        <v>121.0</v>
      </c>
      <c r="R15" s="73">
        <v>111.0</v>
      </c>
      <c r="S15" s="13">
        <f t="shared" si="1"/>
        <v>1666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255</v>
      </c>
      <c r="F16" s="13">
        <f t="shared" si="2"/>
        <v>197</v>
      </c>
      <c r="G16" s="13">
        <f t="shared" si="2"/>
        <v>233</v>
      </c>
      <c r="H16" s="13">
        <f t="shared" si="2"/>
        <v>262</v>
      </c>
      <c r="I16" s="13">
        <f t="shared" si="2"/>
        <v>259</v>
      </c>
      <c r="J16" s="13">
        <f t="shared" si="2"/>
        <v>268</v>
      </c>
      <c r="K16" s="13">
        <f t="shared" si="2"/>
        <v>240</v>
      </c>
      <c r="L16" s="13">
        <f t="shared" si="2"/>
        <v>202</v>
      </c>
      <c r="M16" s="13">
        <f t="shared" si="2"/>
        <v>271</v>
      </c>
      <c r="N16" s="13">
        <f t="shared" si="2"/>
        <v>251</v>
      </c>
      <c r="O16" s="13">
        <f t="shared" si="2"/>
        <v>226</v>
      </c>
      <c r="P16" s="13">
        <f t="shared" si="2"/>
        <v>227</v>
      </c>
      <c r="Q16" s="13">
        <f t="shared" si="2"/>
        <v>249</v>
      </c>
      <c r="R16" s="13">
        <f t="shared" si="2"/>
        <v>240</v>
      </c>
      <c r="S16" s="13">
        <f t="shared" si="1"/>
        <v>3380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19"/>
      <c r="R17" s="19"/>
      <c r="S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19"/>
      <c r="R18" s="19"/>
      <c r="S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111.0</v>
      </c>
      <c r="F19" s="73">
        <v>71.0</v>
      </c>
      <c r="G19" s="73">
        <v>89.0</v>
      </c>
      <c r="H19" s="73">
        <v>98.0</v>
      </c>
      <c r="I19" s="73">
        <v>99.0</v>
      </c>
      <c r="J19" s="73">
        <v>110.0</v>
      </c>
      <c r="K19" s="73">
        <v>87.0</v>
      </c>
      <c r="L19" s="73">
        <v>87.0</v>
      </c>
      <c r="M19" s="73">
        <v>100.0</v>
      </c>
      <c r="N19" s="73">
        <v>93.0</v>
      </c>
      <c r="O19" s="73">
        <v>95.0</v>
      </c>
      <c r="P19" s="73">
        <v>101.0</v>
      </c>
      <c r="Q19" s="73">
        <v>107.0</v>
      </c>
      <c r="R19" s="73">
        <v>112.0</v>
      </c>
      <c r="S19" s="13">
        <f t="shared" ref="S19:S30" si="3">SUM(E19:R19)</f>
        <v>1360</v>
      </c>
    </row>
    <row r="20" ht="12.75" customHeight="1">
      <c r="A20" s="33"/>
      <c r="B20" s="27"/>
      <c r="C20" s="34"/>
      <c r="D20" s="19" t="s">
        <v>13</v>
      </c>
      <c r="E20" s="73">
        <v>89.0</v>
      </c>
      <c r="F20" s="73">
        <v>70.0</v>
      </c>
      <c r="G20" s="73">
        <v>91.0</v>
      </c>
      <c r="H20" s="73">
        <v>112.0</v>
      </c>
      <c r="I20" s="73">
        <v>101.0</v>
      </c>
      <c r="J20" s="73">
        <v>109.0</v>
      </c>
      <c r="K20" s="73">
        <v>99.0</v>
      </c>
      <c r="L20" s="73">
        <v>83.0</v>
      </c>
      <c r="M20" s="73">
        <v>109.0</v>
      </c>
      <c r="N20" s="73">
        <v>101.0</v>
      </c>
      <c r="O20" s="73">
        <v>91.0</v>
      </c>
      <c r="P20" s="73">
        <v>88.0</v>
      </c>
      <c r="Q20" s="73">
        <v>98.0</v>
      </c>
      <c r="R20" s="73">
        <v>98.0</v>
      </c>
      <c r="S20" s="13">
        <f t="shared" si="3"/>
        <v>1339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200</v>
      </c>
      <c r="F21" s="13">
        <f t="shared" si="4"/>
        <v>141</v>
      </c>
      <c r="G21" s="13">
        <f t="shared" si="4"/>
        <v>180</v>
      </c>
      <c r="H21" s="13">
        <f t="shared" si="4"/>
        <v>210</v>
      </c>
      <c r="I21" s="13">
        <f t="shared" si="4"/>
        <v>200</v>
      </c>
      <c r="J21" s="13">
        <f t="shared" si="4"/>
        <v>219</v>
      </c>
      <c r="K21" s="13">
        <f t="shared" si="4"/>
        <v>186</v>
      </c>
      <c r="L21" s="13">
        <f t="shared" si="4"/>
        <v>170</v>
      </c>
      <c r="M21" s="13">
        <f t="shared" si="4"/>
        <v>209</v>
      </c>
      <c r="N21" s="13">
        <f t="shared" si="4"/>
        <v>194</v>
      </c>
      <c r="O21" s="13">
        <f t="shared" si="4"/>
        <v>186</v>
      </c>
      <c r="P21" s="13">
        <f t="shared" si="4"/>
        <v>189</v>
      </c>
      <c r="Q21" s="13">
        <f t="shared" si="4"/>
        <v>205</v>
      </c>
      <c r="R21" s="13">
        <f t="shared" si="4"/>
        <v>210</v>
      </c>
      <c r="S21" s="13">
        <f t="shared" si="3"/>
        <v>2699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71</v>
      </c>
      <c r="G28" s="13">
        <f t="shared" si="7"/>
        <v>89</v>
      </c>
      <c r="H28" s="13">
        <f t="shared" si="7"/>
        <v>98</v>
      </c>
      <c r="I28" s="13">
        <f t="shared" si="7"/>
        <v>99</v>
      </c>
      <c r="J28" s="13">
        <f t="shared" si="7"/>
        <v>110</v>
      </c>
      <c r="K28" s="13">
        <f t="shared" si="7"/>
        <v>87</v>
      </c>
      <c r="L28" s="13">
        <f t="shared" si="7"/>
        <v>87</v>
      </c>
      <c r="M28" s="13">
        <f t="shared" si="7"/>
        <v>100</v>
      </c>
      <c r="N28" s="13">
        <f t="shared" si="7"/>
        <v>93</v>
      </c>
      <c r="O28" s="13">
        <f t="shared" si="7"/>
        <v>95</v>
      </c>
      <c r="P28" s="13">
        <f t="shared" si="7"/>
        <v>101</v>
      </c>
      <c r="Q28" s="13">
        <f t="shared" si="7"/>
        <v>107</v>
      </c>
      <c r="R28" s="13">
        <f t="shared" si="7"/>
        <v>112</v>
      </c>
      <c r="S28" s="13">
        <f t="shared" si="3"/>
        <v>1360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70</v>
      </c>
      <c r="G29" s="13">
        <f t="shared" si="8"/>
        <v>91</v>
      </c>
      <c r="H29" s="13">
        <f t="shared" si="8"/>
        <v>112</v>
      </c>
      <c r="I29" s="13">
        <f t="shared" si="8"/>
        <v>101</v>
      </c>
      <c r="J29" s="13">
        <f t="shared" si="8"/>
        <v>109</v>
      </c>
      <c r="K29" s="13">
        <f t="shared" si="8"/>
        <v>99</v>
      </c>
      <c r="L29" s="13">
        <f t="shared" si="8"/>
        <v>83</v>
      </c>
      <c r="M29" s="13">
        <f t="shared" si="8"/>
        <v>109</v>
      </c>
      <c r="N29" s="13">
        <f t="shared" si="8"/>
        <v>101</v>
      </c>
      <c r="O29" s="13">
        <f t="shared" si="8"/>
        <v>91</v>
      </c>
      <c r="P29" s="13">
        <f t="shared" si="8"/>
        <v>88</v>
      </c>
      <c r="Q29" s="13">
        <f t="shared" si="8"/>
        <v>98</v>
      </c>
      <c r="R29" s="13">
        <f t="shared" si="8"/>
        <v>98</v>
      </c>
      <c r="S29" s="13">
        <f t="shared" si="3"/>
        <v>1339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200</v>
      </c>
      <c r="F30" s="13">
        <f t="shared" si="9"/>
        <v>141</v>
      </c>
      <c r="G30" s="13">
        <f t="shared" si="9"/>
        <v>180</v>
      </c>
      <c r="H30" s="13">
        <f t="shared" si="9"/>
        <v>210</v>
      </c>
      <c r="I30" s="13">
        <f t="shared" si="9"/>
        <v>200</v>
      </c>
      <c r="J30" s="13">
        <f t="shared" si="9"/>
        <v>219</v>
      </c>
      <c r="K30" s="13">
        <f t="shared" si="9"/>
        <v>186</v>
      </c>
      <c r="L30" s="13">
        <f t="shared" si="9"/>
        <v>170</v>
      </c>
      <c r="M30" s="13">
        <f t="shared" si="9"/>
        <v>209</v>
      </c>
      <c r="N30" s="13">
        <f t="shared" si="9"/>
        <v>194</v>
      </c>
      <c r="O30" s="13">
        <f t="shared" si="9"/>
        <v>186</v>
      </c>
      <c r="P30" s="13">
        <f t="shared" si="9"/>
        <v>189</v>
      </c>
      <c r="Q30" s="13">
        <f t="shared" si="9"/>
        <v>205</v>
      </c>
      <c r="R30" s="13">
        <f t="shared" si="9"/>
        <v>210</v>
      </c>
      <c r="S30" s="13">
        <f t="shared" si="3"/>
        <v>2699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19"/>
      <c r="R31" s="19"/>
      <c r="S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13"/>
      <c r="R32" s="13"/>
      <c r="S32" s="75"/>
    </row>
    <row r="33" ht="12.75" customHeight="1">
      <c r="A33" s="19">
        <v>1.0</v>
      </c>
      <c r="B33" s="20" t="s">
        <v>27</v>
      </c>
      <c r="C33" s="15"/>
      <c r="D33" s="16"/>
      <c r="E33" s="73">
        <v>261.0</v>
      </c>
      <c r="F33" s="73">
        <v>201.0</v>
      </c>
      <c r="G33" s="73">
        <v>238.0</v>
      </c>
      <c r="H33" s="73">
        <v>268.0</v>
      </c>
      <c r="I33" s="73">
        <v>265.0</v>
      </c>
      <c r="J33" s="73">
        <v>274.0</v>
      </c>
      <c r="K33" s="73">
        <v>245.0</v>
      </c>
      <c r="L33" s="73">
        <v>207.0</v>
      </c>
      <c r="M33" s="73">
        <v>277.0</v>
      </c>
      <c r="N33" s="73">
        <v>256.0</v>
      </c>
      <c r="O33" s="73">
        <v>231.0</v>
      </c>
      <c r="P33" s="73">
        <v>232.0</v>
      </c>
      <c r="Q33" s="73">
        <v>255.0</v>
      </c>
      <c r="R33" s="73">
        <v>245.0</v>
      </c>
      <c r="S33" s="13">
        <f t="shared" ref="S33:S36" si="10">SUM(E33:R33)</f>
        <v>3455</v>
      </c>
    </row>
    <row r="34" ht="12.75" customHeight="1">
      <c r="A34" s="19">
        <v>2.0</v>
      </c>
      <c r="B34" s="20" t="s">
        <v>28</v>
      </c>
      <c r="C34" s="15"/>
      <c r="D34" s="16"/>
      <c r="E34" s="77">
        <v>200.0</v>
      </c>
      <c r="F34" s="77">
        <v>141.0</v>
      </c>
      <c r="G34" s="77">
        <v>180.0</v>
      </c>
      <c r="H34" s="77">
        <v>210.0</v>
      </c>
      <c r="I34" s="77">
        <v>200.0</v>
      </c>
      <c r="J34" s="77">
        <v>219.0</v>
      </c>
      <c r="K34" s="77">
        <v>186.0</v>
      </c>
      <c r="L34" s="77">
        <v>170.0</v>
      </c>
      <c r="M34" s="77">
        <v>209.0</v>
      </c>
      <c r="N34" s="77">
        <v>194.0</v>
      </c>
      <c r="O34" s="77">
        <v>186.0</v>
      </c>
      <c r="P34" s="77">
        <v>189.0</v>
      </c>
      <c r="Q34" s="77">
        <v>205.0</v>
      </c>
      <c r="R34" s="77">
        <v>210.0</v>
      </c>
      <c r="S34" s="13">
        <f t="shared" si="10"/>
        <v>2699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1.0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1.0</v>
      </c>
      <c r="P35" s="73">
        <v>1.0</v>
      </c>
      <c r="Q35" s="73">
        <v>0.0</v>
      </c>
      <c r="R35" s="73">
        <v>1.0</v>
      </c>
      <c r="S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61</v>
      </c>
      <c r="F36" s="13">
        <f t="shared" si="11"/>
        <v>60</v>
      </c>
      <c r="G36" s="13">
        <f t="shared" si="11"/>
        <v>57</v>
      </c>
      <c r="H36" s="13">
        <f t="shared" si="11"/>
        <v>58</v>
      </c>
      <c r="I36" s="13">
        <f t="shared" si="11"/>
        <v>65</v>
      </c>
      <c r="J36" s="13">
        <f t="shared" si="11"/>
        <v>55</v>
      </c>
      <c r="K36" s="13">
        <f t="shared" si="11"/>
        <v>59</v>
      </c>
      <c r="L36" s="13">
        <f t="shared" si="11"/>
        <v>37</v>
      </c>
      <c r="M36" s="13">
        <f t="shared" si="11"/>
        <v>68</v>
      </c>
      <c r="N36" s="13">
        <f t="shared" si="11"/>
        <v>62</v>
      </c>
      <c r="O36" s="13">
        <f t="shared" si="11"/>
        <v>44</v>
      </c>
      <c r="P36" s="13">
        <f t="shared" si="11"/>
        <v>42</v>
      </c>
      <c r="Q36" s="13">
        <f t="shared" si="11"/>
        <v>50</v>
      </c>
      <c r="R36" s="13">
        <f t="shared" si="11"/>
        <v>34</v>
      </c>
      <c r="S36" s="13">
        <f t="shared" si="10"/>
        <v>752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13"/>
      <c r="R38" s="13"/>
      <c r="S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1.0</v>
      </c>
      <c r="M39" s="73">
        <v>0.0</v>
      </c>
      <c r="N39" s="73">
        <v>4.0</v>
      </c>
      <c r="O39" s="73">
        <v>0.0</v>
      </c>
      <c r="P39" s="73">
        <v>0.0</v>
      </c>
      <c r="Q39" s="73">
        <v>0.0</v>
      </c>
      <c r="R39" s="73">
        <v>1.0</v>
      </c>
      <c r="S39" s="13">
        <f t="shared" ref="S39:S41" si="12">SUM(E39:R39)</f>
        <v>6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1.0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2.0</v>
      </c>
      <c r="S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10.0</v>
      </c>
      <c r="G45" s="73">
        <v>5.0</v>
      </c>
      <c r="H45" s="73">
        <v>17.0</v>
      </c>
      <c r="I45" s="73">
        <v>2.0</v>
      </c>
      <c r="J45" s="73">
        <v>7.0</v>
      </c>
      <c r="K45" s="73">
        <v>7.0</v>
      </c>
      <c r="L45" s="73">
        <v>15.0</v>
      </c>
      <c r="M45" s="73">
        <v>10.0</v>
      </c>
      <c r="N45" s="73">
        <v>4.0</v>
      </c>
      <c r="O45" s="73">
        <v>9.0</v>
      </c>
      <c r="P45" s="73">
        <v>8.0</v>
      </c>
      <c r="Q45" s="73">
        <v>3.0</v>
      </c>
      <c r="R45" s="73">
        <v>1.0</v>
      </c>
      <c r="S45" s="13">
        <f t="shared" ref="S45:S54" si="14">SUM(E45:R45)</f>
        <v>102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7.0</v>
      </c>
      <c r="F46" s="73">
        <v>13.0</v>
      </c>
      <c r="G46" s="73">
        <v>3.0</v>
      </c>
      <c r="H46" s="73">
        <v>32.0</v>
      </c>
      <c r="I46" s="73">
        <v>18.0</v>
      </c>
      <c r="J46" s="73">
        <v>19.0</v>
      </c>
      <c r="K46" s="73">
        <v>21.0</v>
      </c>
      <c r="L46" s="73">
        <v>13.0</v>
      </c>
      <c r="M46" s="73">
        <v>14.0</v>
      </c>
      <c r="N46" s="73">
        <v>12.0</v>
      </c>
      <c r="O46" s="73">
        <v>17.0</v>
      </c>
      <c r="P46" s="73">
        <v>18.0</v>
      </c>
      <c r="Q46" s="73">
        <v>8.0</v>
      </c>
      <c r="R46" s="73">
        <v>5.0</v>
      </c>
      <c r="S46" s="13">
        <f t="shared" si="14"/>
        <v>200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1.0</v>
      </c>
      <c r="G47" s="73">
        <v>3.0</v>
      </c>
      <c r="H47" s="73">
        <v>3.0</v>
      </c>
      <c r="I47" s="73">
        <v>4.0</v>
      </c>
      <c r="J47" s="73">
        <v>1.0</v>
      </c>
      <c r="K47" s="73">
        <v>1.0</v>
      </c>
      <c r="L47" s="73">
        <v>2.0</v>
      </c>
      <c r="M47" s="73">
        <v>2.0</v>
      </c>
      <c r="N47" s="73">
        <v>4.0</v>
      </c>
      <c r="O47" s="73">
        <v>1.0</v>
      </c>
      <c r="P47" s="73">
        <v>0.0</v>
      </c>
      <c r="Q47" s="73">
        <v>0.0</v>
      </c>
      <c r="R47" s="73">
        <v>0.0</v>
      </c>
      <c r="S47" s="13">
        <f t="shared" si="14"/>
        <v>23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2.0</v>
      </c>
      <c r="I48" s="73">
        <v>0.0</v>
      </c>
      <c r="J48" s="73">
        <v>1.0</v>
      </c>
      <c r="K48" s="73">
        <v>2.0</v>
      </c>
      <c r="L48" s="73">
        <v>2.0</v>
      </c>
      <c r="M48" s="73">
        <v>1.0</v>
      </c>
      <c r="N48" s="73">
        <v>1.0</v>
      </c>
      <c r="O48" s="73">
        <v>0.0</v>
      </c>
      <c r="P48" s="73">
        <v>0.0</v>
      </c>
      <c r="Q48" s="73">
        <v>0.0</v>
      </c>
      <c r="R48" s="73">
        <v>0.0</v>
      </c>
      <c r="S48" s="13">
        <f t="shared" si="14"/>
        <v>9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0.0</v>
      </c>
      <c r="G49" s="73">
        <v>1.0</v>
      </c>
      <c r="H49" s="73">
        <v>2.0</v>
      </c>
      <c r="I49" s="73">
        <v>2.0</v>
      </c>
      <c r="J49" s="73">
        <v>1.0</v>
      </c>
      <c r="K49" s="73">
        <v>1.0</v>
      </c>
      <c r="L49" s="73">
        <v>1.0</v>
      </c>
      <c r="M49" s="73">
        <v>3.0</v>
      </c>
      <c r="N49" s="73">
        <v>1.0</v>
      </c>
      <c r="O49" s="73">
        <v>2.0</v>
      </c>
      <c r="P49" s="73">
        <v>2.0</v>
      </c>
      <c r="Q49" s="73">
        <v>0.0</v>
      </c>
      <c r="R49" s="73">
        <v>0.0</v>
      </c>
      <c r="S49" s="13">
        <f t="shared" si="14"/>
        <v>17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2.0</v>
      </c>
      <c r="G50" s="73">
        <v>2.0</v>
      </c>
      <c r="H50" s="73">
        <v>3.0</v>
      </c>
      <c r="I50" s="73">
        <v>3.0</v>
      </c>
      <c r="J50" s="73">
        <v>1.0</v>
      </c>
      <c r="K50" s="73">
        <v>0.0</v>
      </c>
      <c r="L50" s="73">
        <v>0.0</v>
      </c>
      <c r="M50" s="73">
        <v>0.0</v>
      </c>
      <c r="N50" s="73">
        <v>4.0</v>
      </c>
      <c r="O50" s="73">
        <v>0.0</v>
      </c>
      <c r="P50" s="73">
        <v>9.0</v>
      </c>
      <c r="Q50" s="73">
        <v>1.0</v>
      </c>
      <c r="R50" s="73">
        <v>0.0</v>
      </c>
      <c r="S50" s="13">
        <f t="shared" si="14"/>
        <v>25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1.0</v>
      </c>
      <c r="N51" s="73">
        <v>0.0</v>
      </c>
      <c r="O51" s="73">
        <v>0.0</v>
      </c>
      <c r="P51" s="73">
        <v>2.0</v>
      </c>
      <c r="Q51" s="73">
        <v>0.0</v>
      </c>
      <c r="R51" s="73">
        <v>0.0</v>
      </c>
      <c r="S51" s="13">
        <f t="shared" si="14"/>
        <v>3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1.0</v>
      </c>
      <c r="G52" s="73">
        <v>0.0</v>
      </c>
      <c r="H52" s="73">
        <v>0.0</v>
      </c>
      <c r="I52" s="73">
        <v>0.0</v>
      </c>
      <c r="J52" s="73">
        <v>1.0</v>
      </c>
      <c r="K52" s="73">
        <v>1.0</v>
      </c>
      <c r="L52" s="73">
        <v>0.0</v>
      </c>
      <c r="M52" s="73">
        <v>0.0</v>
      </c>
      <c r="N52" s="73">
        <v>0.0</v>
      </c>
      <c r="O52" s="73">
        <v>0.0</v>
      </c>
      <c r="P52" s="73">
        <v>1.0</v>
      </c>
      <c r="Q52" s="73">
        <v>1.0</v>
      </c>
      <c r="R52" s="73">
        <v>0.0</v>
      </c>
      <c r="S52" s="13">
        <f t="shared" si="14"/>
        <v>5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1.0</v>
      </c>
      <c r="P53" s="73">
        <v>0.0</v>
      </c>
      <c r="Q53" s="73">
        <v>0.0</v>
      </c>
      <c r="R53" s="73">
        <v>0.0</v>
      </c>
      <c r="S53" s="13">
        <f t="shared" si="14"/>
        <v>1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1.0</v>
      </c>
      <c r="I54" s="73">
        <v>0.0</v>
      </c>
      <c r="J54" s="73">
        <v>1.0</v>
      </c>
      <c r="K54" s="73">
        <v>0.0</v>
      </c>
      <c r="L54" s="73">
        <v>0.0</v>
      </c>
      <c r="M54" s="73">
        <v>0.0</v>
      </c>
      <c r="N54" s="73">
        <v>1.0</v>
      </c>
      <c r="O54" s="73">
        <v>1.0</v>
      </c>
      <c r="P54" s="73">
        <v>0.0</v>
      </c>
      <c r="Q54" s="73">
        <v>0.0</v>
      </c>
      <c r="R54" s="73">
        <v>0.0</v>
      </c>
      <c r="S54" s="13">
        <f t="shared" si="14"/>
        <v>4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S55" si="15">SUM(E45:E54)</f>
        <v>13</v>
      </c>
      <c r="F55" s="13">
        <f t="shared" si="15"/>
        <v>27</v>
      </c>
      <c r="G55" s="13">
        <f t="shared" si="15"/>
        <v>14</v>
      </c>
      <c r="H55" s="13">
        <f t="shared" si="15"/>
        <v>60</v>
      </c>
      <c r="I55" s="13">
        <f t="shared" si="15"/>
        <v>29</v>
      </c>
      <c r="J55" s="13">
        <f t="shared" si="15"/>
        <v>32</v>
      </c>
      <c r="K55" s="13">
        <f t="shared" si="15"/>
        <v>33</v>
      </c>
      <c r="L55" s="13">
        <f t="shared" si="15"/>
        <v>33</v>
      </c>
      <c r="M55" s="13">
        <f t="shared" si="15"/>
        <v>31</v>
      </c>
      <c r="N55" s="13">
        <f t="shared" si="15"/>
        <v>27</v>
      </c>
      <c r="O55" s="13">
        <f t="shared" si="15"/>
        <v>31</v>
      </c>
      <c r="P55" s="13">
        <f t="shared" si="15"/>
        <v>40</v>
      </c>
      <c r="Q55" s="13">
        <f t="shared" si="15"/>
        <v>13</v>
      </c>
      <c r="R55" s="13">
        <f t="shared" si="15"/>
        <v>6</v>
      </c>
      <c r="S55" s="13">
        <f t="shared" si="15"/>
        <v>389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14.0</v>
      </c>
      <c r="F57" s="73">
        <v>11.0</v>
      </c>
      <c r="G57" s="73">
        <v>4.0</v>
      </c>
      <c r="H57" s="73">
        <v>16.0</v>
      </c>
      <c r="I57" s="73">
        <v>5.0</v>
      </c>
      <c r="J57" s="73">
        <v>7.0</v>
      </c>
      <c r="K57" s="73">
        <v>6.0</v>
      </c>
      <c r="L57" s="73">
        <v>11.0</v>
      </c>
      <c r="M57" s="73">
        <v>5.0</v>
      </c>
      <c r="N57" s="73">
        <v>2.0</v>
      </c>
      <c r="O57" s="73">
        <v>4.0</v>
      </c>
      <c r="P57" s="73">
        <v>4.0</v>
      </c>
      <c r="Q57" s="73">
        <v>4.0</v>
      </c>
      <c r="R57" s="73">
        <v>5.0</v>
      </c>
      <c r="S57" s="13">
        <f t="shared" ref="S57:S66" si="16">SUM(E57:R57)</f>
        <v>98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54.0</v>
      </c>
      <c r="F58" s="73">
        <v>3.0</v>
      </c>
      <c r="G58" s="73">
        <v>3.0</v>
      </c>
      <c r="H58" s="73">
        <v>6.0</v>
      </c>
      <c r="I58" s="73">
        <v>69.0</v>
      </c>
      <c r="J58" s="73">
        <v>17.0</v>
      </c>
      <c r="K58" s="73">
        <v>10.0</v>
      </c>
      <c r="L58" s="73">
        <v>8.0</v>
      </c>
      <c r="M58" s="73">
        <v>11.0</v>
      </c>
      <c r="N58" s="73">
        <v>11.0</v>
      </c>
      <c r="O58" s="73">
        <v>4.0</v>
      </c>
      <c r="P58" s="73">
        <v>11.0</v>
      </c>
      <c r="Q58" s="73">
        <v>8.0</v>
      </c>
      <c r="R58" s="73">
        <v>3.0</v>
      </c>
      <c r="S58" s="13">
        <f t="shared" si="16"/>
        <v>218</v>
      </c>
    </row>
    <row r="59" ht="12.75" customHeight="1">
      <c r="A59" s="18"/>
      <c r="B59" s="49"/>
      <c r="C59" s="50" t="s">
        <v>52</v>
      </c>
      <c r="D59" s="51"/>
      <c r="E59" s="73">
        <v>3.0</v>
      </c>
      <c r="F59" s="73">
        <v>3.0</v>
      </c>
      <c r="G59" s="73">
        <v>3.0</v>
      </c>
      <c r="H59" s="73">
        <v>3.0</v>
      </c>
      <c r="I59" s="73">
        <v>8.0</v>
      </c>
      <c r="J59" s="73">
        <v>1.0</v>
      </c>
      <c r="K59" s="73">
        <v>1.0</v>
      </c>
      <c r="L59" s="73">
        <v>7.0</v>
      </c>
      <c r="M59" s="73">
        <v>3.0</v>
      </c>
      <c r="N59" s="73">
        <v>4.0</v>
      </c>
      <c r="O59" s="73">
        <v>13.0</v>
      </c>
      <c r="P59" s="73">
        <v>0.0</v>
      </c>
      <c r="Q59" s="73">
        <v>7.0</v>
      </c>
      <c r="R59" s="73">
        <v>4.0</v>
      </c>
      <c r="S59" s="13">
        <f t="shared" si="16"/>
        <v>60</v>
      </c>
    </row>
    <row r="60" ht="12.75" customHeight="1">
      <c r="A60" s="18"/>
      <c r="B60" s="49"/>
      <c r="C60" s="50" t="s">
        <v>53</v>
      </c>
      <c r="D60" s="51"/>
      <c r="E60" s="73">
        <v>2.0</v>
      </c>
      <c r="F60" s="73">
        <v>1.0</v>
      </c>
      <c r="G60" s="73">
        <v>3.0</v>
      </c>
      <c r="H60" s="73">
        <v>2.0</v>
      </c>
      <c r="I60" s="73">
        <v>1.0</v>
      </c>
      <c r="J60" s="73">
        <v>0.0</v>
      </c>
      <c r="K60" s="73">
        <v>1.0</v>
      </c>
      <c r="L60" s="73">
        <v>0.0</v>
      </c>
      <c r="M60" s="73">
        <v>0.0</v>
      </c>
      <c r="N60" s="73">
        <v>4.0</v>
      </c>
      <c r="O60" s="73">
        <v>2.0</v>
      </c>
      <c r="P60" s="73">
        <v>3.0</v>
      </c>
      <c r="Q60" s="73">
        <v>3.0</v>
      </c>
      <c r="R60" s="73">
        <v>0.0</v>
      </c>
      <c r="S60" s="13">
        <f t="shared" si="16"/>
        <v>22</v>
      </c>
    </row>
    <row r="61" ht="12.75" customHeight="1">
      <c r="A61" s="18"/>
      <c r="B61" s="49"/>
      <c r="C61" s="50" t="s">
        <v>54</v>
      </c>
      <c r="D61" s="51"/>
      <c r="E61" s="73">
        <v>0.0</v>
      </c>
      <c r="F61" s="73">
        <v>1.0</v>
      </c>
      <c r="G61" s="73">
        <v>2.0</v>
      </c>
      <c r="H61" s="73">
        <v>2.0</v>
      </c>
      <c r="I61" s="73">
        <v>3.0</v>
      </c>
      <c r="J61" s="73">
        <v>2.0</v>
      </c>
      <c r="K61" s="73">
        <v>13.0</v>
      </c>
      <c r="L61" s="73">
        <v>0.0</v>
      </c>
      <c r="M61" s="73">
        <v>0.0</v>
      </c>
      <c r="N61" s="73">
        <v>1.0</v>
      </c>
      <c r="O61" s="73">
        <v>0.0</v>
      </c>
      <c r="P61" s="73">
        <v>1.0</v>
      </c>
      <c r="Q61" s="73">
        <v>1.0</v>
      </c>
      <c r="R61" s="73">
        <v>28.0</v>
      </c>
      <c r="S61" s="13">
        <f t="shared" si="16"/>
        <v>54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0.0</v>
      </c>
      <c r="G62" s="73">
        <v>1.0</v>
      </c>
      <c r="H62" s="73">
        <v>0.0</v>
      </c>
      <c r="I62" s="73">
        <v>1.0</v>
      </c>
      <c r="J62" s="73">
        <v>0.0</v>
      </c>
      <c r="K62" s="73">
        <v>1.0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1.0</v>
      </c>
      <c r="R62" s="73">
        <v>0.0</v>
      </c>
      <c r="S62" s="13">
        <f t="shared" si="16"/>
        <v>4</v>
      </c>
    </row>
    <row r="63" ht="12.75" customHeight="1">
      <c r="A63" s="18"/>
      <c r="B63" s="49"/>
      <c r="C63" s="50" t="s">
        <v>56</v>
      </c>
      <c r="D63" s="51"/>
      <c r="E63" s="73">
        <v>1.0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2.0</v>
      </c>
      <c r="L63" s="73">
        <v>0.0</v>
      </c>
      <c r="M63" s="73">
        <v>0.0</v>
      </c>
      <c r="N63" s="73">
        <v>0.0</v>
      </c>
      <c r="O63" s="73">
        <v>1.0</v>
      </c>
      <c r="P63" s="73">
        <v>0.0</v>
      </c>
      <c r="Q63" s="73">
        <v>0.0</v>
      </c>
      <c r="R63" s="73">
        <v>1.0</v>
      </c>
      <c r="S63" s="13">
        <f t="shared" si="16"/>
        <v>5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1.0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1.0</v>
      </c>
      <c r="O64" s="73">
        <v>0.0</v>
      </c>
      <c r="P64" s="73">
        <v>0.0</v>
      </c>
      <c r="Q64" s="73">
        <v>0.0</v>
      </c>
      <c r="R64" s="73">
        <v>0.0</v>
      </c>
      <c r="S64" s="13">
        <f t="shared" si="16"/>
        <v>2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1.0</v>
      </c>
      <c r="H65" s="73">
        <v>0.0</v>
      </c>
      <c r="I65" s="73">
        <v>0.0</v>
      </c>
      <c r="J65" s="73">
        <v>0.0</v>
      </c>
      <c r="K65" s="73">
        <v>1.0</v>
      </c>
      <c r="L65" s="73">
        <v>0.0</v>
      </c>
      <c r="M65" s="73">
        <v>0.0</v>
      </c>
      <c r="N65" s="73">
        <v>0.0</v>
      </c>
      <c r="O65" s="73">
        <v>0.0</v>
      </c>
      <c r="P65" s="73">
        <v>1.0</v>
      </c>
      <c r="Q65" s="73">
        <v>0.0</v>
      </c>
      <c r="R65" s="73">
        <v>0.0</v>
      </c>
      <c r="S65" s="13">
        <f t="shared" si="16"/>
        <v>3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1.0</v>
      </c>
      <c r="I66" s="73">
        <v>0.0</v>
      </c>
      <c r="J66" s="73">
        <v>3.0</v>
      </c>
      <c r="K66" s="73">
        <v>0.0</v>
      </c>
      <c r="L66" s="73">
        <v>0.0</v>
      </c>
      <c r="M66" s="73">
        <v>0.0</v>
      </c>
      <c r="N66" s="73">
        <v>1.0</v>
      </c>
      <c r="O66" s="73">
        <v>0.0</v>
      </c>
      <c r="P66" s="73">
        <v>1.0</v>
      </c>
      <c r="Q66" s="73">
        <v>0.0</v>
      </c>
      <c r="R66" s="73">
        <v>1.0</v>
      </c>
      <c r="S66" s="13">
        <f t="shared" si="16"/>
        <v>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S67" si="17">SUM(E57:E66)</f>
        <v>74</v>
      </c>
      <c r="F67" s="13">
        <f t="shared" si="17"/>
        <v>20</v>
      </c>
      <c r="G67" s="13">
        <f t="shared" si="17"/>
        <v>17</v>
      </c>
      <c r="H67" s="13">
        <f t="shared" si="17"/>
        <v>30</v>
      </c>
      <c r="I67" s="13">
        <f t="shared" si="17"/>
        <v>87</v>
      </c>
      <c r="J67" s="13">
        <f t="shared" si="17"/>
        <v>30</v>
      </c>
      <c r="K67" s="13">
        <f t="shared" si="17"/>
        <v>35</v>
      </c>
      <c r="L67" s="13">
        <f t="shared" si="17"/>
        <v>26</v>
      </c>
      <c r="M67" s="13">
        <f t="shared" si="17"/>
        <v>19</v>
      </c>
      <c r="N67" s="13">
        <f t="shared" si="17"/>
        <v>24</v>
      </c>
      <c r="O67" s="13">
        <f t="shared" si="17"/>
        <v>24</v>
      </c>
      <c r="P67" s="13">
        <f t="shared" si="17"/>
        <v>21</v>
      </c>
      <c r="Q67" s="13">
        <f t="shared" si="17"/>
        <v>24</v>
      </c>
      <c r="R67" s="13">
        <f t="shared" si="17"/>
        <v>42</v>
      </c>
      <c r="S67" s="13">
        <f t="shared" si="17"/>
        <v>473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13.0</v>
      </c>
      <c r="F69" s="73">
        <v>8.0</v>
      </c>
      <c r="G69" s="73">
        <v>15.0</v>
      </c>
      <c r="H69" s="73">
        <v>14.0</v>
      </c>
      <c r="I69" s="73">
        <v>7.0</v>
      </c>
      <c r="J69" s="73">
        <v>12.0</v>
      </c>
      <c r="K69" s="73">
        <v>10.0</v>
      </c>
      <c r="L69" s="73">
        <v>2.0</v>
      </c>
      <c r="M69" s="73">
        <v>10.0</v>
      </c>
      <c r="N69" s="73">
        <v>3.0</v>
      </c>
      <c r="O69" s="73">
        <v>14.0</v>
      </c>
      <c r="P69" s="73">
        <v>12.0</v>
      </c>
      <c r="Q69" s="73">
        <v>18.0</v>
      </c>
      <c r="R69" s="73">
        <v>4.0</v>
      </c>
      <c r="S69" s="13">
        <f t="shared" ref="S69:S78" si="18">SUM(E69:R69)</f>
        <v>142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3.0</v>
      </c>
      <c r="F70" s="73">
        <v>1.0</v>
      </c>
      <c r="G70" s="73">
        <v>6.0</v>
      </c>
      <c r="H70" s="73">
        <v>10.0</v>
      </c>
      <c r="I70" s="73">
        <v>8.0</v>
      </c>
      <c r="J70" s="73">
        <v>6.0</v>
      </c>
      <c r="K70" s="73">
        <v>9.0</v>
      </c>
      <c r="L70" s="73">
        <v>1.0</v>
      </c>
      <c r="M70" s="73">
        <v>7.0</v>
      </c>
      <c r="N70" s="73">
        <v>6.0</v>
      </c>
      <c r="O70" s="73">
        <v>12.0</v>
      </c>
      <c r="P70" s="73">
        <v>2.0</v>
      </c>
      <c r="Q70" s="73">
        <v>13.0</v>
      </c>
      <c r="R70" s="73">
        <v>10.0</v>
      </c>
      <c r="S70" s="13">
        <f t="shared" si="18"/>
        <v>94</v>
      </c>
    </row>
    <row r="71" ht="12.75" customHeight="1">
      <c r="A71" s="18"/>
      <c r="B71" s="49"/>
      <c r="C71" s="50" t="s">
        <v>62</v>
      </c>
      <c r="D71" s="51"/>
      <c r="E71" s="73">
        <v>6.0</v>
      </c>
      <c r="F71" s="73">
        <v>1.0</v>
      </c>
      <c r="G71" s="73">
        <v>5.0</v>
      </c>
      <c r="H71" s="73">
        <v>2.0</v>
      </c>
      <c r="I71" s="73">
        <v>9.0</v>
      </c>
      <c r="J71" s="73">
        <v>8.0</v>
      </c>
      <c r="K71" s="73">
        <v>3.0</v>
      </c>
      <c r="L71" s="73">
        <v>3.0</v>
      </c>
      <c r="M71" s="73">
        <v>5.0</v>
      </c>
      <c r="N71" s="73">
        <v>4.0</v>
      </c>
      <c r="O71" s="73">
        <v>7.0</v>
      </c>
      <c r="P71" s="73">
        <v>7.0</v>
      </c>
      <c r="Q71" s="73">
        <v>14.0</v>
      </c>
      <c r="R71" s="73">
        <v>5.0</v>
      </c>
      <c r="S71" s="13">
        <f t="shared" si="18"/>
        <v>79</v>
      </c>
    </row>
    <row r="72" ht="12.75" customHeight="1">
      <c r="A72" s="18"/>
      <c r="B72" s="49"/>
      <c r="C72" s="50" t="s">
        <v>63</v>
      </c>
      <c r="D72" s="51"/>
      <c r="E72" s="73">
        <v>2.0</v>
      </c>
      <c r="F72" s="73">
        <v>0.0</v>
      </c>
      <c r="G72" s="73">
        <v>4.0</v>
      </c>
      <c r="H72" s="73">
        <v>6.0</v>
      </c>
      <c r="I72" s="73">
        <v>5.0</v>
      </c>
      <c r="J72" s="73">
        <v>3.0</v>
      </c>
      <c r="K72" s="73">
        <v>3.0</v>
      </c>
      <c r="L72" s="73">
        <v>0.0</v>
      </c>
      <c r="M72" s="73">
        <v>5.0</v>
      </c>
      <c r="N72" s="73">
        <v>7.0</v>
      </c>
      <c r="O72" s="73">
        <v>3.0</v>
      </c>
      <c r="P72" s="73">
        <v>7.0</v>
      </c>
      <c r="Q72" s="73">
        <v>6.0</v>
      </c>
      <c r="R72" s="73">
        <v>1.0</v>
      </c>
      <c r="S72" s="13">
        <f t="shared" si="18"/>
        <v>52</v>
      </c>
    </row>
    <row r="73" ht="12.75" customHeight="1">
      <c r="A73" s="18"/>
      <c r="B73" s="49"/>
      <c r="C73" s="50" t="s">
        <v>64</v>
      </c>
      <c r="D73" s="51"/>
      <c r="E73" s="73">
        <v>6.0</v>
      </c>
      <c r="F73" s="73">
        <v>3.0</v>
      </c>
      <c r="G73" s="73">
        <v>4.0</v>
      </c>
      <c r="H73" s="73">
        <v>0.0</v>
      </c>
      <c r="I73" s="73">
        <v>0.0</v>
      </c>
      <c r="J73" s="73">
        <v>2.0</v>
      </c>
      <c r="K73" s="73">
        <v>1.0</v>
      </c>
      <c r="L73" s="73">
        <v>4.0</v>
      </c>
      <c r="M73" s="73">
        <v>5.0</v>
      </c>
      <c r="N73" s="73">
        <v>3.0</v>
      </c>
      <c r="O73" s="73">
        <v>2.0</v>
      </c>
      <c r="P73" s="73">
        <v>4.0</v>
      </c>
      <c r="Q73" s="73">
        <v>5.0</v>
      </c>
      <c r="R73" s="73">
        <v>3.0</v>
      </c>
      <c r="S73" s="13">
        <f t="shared" si="18"/>
        <v>42</v>
      </c>
    </row>
    <row r="74" ht="12.75" customHeight="1">
      <c r="A74" s="18"/>
      <c r="B74" s="49"/>
      <c r="C74" s="50" t="s">
        <v>65</v>
      </c>
      <c r="D74" s="51"/>
      <c r="E74" s="73">
        <v>3.0</v>
      </c>
      <c r="F74" s="73">
        <v>1.0</v>
      </c>
      <c r="G74" s="73">
        <v>1.0</v>
      </c>
      <c r="H74" s="73">
        <v>3.0</v>
      </c>
      <c r="I74" s="73">
        <v>1.0</v>
      </c>
      <c r="J74" s="73">
        <v>1.0</v>
      </c>
      <c r="K74" s="73">
        <v>2.0</v>
      </c>
      <c r="L74" s="73">
        <v>1.0</v>
      </c>
      <c r="M74" s="73">
        <v>4.0</v>
      </c>
      <c r="N74" s="73">
        <v>0.0</v>
      </c>
      <c r="O74" s="73">
        <v>2.0</v>
      </c>
      <c r="P74" s="73">
        <v>2.0</v>
      </c>
      <c r="Q74" s="73">
        <v>1.0</v>
      </c>
      <c r="R74" s="73">
        <v>0.0</v>
      </c>
      <c r="S74" s="13">
        <f t="shared" si="18"/>
        <v>22</v>
      </c>
    </row>
    <row r="75" ht="12.75" customHeight="1">
      <c r="A75" s="18"/>
      <c r="B75" s="49"/>
      <c r="C75" s="50" t="s">
        <v>66</v>
      </c>
      <c r="D75" s="51"/>
      <c r="E75" s="73">
        <v>2.0</v>
      </c>
      <c r="F75" s="73">
        <v>0.0</v>
      </c>
      <c r="G75" s="73">
        <v>2.0</v>
      </c>
      <c r="H75" s="73">
        <v>0.0</v>
      </c>
      <c r="I75" s="73">
        <v>2.0</v>
      </c>
      <c r="J75" s="73">
        <v>1.0</v>
      </c>
      <c r="K75" s="73">
        <v>0.0</v>
      </c>
      <c r="L75" s="73">
        <v>1.0</v>
      </c>
      <c r="M75" s="73">
        <v>0.0</v>
      </c>
      <c r="N75" s="73">
        <v>1.0</v>
      </c>
      <c r="O75" s="73">
        <v>2.0</v>
      </c>
      <c r="P75" s="73">
        <v>4.0</v>
      </c>
      <c r="Q75" s="73">
        <v>4.0</v>
      </c>
      <c r="R75" s="73">
        <v>0.0</v>
      </c>
      <c r="S75" s="13">
        <f t="shared" si="18"/>
        <v>19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3.0</v>
      </c>
      <c r="N76" s="73">
        <v>0.0</v>
      </c>
      <c r="O76" s="73">
        <v>1.0</v>
      </c>
      <c r="P76" s="73">
        <v>0.0</v>
      </c>
      <c r="Q76" s="73">
        <v>3.0</v>
      </c>
      <c r="R76" s="73">
        <v>3.0</v>
      </c>
      <c r="S76" s="13">
        <f t="shared" si="18"/>
        <v>10</v>
      </c>
    </row>
    <row r="77" ht="12.75" customHeight="1">
      <c r="A77" s="18"/>
      <c r="B77" s="49"/>
      <c r="C77" s="50" t="s">
        <v>68</v>
      </c>
      <c r="D77" s="51"/>
      <c r="E77" s="73">
        <v>1.0</v>
      </c>
      <c r="F77" s="73">
        <v>0.0</v>
      </c>
      <c r="G77" s="73">
        <v>0.0</v>
      </c>
      <c r="H77" s="73">
        <v>0.0</v>
      </c>
      <c r="I77" s="73">
        <v>0.0</v>
      </c>
      <c r="J77" s="73">
        <v>0.0</v>
      </c>
      <c r="K77" s="73">
        <v>1.0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1.0</v>
      </c>
      <c r="R77" s="73">
        <v>1.0</v>
      </c>
      <c r="S77" s="13">
        <f t="shared" si="18"/>
        <v>4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2.0</v>
      </c>
      <c r="H78" s="73">
        <v>1.0</v>
      </c>
      <c r="I78" s="73">
        <v>1.0</v>
      </c>
      <c r="J78" s="73">
        <v>0.0</v>
      </c>
      <c r="K78" s="73">
        <v>0.0</v>
      </c>
      <c r="L78" s="73">
        <v>0.0</v>
      </c>
      <c r="M78" s="73">
        <v>1.0</v>
      </c>
      <c r="N78" s="73">
        <v>1.0</v>
      </c>
      <c r="O78" s="73">
        <v>1.0</v>
      </c>
      <c r="P78" s="73">
        <v>1.0</v>
      </c>
      <c r="Q78" s="73">
        <v>0.0</v>
      </c>
      <c r="R78" s="73">
        <v>1.0</v>
      </c>
      <c r="S78" s="13">
        <f t="shared" si="18"/>
        <v>9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S79" si="19">SUM(E69:E78)</f>
        <v>36</v>
      </c>
      <c r="F79" s="13">
        <f t="shared" si="19"/>
        <v>14</v>
      </c>
      <c r="G79" s="13">
        <f t="shared" si="19"/>
        <v>39</v>
      </c>
      <c r="H79" s="13">
        <f t="shared" si="19"/>
        <v>36</v>
      </c>
      <c r="I79" s="13">
        <f t="shared" si="19"/>
        <v>33</v>
      </c>
      <c r="J79" s="13">
        <f t="shared" si="19"/>
        <v>33</v>
      </c>
      <c r="K79" s="13">
        <f t="shared" si="19"/>
        <v>29</v>
      </c>
      <c r="L79" s="13">
        <f t="shared" si="19"/>
        <v>12</v>
      </c>
      <c r="M79" s="13">
        <f t="shared" si="19"/>
        <v>40</v>
      </c>
      <c r="N79" s="13">
        <f t="shared" si="19"/>
        <v>25</v>
      </c>
      <c r="O79" s="13">
        <f t="shared" si="19"/>
        <v>44</v>
      </c>
      <c r="P79" s="13">
        <f t="shared" si="19"/>
        <v>39</v>
      </c>
      <c r="Q79" s="13">
        <f t="shared" si="19"/>
        <v>65</v>
      </c>
      <c r="R79" s="13">
        <f t="shared" si="19"/>
        <v>28</v>
      </c>
      <c r="S79" s="13">
        <f t="shared" si="19"/>
        <v>473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3.0</v>
      </c>
      <c r="F81" s="73">
        <v>8.0</v>
      </c>
      <c r="G81" s="73">
        <v>1.0</v>
      </c>
      <c r="H81" s="73">
        <v>2.0</v>
      </c>
      <c r="I81" s="73">
        <v>0.0</v>
      </c>
      <c r="J81" s="73">
        <v>2.0</v>
      </c>
      <c r="K81" s="73">
        <v>2.0</v>
      </c>
      <c r="L81" s="73">
        <v>5.0</v>
      </c>
      <c r="M81" s="73">
        <v>2.0</v>
      </c>
      <c r="N81" s="73">
        <v>0.0</v>
      </c>
      <c r="O81" s="73">
        <v>1.0</v>
      </c>
      <c r="P81" s="73">
        <v>5.0</v>
      </c>
      <c r="Q81" s="73">
        <v>7.0</v>
      </c>
      <c r="R81" s="73">
        <v>4.0</v>
      </c>
      <c r="S81" s="13">
        <f t="shared" ref="S81:S90" si="20">SUM(E81:R81)</f>
        <v>42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1.0</v>
      </c>
      <c r="F82" s="73">
        <v>7.0</v>
      </c>
      <c r="G82" s="73">
        <v>8.0</v>
      </c>
      <c r="H82" s="73">
        <v>2.0</v>
      </c>
      <c r="I82" s="73">
        <v>3.0</v>
      </c>
      <c r="J82" s="73">
        <v>4.0</v>
      </c>
      <c r="K82" s="73">
        <v>1.0</v>
      </c>
      <c r="L82" s="73">
        <v>4.0</v>
      </c>
      <c r="M82" s="73">
        <v>2.0</v>
      </c>
      <c r="N82" s="73">
        <v>1.0</v>
      </c>
      <c r="O82" s="73">
        <v>2.0</v>
      </c>
      <c r="P82" s="73">
        <v>1.0</v>
      </c>
      <c r="Q82" s="73">
        <v>1.0</v>
      </c>
      <c r="R82" s="73">
        <v>3.0</v>
      </c>
      <c r="S82" s="13">
        <f t="shared" si="20"/>
        <v>40</v>
      </c>
    </row>
    <row r="83" ht="12.75" customHeight="1">
      <c r="A83" s="18"/>
      <c r="B83" s="49"/>
      <c r="C83" s="50" t="s">
        <v>72</v>
      </c>
      <c r="D83" s="51"/>
      <c r="E83" s="73">
        <v>3.0</v>
      </c>
      <c r="F83" s="73">
        <v>0.0</v>
      </c>
      <c r="G83" s="73">
        <v>1.0</v>
      </c>
      <c r="H83" s="73">
        <v>0.0</v>
      </c>
      <c r="I83" s="73">
        <v>3.0</v>
      </c>
      <c r="J83" s="73">
        <v>5.0</v>
      </c>
      <c r="K83" s="73">
        <v>1.0</v>
      </c>
      <c r="L83" s="73">
        <v>0.0</v>
      </c>
      <c r="M83" s="73">
        <v>1.0</v>
      </c>
      <c r="N83" s="73">
        <v>0.0</v>
      </c>
      <c r="O83" s="73">
        <v>0.0</v>
      </c>
      <c r="P83" s="73">
        <v>0.0</v>
      </c>
      <c r="Q83" s="73">
        <v>2.0</v>
      </c>
      <c r="R83" s="73">
        <v>1.0</v>
      </c>
      <c r="S83" s="13">
        <f t="shared" si="20"/>
        <v>17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2.0</v>
      </c>
      <c r="G84" s="73">
        <v>2.0</v>
      </c>
      <c r="H84" s="73">
        <v>0.0</v>
      </c>
      <c r="I84" s="73">
        <v>2.0</v>
      </c>
      <c r="J84" s="73">
        <v>2.0</v>
      </c>
      <c r="K84" s="73">
        <v>1.0</v>
      </c>
      <c r="L84" s="73">
        <v>1.0</v>
      </c>
      <c r="M84" s="73">
        <v>2.0</v>
      </c>
      <c r="N84" s="73">
        <v>0.0</v>
      </c>
      <c r="O84" s="73">
        <v>0.0</v>
      </c>
      <c r="P84" s="73">
        <v>1.0</v>
      </c>
      <c r="Q84" s="73">
        <v>0.0</v>
      </c>
      <c r="R84" s="73">
        <v>0.0</v>
      </c>
      <c r="S84" s="13">
        <f t="shared" si="20"/>
        <v>14</v>
      </c>
    </row>
    <row r="85" ht="12.75" customHeight="1">
      <c r="A85" s="18"/>
      <c r="B85" s="49"/>
      <c r="C85" s="50" t="s">
        <v>74</v>
      </c>
      <c r="D85" s="51"/>
      <c r="E85" s="73">
        <v>0.0</v>
      </c>
      <c r="F85" s="73">
        <v>0.0</v>
      </c>
      <c r="G85" s="73">
        <v>0.0</v>
      </c>
      <c r="H85" s="73">
        <v>1.0</v>
      </c>
      <c r="I85" s="73">
        <v>5.0</v>
      </c>
      <c r="J85" s="73">
        <v>8.0</v>
      </c>
      <c r="K85" s="73">
        <v>0.0</v>
      </c>
      <c r="L85" s="73">
        <v>0.0</v>
      </c>
      <c r="M85" s="73">
        <v>0.0</v>
      </c>
      <c r="N85" s="73">
        <v>0.0</v>
      </c>
      <c r="O85" s="73">
        <v>2.0</v>
      </c>
      <c r="P85" s="73">
        <v>1.0</v>
      </c>
      <c r="Q85" s="73">
        <v>0.0</v>
      </c>
      <c r="R85" s="73">
        <v>0.0</v>
      </c>
      <c r="S85" s="13">
        <f t="shared" si="20"/>
        <v>17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2.0</v>
      </c>
      <c r="J86" s="73">
        <v>3.0</v>
      </c>
      <c r="K86" s="73">
        <v>0.0</v>
      </c>
      <c r="L86" s="73">
        <v>0.0</v>
      </c>
      <c r="M86" s="73">
        <v>4.0</v>
      </c>
      <c r="N86" s="73">
        <v>4.0</v>
      </c>
      <c r="O86" s="73">
        <v>0.0</v>
      </c>
      <c r="P86" s="73">
        <v>0.0</v>
      </c>
      <c r="Q86" s="73">
        <v>0.0</v>
      </c>
      <c r="R86" s="73">
        <v>1.0</v>
      </c>
      <c r="S86" s="13">
        <f t="shared" si="20"/>
        <v>14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1.0</v>
      </c>
      <c r="H87" s="73">
        <v>0.0</v>
      </c>
      <c r="I87" s="73">
        <v>0.0</v>
      </c>
      <c r="J87" s="73">
        <v>1.0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13">
        <f t="shared" si="20"/>
        <v>2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13">
        <f t="shared" si="20"/>
        <v>0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13">
        <f t="shared" si="20"/>
        <v>0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1.0</v>
      </c>
      <c r="I90" s="73">
        <v>0.0</v>
      </c>
      <c r="J90" s="73">
        <v>1.0</v>
      </c>
      <c r="K90" s="73">
        <v>1.0</v>
      </c>
      <c r="L90" s="73">
        <v>1.0</v>
      </c>
      <c r="M90" s="73">
        <v>1.0</v>
      </c>
      <c r="N90" s="73">
        <v>1.0</v>
      </c>
      <c r="O90" s="73">
        <v>0.0</v>
      </c>
      <c r="P90" s="73">
        <v>0.0</v>
      </c>
      <c r="Q90" s="73">
        <v>0.0</v>
      </c>
      <c r="R90" s="73">
        <v>0.0</v>
      </c>
      <c r="S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S91" si="21">SUM(E81:E90)</f>
        <v>8</v>
      </c>
      <c r="F91" s="13">
        <f t="shared" si="21"/>
        <v>17</v>
      </c>
      <c r="G91" s="13">
        <f t="shared" si="21"/>
        <v>13</v>
      </c>
      <c r="H91" s="13">
        <f t="shared" si="21"/>
        <v>6</v>
      </c>
      <c r="I91" s="13">
        <f t="shared" si="21"/>
        <v>15</v>
      </c>
      <c r="J91" s="13">
        <f t="shared" si="21"/>
        <v>26</v>
      </c>
      <c r="K91" s="13">
        <f t="shared" si="21"/>
        <v>6</v>
      </c>
      <c r="L91" s="13">
        <f t="shared" si="21"/>
        <v>11</v>
      </c>
      <c r="M91" s="13">
        <f t="shared" si="21"/>
        <v>12</v>
      </c>
      <c r="N91" s="13">
        <f t="shared" si="21"/>
        <v>6</v>
      </c>
      <c r="O91" s="13">
        <f t="shared" si="21"/>
        <v>5</v>
      </c>
      <c r="P91" s="13">
        <f t="shared" si="21"/>
        <v>8</v>
      </c>
      <c r="Q91" s="13">
        <f t="shared" si="21"/>
        <v>10</v>
      </c>
      <c r="R91" s="13">
        <f t="shared" si="21"/>
        <v>9</v>
      </c>
      <c r="S91" s="13">
        <f t="shared" si="21"/>
        <v>152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4.0</v>
      </c>
      <c r="F93" s="73">
        <v>1.0</v>
      </c>
      <c r="G93" s="73">
        <v>5.0</v>
      </c>
      <c r="H93" s="73">
        <v>0.0</v>
      </c>
      <c r="I93" s="73">
        <v>1.0</v>
      </c>
      <c r="J93" s="73">
        <v>3.0</v>
      </c>
      <c r="K93" s="73">
        <v>3.0</v>
      </c>
      <c r="L93" s="73">
        <v>1.0</v>
      </c>
      <c r="M93" s="73">
        <v>3.0</v>
      </c>
      <c r="N93" s="73">
        <v>4.0</v>
      </c>
      <c r="O93" s="73">
        <v>0.0</v>
      </c>
      <c r="P93" s="73">
        <v>2.0</v>
      </c>
      <c r="Q93" s="73">
        <v>1.0</v>
      </c>
      <c r="R93" s="73">
        <v>0.0</v>
      </c>
      <c r="S93" s="13">
        <f t="shared" ref="S93:S102" si="22">SUM(E93:R93)</f>
        <v>28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3.0</v>
      </c>
      <c r="F94" s="73">
        <v>3.0</v>
      </c>
      <c r="G94" s="73">
        <v>12.0</v>
      </c>
      <c r="H94" s="73">
        <v>2.0</v>
      </c>
      <c r="I94" s="73">
        <v>2.0</v>
      </c>
      <c r="J94" s="73">
        <v>3.0</v>
      </c>
      <c r="K94" s="73">
        <v>10.0</v>
      </c>
      <c r="L94" s="73">
        <v>0.0</v>
      </c>
      <c r="M94" s="73">
        <v>3.0</v>
      </c>
      <c r="N94" s="73">
        <v>45.0</v>
      </c>
      <c r="O94" s="73">
        <v>11.0</v>
      </c>
      <c r="P94" s="73">
        <v>2.0</v>
      </c>
      <c r="Q94" s="73">
        <v>0.0</v>
      </c>
      <c r="R94" s="73">
        <v>1.0</v>
      </c>
      <c r="S94" s="13">
        <f t="shared" si="22"/>
        <v>97</v>
      </c>
    </row>
    <row r="95" ht="12.75" customHeight="1">
      <c r="A95" s="18"/>
      <c r="B95" s="49"/>
      <c r="C95" s="50" t="s">
        <v>83</v>
      </c>
      <c r="D95" s="56"/>
      <c r="E95" s="73">
        <v>1.0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13">
        <f t="shared" si="22"/>
        <v>1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1.0</v>
      </c>
      <c r="H96" s="73">
        <v>0.0</v>
      </c>
      <c r="I96" s="73">
        <v>0.0</v>
      </c>
      <c r="J96" s="73">
        <v>0.0</v>
      </c>
      <c r="K96" s="73">
        <v>0.0</v>
      </c>
      <c r="L96" s="73">
        <v>1.0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13">
        <f t="shared" si="22"/>
        <v>2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3.0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13">
        <f t="shared" si="22"/>
        <v>3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1.0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13">
        <f t="shared" si="22"/>
        <v>1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13">
        <f t="shared" si="22"/>
        <v>0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1.0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1.0</v>
      </c>
      <c r="Q101" s="73">
        <v>0.0</v>
      </c>
      <c r="R101" s="73">
        <v>1.0</v>
      </c>
      <c r="S101" s="13">
        <f t="shared" si="22"/>
        <v>2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S103" si="23">SUM(E93:E102)</f>
        <v>8</v>
      </c>
      <c r="F103" s="13">
        <f t="shared" si="23"/>
        <v>4</v>
      </c>
      <c r="G103" s="13">
        <f t="shared" si="23"/>
        <v>23</v>
      </c>
      <c r="H103" s="13">
        <f t="shared" si="23"/>
        <v>2</v>
      </c>
      <c r="I103" s="13">
        <f t="shared" si="23"/>
        <v>3</v>
      </c>
      <c r="J103" s="13">
        <f t="shared" si="23"/>
        <v>6</v>
      </c>
      <c r="K103" s="13">
        <f t="shared" si="23"/>
        <v>13</v>
      </c>
      <c r="L103" s="13">
        <f t="shared" si="23"/>
        <v>2</v>
      </c>
      <c r="M103" s="13">
        <f t="shared" si="23"/>
        <v>6</v>
      </c>
      <c r="N103" s="13">
        <f t="shared" si="23"/>
        <v>49</v>
      </c>
      <c r="O103" s="13">
        <f t="shared" si="23"/>
        <v>11</v>
      </c>
      <c r="P103" s="13">
        <f t="shared" si="23"/>
        <v>5</v>
      </c>
      <c r="Q103" s="13">
        <f t="shared" si="23"/>
        <v>1</v>
      </c>
      <c r="R103" s="13">
        <f t="shared" si="23"/>
        <v>2</v>
      </c>
      <c r="S103" s="13">
        <f t="shared" si="23"/>
        <v>135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2.0</v>
      </c>
      <c r="H105" s="73">
        <v>1.0</v>
      </c>
      <c r="I105" s="73">
        <v>0.0</v>
      </c>
      <c r="J105" s="73">
        <v>1.0</v>
      </c>
      <c r="K105" s="73">
        <v>1.0</v>
      </c>
      <c r="L105" s="73">
        <v>0.0</v>
      </c>
      <c r="M105" s="73">
        <v>0.0</v>
      </c>
      <c r="N105" s="73">
        <v>1.0</v>
      </c>
      <c r="O105" s="73">
        <v>0.0</v>
      </c>
      <c r="P105" s="73">
        <v>1.0</v>
      </c>
      <c r="Q105" s="73">
        <v>1.0</v>
      </c>
      <c r="R105" s="73">
        <v>0.0</v>
      </c>
      <c r="S105" s="13">
        <f t="shared" ref="S105:S114" si="24">SUM(E105:R105)</f>
        <v>9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2.0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13">
        <f t="shared" si="24"/>
        <v>3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1.0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1.0</v>
      </c>
      <c r="O107" s="73">
        <v>1.0</v>
      </c>
      <c r="P107" s="73">
        <v>0.0</v>
      </c>
      <c r="Q107" s="73">
        <v>0.0</v>
      </c>
      <c r="R107" s="73">
        <v>0.0</v>
      </c>
      <c r="S107" s="13">
        <f t="shared" si="24"/>
        <v>3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S115" si="25">SUM(E105:E114)</f>
        <v>1</v>
      </c>
      <c r="F115" s="13">
        <f t="shared" si="25"/>
        <v>0</v>
      </c>
      <c r="G115" s="13">
        <f t="shared" si="25"/>
        <v>3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2</v>
      </c>
      <c r="L115" s="13">
        <f t="shared" si="25"/>
        <v>0</v>
      </c>
      <c r="M115" s="13">
        <f t="shared" si="25"/>
        <v>2</v>
      </c>
      <c r="N115" s="13">
        <f t="shared" si="25"/>
        <v>2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15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0.0</v>
      </c>
      <c r="H117" s="73">
        <v>1.0</v>
      </c>
      <c r="I117" s="73">
        <v>0.0</v>
      </c>
      <c r="J117" s="73">
        <v>0.0</v>
      </c>
      <c r="K117" s="73">
        <v>1.0</v>
      </c>
      <c r="L117" s="73">
        <v>1.0</v>
      </c>
      <c r="M117" s="73">
        <v>0.0</v>
      </c>
      <c r="N117" s="73">
        <v>1.0</v>
      </c>
      <c r="O117" s="73">
        <v>0.0</v>
      </c>
      <c r="P117" s="73">
        <v>4.0</v>
      </c>
      <c r="Q117" s="73">
        <v>2.0</v>
      </c>
      <c r="R117" s="73">
        <v>0.0</v>
      </c>
      <c r="S117" s="13">
        <f t="shared" ref="S117:S126" si="26">SUM(E117:R117)</f>
        <v>11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1.0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1.0</v>
      </c>
      <c r="R118" s="73">
        <v>1.0</v>
      </c>
      <c r="S118" s="13">
        <f t="shared" si="26"/>
        <v>4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1.0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1.0</v>
      </c>
      <c r="O119" s="73">
        <v>0.0</v>
      </c>
      <c r="P119" s="73">
        <v>1.0</v>
      </c>
      <c r="Q119" s="73">
        <v>0.0</v>
      </c>
      <c r="R119" s="73">
        <v>0.0</v>
      </c>
      <c r="S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1.0</v>
      </c>
      <c r="F120" s="73">
        <v>1.0</v>
      </c>
      <c r="G120" s="73">
        <v>1.0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1.0</v>
      </c>
      <c r="R120" s="73">
        <v>0.0</v>
      </c>
      <c r="S120" s="13">
        <f t="shared" si="26"/>
        <v>4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1.0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1.0</v>
      </c>
      <c r="O121" s="73">
        <v>0.0</v>
      </c>
      <c r="P121" s="73">
        <v>0.0</v>
      </c>
      <c r="Q121" s="73">
        <v>0.0</v>
      </c>
      <c r="R121" s="73">
        <v>0.0</v>
      </c>
      <c r="S121" s="13">
        <f t="shared" si="26"/>
        <v>2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13">
        <f t="shared" si="26"/>
        <v>0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S127" si="27">SUM(E117:E126)</f>
        <v>2</v>
      </c>
      <c r="F127" s="13">
        <f t="shared" si="27"/>
        <v>2</v>
      </c>
      <c r="G127" s="13">
        <f t="shared" si="27"/>
        <v>2</v>
      </c>
      <c r="H127" s="13">
        <f t="shared" si="27"/>
        <v>1</v>
      </c>
      <c r="I127" s="13">
        <f t="shared" si="27"/>
        <v>1</v>
      </c>
      <c r="J127" s="13">
        <f t="shared" si="27"/>
        <v>0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4</v>
      </c>
      <c r="O127" s="13">
        <f t="shared" si="27"/>
        <v>0</v>
      </c>
      <c r="P127" s="13">
        <f t="shared" si="27"/>
        <v>5</v>
      </c>
      <c r="Q127" s="13">
        <f t="shared" si="27"/>
        <v>4</v>
      </c>
      <c r="R127" s="13">
        <f t="shared" si="27"/>
        <v>1</v>
      </c>
      <c r="S127" s="13">
        <f t="shared" si="27"/>
        <v>24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1.0</v>
      </c>
      <c r="F129" s="73">
        <v>0.0</v>
      </c>
      <c r="G129" s="73">
        <v>0.0</v>
      </c>
      <c r="H129" s="73">
        <v>1.0</v>
      </c>
      <c r="I129" s="73">
        <v>0.0</v>
      </c>
      <c r="J129" s="73">
        <v>0.0</v>
      </c>
      <c r="K129" s="73">
        <v>1.0</v>
      </c>
      <c r="L129" s="73">
        <v>0.0</v>
      </c>
      <c r="M129" s="73">
        <v>0.0</v>
      </c>
      <c r="N129" s="73">
        <v>0.0</v>
      </c>
      <c r="O129" s="73">
        <v>0.0</v>
      </c>
      <c r="P129" s="73">
        <v>3.0</v>
      </c>
      <c r="Q129" s="73">
        <v>1.0</v>
      </c>
      <c r="R129" s="73">
        <v>0.0</v>
      </c>
      <c r="S129" s="13">
        <f t="shared" ref="S129:S138" si="28">SUM(E129:R129)</f>
        <v>7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2.0</v>
      </c>
      <c r="G130" s="73">
        <v>2.0</v>
      </c>
      <c r="H130" s="73">
        <v>0.0</v>
      </c>
      <c r="I130" s="73">
        <v>1.0</v>
      </c>
      <c r="J130" s="73">
        <v>2.0</v>
      </c>
      <c r="K130" s="73">
        <v>6.0</v>
      </c>
      <c r="L130" s="73">
        <v>0.0</v>
      </c>
      <c r="M130" s="73">
        <v>3.0</v>
      </c>
      <c r="N130" s="73">
        <v>1.0</v>
      </c>
      <c r="O130" s="73">
        <v>3.0</v>
      </c>
      <c r="P130" s="73">
        <v>1.0</v>
      </c>
      <c r="Q130" s="73">
        <v>0.0</v>
      </c>
      <c r="R130" s="73">
        <v>0.0</v>
      </c>
      <c r="S130" s="13">
        <f t="shared" si="28"/>
        <v>22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1.0</v>
      </c>
      <c r="R131" s="73">
        <v>0.0</v>
      </c>
      <c r="S131" s="13">
        <f t="shared" si="28"/>
        <v>1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13">
        <f t="shared" si="28"/>
        <v>0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13">
        <f t="shared" si="28"/>
        <v>0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13">
        <f t="shared" si="28"/>
        <v>0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13">
        <f t="shared" si="28"/>
        <v>0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S139" si="29">SUM(E129:E138)</f>
        <v>2</v>
      </c>
      <c r="F139" s="13">
        <f t="shared" si="29"/>
        <v>2</v>
      </c>
      <c r="G139" s="13">
        <f t="shared" si="29"/>
        <v>2</v>
      </c>
      <c r="H139" s="13">
        <f t="shared" si="29"/>
        <v>1</v>
      </c>
      <c r="I139" s="13">
        <f t="shared" si="29"/>
        <v>1</v>
      </c>
      <c r="J139" s="13">
        <f t="shared" si="29"/>
        <v>2</v>
      </c>
      <c r="K139" s="13">
        <f t="shared" si="29"/>
        <v>7</v>
      </c>
      <c r="L139" s="13">
        <f t="shared" si="29"/>
        <v>0</v>
      </c>
      <c r="M139" s="13">
        <f t="shared" si="29"/>
        <v>3</v>
      </c>
      <c r="N139" s="13">
        <f t="shared" si="29"/>
        <v>1</v>
      </c>
      <c r="O139" s="13">
        <f t="shared" si="29"/>
        <v>3</v>
      </c>
      <c r="P139" s="13">
        <f t="shared" si="29"/>
        <v>4</v>
      </c>
      <c r="Q139" s="13">
        <f t="shared" si="29"/>
        <v>2</v>
      </c>
      <c r="R139" s="13">
        <f t="shared" si="29"/>
        <v>0</v>
      </c>
      <c r="S139" s="13">
        <f t="shared" si="29"/>
        <v>30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1.0</v>
      </c>
      <c r="S141" s="13">
        <f t="shared" ref="S141:S150" si="30">SUM(E141:R141)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1.0</v>
      </c>
      <c r="J142" s="73">
        <v>0.0</v>
      </c>
      <c r="K142" s="73">
        <v>0.0</v>
      </c>
      <c r="L142" s="73">
        <v>1.0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13">
        <f t="shared" si="30"/>
        <v>2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1.0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2.0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13">
        <f t="shared" ref="S153:S156" si="32">SUM(E154:R154)</f>
        <v>5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2.0</v>
      </c>
      <c r="P154" s="73">
        <v>2.0</v>
      </c>
      <c r="Q154" s="73">
        <v>1.0</v>
      </c>
      <c r="R154" s="73">
        <v>0.0</v>
      </c>
      <c r="S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1.0</v>
      </c>
      <c r="I155" s="73">
        <v>0.0</v>
      </c>
      <c r="J155" s="73">
        <v>1.0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13">
        <f t="shared" si="32"/>
        <v>1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1.0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1.0</v>
      </c>
      <c r="M157" s="73">
        <v>1.0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13">
        <f t="shared" ref="S157:S162" si="33">SUM(E163:R163)</f>
        <v>16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13">
        <f t="shared" si="33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1.0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13">
        <f t="shared" si="33"/>
        <v>3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1.0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13">
        <f t="shared" si="33"/>
        <v>4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S163" si="34">SUM(E153:E162)</f>
        <v>1</v>
      </c>
      <c r="F163" s="13">
        <f t="shared" si="34"/>
        <v>1</v>
      </c>
      <c r="G163" s="13">
        <f t="shared" si="34"/>
        <v>1</v>
      </c>
      <c r="H163" s="13">
        <f t="shared" si="34"/>
        <v>1</v>
      </c>
      <c r="I163" s="13">
        <f t="shared" si="34"/>
        <v>0</v>
      </c>
      <c r="J163" s="13">
        <f t="shared" si="34"/>
        <v>2</v>
      </c>
      <c r="K163" s="13">
        <f t="shared" si="34"/>
        <v>0</v>
      </c>
      <c r="L163" s="13">
        <f t="shared" si="34"/>
        <v>4</v>
      </c>
      <c r="M163" s="13">
        <f t="shared" si="34"/>
        <v>1</v>
      </c>
      <c r="N163" s="13">
        <f t="shared" si="34"/>
        <v>0</v>
      </c>
      <c r="O163" s="13">
        <f t="shared" si="34"/>
        <v>2</v>
      </c>
      <c r="P163" s="13">
        <f t="shared" si="34"/>
        <v>2</v>
      </c>
      <c r="Q163" s="13">
        <f t="shared" si="34"/>
        <v>1</v>
      </c>
      <c r="R163" s="13">
        <f t="shared" si="34"/>
        <v>0</v>
      </c>
      <c r="S163" s="13">
        <f t="shared" si="34"/>
        <v>33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1.0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1.0</v>
      </c>
      <c r="Q165" s="73">
        <v>0.0</v>
      </c>
      <c r="R165" s="73">
        <v>0.0</v>
      </c>
      <c r="S165" s="13">
        <f t="shared" ref="S165:S174" si="35">SUM(E165:R165)</f>
        <v>3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1.0</v>
      </c>
      <c r="F166" s="73">
        <v>1.0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1.0</v>
      </c>
      <c r="N166" s="73">
        <v>0.0</v>
      </c>
      <c r="O166" s="73">
        <v>1.0</v>
      </c>
      <c r="P166" s="73">
        <v>0.0</v>
      </c>
      <c r="Q166" s="73">
        <v>0.0</v>
      </c>
      <c r="R166" s="73">
        <v>0.0</v>
      </c>
      <c r="S166" s="13">
        <f t="shared" si="35"/>
        <v>4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3">
        <f t="shared" si="35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3">
        <f t="shared" si="35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3">
        <f t="shared" si="35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3">
        <f t="shared" si="35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3">
        <f t="shared" si="35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3">
        <f t="shared" si="35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S175" si="36">SUM(E165:E174)</f>
        <v>1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1</v>
      </c>
      <c r="N175" s="13">
        <f t="shared" si="36"/>
        <v>0</v>
      </c>
      <c r="O175" s="13">
        <f t="shared" si="36"/>
        <v>1</v>
      </c>
      <c r="P175" s="13">
        <f t="shared" si="36"/>
        <v>1</v>
      </c>
      <c r="Q175" s="13">
        <f t="shared" si="36"/>
        <v>0</v>
      </c>
      <c r="R175" s="13">
        <f t="shared" si="36"/>
        <v>0</v>
      </c>
      <c r="S175" s="13">
        <f t="shared" si="36"/>
        <v>7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5.0</v>
      </c>
      <c r="F177" s="73">
        <v>1.0</v>
      </c>
      <c r="G177" s="73">
        <v>0.0</v>
      </c>
      <c r="H177" s="73">
        <v>2.0</v>
      </c>
      <c r="I177" s="73">
        <v>0.0</v>
      </c>
      <c r="J177" s="73">
        <v>2.0</v>
      </c>
      <c r="K177" s="73">
        <v>0.0</v>
      </c>
      <c r="L177" s="73">
        <v>1.0</v>
      </c>
      <c r="M177" s="73">
        <v>1.0</v>
      </c>
      <c r="N177" s="73">
        <v>2.0</v>
      </c>
      <c r="O177" s="73">
        <v>1.0</v>
      </c>
      <c r="P177" s="73">
        <v>0.0</v>
      </c>
      <c r="Q177" s="73">
        <v>0.0</v>
      </c>
      <c r="R177" s="73">
        <v>0.0</v>
      </c>
      <c r="S177" s="13">
        <f t="shared" ref="S177:S186" si="37">SUM(E177:R177)</f>
        <v>15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1.0</v>
      </c>
      <c r="H178" s="73">
        <v>0.0</v>
      </c>
      <c r="I178" s="73">
        <v>0.0</v>
      </c>
      <c r="J178" s="73">
        <v>1.0</v>
      </c>
      <c r="K178" s="73">
        <v>0.0</v>
      </c>
      <c r="L178" s="73">
        <v>0.0</v>
      </c>
      <c r="M178" s="73">
        <v>0.0</v>
      </c>
      <c r="N178" s="73">
        <v>2.0</v>
      </c>
      <c r="O178" s="73">
        <v>0.0</v>
      </c>
      <c r="P178" s="73">
        <v>0.0</v>
      </c>
      <c r="Q178" s="73">
        <v>0.0</v>
      </c>
      <c r="R178" s="73">
        <v>0.0</v>
      </c>
      <c r="S178" s="13">
        <f t="shared" si="37"/>
        <v>4</v>
      </c>
    </row>
    <row r="179" ht="12.75" customHeight="1">
      <c r="A179" s="18"/>
      <c r="B179" s="49"/>
      <c r="C179" s="50" t="s">
        <v>133</v>
      </c>
      <c r="D179" s="51"/>
      <c r="E179" s="73">
        <v>2.0</v>
      </c>
      <c r="F179" s="73">
        <v>0.0</v>
      </c>
      <c r="G179" s="73">
        <v>1.0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1.0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13">
        <f t="shared" si="37"/>
        <v>4</v>
      </c>
    </row>
    <row r="180" ht="12.75" customHeight="1">
      <c r="A180" s="18"/>
      <c r="B180" s="49"/>
      <c r="C180" s="50" t="s">
        <v>134</v>
      </c>
      <c r="D180" s="51"/>
      <c r="E180" s="73">
        <v>8.0</v>
      </c>
      <c r="F180" s="73">
        <v>0.0</v>
      </c>
      <c r="G180" s="73">
        <v>1.0</v>
      </c>
      <c r="H180" s="73">
        <v>2.0</v>
      </c>
      <c r="I180" s="73">
        <v>1.0</v>
      </c>
      <c r="J180" s="73">
        <v>1.0</v>
      </c>
      <c r="K180" s="73">
        <v>0.0</v>
      </c>
      <c r="L180" s="73">
        <v>0.0</v>
      </c>
      <c r="M180" s="73">
        <v>0.0</v>
      </c>
      <c r="N180" s="73">
        <v>1.0</v>
      </c>
      <c r="O180" s="73">
        <v>0.0</v>
      </c>
      <c r="P180" s="73">
        <v>0.0</v>
      </c>
      <c r="Q180" s="73">
        <v>0.0</v>
      </c>
      <c r="R180" s="73">
        <v>2.0</v>
      </c>
      <c r="S180" s="13">
        <f t="shared" si="37"/>
        <v>16</v>
      </c>
    </row>
    <row r="181" ht="12.75" customHeight="1">
      <c r="A181" s="18"/>
      <c r="B181" s="49"/>
      <c r="C181" s="50" t="s">
        <v>135</v>
      </c>
      <c r="D181" s="51"/>
      <c r="E181" s="73">
        <v>1.0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1.0</v>
      </c>
      <c r="Q181" s="73">
        <v>0.0</v>
      </c>
      <c r="R181" s="73">
        <v>0.0</v>
      </c>
      <c r="S181" s="13">
        <f t="shared" si="37"/>
        <v>2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73">
        <v>1.0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13">
        <f t="shared" si="37"/>
        <v>2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13">
        <f t="shared" si="37"/>
        <v>0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2.0</v>
      </c>
      <c r="I184" s="73">
        <v>0.0</v>
      </c>
      <c r="J184" s="73">
        <v>1.0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13">
        <f t="shared" si="37"/>
        <v>3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1.0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13">
        <f t="shared" si="37"/>
        <v>1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13">
        <f t="shared" si="37"/>
        <v>0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S187" si="38">SUM(E177:E186)</f>
        <v>16</v>
      </c>
      <c r="F187" s="13">
        <f t="shared" si="38"/>
        <v>1</v>
      </c>
      <c r="G187" s="13">
        <f t="shared" si="38"/>
        <v>3</v>
      </c>
      <c r="H187" s="13">
        <f t="shared" si="38"/>
        <v>7</v>
      </c>
      <c r="I187" s="13">
        <f t="shared" si="38"/>
        <v>1</v>
      </c>
      <c r="J187" s="13">
        <f t="shared" si="38"/>
        <v>5</v>
      </c>
      <c r="K187" s="13">
        <f t="shared" si="38"/>
        <v>0</v>
      </c>
      <c r="L187" s="13">
        <f t="shared" si="38"/>
        <v>2</v>
      </c>
      <c r="M187" s="13">
        <f t="shared" si="38"/>
        <v>3</v>
      </c>
      <c r="N187" s="13">
        <f t="shared" si="38"/>
        <v>5</v>
      </c>
      <c r="O187" s="13">
        <f t="shared" si="38"/>
        <v>1</v>
      </c>
      <c r="P187" s="13">
        <f t="shared" si="38"/>
        <v>1</v>
      </c>
      <c r="Q187" s="13">
        <f t="shared" si="38"/>
        <v>0</v>
      </c>
      <c r="R187" s="13">
        <f t="shared" si="38"/>
        <v>2</v>
      </c>
      <c r="S187" s="13">
        <f t="shared" si="38"/>
        <v>47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78"/>
      <c r="R188" s="78"/>
      <c r="S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0.0</v>
      </c>
      <c r="R189" s="73">
        <v>0.0</v>
      </c>
      <c r="S189" s="13">
        <f t="shared" ref="S189:S198" si="39">SUM(E189:R189)</f>
        <v>1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13">
        <f t="shared" si="39"/>
        <v>0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1.0</v>
      </c>
      <c r="I191" s="73">
        <v>1.0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13">
        <f t="shared" si="39"/>
        <v>2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1.0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13">
        <f t="shared" si="39"/>
        <v>1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13">
        <f t="shared" si="39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13">
        <f t="shared" si="39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13">
        <f t="shared" si="39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13">
        <f t="shared" si="39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13">
        <f t="shared" si="39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13">
        <f t="shared" si="39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S199" si="40">SUM(E189:E198)</f>
        <v>0</v>
      </c>
      <c r="F199" s="13">
        <f t="shared" si="40"/>
        <v>0</v>
      </c>
      <c r="G199" s="13">
        <f t="shared" si="40"/>
        <v>1</v>
      </c>
      <c r="H199" s="13">
        <f t="shared" si="40"/>
        <v>1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0</v>
      </c>
      <c r="S199" s="13">
        <f t="shared" si="40"/>
        <v>4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3.0</v>
      </c>
      <c r="F201" s="73">
        <v>6.0</v>
      </c>
      <c r="G201" s="73">
        <v>2.0</v>
      </c>
      <c r="H201" s="73">
        <v>4.0</v>
      </c>
      <c r="I201" s="73">
        <v>2.0</v>
      </c>
      <c r="J201" s="73">
        <v>5.0</v>
      </c>
      <c r="K201" s="73">
        <v>7.0</v>
      </c>
      <c r="L201" s="73">
        <v>6.0</v>
      </c>
      <c r="M201" s="73">
        <v>3.0</v>
      </c>
      <c r="N201" s="73">
        <v>0.0</v>
      </c>
      <c r="O201" s="73">
        <v>13.0</v>
      </c>
      <c r="P201" s="73">
        <v>7.0</v>
      </c>
      <c r="Q201" s="73">
        <v>7.0</v>
      </c>
      <c r="R201" s="73">
        <v>10.0</v>
      </c>
      <c r="S201" s="13">
        <f t="shared" ref="S201:S210" si="41">SUM(E201:R201)</f>
        <v>75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13.0</v>
      </c>
      <c r="F202" s="73">
        <v>22.0</v>
      </c>
      <c r="G202" s="73">
        <v>20.0</v>
      </c>
      <c r="H202" s="73">
        <v>7.0</v>
      </c>
      <c r="I202" s="73">
        <v>9.0</v>
      </c>
      <c r="J202" s="73">
        <v>47.0</v>
      </c>
      <c r="K202" s="73">
        <v>13.0</v>
      </c>
      <c r="L202" s="73">
        <v>45.0</v>
      </c>
      <c r="M202" s="73">
        <v>48.0</v>
      </c>
      <c r="N202" s="73">
        <v>23.0</v>
      </c>
      <c r="O202" s="73">
        <v>10.0</v>
      </c>
      <c r="P202" s="73">
        <v>24.0</v>
      </c>
      <c r="Q202" s="73">
        <v>36.0</v>
      </c>
      <c r="R202" s="73">
        <v>70.0</v>
      </c>
      <c r="S202" s="13">
        <f t="shared" si="41"/>
        <v>387</v>
      </c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3.0</v>
      </c>
      <c r="G203" s="73">
        <v>1.0</v>
      </c>
      <c r="H203" s="73">
        <v>2.0</v>
      </c>
      <c r="I203" s="73">
        <v>2.0</v>
      </c>
      <c r="J203" s="73">
        <v>0.0</v>
      </c>
      <c r="K203" s="73">
        <v>2.0</v>
      </c>
      <c r="L203" s="73">
        <v>0.0</v>
      </c>
      <c r="M203" s="73">
        <v>0.0</v>
      </c>
      <c r="N203" s="73">
        <v>1.0</v>
      </c>
      <c r="O203" s="73">
        <v>5.0</v>
      </c>
      <c r="P203" s="73">
        <v>6.0</v>
      </c>
      <c r="Q203" s="73">
        <v>0.0</v>
      </c>
      <c r="R203" s="73">
        <v>12.0</v>
      </c>
      <c r="S203" s="13">
        <f t="shared" si="41"/>
        <v>35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1.0</v>
      </c>
      <c r="G204" s="73">
        <v>0.0</v>
      </c>
      <c r="H204" s="73">
        <v>2.0</v>
      </c>
      <c r="I204" s="73">
        <v>0.0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0.0</v>
      </c>
      <c r="P204" s="73">
        <v>1.0</v>
      </c>
      <c r="Q204" s="73">
        <v>0.0</v>
      </c>
      <c r="R204" s="73">
        <v>0.0</v>
      </c>
      <c r="S204" s="13">
        <f t="shared" si="41"/>
        <v>5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1.0</v>
      </c>
      <c r="Q205" s="73">
        <v>0.0</v>
      </c>
      <c r="R205" s="73">
        <v>0.0</v>
      </c>
      <c r="S205" s="13">
        <f t="shared" si="41"/>
        <v>2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1.0</v>
      </c>
      <c r="R206" s="73">
        <v>0.0</v>
      </c>
      <c r="S206" s="13">
        <f t="shared" si="41"/>
        <v>1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1.0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2.0</v>
      </c>
      <c r="P207" s="73">
        <v>1.0</v>
      </c>
      <c r="Q207" s="73">
        <v>1.0</v>
      </c>
      <c r="R207" s="73">
        <v>1.0</v>
      </c>
      <c r="S207" s="13">
        <f t="shared" si="41"/>
        <v>6</v>
      </c>
    </row>
    <row r="208" ht="12.75" customHeight="1">
      <c r="A208" s="18"/>
      <c r="B208" s="49"/>
      <c r="C208" s="50" t="s">
        <v>160</v>
      </c>
      <c r="D208" s="51"/>
      <c r="E208" s="73">
        <v>1.0</v>
      </c>
      <c r="F208" s="73">
        <v>0.0</v>
      </c>
      <c r="G208" s="73">
        <v>2.0</v>
      </c>
      <c r="H208" s="73">
        <v>0.0</v>
      </c>
      <c r="I208" s="73">
        <v>0.0</v>
      </c>
      <c r="J208" s="73">
        <v>1.0</v>
      </c>
      <c r="K208" s="73">
        <v>1.0</v>
      </c>
      <c r="L208" s="73">
        <v>0.0</v>
      </c>
      <c r="M208" s="73">
        <v>0.0</v>
      </c>
      <c r="N208" s="73">
        <v>0.0</v>
      </c>
      <c r="O208" s="73">
        <v>0.0</v>
      </c>
      <c r="P208" s="73">
        <v>0.0</v>
      </c>
      <c r="Q208" s="73">
        <v>1.0</v>
      </c>
      <c r="R208" s="73">
        <v>1.0</v>
      </c>
      <c r="S208" s="13">
        <f t="shared" si="41"/>
        <v>7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1.0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13">
        <f t="shared" si="41"/>
        <v>1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1.0</v>
      </c>
      <c r="I210" s="73">
        <v>0.0</v>
      </c>
      <c r="J210" s="73">
        <v>1.0</v>
      </c>
      <c r="K210" s="73">
        <v>0.0</v>
      </c>
      <c r="L210" s="73">
        <v>0.0</v>
      </c>
      <c r="M210" s="73">
        <v>0.0</v>
      </c>
      <c r="N210" s="73">
        <v>1.0</v>
      </c>
      <c r="O210" s="73">
        <v>0.0</v>
      </c>
      <c r="P210" s="73">
        <v>0.0</v>
      </c>
      <c r="Q210" s="73">
        <v>0.0</v>
      </c>
      <c r="R210" s="73">
        <v>1.0</v>
      </c>
      <c r="S210" s="13">
        <f t="shared" si="41"/>
        <v>4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S211" si="42">SUM(E201:E210)</f>
        <v>18</v>
      </c>
      <c r="F211" s="13">
        <f t="shared" si="42"/>
        <v>32</v>
      </c>
      <c r="G211" s="13">
        <f t="shared" si="42"/>
        <v>26</v>
      </c>
      <c r="H211" s="13">
        <f t="shared" si="42"/>
        <v>17</v>
      </c>
      <c r="I211" s="13">
        <f t="shared" si="42"/>
        <v>13</v>
      </c>
      <c r="J211" s="13">
        <f t="shared" si="42"/>
        <v>55</v>
      </c>
      <c r="K211" s="13">
        <f t="shared" si="42"/>
        <v>23</v>
      </c>
      <c r="L211" s="13">
        <f t="shared" si="42"/>
        <v>51</v>
      </c>
      <c r="M211" s="13">
        <f t="shared" si="42"/>
        <v>52</v>
      </c>
      <c r="N211" s="13">
        <f t="shared" si="42"/>
        <v>25</v>
      </c>
      <c r="O211" s="13">
        <f t="shared" si="42"/>
        <v>30</v>
      </c>
      <c r="P211" s="13">
        <f t="shared" si="42"/>
        <v>40</v>
      </c>
      <c r="Q211" s="13">
        <f t="shared" si="42"/>
        <v>46</v>
      </c>
      <c r="R211" s="13">
        <f t="shared" si="42"/>
        <v>95</v>
      </c>
      <c r="S211" s="13">
        <f t="shared" si="42"/>
        <v>523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1.0</v>
      </c>
      <c r="G213" s="73">
        <v>1.0</v>
      </c>
      <c r="H213" s="73">
        <v>0.0</v>
      </c>
      <c r="I213" s="73">
        <v>0.0</v>
      </c>
      <c r="J213" s="73">
        <v>0.0</v>
      </c>
      <c r="K213" s="73">
        <v>0.0</v>
      </c>
      <c r="L213" s="73">
        <v>0.0</v>
      </c>
      <c r="M213" s="73">
        <v>0.0</v>
      </c>
      <c r="N213" s="73">
        <v>0.0</v>
      </c>
      <c r="O213" s="73">
        <v>2.0</v>
      </c>
      <c r="P213" s="73">
        <v>0.0</v>
      </c>
      <c r="Q213" s="73">
        <v>4.0</v>
      </c>
      <c r="R213" s="73">
        <v>5.0</v>
      </c>
      <c r="S213" s="13">
        <f t="shared" ref="S213:S222" si="43">SUM(E213:R213)</f>
        <v>15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1.0</v>
      </c>
      <c r="G214" s="73">
        <v>2.0</v>
      </c>
      <c r="H214" s="73">
        <v>2.0</v>
      </c>
      <c r="I214" s="73">
        <v>0.0</v>
      </c>
      <c r="J214" s="73">
        <v>1.0</v>
      </c>
      <c r="K214" s="73">
        <v>2.0</v>
      </c>
      <c r="L214" s="73">
        <v>0.0</v>
      </c>
      <c r="M214" s="73">
        <v>0.0</v>
      </c>
      <c r="N214" s="73">
        <v>1.0</v>
      </c>
      <c r="O214" s="73">
        <v>0.0</v>
      </c>
      <c r="P214" s="73">
        <v>1.0</v>
      </c>
      <c r="Q214" s="73">
        <v>3.0</v>
      </c>
      <c r="R214" s="73">
        <v>2.0</v>
      </c>
      <c r="S214" s="13">
        <f t="shared" si="43"/>
        <v>15</v>
      </c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0.0</v>
      </c>
      <c r="G215" s="73">
        <v>1.0</v>
      </c>
      <c r="H215" s="73">
        <v>1.0</v>
      </c>
      <c r="I215" s="73">
        <v>0.0</v>
      </c>
      <c r="J215" s="73">
        <v>1.0</v>
      </c>
      <c r="K215" s="73">
        <v>0.0</v>
      </c>
      <c r="L215" s="73">
        <v>0.0</v>
      </c>
      <c r="M215" s="73">
        <v>1.0</v>
      </c>
      <c r="N215" s="73">
        <v>0.0</v>
      </c>
      <c r="O215" s="73">
        <v>1.0</v>
      </c>
      <c r="P215" s="73">
        <v>0.0</v>
      </c>
      <c r="Q215" s="73">
        <v>0.0</v>
      </c>
      <c r="R215" s="73">
        <v>0.0</v>
      </c>
      <c r="S215" s="13">
        <f t="shared" si="43"/>
        <v>6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1.0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13">
        <f t="shared" si="43"/>
        <v>1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3">
        <f t="shared" si="43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3">
        <f t="shared" si="43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3">
        <f t="shared" si="43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3">
        <f t="shared" si="43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S223" si="44">SUM(E213:E222)</f>
        <v>3</v>
      </c>
      <c r="F223" s="13">
        <f t="shared" si="44"/>
        <v>2</v>
      </c>
      <c r="G223" s="13">
        <f t="shared" si="44"/>
        <v>5</v>
      </c>
      <c r="H223" s="13">
        <f t="shared" si="44"/>
        <v>3</v>
      </c>
      <c r="I223" s="13">
        <f t="shared" si="44"/>
        <v>0</v>
      </c>
      <c r="J223" s="13">
        <f t="shared" si="44"/>
        <v>2</v>
      </c>
      <c r="K223" s="13">
        <f t="shared" si="44"/>
        <v>2</v>
      </c>
      <c r="L223" s="13">
        <f t="shared" si="44"/>
        <v>0</v>
      </c>
      <c r="M223" s="13">
        <f t="shared" si="44"/>
        <v>1</v>
      </c>
      <c r="N223" s="13">
        <f t="shared" si="44"/>
        <v>1</v>
      </c>
      <c r="O223" s="13">
        <f t="shared" si="44"/>
        <v>3</v>
      </c>
      <c r="P223" s="13">
        <f t="shared" si="44"/>
        <v>1</v>
      </c>
      <c r="Q223" s="13">
        <f t="shared" si="44"/>
        <v>7</v>
      </c>
      <c r="R223" s="13">
        <f t="shared" si="44"/>
        <v>7</v>
      </c>
      <c r="S223" s="13">
        <f t="shared" si="44"/>
        <v>37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1.0</v>
      </c>
      <c r="M225" s="73">
        <v>1.0</v>
      </c>
      <c r="N225" s="73">
        <v>0.0</v>
      </c>
      <c r="O225" s="73">
        <v>2.0</v>
      </c>
      <c r="P225" s="73">
        <v>0.0</v>
      </c>
      <c r="Q225" s="73">
        <v>0.0</v>
      </c>
      <c r="R225" s="73">
        <v>0.0</v>
      </c>
      <c r="S225" s="13">
        <f t="shared" ref="S225:S234" si="45">SUM(E225:R225)</f>
        <v>5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1.0</v>
      </c>
      <c r="I226" s="73">
        <v>0.0</v>
      </c>
      <c r="J226" s="73">
        <v>1.0</v>
      </c>
      <c r="K226" s="73">
        <v>0.0</v>
      </c>
      <c r="L226" s="73">
        <v>0.0</v>
      </c>
      <c r="M226" s="73">
        <v>0.0</v>
      </c>
      <c r="N226" s="73">
        <v>0.0</v>
      </c>
      <c r="O226" s="73">
        <v>1.0</v>
      </c>
      <c r="P226" s="73">
        <v>4.0</v>
      </c>
      <c r="Q226" s="73">
        <v>0.0</v>
      </c>
      <c r="R226" s="73">
        <v>9.0</v>
      </c>
      <c r="S226" s="13">
        <f t="shared" si="45"/>
        <v>16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1.0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13">
        <f t="shared" si="45"/>
        <v>1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13">
        <f t="shared" si="45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13">
        <f t="shared" si="45"/>
        <v>0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3">
        <f t="shared" si="45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3">
        <f t="shared" si="45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3">
        <f t="shared" si="45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S235" si="46">SUM(E225:E234)</f>
        <v>1</v>
      </c>
      <c r="F235" s="13">
        <f t="shared" si="46"/>
        <v>0</v>
      </c>
      <c r="G235" s="13">
        <f t="shared" si="46"/>
        <v>0</v>
      </c>
      <c r="H235" s="13">
        <f t="shared" si="46"/>
        <v>1</v>
      </c>
      <c r="I235" s="13">
        <f t="shared" si="46"/>
        <v>0</v>
      </c>
      <c r="J235" s="13">
        <f t="shared" si="46"/>
        <v>1</v>
      </c>
      <c r="K235" s="13">
        <f t="shared" si="46"/>
        <v>1</v>
      </c>
      <c r="L235" s="13">
        <f t="shared" si="46"/>
        <v>1</v>
      </c>
      <c r="M235" s="13">
        <f t="shared" si="46"/>
        <v>1</v>
      </c>
      <c r="N235" s="13">
        <f t="shared" si="46"/>
        <v>0</v>
      </c>
      <c r="O235" s="13">
        <f t="shared" si="46"/>
        <v>3</v>
      </c>
      <c r="P235" s="13">
        <f t="shared" si="46"/>
        <v>4</v>
      </c>
      <c r="Q235" s="13">
        <f t="shared" si="46"/>
        <v>0</v>
      </c>
      <c r="R235" s="13">
        <f t="shared" si="46"/>
        <v>9</v>
      </c>
      <c r="S235" s="13">
        <f t="shared" si="46"/>
        <v>22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2.0</v>
      </c>
      <c r="G237" s="73">
        <v>1.0</v>
      </c>
      <c r="H237" s="73">
        <v>3.0</v>
      </c>
      <c r="I237" s="73">
        <v>1.0</v>
      </c>
      <c r="J237" s="73">
        <v>0.0</v>
      </c>
      <c r="K237" s="73">
        <v>3.0</v>
      </c>
      <c r="L237" s="73">
        <v>1.0</v>
      </c>
      <c r="M237" s="73">
        <v>4.0</v>
      </c>
      <c r="N237" s="73">
        <v>3.0</v>
      </c>
      <c r="O237" s="73">
        <v>2.0</v>
      </c>
      <c r="P237" s="73">
        <v>1.0</v>
      </c>
      <c r="Q237" s="73">
        <v>3.0</v>
      </c>
      <c r="R237" s="73">
        <v>0.0</v>
      </c>
      <c r="S237" s="13">
        <f t="shared" ref="S237:S246" si="47">SUM(E237:R237)</f>
        <v>24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1.0</v>
      </c>
      <c r="F238" s="73">
        <v>1.0</v>
      </c>
      <c r="G238" s="73">
        <v>1.0</v>
      </c>
      <c r="H238" s="73">
        <v>2.0</v>
      </c>
      <c r="I238" s="73">
        <v>0.0</v>
      </c>
      <c r="J238" s="73">
        <v>0.0</v>
      </c>
      <c r="K238" s="73">
        <v>1.0</v>
      </c>
      <c r="L238" s="73">
        <v>2.0</v>
      </c>
      <c r="M238" s="73">
        <v>0.0</v>
      </c>
      <c r="N238" s="73">
        <v>0.0</v>
      </c>
      <c r="O238" s="73">
        <v>1.0</v>
      </c>
      <c r="P238" s="73">
        <v>4.0</v>
      </c>
      <c r="Q238" s="73">
        <v>0.0</v>
      </c>
      <c r="R238" s="73">
        <v>0.0</v>
      </c>
      <c r="S238" s="13">
        <f t="shared" si="47"/>
        <v>13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2.0</v>
      </c>
      <c r="G239" s="73">
        <v>0.0</v>
      </c>
      <c r="H239" s="73">
        <v>4.0</v>
      </c>
      <c r="I239" s="73">
        <v>8.0</v>
      </c>
      <c r="J239" s="73">
        <v>3.0</v>
      </c>
      <c r="K239" s="73">
        <v>3.0</v>
      </c>
      <c r="L239" s="73">
        <v>1.0</v>
      </c>
      <c r="M239" s="73">
        <v>2.0</v>
      </c>
      <c r="N239" s="73">
        <v>2.0</v>
      </c>
      <c r="O239" s="73">
        <v>6.0</v>
      </c>
      <c r="P239" s="73">
        <v>0.0</v>
      </c>
      <c r="Q239" s="73">
        <v>4.0</v>
      </c>
      <c r="R239" s="73">
        <v>1.0</v>
      </c>
      <c r="S239" s="13">
        <f t="shared" si="47"/>
        <v>36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1.0</v>
      </c>
      <c r="P240" s="73">
        <v>0.0</v>
      </c>
      <c r="Q240" s="73">
        <v>0.0</v>
      </c>
      <c r="R240" s="73">
        <v>0.0</v>
      </c>
      <c r="S240" s="13">
        <f t="shared" si="47"/>
        <v>1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1.0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13">
        <f t="shared" si="47"/>
        <v>1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2.0</v>
      </c>
      <c r="G242" s="73">
        <v>2.0</v>
      </c>
      <c r="H242" s="73">
        <v>1.0</v>
      </c>
      <c r="I242" s="73">
        <v>1.0</v>
      </c>
      <c r="J242" s="73">
        <v>0.0</v>
      </c>
      <c r="K242" s="73">
        <v>1.0</v>
      </c>
      <c r="L242" s="73">
        <v>1.0</v>
      </c>
      <c r="M242" s="73">
        <v>7.0</v>
      </c>
      <c r="N242" s="73">
        <v>3.0</v>
      </c>
      <c r="O242" s="73">
        <v>2.0</v>
      </c>
      <c r="P242" s="73">
        <v>1.0</v>
      </c>
      <c r="Q242" s="73">
        <v>4.0</v>
      </c>
      <c r="R242" s="73">
        <v>0.0</v>
      </c>
      <c r="S242" s="13">
        <f t="shared" si="47"/>
        <v>25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73">
        <v>0.0</v>
      </c>
      <c r="M243" s="73">
        <v>3.0</v>
      </c>
      <c r="N243" s="73">
        <v>3.0</v>
      </c>
      <c r="O243" s="73">
        <v>0.0</v>
      </c>
      <c r="P243" s="73">
        <v>0.0</v>
      </c>
      <c r="Q243" s="73">
        <v>1.0</v>
      </c>
      <c r="R243" s="73">
        <v>1.0</v>
      </c>
      <c r="S243" s="13">
        <f t="shared" si="47"/>
        <v>9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1.0</v>
      </c>
      <c r="I244" s="73">
        <v>0.0</v>
      </c>
      <c r="J244" s="73">
        <v>1.0</v>
      </c>
      <c r="K244" s="73">
        <v>1.0</v>
      </c>
      <c r="L244" s="73">
        <v>0.0</v>
      </c>
      <c r="M244" s="73">
        <v>1.0</v>
      </c>
      <c r="N244" s="73">
        <v>1.0</v>
      </c>
      <c r="O244" s="73">
        <v>0.0</v>
      </c>
      <c r="P244" s="73">
        <v>0.0</v>
      </c>
      <c r="Q244" s="73">
        <v>4.0</v>
      </c>
      <c r="R244" s="73">
        <v>0.0</v>
      </c>
      <c r="S244" s="13">
        <f t="shared" si="47"/>
        <v>9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2.0</v>
      </c>
      <c r="O245" s="73">
        <v>0.0</v>
      </c>
      <c r="P245" s="73">
        <v>0.0</v>
      </c>
      <c r="Q245" s="73">
        <v>0.0</v>
      </c>
      <c r="R245" s="73">
        <v>1.0</v>
      </c>
      <c r="S245" s="13">
        <f t="shared" si="47"/>
        <v>3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1.0</v>
      </c>
      <c r="M246" s="73">
        <v>1.0</v>
      </c>
      <c r="N246" s="73">
        <v>0.0</v>
      </c>
      <c r="O246" s="73">
        <v>1.0</v>
      </c>
      <c r="P246" s="73">
        <v>0.0</v>
      </c>
      <c r="Q246" s="73">
        <v>1.0</v>
      </c>
      <c r="R246" s="73">
        <v>0.0</v>
      </c>
      <c r="S246" s="13">
        <f t="shared" si="47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S247" si="48">SUM(E237:E246)</f>
        <v>1</v>
      </c>
      <c r="F247" s="13">
        <f t="shared" si="48"/>
        <v>7</v>
      </c>
      <c r="G247" s="13">
        <f t="shared" si="48"/>
        <v>5</v>
      </c>
      <c r="H247" s="13">
        <f t="shared" si="48"/>
        <v>11</v>
      </c>
      <c r="I247" s="13">
        <f t="shared" si="48"/>
        <v>10</v>
      </c>
      <c r="J247" s="13">
        <f t="shared" si="48"/>
        <v>4</v>
      </c>
      <c r="K247" s="13">
        <f t="shared" si="48"/>
        <v>10</v>
      </c>
      <c r="L247" s="13">
        <f t="shared" si="48"/>
        <v>6</v>
      </c>
      <c r="M247" s="13">
        <f t="shared" si="48"/>
        <v>18</v>
      </c>
      <c r="N247" s="13">
        <f t="shared" si="48"/>
        <v>14</v>
      </c>
      <c r="O247" s="13">
        <f t="shared" si="48"/>
        <v>13</v>
      </c>
      <c r="P247" s="13">
        <f t="shared" si="48"/>
        <v>6</v>
      </c>
      <c r="Q247" s="13">
        <f t="shared" si="48"/>
        <v>17</v>
      </c>
      <c r="R247" s="13">
        <f t="shared" si="48"/>
        <v>3</v>
      </c>
      <c r="S247" s="13">
        <f t="shared" si="48"/>
        <v>125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2.0</v>
      </c>
      <c r="N249" s="73">
        <v>0.0</v>
      </c>
      <c r="O249" s="73">
        <v>1.0</v>
      </c>
      <c r="P249" s="73">
        <v>0.0</v>
      </c>
      <c r="Q249" s="73">
        <v>0.0</v>
      </c>
      <c r="R249" s="73">
        <v>0.0</v>
      </c>
      <c r="S249" s="13">
        <f t="shared" ref="S249:S258" si="49">SUM(E249:R249)</f>
        <v>3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6.0</v>
      </c>
      <c r="F250" s="73">
        <v>5.0</v>
      </c>
      <c r="G250" s="73">
        <v>1.0</v>
      </c>
      <c r="H250" s="73">
        <v>2.0</v>
      </c>
      <c r="I250" s="73">
        <v>0.0</v>
      </c>
      <c r="J250" s="73">
        <v>3.0</v>
      </c>
      <c r="K250" s="73">
        <v>0.0</v>
      </c>
      <c r="L250" s="73">
        <v>3.0</v>
      </c>
      <c r="M250" s="73">
        <v>1.0</v>
      </c>
      <c r="N250" s="73">
        <v>0.0</v>
      </c>
      <c r="O250" s="73">
        <v>1.0</v>
      </c>
      <c r="P250" s="73">
        <v>0.0</v>
      </c>
      <c r="Q250" s="73">
        <v>0.0</v>
      </c>
      <c r="R250" s="73">
        <v>0.0</v>
      </c>
      <c r="S250" s="13">
        <f t="shared" si="49"/>
        <v>22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1.0</v>
      </c>
      <c r="O251" s="73">
        <v>0.0</v>
      </c>
      <c r="P251" s="73">
        <v>0.0</v>
      </c>
      <c r="Q251" s="73">
        <v>0.0</v>
      </c>
      <c r="R251" s="73">
        <v>0.0</v>
      </c>
      <c r="S251" s="13">
        <f t="shared" si="49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1.0</v>
      </c>
      <c r="R252" s="73">
        <v>0.0</v>
      </c>
      <c r="S252" s="13">
        <f t="shared" si="49"/>
        <v>1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S259" si="50">SUM(E249:E258)</f>
        <v>6</v>
      </c>
      <c r="F259" s="13">
        <f t="shared" si="50"/>
        <v>5</v>
      </c>
      <c r="G259" s="13">
        <f t="shared" si="50"/>
        <v>1</v>
      </c>
      <c r="H259" s="13">
        <f t="shared" si="50"/>
        <v>2</v>
      </c>
      <c r="I259" s="13">
        <f t="shared" si="50"/>
        <v>0</v>
      </c>
      <c r="J259" s="13">
        <f t="shared" si="50"/>
        <v>3</v>
      </c>
      <c r="K259" s="13">
        <f t="shared" si="50"/>
        <v>0</v>
      </c>
      <c r="L259" s="13">
        <f t="shared" si="50"/>
        <v>3</v>
      </c>
      <c r="M259" s="13">
        <f t="shared" si="50"/>
        <v>3</v>
      </c>
      <c r="N259" s="13">
        <f t="shared" si="50"/>
        <v>1</v>
      </c>
      <c r="O259" s="13">
        <f t="shared" si="50"/>
        <v>2</v>
      </c>
      <c r="P259" s="13">
        <f t="shared" si="50"/>
        <v>0</v>
      </c>
      <c r="Q259" s="13">
        <f t="shared" si="50"/>
        <v>1</v>
      </c>
      <c r="R259" s="13">
        <f t="shared" si="50"/>
        <v>0</v>
      </c>
      <c r="S259" s="13">
        <f t="shared" si="50"/>
        <v>27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13"/>
      <c r="R261" s="13"/>
      <c r="S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R262" si="51">E55+E67+E79+E91+E103+E115+E127+E139+E151+E163+E175+E187+E199+E211+E223+E235+E247+E259</f>
        <v>191</v>
      </c>
      <c r="F262" s="19">
        <f t="shared" si="51"/>
        <v>135</v>
      </c>
      <c r="G262" s="19">
        <f t="shared" si="51"/>
        <v>156</v>
      </c>
      <c r="H262" s="19">
        <f t="shared" si="51"/>
        <v>180</v>
      </c>
      <c r="I262" s="19">
        <f t="shared" si="51"/>
        <v>195</v>
      </c>
      <c r="J262" s="19">
        <f t="shared" si="51"/>
        <v>203</v>
      </c>
      <c r="K262" s="19">
        <f t="shared" si="51"/>
        <v>162</v>
      </c>
      <c r="L262" s="19">
        <f t="shared" si="51"/>
        <v>153</v>
      </c>
      <c r="M262" s="19">
        <f t="shared" si="51"/>
        <v>193</v>
      </c>
      <c r="N262" s="19">
        <f t="shared" si="51"/>
        <v>184</v>
      </c>
      <c r="O262" s="19">
        <f t="shared" si="51"/>
        <v>174</v>
      </c>
      <c r="P262" s="19">
        <f t="shared" si="51"/>
        <v>179</v>
      </c>
      <c r="Q262" s="19">
        <f t="shared" si="51"/>
        <v>192</v>
      </c>
      <c r="R262" s="19">
        <f t="shared" si="51"/>
        <v>205</v>
      </c>
      <c r="S262" s="13">
        <f t="shared" ref="S262:S264" si="52">SUM(E262:R262)</f>
        <v>2502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9.0</v>
      </c>
      <c r="F263" s="73">
        <v>6.0</v>
      </c>
      <c r="G263" s="73">
        <v>24.0</v>
      </c>
      <c r="H263" s="73">
        <v>30.0</v>
      </c>
      <c r="I263" s="73">
        <v>5.0</v>
      </c>
      <c r="J263" s="73">
        <v>16.0</v>
      </c>
      <c r="K263" s="73">
        <v>24.0</v>
      </c>
      <c r="L263" s="73">
        <v>17.0</v>
      </c>
      <c r="M263" s="73">
        <v>16.0</v>
      </c>
      <c r="N263" s="73">
        <v>10.0</v>
      </c>
      <c r="O263" s="73">
        <v>12.0</v>
      </c>
      <c r="P263" s="73">
        <v>10.0</v>
      </c>
      <c r="Q263" s="73">
        <v>13.0</v>
      </c>
      <c r="R263" s="73">
        <v>5.0</v>
      </c>
      <c r="S263" s="13">
        <f t="shared" si="52"/>
        <v>197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R264" si="53">SUM(E262:E263)</f>
        <v>200</v>
      </c>
      <c r="F264" s="13">
        <f t="shared" si="53"/>
        <v>141</v>
      </c>
      <c r="G264" s="13">
        <f t="shared" si="53"/>
        <v>180</v>
      </c>
      <c r="H264" s="13">
        <f t="shared" si="53"/>
        <v>210</v>
      </c>
      <c r="I264" s="13">
        <f t="shared" si="53"/>
        <v>200</v>
      </c>
      <c r="J264" s="13">
        <f t="shared" si="53"/>
        <v>219</v>
      </c>
      <c r="K264" s="13">
        <f t="shared" si="53"/>
        <v>186</v>
      </c>
      <c r="L264" s="13">
        <f t="shared" si="53"/>
        <v>170</v>
      </c>
      <c r="M264" s="13">
        <f t="shared" si="53"/>
        <v>209</v>
      </c>
      <c r="N264" s="13">
        <f t="shared" si="53"/>
        <v>194</v>
      </c>
      <c r="O264" s="13">
        <f t="shared" si="53"/>
        <v>186</v>
      </c>
      <c r="P264" s="13">
        <f t="shared" si="53"/>
        <v>189</v>
      </c>
      <c r="Q264" s="13">
        <f t="shared" si="53"/>
        <v>205</v>
      </c>
      <c r="R264" s="13">
        <f t="shared" si="53"/>
        <v>210</v>
      </c>
      <c r="S264" s="13">
        <f t="shared" si="52"/>
        <v>2699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B38:D38"/>
    <mergeCell ref="B39:C41"/>
    <mergeCell ref="A42:D42"/>
    <mergeCell ref="E42:R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73">
        <v>139.0</v>
      </c>
      <c r="F14" s="73">
        <v>143.0</v>
      </c>
      <c r="G14" s="73">
        <v>158.0</v>
      </c>
      <c r="H14" s="73">
        <v>131.0</v>
      </c>
      <c r="I14" s="73">
        <v>140.0</v>
      </c>
      <c r="J14" s="73">
        <v>115.0</v>
      </c>
      <c r="K14" s="73">
        <v>152.0</v>
      </c>
      <c r="L14" s="73">
        <v>144.0</v>
      </c>
      <c r="M14" s="73">
        <v>155.0</v>
      </c>
      <c r="N14" s="73">
        <v>138.0</v>
      </c>
      <c r="O14" s="73">
        <v>136.0</v>
      </c>
      <c r="P14" s="73">
        <v>141.0</v>
      </c>
      <c r="Q14" s="73">
        <v>129.0</v>
      </c>
      <c r="R14" s="73">
        <v>142.0</v>
      </c>
      <c r="S14" s="13">
        <f t="shared" ref="S14:S16" si="1">SUM(E14:R14)</f>
        <v>1963</v>
      </c>
    </row>
    <row r="15" ht="12.75" customHeight="1">
      <c r="A15" s="18"/>
      <c r="B15" s="26"/>
      <c r="C15" s="27"/>
      <c r="D15" s="19" t="s">
        <v>13</v>
      </c>
      <c r="E15" s="73">
        <v>145.0</v>
      </c>
      <c r="F15" s="73">
        <v>152.0</v>
      </c>
      <c r="G15" s="73">
        <v>137.0</v>
      </c>
      <c r="H15" s="73">
        <v>142.0</v>
      </c>
      <c r="I15" s="73">
        <v>139.0</v>
      </c>
      <c r="J15" s="73">
        <v>126.0</v>
      </c>
      <c r="K15" s="73">
        <v>129.0</v>
      </c>
      <c r="L15" s="73">
        <v>143.0</v>
      </c>
      <c r="M15" s="73">
        <v>135.0</v>
      </c>
      <c r="N15" s="73">
        <v>146.0</v>
      </c>
      <c r="O15" s="73">
        <v>138.0</v>
      </c>
      <c r="P15" s="73">
        <v>129.0</v>
      </c>
      <c r="Q15" s="73">
        <v>141.0</v>
      </c>
      <c r="R15" s="73">
        <v>131.0</v>
      </c>
      <c r="S15" s="13">
        <f t="shared" si="1"/>
        <v>1933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284</v>
      </c>
      <c r="F16" s="13">
        <f t="shared" si="2"/>
        <v>295</v>
      </c>
      <c r="G16" s="13">
        <f t="shared" si="2"/>
        <v>295</v>
      </c>
      <c r="H16" s="13">
        <f t="shared" si="2"/>
        <v>273</v>
      </c>
      <c r="I16" s="13">
        <f t="shared" si="2"/>
        <v>279</v>
      </c>
      <c r="J16" s="13">
        <f t="shared" si="2"/>
        <v>241</v>
      </c>
      <c r="K16" s="13">
        <f t="shared" si="2"/>
        <v>281</v>
      </c>
      <c r="L16" s="13">
        <f t="shared" si="2"/>
        <v>287</v>
      </c>
      <c r="M16" s="13">
        <f t="shared" si="2"/>
        <v>290</v>
      </c>
      <c r="N16" s="13">
        <f t="shared" si="2"/>
        <v>284</v>
      </c>
      <c r="O16" s="13">
        <f t="shared" si="2"/>
        <v>274</v>
      </c>
      <c r="P16" s="13">
        <f t="shared" si="2"/>
        <v>270</v>
      </c>
      <c r="Q16" s="13">
        <f t="shared" si="2"/>
        <v>270</v>
      </c>
      <c r="R16" s="13">
        <f t="shared" si="2"/>
        <v>273</v>
      </c>
      <c r="S16" s="13">
        <f t="shared" si="1"/>
        <v>3896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113.0</v>
      </c>
      <c r="F19" s="73">
        <v>123.0</v>
      </c>
      <c r="G19" s="73">
        <v>139.0</v>
      </c>
      <c r="H19" s="73">
        <v>101.0</v>
      </c>
      <c r="I19" s="73">
        <v>98.0</v>
      </c>
      <c r="J19" s="73">
        <v>98.0</v>
      </c>
      <c r="K19" s="73">
        <v>130.0</v>
      </c>
      <c r="L19" s="73">
        <v>125.0</v>
      </c>
      <c r="M19" s="73">
        <v>107.0</v>
      </c>
      <c r="N19" s="73">
        <v>110.0</v>
      </c>
      <c r="O19" s="73">
        <v>100.0</v>
      </c>
      <c r="P19" s="73">
        <v>105.0</v>
      </c>
      <c r="Q19" s="73">
        <v>100.0</v>
      </c>
      <c r="R19" s="73">
        <v>106.0</v>
      </c>
      <c r="S19" s="13">
        <f t="shared" ref="S19:S30" si="3">SUM(E19:R19)</f>
        <v>1555</v>
      </c>
    </row>
    <row r="20" ht="12.75" customHeight="1">
      <c r="A20" s="33"/>
      <c r="B20" s="27"/>
      <c r="C20" s="34"/>
      <c r="D20" s="19" t="s">
        <v>13</v>
      </c>
      <c r="E20" s="73">
        <v>120.0</v>
      </c>
      <c r="F20" s="73">
        <v>127.0</v>
      </c>
      <c r="G20" s="73">
        <v>122.0</v>
      </c>
      <c r="H20" s="73">
        <v>114.0</v>
      </c>
      <c r="I20" s="73">
        <v>111.0</v>
      </c>
      <c r="J20" s="73">
        <v>103.0</v>
      </c>
      <c r="K20" s="73">
        <v>109.0</v>
      </c>
      <c r="L20" s="73">
        <v>131.0</v>
      </c>
      <c r="M20" s="73">
        <v>94.0</v>
      </c>
      <c r="N20" s="73">
        <v>120.0</v>
      </c>
      <c r="O20" s="73">
        <v>108.0</v>
      </c>
      <c r="P20" s="73">
        <v>100.0</v>
      </c>
      <c r="Q20" s="73">
        <v>115.0</v>
      </c>
      <c r="R20" s="73">
        <v>110.0</v>
      </c>
      <c r="S20" s="13">
        <f t="shared" si="3"/>
        <v>1584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233</v>
      </c>
      <c r="F21" s="13">
        <f t="shared" si="4"/>
        <v>250</v>
      </c>
      <c r="G21" s="13">
        <f t="shared" si="4"/>
        <v>261</v>
      </c>
      <c r="H21" s="13">
        <f t="shared" si="4"/>
        <v>215</v>
      </c>
      <c r="I21" s="13">
        <f t="shared" si="4"/>
        <v>209</v>
      </c>
      <c r="J21" s="13">
        <f t="shared" si="4"/>
        <v>201</v>
      </c>
      <c r="K21" s="13">
        <f t="shared" si="4"/>
        <v>239</v>
      </c>
      <c r="L21" s="13">
        <f t="shared" si="4"/>
        <v>256</v>
      </c>
      <c r="M21" s="13">
        <f t="shared" si="4"/>
        <v>201</v>
      </c>
      <c r="N21" s="13">
        <f t="shared" si="4"/>
        <v>230</v>
      </c>
      <c r="O21" s="13">
        <f t="shared" si="4"/>
        <v>208</v>
      </c>
      <c r="P21" s="13">
        <f t="shared" si="4"/>
        <v>205</v>
      </c>
      <c r="Q21" s="13">
        <f t="shared" si="4"/>
        <v>215</v>
      </c>
      <c r="R21" s="13">
        <f t="shared" si="4"/>
        <v>216</v>
      </c>
      <c r="S21" s="13">
        <f t="shared" si="3"/>
        <v>3139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1.0</v>
      </c>
      <c r="G22" s="73">
        <v>1.0</v>
      </c>
      <c r="H22" s="73">
        <v>1.0</v>
      </c>
      <c r="I22" s="73">
        <v>0.0</v>
      </c>
      <c r="J22" s="73">
        <v>1.0</v>
      </c>
      <c r="K22" s="73">
        <v>0.0</v>
      </c>
      <c r="L22" s="73">
        <v>0.0</v>
      </c>
      <c r="M22" s="73">
        <v>0.0</v>
      </c>
      <c r="N22" s="73">
        <v>1.0</v>
      </c>
      <c r="O22" s="73">
        <v>0.0</v>
      </c>
      <c r="P22" s="73">
        <v>0.0</v>
      </c>
      <c r="Q22" s="73">
        <v>0.0</v>
      </c>
      <c r="R22" s="73">
        <v>1.0</v>
      </c>
      <c r="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2.0</v>
      </c>
      <c r="G23" s="73">
        <v>0.0</v>
      </c>
      <c r="H23" s="73">
        <v>0.0</v>
      </c>
      <c r="I23" s="73">
        <v>0.0</v>
      </c>
      <c r="J23" s="73">
        <v>1.0</v>
      </c>
      <c r="K23" s="73">
        <v>0.0</v>
      </c>
      <c r="L23" s="73">
        <v>1.0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2.0</v>
      </c>
      <c r="F25" s="73">
        <v>0.0</v>
      </c>
      <c r="G25" s="73">
        <v>0.0</v>
      </c>
      <c r="H25" s="73">
        <v>1.0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2.0</v>
      </c>
      <c r="O25" s="73">
        <v>0.0</v>
      </c>
      <c r="P25" s="73">
        <v>1.0</v>
      </c>
      <c r="Q25" s="73">
        <v>0.0</v>
      </c>
      <c r="R25" s="73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5.0</v>
      </c>
      <c r="I26" s="73">
        <v>0.0</v>
      </c>
      <c r="J26" s="73">
        <v>0.0</v>
      </c>
      <c r="K26" s="73">
        <v>1.0</v>
      </c>
      <c r="L26" s="73">
        <v>0.0</v>
      </c>
      <c r="M26" s="73">
        <v>0.0</v>
      </c>
      <c r="N26" s="73">
        <v>1.0</v>
      </c>
      <c r="O26" s="73">
        <v>2.0</v>
      </c>
      <c r="P26" s="73">
        <v>1.0</v>
      </c>
      <c r="Q26" s="73">
        <v>0.0</v>
      </c>
      <c r="R26" s="73">
        <v>1.0</v>
      </c>
      <c r="S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115</v>
      </c>
      <c r="F28" s="13">
        <f t="shared" si="7"/>
        <v>124</v>
      </c>
      <c r="G28" s="13">
        <f t="shared" si="7"/>
        <v>140</v>
      </c>
      <c r="H28" s="13">
        <f t="shared" si="7"/>
        <v>103</v>
      </c>
      <c r="I28" s="13">
        <f t="shared" si="7"/>
        <v>98</v>
      </c>
      <c r="J28" s="13">
        <f t="shared" si="7"/>
        <v>99</v>
      </c>
      <c r="K28" s="13">
        <f t="shared" si="7"/>
        <v>130</v>
      </c>
      <c r="L28" s="13">
        <f t="shared" si="7"/>
        <v>125</v>
      </c>
      <c r="M28" s="13">
        <f t="shared" si="7"/>
        <v>107</v>
      </c>
      <c r="N28" s="13">
        <f t="shared" si="7"/>
        <v>113</v>
      </c>
      <c r="O28" s="13">
        <f t="shared" si="7"/>
        <v>100</v>
      </c>
      <c r="P28" s="13">
        <f t="shared" si="7"/>
        <v>106</v>
      </c>
      <c r="Q28" s="13">
        <f t="shared" si="7"/>
        <v>100</v>
      </c>
      <c r="R28" s="13">
        <f t="shared" si="7"/>
        <v>107</v>
      </c>
      <c r="S28" s="13">
        <f t="shared" si="3"/>
        <v>1567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120</v>
      </c>
      <c r="F29" s="13">
        <f t="shared" si="8"/>
        <v>129</v>
      </c>
      <c r="G29" s="13">
        <f t="shared" si="8"/>
        <v>122</v>
      </c>
      <c r="H29" s="13">
        <f t="shared" si="8"/>
        <v>119</v>
      </c>
      <c r="I29" s="13">
        <f t="shared" si="8"/>
        <v>111</v>
      </c>
      <c r="J29" s="13">
        <f t="shared" si="8"/>
        <v>104</v>
      </c>
      <c r="K29" s="13">
        <f t="shared" si="8"/>
        <v>110</v>
      </c>
      <c r="L29" s="13">
        <f t="shared" si="8"/>
        <v>132</v>
      </c>
      <c r="M29" s="13">
        <f t="shared" si="8"/>
        <v>94</v>
      </c>
      <c r="N29" s="13">
        <f t="shared" si="8"/>
        <v>122</v>
      </c>
      <c r="O29" s="13">
        <f t="shared" si="8"/>
        <v>110</v>
      </c>
      <c r="P29" s="13">
        <f t="shared" si="8"/>
        <v>101</v>
      </c>
      <c r="Q29" s="13">
        <f t="shared" si="8"/>
        <v>115</v>
      </c>
      <c r="R29" s="13">
        <f t="shared" si="8"/>
        <v>111</v>
      </c>
      <c r="S29" s="13">
        <f t="shared" si="3"/>
        <v>1600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235</v>
      </c>
      <c r="F30" s="13">
        <f t="shared" si="9"/>
        <v>253</v>
      </c>
      <c r="G30" s="13">
        <f t="shared" si="9"/>
        <v>262</v>
      </c>
      <c r="H30" s="13">
        <f t="shared" si="9"/>
        <v>222</v>
      </c>
      <c r="I30" s="13">
        <f t="shared" si="9"/>
        <v>209</v>
      </c>
      <c r="J30" s="13">
        <f t="shared" si="9"/>
        <v>203</v>
      </c>
      <c r="K30" s="13">
        <f t="shared" si="9"/>
        <v>240</v>
      </c>
      <c r="L30" s="13">
        <f t="shared" si="9"/>
        <v>257</v>
      </c>
      <c r="M30" s="13">
        <f t="shared" si="9"/>
        <v>201</v>
      </c>
      <c r="N30" s="13">
        <f t="shared" si="9"/>
        <v>235</v>
      </c>
      <c r="O30" s="13">
        <f t="shared" si="9"/>
        <v>210</v>
      </c>
      <c r="P30" s="13">
        <f t="shared" si="9"/>
        <v>207</v>
      </c>
      <c r="Q30" s="13">
        <f t="shared" si="9"/>
        <v>215</v>
      </c>
      <c r="R30" s="13">
        <f t="shared" si="9"/>
        <v>218</v>
      </c>
      <c r="S30" s="13">
        <f t="shared" si="3"/>
        <v>3167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5"/>
    </row>
    <row r="33" ht="12.75" customHeight="1">
      <c r="A33" s="19">
        <v>1.0</v>
      </c>
      <c r="B33" s="20" t="s">
        <v>27</v>
      </c>
      <c r="C33" s="15"/>
      <c r="D33" s="16"/>
      <c r="E33" s="73">
        <v>290.0</v>
      </c>
      <c r="F33" s="73">
        <v>301.0</v>
      </c>
      <c r="G33" s="73">
        <v>301.0</v>
      </c>
      <c r="H33" s="73">
        <v>279.0</v>
      </c>
      <c r="I33" s="73">
        <v>285.0</v>
      </c>
      <c r="J33" s="73">
        <v>246.0</v>
      </c>
      <c r="K33" s="73">
        <v>287.0</v>
      </c>
      <c r="L33" s="73">
        <v>293.0</v>
      </c>
      <c r="M33" s="73">
        <v>296.0</v>
      </c>
      <c r="N33" s="73">
        <v>290.0</v>
      </c>
      <c r="O33" s="73">
        <v>280.0</v>
      </c>
      <c r="P33" s="73">
        <v>276.0</v>
      </c>
      <c r="Q33" s="73">
        <v>276.0</v>
      </c>
      <c r="R33" s="73">
        <v>280.0</v>
      </c>
      <c r="S33" s="13">
        <f t="shared" ref="S33:S36" si="10">SUM(E33:R33)</f>
        <v>3980</v>
      </c>
    </row>
    <row r="34" ht="12.75" customHeight="1">
      <c r="A34" s="19">
        <v>2.0</v>
      </c>
      <c r="B34" s="20" t="s">
        <v>28</v>
      </c>
      <c r="C34" s="15"/>
      <c r="D34" s="16"/>
      <c r="E34" s="77">
        <v>235.0</v>
      </c>
      <c r="F34" s="77">
        <v>253.0</v>
      </c>
      <c r="G34" s="77">
        <v>262.0</v>
      </c>
      <c r="H34" s="77">
        <v>222.0</v>
      </c>
      <c r="I34" s="77">
        <v>209.0</v>
      </c>
      <c r="J34" s="77">
        <v>203.0</v>
      </c>
      <c r="K34" s="77">
        <v>240.0</v>
      </c>
      <c r="L34" s="77">
        <v>257.0</v>
      </c>
      <c r="M34" s="77">
        <v>201.0</v>
      </c>
      <c r="N34" s="77">
        <v>235.0</v>
      </c>
      <c r="O34" s="77">
        <v>210.0</v>
      </c>
      <c r="P34" s="77">
        <v>207.0</v>
      </c>
      <c r="Q34" s="77">
        <v>215.0</v>
      </c>
      <c r="R34" s="77">
        <v>218.0</v>
      </c>
      <c r="S34" s="13">
        <f t="shared" si="10"/>
        <v>3167</v>
      </c>
    </row>
    <row r="35" ht="12.75" customHeight="1">
      <c r="A35" s="19">
        <v>3.0</v>
      </c>
      <c r="B35" s="20" t="s">
        <v>29</v>
      </c>
      <c r="C35" s="15"/>
      <c r="D35" s="16"/>
      <c r="E35" s="73">
        <v>2.0</v>
      </c>
      <c r="F35" s="73">
        <v>1.0</v>
      </c>
      <c r="G35" s="73">
        <v>0.0</v>
      </c>
      <c r="H35" s="73">
        <v>0.0</v>
      </c>
      <c r="I35" s="73">
        <v>1.0</v>
      </c>
      <c r="J35" s="73">
        <v>0.0</v>
      </c>
      <c r="K35" s="73">
        <v>0.0</v>
      </c>
      <c r="L35" s="73">
        <v>1.0</v>
      </c>
      <c r="M35" s="73">
        <v>0.0</v>
      </c>
      <c r="N35" s="73">
        <v>0.0</v>
      </c>
      <c r="O35" s="73">
        <v>1.0</v>
      </c>
      <c r="P35" s="73">
        <v>1.0</v>
      </c>
      <c r="Q35" s="73">
        <v>0.0</v>
      </c>
      <c r="R35" s="73">
        <v>0.0</v>
      </c>
      <c r="S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53</v>
      </c>
      <c r="F36" s="13">
        <f t="shared" si="11"/>
        <v>47</v>
      </c>
      <c r="G36" s="13">
        <f t="shared" si="11"/>
        <v>39</v>
      </c>
      <c r="H36" s="13">
        <f t="shared" si="11"/>
        <v>57</v>
      </c>
      <c r="I36" s="13">
        <f t="shared" si="11"/>
        <v>75</v>
      </c>
      <c r="J36" s="13">
        <f t="shared" si="11"/>
        <v>43</v>
      </c>
      <c r="K36" s="13">
        <f t="shared" si="11"/>
        <v>47</v>
      </c>
      <c r="L36" s="13">
        <f t="shared" si="11"/>
        <v>35</v>
      </c>
      <c r="M36" s="13">
        <f t="shared" si="11"/>
        <v>95</v>
      </c>
      <c r="N36" s="13">
        <f t="shared" si="11"/>
        <v>55</v>
      </c>
      <c r="O36" s="13">
        <f t="shared" si="11"/>
        <v>69</v>
      </c>
      <c r="P36" s="13">
        <f t="shared" si="11"/>
        <v>68</v>
      </c>
      <c r="Q36" s="13">
        <f t="shared" si="11"/>
        <v>61</v>
      </c>
      <c r="R36" s="13">
        <f t="shared" si="11"/>
        <v>62</v>
      </c>
      <c r="S36" s="13">
        <f t="shared" si="10"/>
        <v>806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2"/>
      <c r="P37" s="82"/>
      <c r="Q37" s="82"/>
      <c r="R37" s="82"/>
      <c r="S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1.0</v>
      </c>
      <c r="O39" s="73">
        <v>0.0</v>
      </c>
      <c r="P39" s="73">
        <v>0.0</v>
      </c>
      <c r="Q39" s="73">
        <v>1.0</v>
      </c>
      <c r="R39" s="73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73">
        <v>1.0</v>
      </c>
      <c r="F40" s="73">
        <v>0.0</v>
      </c>
      <c r="G40" s="73">
        <v>0.0</v>
      </c>
      <c r="H40" s="73">
        <v>0.0</v>
      </c>
      <c r="I40" s="73">
        <v>1.0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1.0</v>
      </c>
      <c r="Q40" s="73">
        <v>3.0</v>
      </c>
      <c r="R40" s="73">
        <v>0.0</v>
      </c>
      <c r="S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5.0</v>
      </c>
      <c r="F45" s="73">
        <v>5.0</v>
      </c>
      <c r="G45" s="73">
        <v>11.0</v>
      </c>
      <c r="H45" s="73">
        <v>1.0</v>
      </c>
      <c r="I45" s="73">
        <v>4.0</v>
      </c>
      <c r="J45" s="73">
        <v>2.0</v>
      </c>
      <c r="K45" s="73">
        <v>6.0</v>
      </c>
      <c r="L45" s="73">
        <v>7.0</v>
      </c>
      <c r="M45" s="73">
        <v>7.0</v>
      </c>
      <c r="N45" s="73">
        <v>7.0</v>
      </c>
      <c r="O45" s="73">
        <v>4.0</v>
      </c>
      <c r="P45" s="73">
        <v>3.0</v>
      </c>
      <c r="Q45" s="73">
        <v>8.0</v>
      </c>
      <c r="R45" s="73">
        <v>3.0</v>
      </c>
      <c r="S45" s="13">
        <f t="shared" ref="S45:S54" si="14">SUM(E45:R45)</f>
        <v>73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3.0</v>
      </c>
      <c r="G46" s="73">
        <v>18.0</v>
      </c>
      <c r="H46" s="73">
        <v>3.0</v>
      </c>
      <c r="I46" s="73">
        <v>7.0</v>
      </c>
      <c r="J46" s="73">
        <v>9.0</v>
      </c>
      <c r="K46" s="73">
        <v>7.0</v>
      </c>
      <c r="L46" s="73">
        <v>24.0</v>
      </c>
      <c r="M46" s="73">
        <v>16.0</v>
      </c>
      <c r="N46" s="73">
        <v>7.0</v>
      </c>
      <c r="O46" s="73">
        <v>5.0</v>
      </c>
      <c r="P46" s="73">
        <v>16.0</v>
      </c>
      <c r="Q46" s="73">
        <v>8.0</v>
      </c>
      <c r="R46" s="73">
        <v>10.0</v>
      </c>
      <c r="S46" s="13">
        <f t="shared" si="14"/>
        <v>139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2.0</v>
      </c>
      <c r="G47" s="73">
        <v>1.0</v>
      </c>
      <c r="H47" s="73">
        <v>0.0</v>
      </c>
      <c r="I47" s="73">
        <v>2.0</v>
      </c>
      <c r="J47" s="73">
        <v>5.0</v>
      </c>
      <c r="K47" s="73">
        <v>12.0</v>
      </c>
      <c r="L47" s="73">
        <v>1.0</v>
      </c>
      <c r="M47" s="73">
        <v>3.0</v>
      </c>
      <c r="N47" s="73">
        <v>1.0</v>
      </c>
      <c r="O47" s="73">
        <v>0.0</v>
      </c>
      <c r="P47" s="73">
        <v>3.0</v>
      </c>
      <c r="Q47" s="73">
        <v>9.0</v>
      </c>
      <c r="R47" s="73">
        <v>4.0</v>
      </c>
      <c r="S47" s="13">
        <f t="shared" si="14"/>
        <v>43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0.0</v>
      </c>
      <c r="J48" s="73">
        <v>1.0</v>
      </c>
      <c r="K48" s="73">
        <v>1.0</v>
      </c>
      <c r="L48" s="73">
        <v>0.0</v>
      </c>
      <c r="M48" s="73">
        <v>1.0</v>
      </c>
      <c r="N48" s="73">
        <v>0.0</v>
      </c>
      <c r="O48" s="73">
        <v>0.0</v>
      </c>
      <c r="P48" s="73">
        <v>0.0</v>
      </c>
      <c r="Q48" s="73">
        <v>1.0</v>
      </c>
      <c r="R48" s="73">
        <v>0.0</v>
      </c>
      <c r="S48" s="13">
        <f t="shared" si="14"/>
        <v>4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2.0</v>
      </c>
      <c r="H49" s="73">
        <v>0.0</v>
      </c>
      <c r="I49" s="73">
        <v>2.0</v>
      </c>
      <c r="J49" s="73">
        <v>1.0</v>
      </c>
      <c r="K49" s="73">
        <v>0.0</v>
      </c>
      <c r="L49" s="73">
        <v>0.0</v>
      </c>
      <c r="M49" s="73">
        <v>0.0</v>
      </c>
      <c r="N49" s="73">
        <v>1.0</v>
      </c>
      <c r="O49" s="73">
        <v>1.0</v>
      </c>
      <c r="P49" s="73">
        <v>1.0</v>
      </c>
      <c r="Q49" s="73">
        <v>1.0</v>
      </c>
      <c r="R49" s="73">
        <v>1.0</v>
      </c>
      <c r="S49" s="13">
        <f t="shared" si="14"/>
        <v>10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0.0</v>
      </c>
      <c r="G50" s="73">
        <v>1.0</v>
      </c>
      <c r="H50" s="73">
        <v>0.0</v>
      </c>
      <c r="I50" s="73">
        <v>1.0</v>
      </c>
      <c r="J50" s="73">
        <v>4.0</v>
      </c>
      <c r="K50" s="73">
        <v>1.0</v>
      </c>
      <c r="L50" s="73">
        <v>1.0</v>
      </c>
      <c r="M50" s="73">
        <v>1.0</v>
      </c>
      <c r="N50" s="73">
        <v>1.0</v>
      </c>
      <c r="O50" s="73">
        <v>0.0</v>
      </c>
      <c r="P50" s="73">
        <v>1.0</v>
      </c>
      <c r="Q50" s="73">
        <v>3.0</v>
      </c>
      <c r="R50" s="73">
        <v>0.0</v>
      </c>
      <c r="S50" s="13">
        <f t="shared" si="14"/>
        <v>15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3.0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1.0</v>
      </c>
      <c r="M51" s="73">
        <v>0.0</v>
      </c>
      <c r="N51" s="73">
        <v>0.0</v>
      </c>
      <c r="O51" s="73">
        <v>1.0</v>
      </c>
      <c r="P51" s="73">
        <v>1.0</v>
      </c>
      <c r="Q51" s="73">
        <v>1.0</v>
      </c>
      <c r="R51" s="73">
        <v>1.0</v>
      </c>
      <c r="S51" s="13">
        <f t="shared" si="14"/>
        <v>9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0.0</v>
      </c>
      <c r="I52" s="73">
        <v>1.0</v>
      </c>
      <c r="J52" s="73">
        <v>0.0</v>
      </c>
      <c r="K52" s="73">
        <v>0.0</v>
      </c>
      <c r="L52" s="73">
        <v>1.0</v>
      </c>
      <c r="M52" s="73">
        <v>0.0</v>
      </c>
      <c r="N52" s="73">
        <v>2.0</v>
      </c>
      <c r="O52" s="73">
        <v>0.0</v>
      </c>
      <c r="P52" s="73">
        <v>0.0</v>
      </c>
      <c r="Q52" s="73">
        <v>1.0</v>
      </c>
      <c r="R52" s="73">
        <v>0.0</v>
      </c>
      <c r="S52" s="13">
        <f t="shared" si="14"/>
        <v>5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1.0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13">
        <f t="shared" si="14"/>
        <v>1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1.0</v>
      </c>
      <c r="G54" s="73">
        <v>1.0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0.0</v>
      </c>
      <c r="N54" s="73">
        <v>1.0</v>
      </c>
      <c r="O54" s="73">
        <v>0.0</v>
      </c>
      <c r="P54" s="73">
        <v>1.0</v>
      </c>
      <c r="Q54" s="73">
        <v>1.0</v>
      </c>
      <c r="R54" s="73">
        <v>0.0</v>
      </c>
      <c r="S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S55" si="15">SUM(E45:E54)</f>
        <v>13</v>
      </c>
      <c r="F55" s="13">
        <f t="shared" si="15"/>
        <v>14</v>
      </c>
      <c r="G55" s="13">
        <f t="shared" si="15"/>
        <v>34</v>
      </c>
      <c r="H55" s="13">
        <f t="shared" si="15"/>
        <v>4</v>
      </c>
      <c r="I55" s="13">
        <f t="shared" si="15"/>
        <v>17</v>
      </c>
      <c r="J55" s="13">
        <f t="shared" si="15"/>
        <v>23</v>
      </c>
      <c r="K55" s="13">
        <f t="shared" si="15"/>
        <v>27</v>
      </c>
      <c r="L55" s="13">
        <f t="shared" si="15"/>
        <v>35</v>
      </c>
      <c r="M55" s="13">
        <f t="shared" si="15"/>
        <v>28</v>
      </c>
      <c r="N55" s="13">
        <f t="shared" si="15"/>
        <v>20</v>
      </c>
      <c r="O55" s="13">
        <f t="shared" si="15"/>
        <v>11</v>
      </c>
      <c r="P55" s="13">
        <f t="shared" si="15"/>
        <v>26</v>
      </c>
      <c r="Q55" s="13">
        <f t="shared" si="15"/>
        <v>33</v>
      </c>
      <c r="R55" s="13">
        <f t="shared" si="15"/>
        <v>19</v>
      </c>
      <c r="S55" s="13">
        <f t="shared" si="15"/>
        <v>304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2.0</v>
      </c>
      <c r="F57" s="73">
        <v>1.0</v>
      </c>
      <c r="G57" s="73">
        <v>3.0</v>
      </c>
      <c r="H57" s="73">
        <v>10.0</v>
      </c>
      <c r="I57" s="73">
        <v>9.0</v>
      </c>
      <c r="J57" s="73">
        <v>4.0</v>
      </c>
      <c r="K57" s="73">
        <v>4.0</v>
      </c>
      <c r="L57" s="73">
        <v>3.0</v>
      </c>
      <c r="M57" s="73">
        <v>5.0</v>
      </c>
      <c r="N57" s="73">
        <v>3.0</v>
      </c>
      <c r="O57" s="73">
        <v>6.0</v>
      </c>
      <c r="P57" s="73">
        <v>7.0</v>
      </c>
      <c r="Q57" s="73">
        <v>11.0</v>
      </c>
      <c r="R57" s="73">
        <v>4.0</v>
      </c>
      <c r="S57" s="13">
        <f t="shared" ref="S57:S66" si="16">SUM(E57:R57)</f>
        <v>72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5.0</v>
      </c>
      <c r="F58" s="73">
        <v>0.0</v>
      </c>
      <c r="G58" s="73">
        <v>13.0</v>
      </c>
      <c r="H58" s="73">
        <v>0.0</v>
      </c>
      <c r="I58" s="73">
        <v>7.0</v>
      </c>
      <c r="J58" s="73">
        <v>3.0</v>
      </c>
      <c r="K58" s="73">
        <v>4.0</v>
      </c>
      <c r="L58" s="73">
        <v>2.0</v>
      </c>
      <c r="M58" s="73">
        <v>2.0</v>
      </c>
      <c r="N58" s="73">
        <v>6.0</v>
      </c>
      <c r="O58" s="73">
        <v>4.0</v>
      </c>
      <c r="P58" s="73">
        <v>6.0</v>
      </c>
      <c r="Q58" s="73">
        <v>3.0</v>
      </c>
      <c r="R58" s="73">
        <v>2.0</v>
      </c>
      <c r="S58" s="13">
        <f t="shared" si="16"/>
        <v>57</v>
      </c>
    </row>
    <row r="59" ht="12.75" customHeight="1">
      <c r="A59" s="18"/>
      <c r="B59" s="49"/>
      <c r="C59" s="50" t="s">
        <v>52</v>
      </c>
      <c r="D59" s="51"/>
      <c r="E59" s="73">
        <v>2.0</v>
      </c>
      <c r="F59" s="73">
        <v>2.0</v>
      </c>
      <c r="G59" s="73">
        <v>1.0</v>
      </c>
      <c r="H59" s="73">
        <v>8.0</v>
      </c>
      <c r="I59" s="73">
        <v>3.0</v>
      </c>
      <c r="J59" s="73">
        <v>6.0</v>
      </c>
      <c r="K59" s="73">
        <v>5.0</v>
      </c>
      <c r="L59" s="73">
        <v>0.0</v>
      </c>
      <c r="M59" s="73">
        <v>2.0</v>
      </c>
      <c r="N59" s="73">
        <v>2.0</v>
      </c>
      <c r="O59" s="73">
        <v>0.0</v>
      </c>
      <c r="P59" s="73">
        <v>0.0</v>
      </c>
      <c r="Q59" s="73">
        <v>8.0</v>
      </c>
      <c r="R59" s="73">
        <v>0.0</v>
      </c>
      <c r="S59" s="13">
        <f t="shared" si="16"/>
        <v>39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0.0</v>
      </c>
      <c r="G60" s="73">
        <v>0.0</v>
      </c>
      <c r="H60" s="73">
        <v>1.0</v>
      </c>
      <c r="I60" s="73">
        <v>1.0</v>
      </c>
      <c r="J60" s="73">
        <v>1.0</v>
      </c>
      <c r="K60" s="73">
        <v>1.0</v>
      </c>
      <c r="L60" s="73">
        <v>0.0</v>
      </c>
      <c r="M60" s="73">
        <v>0.0</v>
      </c>
      <c r="N60" s="73">
        <v>0.0</v>
      </c>
      <c r="O60" s="73">
        <v>2.0</v>
      </c>
      <c r="P60" s="73">
        <v>1.0</v>
      </c>
      <c r="Q60" s="73">
        <v>2.0</v>
      </c>
      <c r="R60" s="73">
        <v>2.0</v>
      </c>
      <c r="S60" s="13">
        <f t="shared" si="16"/>
        <v>12</v>
      </c>
    </row>
    <row r="61" ht="12.75" customHeight="1">
      <c r="A61" s="18"/>
      <c r="B61" s="49"/>
      <c r="C61" s="50" t="s">
        <v>54</v>
      </c>
      <c r="D61" s="51"/>
      <c r="E61" s="73">
        <v>3.0</v>
      </c>
      <c r="F61" s="73">
        <v>16.0</v>
      </c>
      <c r="G61" s="73">
        <v>12.0</v>
      </c>
      <c r="H61" s="73">
        <v>1.0</v>
      </c>
      <c r="I61" s="73">
        <v>4.0</v>
      </c>
      <c r="J61" s="73">
        <v>0.0</v>
      </c>
      <c r="K61" s="73">
        <v>0.0</v>
      </c>
      <c r="L61" s="73">
        <v>3.0</v>
      </c>
      <c r="M61" s="73">
        <v>1.0</v>
      </c>
      <c r="N61" s="73">
        <v>0.0</v>
      </c>
      <c r="O61" s="73">
        <v>2.0</v>
      </c>
      <c r="P61" s="73">
        <v>0.0</v>
      </c>
      <c r="Q61" s="73">
        <v>0.0</v>
      </c>
      <c r="R61" s="73">
        <v>0.0</v>
      </c>
      <c r="S61" s="13">
        <f t="shared" si="16"/>
        <v>42</v>
      </c>
    </row>
    <row r="62" ht="12.75" customHeight="1">
      <c r="A62" s="18"/>
      <c r="B62" s="49"/>
      <c r="C62" s="50" t="s">
        <v>55</v>
      </c>
      <c r="D62" s="51"/>
      <c r="E62" s="73">
        <v>1.0</v>
      </c>
      <c r="F62" s="73">
        <v>0.0</v>
      </c>
      <c r="G62" s="73">
        <v>0.0</v>
      </c>
      <c r="H62" s="73">
        <v>1.0</v>
      </c>
      <c r="I62" s="73">
        <v>1.0</v>
      </c>
      <c r="J62" s="73">
        <v>0.0</v>
      </c>
      <c r="K62" s="73">
        <v>2.0</v>
      </c>
      <c r="L62" s="73">
        <v>1.0</v>
      </c>
      <c r="M62" s="73">
        <v>0.0</v>
      </c>
      <c r="N62" s="73">
        <v>0.0</v>
      </c>
      <c r="O62" s="73">
        <v>1.0</v>
      </c>
      <c r="P62" s="73">
        <v>0.0</v>
      </c>
      <c r="Q62" s="73">
        <v>0.0</v>
      </c>
      <c r="R62" s="73">
        <v>0.0</v>
      </c>
      <c r="S62" s="13">
        <f t="shared" si="16"/>
        <v>7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1.0</v>
      </c>
      <c r="I63" s="73">
        <v>1.0</v>
      </c>
      <c r="J63" s="73">
        <v>0.0</v>
      </c>
      <c r="K63" s="73">
        <v>2.0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13">
        <f t="shared" si="16"/>
        <v>4</v>
      </c>
    </row>
    <row r="64" ht="12.75" customHeight="1">
      <c r="A64" s="18"/>
      <c r="B64" s="49"/>
      <c r="C64" s="50" t="s">
        <v>57</v>
      </c>
      <c r="D64" s="51"/>
      <c r="E64" s="73">
        <v>1.0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1.0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13">
        <f t="shared" si="16"/>
        <v>2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13">
        <f t="shared" si="16"/>
        <v>0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1.0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1.0</v>
      </c>
      <c r="P66" s="73">
        <v>0.0</v>
      </c>
      <c r="Q66" s="73">
        <v>0.0</v>
      </c>
      <c r="R66" s="73">
        <v>0.0</v>
      </c>
      <c r="S66" s="13">
        <f t="shared" si="16"/>
        <v>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S67" si="17">SUM(E57:E66)</f>
        <v>15</v>
      </c>
      <c r="F67" s="13">
        <f t="shared" si="17"/>
        <v>20</v>
      </c>
      <c r="G67" s="13">
        <f t="shared" si="17"/>
        <v>29</v>
      </c>
      <c r="H67" s="13">
        <f t="shared" si="17"/>
        <v>22</v>
      </c>
      <c r="I67" s="13">
        <f t="shared" si="17"/>
        <v>26</v>
      </c>
      <c r="J67" s="13">
        <f t="shared" si="17"/>
        <v>14</v>
      </c>
      <c r="K67" s="13">
        <f t="shared" si="17"/>
        <v>18</v>
      </c>
      <c r="L67" s="13">
        <f t="shared" si="17"/>
        <v>10</v>
      </c>
      <c r="M67" s="13">
        <f t="shared" si="17"/>
        <v>10</v>
      </c>
      <c r="N67" s="13">
        <f t="shared" si="17"/>
        <v>11</v>
      </c>
      <c r="O67" s="13">
        <f t="shared" si="17"/>
        <v>16</v>
      </c>
      <c r="P67" s="13">
        <f t="shared" si="17"/>
        <v>14</v>
      </c>
      <c r="Q67" s="13">
        <f t="shared" si="17"/>
        <v>24</v>
      </c>
      <c r="R67" s="13">
        <f t="shared" si="17"/>
        <v>8</v>
      </c>
      <c r="S67" s="13">
        <f t="shared" si="17"/>
        <v>237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2.0</v>
      </c>
      <c r="F69" s="73">
        <v>10.0</v>
      </c>
      <c r="G69" s="73">
        <v>1.0</v>
      </c>
      <c r="H69" s="73">
        <v>10.0</v>
      </c>
      <c r="I69" s="73">
        <v>13.0</v>
      </c>
      <c r="J69" s="73">
        <v>1.0</v>
      </c>
      <c r="K69" s="73">
        <v>5.0</v>
      </c>
      <c r="L69" s="73">
        <v>2.0</v>
      </c>
      <c r="M69" s="73">
        <v>1.0</v>
      </c>
      <c r="N69" s="73">
        <v>5.0</v>
      </c>
      <c r="O69" s="73">
        <v>7.0</v>
      </c>
      <c r="P69" s="73">
        <v>5.0</v>
      </c>
      <c r="Q69" s="73">
        <v>2.0</v>
      </c>
      <c r="R69" s="73">
        <v>5.0</v>
      </c>
      <c r="S69" s="13">
        <f t="shared" ref="S69:S78" si="18">SUM(E69:R69)</f>
        <v>69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10.0</v>
      </c>
      <c r="F70" s="73">
        <v>2.0</v>
      </c>
      <c r="G70" s="73">
        <v>2.0</v>
      </c>
      <c r="H70" s="73">
        <v>12.0</v>
      </c>
      <c r="I70" s="73">
        <v>1.0</v>
      </c>
      <c r="J70" s="73">
        <v>2.0</v>
      </c>
      <c r="K70" s="73">
        <v>6.0</v>
      </c>
      <c r="L70" s="73">
        <v>2.0</v>
      </c>
      <c r="M70" s="73">
        <v>6.0</v>
      </c>
      <c r="N70" s="73">
        <v>4.0</v>
      </c>
      <c r="O70" s="73">
        <v>5.0</v>
      </c>
      <c r="P70" s="73">
        <v>1.0</v>
      </c>
      <c r="Q70" s="73">
        <v>1.0</v>
      </c>
      <c r="R70" s="73">
        <v>1.0</v>
      </c>
      <c r="S70" s="13">
        <f t="shared" si="18"/>
        <v>55</v>
      </c>
    </row>
    <row r="71" ht="12.75" customHeight="1">
      <c r="A71" s="18"/>
      <c r="B71" s="49"/>
      <c r="C71" s="50" t="s">
        <v>62</v>
      </c>
      <c r="D71" s="51"/>
      <c r="E71" s="73">
        <v>4.0</v>
      </c>
      <c r="F71" s="73">
        <v>3.0</v>
      </c>
      <c r="G71" s="73">
        <v>4.0</v>
      </c>
      <c r="H71" s="73">
        <v>3.0</v>
      </c>
      <c r="I71" s="73">
        <v>2.0</v>
      </c>
      <c r="J71" s="73">
        <v>4.0</v>
      </c>
      <c r="K71" s="73">
        <v>4.0</v>
      </c>
      <c r="L71" s="73">
        <v>4.0</v>
      </c>
      <c r="M71" s="73">
        <v>8.0</v>
      </c>
      <c r="N71" s="73">
        <v>1.0</v>
      </c>
      <c r="O71" s="73">
        <v>5.0</v>
      </c>
      <c r="P71" s="73">
        <v>2.0</v>
      </c>
      <c r="Q71" s="73">
        <v>2.0</v>
      </c>
      <c r="R71" s="73">
        <v>2.0</v>
      </c>
      <c r="S71" s="13">
        <f t="shared" si="18"/>
        <v>48</v>
      </c>
    </row>
    <row r="72" ht="12.75" customHeight="1">
      <c r="A72" s="18"/>
      <c r="B72" s="49"/>
      <c r="C72" s="50" t="s">
        <v>63</v>
      </c>
      <c r="D72" s="51"/>
      <c r="E72" s="73">
        <v>4.0</v>
      </c>
      <c r="F72" s="73">
        <v>3.0</v>
      </c>
      <c r="G72" s="73">
        <v>2.0</v>
      </c>
      <c r="H72" s="73">
        <v>1.0</v>
      </c>
      <c r="I72" s="73">
        <v>1.0</v>
      </c>
      <c r="J72" s="73">
        <v>2.0</v>
      </c>
      <c r="K72" s="73">
        <v>0.0</v>
      </c>
      <c r="L72" s="73">
        <v>1.0</v>
      </c>
      <c r="M72" s="73">
        <v>8.0</v>
      </c>
      <c r="N72" s="73">
        <v>4.0</v>
      </c>
      <c r="O72" s="73">
        <v>2.0</v>
      </c>
      <c r="P72" s="73">
        <v>2.0</v>
      </c>
      <c r="Q72" s="73">
        <v>2.0</v>
      </c>
      <c r="R72" s="73">
        <v>3.0</v>
      </c>
      <c r="S72" s="13">
        <f t="shared" si="18"/>
        <v>35</v>
      </c>
    </row>
    <row r="73" ht="12.75" customHeight="1">
      <c r="A73" s="18"/>
      <c r="B73" s="49"/>
      <c r="C73" s="50" t="s">
        <v>64</v>
      </c>
      <c r="D73" s="51"/>
      <c r="E73" s="73">
        <v>4.0</v>
      </c>
      <c r="F73" s="73">
        <v>4.0</v>
      </c>
      <c r="G73" s="73">
        <v>2.0</v>
      </c>
      <c r="H73" s="73">
        <v>2.0</v>
      </c>
      <c r="I73" s="73">
        <v>4.0</v>
      </c>
      <c r="J73" s="73">
        <v>5.0</v>
      </c>
      <c r="K73" s="73">
        <v>1.0</v>
      </c>
      <c r="L73" s="73">
        <v>1.0</v>
      </c>
      <c r="M73" s="73">
        <v>1.0</v>
      </c>
      <c r="N73" s="73">
        <v>1.0</v>
      </c>
      <c r="O73" s="73">
        <v>1.0</v>
      </c>
      <c r="P73" s="73">
        <v>2.0</v>
      </c>
      <c r="Q73" s="73">
        <v>3.0</v>
      </c>
      <c r="R73" s="73">
        <v>2.0</v>
      </c>
      <c r="S73" s="13">
        <f t="shared" si="18"/>
        <v>33</v>
      </c>
    </row>
    <row r="74" ht="12.75" customHeight="1">
      <c r="A74" s="18"/>
      <c r="B74" s="49"/>
      <c r="C74" s="50" t="s">
        <v>65</v>
      </c>
      <c r="D74" s="51"/>
      <c r="E74" s="73">
        <v>2.0</v>
      </c>
      <c r="F74" s="73">
        <v>0.0</v>
      </c>
      <c r="G74" s="73">
        <v>2.0</v>
      </c>
      <c r="H74" s="73">
        <v>0.0</v>
      </c>
      <c r="I74" s="73">
        <v>0.0</v>
      </c>
      <c r="J74" s="73">
        <v>1.0</v>
      </c>
      <c r="K74" s="73">
        <v>3.0</v>
      </c>
      <c r="L74" s="73">
        <v>0.0</v>
      </c>
      <c r="M74" s="73">
        <v>0.0</v>
      </c>
      <c r="N74" s="73">
        <v>0.0</v>
      </c>
      <c r="O74" s="73">
        <v>1.0</v>
      </c>
      <c r="P74" s="73">
        <v>0.0</v>
      </c>
      <c r="Q74" s="73">
        <v>1.0</v>
      </c>
      <c r="R74" s="73">
        <v>0.0</v>
      </c>
      <c r="S74" s="13">
        <f t="shared" si="18"/>
        <v>10</v>
      </c>
    </row>
    <row r="75" ht="12.75" customHeight="1">
      <c r="A75" s="18"/>
      <c r="B75" s="49"/>
      <c r="C75" s="50" t="s">
        <v>66</v>
      </c>
      <c r="D75" s="51"/>
      <c r="E75" s="73">
        <v>2.0</v>
      </c>
      <c r="F75" s="73">
        <v>0.0</v>
      </c>
      <c r="G75" s="73">
        <v>1.0</v>
      </c>
      <c r="H75" s="73">
        <v>1.0</v>
      </c>
      <c r="I75" s="73">
        <v>0.0</v>
      </c>
      <c r="J75" s="73">
        <v>2.0</v>
      </c>
      <c r="K75" s="73">
        <v>1.0</v>
      </c>
      <c r="L75" s="73">
        <v>1.0</v>
      </c>
      <c r="M75" s="73">
        <v>2.0</v>
      </c>
      <c r="N75" s="73">
        <v>1.0</v>
      </c>
      <c r="O75" s="73">
        <v>1.0</v>
      </c>
      <c r="P75" s="73">
        <v>1.0</v>
      </c>
      <c r="Q75" s="73">
        <v>0.0</v>
      </c>
      <c r="R75" s="73">
        <v>0.0</v>
      </c>
      <c r="S75" s="13">
        <f t="shared" si="18"/>
        <v>13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1.0</v>
      </c>
      <c r="G76" s="73">
        <v>0.0</v>
      </c>
      <c r="H76" s="73">
        <v>1.0</v>
      </c>
      <c r="I76" s="73">
        <v>1.0</v>
      </c>
      <c r="J76" s="73">
        <v>1.0</v>
      </c>
      <c r="K76" s="73">
        <v>0.0</v>
      </c>
      <c r="L76" s="73">
        <v>1.0</v>
      </c>
      <c r="M76" s="73">
        <v>2.0</v>
      </c>
      <c r="N76" s="73">
        <v>0.0</v>
      </c>
      <c r="O76" s="73">
        <v>0.0</v>
      </c>
      <c r="P76" s="73">
        <v>0.0</v>
      </c>
      <c r="Q76" s="73">
        <v>0.0</v>
      </c>
      <c r="R76" s="73">
        <v>0.0</v>
      </c>
      <c r="S76" s="13">
        <f t="shared" si="18"/>
        <v>7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1.0</v>
      </c>
      <c r="G77" s="73">
        <v>0.0</v>
      </c>
      <c r="H77" s="73">
        <v>1.0</v>
      </c>
      <c r="I77" s="73">
        <v>0.0</v>
      </c>
      <c r="J77" s="73">
        <v>1.0</v>
      </c>
      <c r="K77" s="73">
        <v>0.0</v>
      </c>
      <c r="L77" s="73">
        <v>0.0</v>
      </c>
      <c r="M77" s="73">
        <v>0.0</v>
      </c>
      <c r="N77" s="73">
        <v>1.0</v>
      </c>
      <c r="O77" s="73">
        <v>0.0</v>
      </c>
      <c r="P77" s="73">
        <v>0.0</v>
      </c>
      <c r="Q77" s="73">
        <v>0.0</v>
      </c>
      <c r="R77" s="73">
        <v>0.0</v>
      </c>
      <c r="S77" s="13">
        <f t="shared" si="18"/>
        <v>4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1.0</v>
      </c>
      <c r="G78" s="73">
        <v>4.0</v>
      </c>
      <c r="H78" s="73">
        <v>0.0</v>
      </c>
      <c r="I78" s="73">
        <v>1.0</v>
      </c>
      <c r="J78" s="73">
        <v>0.0</v>
      </c>
      <c r="K78" s="73">
        <v>1.0</v>
      </c>
      <c r="L78" s="73">
        <v>0.0</v>
      </c>
      <c r="M78" s="73">
        <v>2.0</v>
      </c>
      <c r="N78" s="73">
        <v>0.0</v>
      </c>
      <c r="O78" s="73">
        <v>0.0</v>
      </c>
      <c r="P78" s="73">
        <v>1.0</v>
      </c>
      <c r="Q78" s="73">
        <v>0.0</v>
      </c>
      <c r="R78" s="73">
        <v>1.0</v>
      </c>
      <c r="S78" s="13">
        <f t="shared" si="18"/>
        <v>11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S79" si="19">SUM(E69:E78)</f>
        <v>28</v>
      </c>
      <c r="F79" s="13">
        <f t="shared" si="19"/>
        <v>25</v>
      </c>
      <c r="G79" s="13">
        <f t="shared" si="19"/>
        <v>18</v>
      </c>
      <c r="H79" s="13">
        <f t="shared" si="19"/>
        <v>31</v>
      </c>
      <c r="I79" s="13">
        <f t="shared" si="19"/>
        <v>23</v>
      </c>
      <c r="J79" s="13">
        <f t="shared" si="19"/>
        <v>19</v>
      </c>
      <c r="K79" s="13">
        <f t="shared" si="19"/>
        <v>21</v>
      </c>
      <c r="L79" s="13">
        <f t="shared" si="19"/>
        <v>12</v>
      </c>
      <c r="M79" s="13">
        <f t="shared" si="19"/>
        <v>30</v>
      </c>
      <c r="N79" s="13">
        <f t="shared" si="19"/>
        <v>17</v>
      </c>
      <c r="O79" s="13">
        <f t="shared" si="19"/>
        <v>22</v>
      </c>
      <c r="P79" s="13">
        <f t="shared" si="19"/>
        <v>14</v>
      </c>
      <c r="Q79" s="13">
        <f t="shared" si="19"/>
        <v>11</v>
      </c>
      <c r="R79" s="13">
        <f t="shared" si="19"/>
        <v>14</v>
      </c>
      <c r="S79" s="13">
        <f t="shared" si="19"/>
        <v>285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0.0</v>
      </c>
      <c r="G81" s="73">
        <v>1.0</v>
      </c>
      <c r="H81" s="73">
        <v>0.0</v>
      </c>
      <c r="I81" s="73">
        <v>3.0</v>
      </c>
      <c r="J81" s="73">
        <v>1.0</v>
      </c>
      <c r="K81" s="73">
        <v>4.0</v>
      </c>
      <c r="L81" s="73">
        <v>0.0</v>
      </c>
      <c r="M81" s="73">
        <v>2.0</v>
      </c>
      <c r="N81" s="73">
        <v>1.0</v>
      </c>
      <c r="O81" s="73">
        <v>8.0</v>
      </c>
      <c r="P81" s="73">
        <v>5.0</v>
      </c>
      <c r="Q81" s="73">
        <v>3.0</v>
      </c>
      <c r="R81" s="73">
        <v>0.0</v>
      </c>
      <c r="S81" s="13">
        <f t="shared" ref="S81:S90" si="20">SUM(E81:R81)</f>
        <v>29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2.0</v>
      </c>
      <c r="F82" s="73">
        <v>1.0</v>
      </c>
      <c r="G82" s="73">
        <v>0.0</v>
      </c>
      <c r="H82" s="73">
        <v>3.0</v>
      </c>
      <c r="I82" s="73">
        <v>2.0</v>
      </c>
      <c r="J82" s="73">
        <v>2.0</v>
      </c>
      <c r="K82" s="73">
        <v>4.0</v>
      </c>
      <c r="L82" s="73">
        <v>0.0</v>
      </c>
      <c r="M82" s="73">
        <v>1.0</v>
      </c>
      <c r="N82" s="73">
        <v>1.0</v>
      </c>
      <c r="O82" s="73">
        <v>8.0</v>
      </c>
      <c r="P82" s="73">
        <v>6.0</v>
      </c>
      <c r="Q82" s="73">
        <v>5.0</v>
      </c>
      <c r="R82" s="73">
        <v>1.0</v>
      </c>
      <c r="S82" s="13">
        <f t="shared" si="20"/>
        <v>36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0.0</v>
      </c>
      <c r="G83" s="73">
        <v>0.0</v>
      </c>
      <c r="H83" s="73">
        <v>2.0</v>
      </c>
      <c r="I83" s="73">
        <v>0.0</v>
      </c>
      <c r="J83" s="73">
        <v>2.0</v>
      </c>
      <c r="K83" s="73">
        <v>1.0</v>
      </c>
      <c r="L83" s="73">
        <v>0.0</v>
      </c>
      <c r="M83" s="73">
        <v>0.0</v>
      </c>
      <c r="N83" s="73">
        <v>1.0</v>
      </c>
      <c r="O83" s="73">
        <v>1.0</v>
      </c>
      <c r="P83" s="73">
        <v>3.0</v>
      </c>
      <c r="Q83" s="73">
        <v>1.0</v>
      </c>
      <c r="R83" s="73">
        <v>1.0</v>
      </c>
      <c r="S83" s="13">
        <f t="shared" si="20"/>
        <v>13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1.0</v>
      </c>
      <c r="G84" s="73">
        <v>0.0</v>
      </c>
      <c r="H84" s="73">
        <v>3.0</v>
      </c>
      <c r="I84" s="73">
        <v>0.0</v>
      </c>
      <c r="J84" s="73">
        <v>0.0</v>
      </c>
      <c r="K84" s="73">
        <v>1.0</v>
      </c>
      <c r="L84" s="73">
        <v>0.0</v>
      </c>
      <c r="M84" s="73">
        <v>0.0</v>
      </c>
      <c r="N84" s="73">
        <v>0.0</v>
      </c>
      <c r="O84" s="73">
        <v>2.0</v>
      </c>
      <c r="P84" s="73">
        <v>2.0</v>
      </c>
      <c r="Q84" s="73">
        <v>1.0</v>
      </c>
      <c r="R84" s="73">
        <v>0.0</v>
      </c>
      <c r="S84" s="13">
        <f t="shared" si="20"/>
        <v>10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0.0</v>
      </c>
      <c r="G85" s="73">
        <v>0.0</v>
      </c>
      <c r="H85" s="73">
        <v>0.0</v>
      </c>
      <c r="I85" s="73">
        <v>1.0</v>
      </c>
      <c r="J85" s="73">
        <v>2.0</v>
      </c>
      <c r="K85" s="73">
        <v>1.0</v>
      </c>
      <c r="L85" s="73">
        <v>0.0</v>
      </c>
      <c r="M85" s="73">
        <v>0.0</v>
      </c>
      <c r="N85" s="73">
        <v>0.0</v>
      </c>
      <c r="O85" s="73">
        <v>1.0</v>
      </c>
      <c r="P85" s="73">
        <v>1.0</v>
      </c>
      <c r="Q85" s="73">
        <v>0.0</v>
      </c>
      <c r="R85" s="73">
        <v>0.0</v>
      </c>
      <c r="S85" s="13">
        <f t="shared" si="20"/>
        <v>7</v>
      </c>
    </row>
    <row r="86" ht="12.75" customHeight="1">
      <c r="A86" s="18"/>
      <c r="B86" s="49"/>
      <c r="C86" s="50" t="s">
        <v>75</v>
      </c>
      <c r="D86" s="51"/>
      <c r="E86" s="73">
        <v>1.0</v>
      </c>
      <c r="F86" s="73">
        <v>0.0</v>
      </c>
      <c r="G86" s="73">
        <v>0.0</v>
      </c>
      <c r="H86" s="73">
        <v>0.0</v>
      </c>
      <c r="I86" s="73">
        <v>1.0</v>
      </c>
      <c r="J86" s="73">
        <v>0.0</v>
      </c>
      <c r="K86" s="73">
        <v>2.0</v>
      </c>
      <c r="L86" s="73">
        <v>1.0</v>
      </c>
      <c r="M86" s="73">
        <v>0.0</v>
      </c>
      <c r="N86" s="73">
        <v>0.0</v>
      </c>
      <c r="O86" s="73">
        <v>0.0</v>
      </c>
      <c r="P86" s="73">
        <v>0.0</v>
      </c>
      <c r="Q86" s="73">
        <v>1.0</v>
      </c>
      <c r="R86" s="73">
        <v>0.0</v>
      </c>
      <c r="S86" s="13">
        <f t="shared" si="20"/>
        <v>6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1.0</v>
      </c>
      <c r="H87" s="73">
        <v>1.0</v>
      </c>
      <c r="I87" s="73">
        <v>1.0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13">
        <f t="shared" si="20"/>
        <v>3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1.0</v>
      </c>
      <c r="J88" s="73">
        <v>1.0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1.0</v>
      </c>
      <c r="R88" s="73">
        <v>0.0</v>
      </c>
      <c r="S88" s="13">
        <f t="shared" si="20"/>
        <v>3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1.0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1.0</v>
      </c>
      <c r="F90" s="73">
        <v>0.0</v>
      </c>
      <c r="G90" s="73">
        <v>1.0</v>
      </c>
      <c r="H90" s="73">
        <v>0.0</v>
      </c>
      <c r="I90" s="73">
        <v>2.0</v>
      </c>
      <c r="J90" s="73">
        <v>4.0</v>
      </c>
      <c r="K90" s="73">
        <v>1.0</v>
      </c>
      <c r="L90" s="73">
        <v>3.0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13">
        <f t="shared" si="20"/>
        <v>12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S91" si="21">SUM(E81:E90)</f>
        <v>7</v>
      </c>
      <c r="F91" s="13">
        <f t="shared" si="21"/>
        <v>2</v>
      </c>
      <c r="G91" s="13">
        <f t="shared" si="21"/>
        <v>4</v>
      </c>
      <c r="H91" s="13">
        <f t="shared" si="21"/>
        <v>9</v>
      </c>
      <c r="I91" s="13">
        <f t="shared" si="21"/>
        <v>11</v>
      </c>
      <c r="J91" s="13">
        <f t="shared" si="21"/>
        <v>12</v>
      </c>
      <c r="K91" s="13">
        <f t="shared" si="21"/>
        <v>14</v>
      </c>
      <c r="L91" s="13">
        <f t="shared" si="21"/>
        <v>4</v>
      </c>
      <c r="M91" s="13">
        <f t="shared" si="21"/>
        <v>3</v>
      </c>
      <c r="N91" s="13">
        <f t="shared" si="21"/>
        <v>3</v>
      </c>
      <c r="O91" s="13">
        <f t="shared" si="21"/>
        <v>20</v>
      </c>
      <c r="P91" s="13">
        <f t="shared" si="21"/>
        <v>17</v>
      </c>
      <c r="Q91" s="13">
        <f t="shared" si="21"/>
        <v>12</v>
      </c>
      <c r="R91" s="13">
        <f t="shared" si="21"/>
        <v>2</v>
      </c>
      <c r="S91" s="13">
        <f t="shared" si="21"/>
        <v>120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3.0</v>
      </c>
      <c r="F93" s="73">
        <v>2.0</v>
      </c>
      <c r="G93" s="73">
        <v>1.0</v>
      </c>
      <c r="H93" s="73">
        <v>1.0</v>
      </c>
      <c r="I93" s="73">
        <v>9.0</v>
      </c>
      <c r="J93" s="73">
        <v>5.0</v>
      </c>
      <c r="K93" s="73">
        <v>8.0</v>
      </c>
      <c r="L93" s="73">
        <v>4.0</v>
      </c>
      <c r="M93" s="73">
        <v>0.0</v>
      </c>
      <c r="N93" s="73">
        <v>5.0</v>
      </c>
      <c r="O93" s="73">
        <v>3.0</v>
      </c>
      <c r="P93" s="73">
        <v>4.0</v>
      </c>
      <c r="Q93" s="73">
        <v>6.0</v>
      </c>
      <c r="R93" s="73">
        <v>0.0</v>
      </c>
      <c r="S93" s="13">
        <f t="shared" ref="S93:S102" si="22">SUM(E93:R93)</f>
        <v>51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31.0</v>
      </c>
      <c r="F94" s="73">
        <v>18.0</v>
      </c>
      <c r="G94" s="73">
        <v>29.0</v>
      </c>
      <c r="H94" s="73">
        <v>9.0</v>
      </c>
      <c r="I94" s="73">
        <v>27.0</v>
      </c>
      <c r="J94" s="73">
        <v>39.0</v>
      </c>
      <c r="K94" s="73">
        <v>62.0</v>
      </c>
      <c r="L94" s="73">
        <v>133.0</v>
      </c>
      <c r="M94" s="73">
        <v>24.0</v>
      </c>
      <c r="N94" s="73">
        <v>23.0</v>
      </c>
      <c r="O94" s="73">
        <v>26.0</v>
      </c>
      <c r="P94" s="73">
        <v>3.0</v>
      </c>
      <c r="Q94" s="73">
        <v>15.0</v>
      </c>
      <c r="R94" s="73">
        <v>2.0</v>
      </c>
      <c r="S94" s="13">
        <f t="shared" si="22"/>
        <v>441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1.0</v>
      </c>
      <c r="J95" s="73">
        <v>0.0</v>
      </c>
      <c r="K95" s="73">
        <v>1.0</v>
      </c>
      <c r="L95" s="73">
        <v>0.0</v>
      </c>
      <c r="M95" s="73">
        <v>0.0</v>
      </c>
      <c r="N95" s="73">
        <v>1.0</v>
      </c>
      <c r="O95" s="73">
        <v>1.0</v>
      </c>
      <c r="P95" s="73">
        <v>0.0</v>
      </c>
      <c r="Q95" s="73">
        <v>0.0</v>
      </c>
      <c r="R95" s="73">
        <v>0.0</v>
      </c>
      <c r="S95" s="13">
        <f t="shared" si="22"/>
        <v>4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3.0</v>
      </c>
      <c r="J96" s="73">
        <v>0.0</v>
      </c>
      <c r="K96" s="73">
        <v>0.0</v>
      </c>
      <c r="L96" s="73">
        <v>1.0</v>
      </c>
      <c r="M96" s="73">
        <v>0.0</v>
      </c>
      <c r="N96" s="73">
        <v>1.0</v>
      </c>
      <c r="O96" s="73">
        <v>0.0</v>
      </c>
      <c r="P96" s="73">
        <v>0.0</v>
      </c>
      <c r="Q96" s="73">
        <v>1.0</v>
      </c>
      <c r="R96" s="73">
        <v>1.0</v>
      </c>
      <c r="S96" s="13">
        <f t="shared" si="22"/>
        <v>7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2.0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13">
        <f t="shared" si="22"/>
        <v>3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1.0</v>
      </c>
      <c r="I98" s="73">
        <v>1.0</v>
      </c>
      <c r="J98" s="73">
        <v>1.0</v>
      </c>
      <c r="K98" s="73">
        <v>0.0</v>
      </c>
      <c r="L98" s="73">
        <v>1.0</v>
      </c>
      <c r="M98" s="73">
        <v>0.0</v>
      </c>
      <c r="N98" s="73">
        <v>0.0</v>
      </c>
      <c r="O98" s="73">
        <v>1.0</v>
      </c>
      <c r="P98" s="73">
        <v>1.0</v>
      </c>
      <c r="Q98" s="73">
        <v>1.0</v>
      </c>
      <c r="R98" s="73">
        <v>1.0</v>
      </c>
      <c r="S98" s="13">
        <f t="shared" si="22"/>
        <v>8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1.0</v>
      </c>
      <c r="J99" s="73">
        <v>1.0</v>
      </c>
      <c r="K99" s="73">
        <v>0.0</v>
      </c>
      <c r="L99" s="73">
        <v>0.0</v>
      </c>
      <c r="M99" s="73">
        <v>0.0</v>
      </c>
      <c r="N99" s="73">
        <v>0.0</v>
      </c>
      <c r="O99" s="73">
        <v>1.0</v>
      </c>
      <c r="P99" s="73">
        <v>0.0</v>
      </c>
      <c r="Q99" s="73">
        <v>2.0</v>
      </c>
      <c r="R99" s="73">
        <v>0.0</v>
      </c>
      <c r="S99" s="13">
        <f t="shared" si="22"/>
        <v>5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13">
        <f t="shared" si="22"/>
        <v>0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1.0</v>
      </c>
      <c r="Q102" s="73">
        <v>0.0</v>
      </c>
      <c r="R102" s="73">
        <v>0.0</v>
      </c>
      <c r="S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S103" si="23">SUM(E93:E102)</f>
        <v>34</v>
      </c>
      <c r="F103" s="13">
        <f t="shared" si="23"/>
        <v>20</v>
      </c>
      <c r="G103" s="13">
        <f t="shared" si="23"/>
        <v>30</v>
      </c>
      <c r="H103" s="13">
        <f t="shared" si="23"/>
        <v>13</v>
      </c>
      <c r="I103" s="13">
        <f t="shared" si="23"/>
        <v>42</v>
      </c>
      <c r="J103" s="13">
        <f t="shared" si="23"/>
        <v>46</v>
      </c>
      <c r="K103" s="13">
        <f t="shared" si="23"/>
        <v>71</v>
      </c>
      <c r="L103" s="13">
        <f t="shared" si="23"/>
        <v>139</v>
      </c>
      <c r="M103" s="13">
        <f t="shared" si="23"/>
        <v>24</v>
      </c>
      <c r="N103" s="13">
        <f t="shared" si="23"/>
        <v>30</v>
      </c>
      <c r="O103" s="13">
        <f t="shared" si="23"/>
        <v>32</v>
      </c>
      <c r="P103" s="13">
        <f t="shared" si="23"/>
        <v>10</v>
      </c>
      <c r="Q103" s="13">
        <f t="shared" si="23"/>
        <v>25</v>
      </c>
      <c r="R103" s="13">
        <f t="shared" si="23"/>
        <v>4</v>
      </c>
      <c r="S103" s="13">
        <f t="shared" si="23"/>
        <v>520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1.0</v>
      </c>
      <c r="I105" s="73">
        <v>0.0</v>
      </c>
      <c r="J105" s="73">
        <v>1.0</v>
      </c>
      <c r="K105" s="73">
        <v>1.0</v>
      </c>
      <c r="L105" s="73">
        <v>0.0</v>
      </c>
      <c r="M105" s="73">
        <v>2.0</v>
      </c>
      <c r="N105" s="73">
        <v>1.0</v>
      </c>
      <c r="O105" s="73">
        <v>2.0</v>
      </c>
      <c r="P105" s="73">
        <v>0.0</v>
      </c>
      <c r="Q105" s="73">
        <v>1.0</v>
      </c>
      <c r="R105" s="73">
        <v>0.0</v>
      </c>
      <c r="S105" s="13">
        <f t="shared" ref="S105:S114" si="24">SUM(E105:R105)</f>
        <v>9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1.0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13">
        <f t="shared" si="24"/>
        <v>1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1.0</v>
      </c>
      <c r="M107" s="73">
        <v>0.0</v>
      </c>
      <c r="N107" s="73">
        <v>1.0</v>
      </c>
      <c r="O107" s="73">
        <v>0.0</v>
      </c>
      <c r="P107" s="73">
        <v>0.0</v>
      </c>
      <c r="Q107" s="73">
        <v>0.0</v>
      </c>
      <c r="R107" s="73">
        <v>0.0</v>
      </c>
      <c r="S107" s="13">
        <f t="shared" si="24"/>
        <v>2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S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2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2.0</v>
      </c>
      <c r="F117" s="73">
        <v>0.0</v>
      </c>
      <c r="G117" s="73">
        <v>1.0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1.0</v>
      </c>
      <c r="P117" s="73">
        <v>0.0</v>
      </c>
      <c r="Q117" s="73">
        <v>0.0</v>
      </c>
      <c r="R117" s="73">
        <v>1.0</v>
      </c>
      <c r="S117" s="13">
        <f t="shared" ref="S117:S126" si="26">SUM(E117:R117)</f>
        <v>5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1.0</v>
      </c>
      <c r="H118" s="73">
        <v>0.0</v>
      </c>
      <c r="I118" s="73">
        <v>0.0</v>
      </c>
      <c r="J118" s="73">
        <v>1.0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1.0</v>
      </c>
      <c r="R118" s="73">
        <v>0.0</v>
      </c>
      <c r="S118" s="13">
        <f t="shared" si="26"/>
        <v>3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1.0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13">
        <f t="shared" si="26"/>
        <v>1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1.0</v>
      </c>
      <c r="L120" s="73">
        <v>0.0</v>
      </c>
      <c r="M120" s="73">
        <v>0.0</v>
      </c>
      <c r="N120" s="73">
        <v>0.0</v>
      </c>
      <c r="O120" s="73">
        <v>0.0</v>
      </c>
      <c r="P120" s="73">
        <v>1.0</v>
      </c>
      <c r="Q120" s="73">
        <v>0.0</v>
      </c>
      <c r="R120" s="73">
        <v>0.0</v>
      </c>
      <c r="S120" s="13">
        <f t="shared" si="26"/>
        <v>2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1.0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1.0</v>
      </c>
      <c r="P121" s="73">
        <v>0.0</v>
      </c>
      <c r="Q121" s="73">
        <v>1.0</v>
      </c>
      <c r="R121" s="73">
        <v>1.0</v>
      </c>
      <c r="S121" s="13">
        <f t="shared" si="26"/>
        <v>4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1.0</v>
      </c>
      <c r="I122" s="73">
        <v>0.0</v>
      </c>
      <c r="J122" s="73">
        <v>1.0</v>
      </c>
      <c r="K122" s="73">
        <v>0.0</v>
      </c>
      <c r="L122" s="73">
        <v>0.0</v>
      </c>
      <c r="M122" s="73">
        <v>0.0</v>
      </c>
      <c r="N122" s="73">
        <v>0.0</v>
      </c>
      <c r="O122" s="73">
        <v>1.0</v>
      </c>
      <c r="P122" s="73">
        <v>0.0</v>
      </c>
      <c r="Q122" s="73">
        <v>0.0</v>
      </c>
      <c r="R122" s="73">
        <v>0.0</v>
      </c>
      <c r="S122" s="13">
        <f t="shared" si="26"/>
        <v>3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S127" si="27">SUM(E117:E126)</f>
        <v>2</v>
      </c>
      <c r="F127" s="13">
        <f t="shared" si="27"/>
        <v>0</v>
      </c>
      <c r="G127" s="13">
        <f t="shared" si="27"/>
        <v>3</v>
      </c>
      <c r="H127" s="13">
        <f t="shared" si="27"/>
        <v>1</v>
      </c>
      <c r="I127" s="13">
        <f t="shared" si="27"/>
        <v>0</v>
      </c>
      <c r="J127" s="13">
        <f t="shared" si="27"/>
        <v>2</v>
      </c>
      <c r="K127" s="13">
        <f t="shared" si="27"/>
        <v>1</v>
      </c>
      <c r="L127" s="13">
        <f t="shared" si="27"/>
        <v>0</v>
      </c>
      <c r="M127" s="13">
        <f t="shared" si="27"/>
        <v>1</v>
      </c>
      <c r="N127" s="13">
        <f t="shared" si="27"/>
        <v>0</v>
      </c>
      <c r="O127" s="13">
        <f t="shared" si="27"/>
        <v>3</v>
      </c>
      <c r="P127" s="13">
        <f t="shared" si="27"/>
        <v>1</v>
      </c>
      <c r="Q127" s="13">
        <f t="shared" si="27"/>
        <v>2</v>
      </c>
      <c r="R127" s="13">
        <f t="shared" si="27"/>
        <v>2</v>
      </c>
      <c r="S127" s="13">
        <f t="shared" si="27"/>
        <v>18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3.0</v>
      </c>
      <c r="Q129" s="73">
        <v>2.0</v>
      </c>
      <c r="R129" s="73">
        <v>4.0</v>
      </c>
      <c r="S129" s="13">
        <f t="shared" ref="S129:S138" si="28">SUM(E129:R129)</f>
        <v>11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0.0</v>
      </c>
      <c r="H130" s="73">
        <v>1.0</v>
      </c>
      <c r="I130" s="73">
        <v>1.0</v>
      </c>
      <c r="J130" s="73">
        <v>1.0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2.0</v>
      </c>
      <c r="Q130" s="73">
        <v>10.0</v>
      </c>
      <c r="R130" s="73">
        <v>15.0</v>
      </c>
      <c r="S130" s="13">
        <f t="shared" si="28"/>
        <v>30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13">
        <f t="shared" si="28"/>
        <v>0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1.0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1.0</v>
      </c>
      <c r="R132" s="73">
        <v>0.0</v>
      </c>
      <c r="S132" s="13">
        <f t="shared" si="28"/>
        <v>2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13">
        <f t="shared" si="28"/>
        <v>0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1.0</v>
      </c>
      <c r="Q134" s="73">
        <v>0.0</v>
      </c>
      <c r="R134" s="73">
        <v>0.0</v>
      </c>
      <c r="S134" s="13">
        <f t="shared" si="28"/>
        <v>1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1.0</v>
      </c>
      <c r="J135" s="73">
        <v>0.0</v>
      </c>
      <c r="K135" s="73">
        <v>0.0</v>
      </c>
      <c r="L135" s="73">
        <v>0.0</v>
      </c>
      <c r="M135" s="73">
        <v>1.0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13">
        <f t="shared" si="28"/>
        <v>2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S139" si="29">SUM(E129:E138)</f>
        <v>2</v>
      </c>
      <c r="F139" s="13">
        <f t="shared" si="29"/>
        <v>0</v>
      </c>
      <c r="G139" s="13">
        <f t="shared" si="29"/>
        <v>0</v>
      </c>
      <c r="H139" s="13">
        <f t="shared" si="29"/>
        <v>1</v>
      </c>
      <c r="I139" s="13">
        <f t="shared" si="29"/>
        <v>3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0</v>
      </c>
      <c r="O139" s="13">
        <f t="shared" si="29"/>
        <v>0</v>
      </c>
      <c r="P139" s="13">
        <f t="shared" si="29"/>
        <v>6</v>
      </c>
      <c r="Q139" s="13">
        <f t="shared" si="29"/>
        <v>13</v>
      </c>
      <c r="R139" s="13">
        <f t="shared" si="29"/>
        <v>19</v>
      </c>
      <c r="S139" s="13">
        <f t="shared" si="29"/>
        <v>46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1.0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1.0</v>
      </c>
      <c r="O141" s="73">
        <v>0.0</v>
      </c>
      <c r="P141" s="73">
        <v>0.0</v>
      </c>
      <c r="Q141" s="73">
        <v>0.0</v>
      </c>
      <c r="R141" s="73">
        <v>0.0</v>
      </c>
      <c r="S141" s="13">
        <f t="shared" ref="S141:S150" si="30">SUM(E141:R141)</f>
        <v>2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1.0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13">
        <f t="shared" ref="S153:S156" si="32">SUM(E154:R154)</f>
        <v>4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3.0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1.0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1.0</v>
      </c>
      <c r="G155" s="73">
        <v>0.0</v>
      </c>
      <c r="H155" s="73">
        <v>1.0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13">
        <f t="shared" si="32"/>
        <v>0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13">
        <f t="shared" si="32"/>
        <v>1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1.0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13">
        <f t="shared" ref="S157:S162" si="33">SUM(E163:R163)</f>
        <v>9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13">
        <f t="shared" si="33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1.0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13">
        <f t="shared" si="33"/>
        <v>5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13">
        <f t="shared" si="33"/>
        <v>3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S163" si="34">SUM(E153:E162)</f>
        <v>3</v>
      </c>
      <c r="F163" s="13">
        <f t="shared" si="34"/>
        <v>1</v>
      </c>
      <c r="G163" s="13">
        <f t="shared" si="34"/>
        <v>1</v>
      </c>
      <c r="H163" s="13">
        <f t="shared" si="34"/>
        <v>2</v>
      </c>
      <c r="I163" s="13">
        <f t="shared" si="34"/>
        <v>0</v>
      </c>
      <c r="J163" s="13">
        <f t="shared" si="34"/>
        <v>0</v>
      </c>
      <c r="K163" s="13">
        <f t="shared" si="34"/>
        <v>1</v>
      </c>
      <c r="L163" s="13">
        <f t="shared" si="34"/>
        <v>1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24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1.0</v>
      </c>
      <c r="J165" s="73">
        <v>0.0</v>
      </c>
      <c r="K165" s="73">
        <v>1.0</v>
      </c>
      <c r="L165" s="73">
        <v>0.0</v>
      </c>
      <c r="M165" s="73">
        <v>1.0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13">
        <f t="shared" ref="S165:S174" si="35">SUM(E165:R165)</f>
        <v>5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1.0</v>
      </c>
      <c r="J166" s="73">
        <v>1.0</v>
      </c>
      <c r="K166" s="73">
        <v>0.0</v>
      </c>
      <c r="L166" s="73">
        <v>0.0</v>
      </c>
      <c r="M166" s="73">
        <v>0.0</v>
      </c>
      <c r="N166" s="73">
        <v>0.0</v>
      </c>
      <c r="O166" s="73">
        <v>1.0</v>
      </c>
      <c r="P166" s="73">
        <v>0.0</v>
      </c>
      <c r="Q166" s="73">
        <v>0.0</v>
      </c>
      <c r="R166" s="73">
        <v>0.0</v>
      </c>
      <c r="S166" s="13">
        <f t="shared" si="35"/>
        <v>3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3">
        <f t="shared" si="35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3">
        <f t="shared" si="35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3">
        <f t="shared" si="35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3">
        <f t="shared" si="35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3">
        <f t="shared" si="35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3">
        <f t="shared" si="35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S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1</v>
      </c>
      <c r="I175" s="13">
        <f t="shared" si="36"/>
        <v>2</v>
      </c>
      <c r="J175" s="13">
        <f t="shared" si="36"/>
        <v>1</v>
      </c>
      <c r="K175" s="13">
        <f t="shared" si="36"/>
        <v>1</v>
      </c>
      <c r="L175" s="13">
        <f t="shared" si="36"/>
        <v>0</v>
      </c>
      <c r="M175" s="13">
        <f t="shared" si="36"/>
        <v>1</v>
      </c>
      <c r="N175" s="13">
        <f t="shared" si="36"/>
        <v>0</v>
      </c>
      <c r="O175" s="13">
        <f t="shared" si="36"/>
        <v>2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8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1.0</v>
      </c>
      <c r="I177" s="73">
        <v>1.0</v>
      </c>
      <c r="J177" s="73">
        <v>0.0</v>
      </c>
      <c r="K177" s="73">
        <v>1.0</v>
      </c>
      <c r="L177" s="73">
        <v>0.0</v>
      </c>
      <c r="M177" s="73">
        <v>0.0</v>
      </c>
      <c r="N177" s="73">
        <v>0.0</v>
      </c>
      <c r="O177" s="73">
        <v>5.0</v>
      </c>
      <c r="P177" s="73">
        <v>4.0</v>
      </c>
      <c r="Q177" s="73">
        <v>0.0</v>
      </c>
      <c r="R177" s="73">
        <v>0.0</v>
      </c>
      <c r="S177" s="13">
        <f t="shared" ref="S177:S186" si="37">SUM(E177:R177)</f>
        <v>12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0.0</v>
      </c>
      <c r="H178" s="73">
        <v>1.0</v>
      </c>
      <c r="I178" s="73">
        <v>1.0</v>
      </c>
      <c r="J178" s="73">
        <v>0.0</v>
      </c>
      <c r="K178" s="73">
        <v>0.0</v>
      </c>
      <c r="L178" s="73">
        <v>0.0</v>
      </c>
      <c r="M178" s="73">
        <v>0.0</v>
      </c>
      <c r="N178" s="73">
        <v>1.0</v>
      </c>
      <c r="O178" s="73">
        <v>5.0</v>
      </c>
      <c r="P178" s="73">
        <v>1.0</v>
      </c>
      <c r="Q178" s="73">
        <v>0.0</v>
      </c>
      <c r="R178" s="73">
        <v>0.0</v>
      </c>
      <c r="S178" s="13">
        <f t="shared" si="37"/>
        <v>9</v>
      </c>
    </row>
    <row r="179" ht="12.75" customHeight="1">
      <c r="A179" s="18"/>
      <c r="B179" s="49"/>
      <c r="C179" s="50" t="s">
        <v>133</v>
      </c>
      <c r="D179" s="51"/>
      <c r="E179" s="73">
        <v>1.0</v>
      </c>
      <c r="F179" s="73">
        <v>0.0</v>
      </c>
      <c r="G179" s="73">
        <v>0.0</v>
      </c>
      <c r="H179" s="73">
        <v>0.0</v>
      </c>
      <c r="I179" s="73">
        <v>2.0</v>
      </c>
      <c r="J179" s="73">
        <v>0.0</v>
      </c>
      <c r="K179" s="73">
        <v>0.0</v>
      </c>
      <c r="L179" s="73">
        <v>0.0</v>
      </c>
      <c r="M179" s="73">
        <v>0.0</v>
      </c>
      <c r="N179" s="73">
        <v>1.0</v>
      </c>
      <c r="O179" s="73">
        <v>1.0</v>
      </c>
      <c r="P179" s="73">
        <v>0.0</v>
      </c>
      <c r="Q179" s="73">
        <v>0.0</v>
      </c>
      <c r="R179" s="73">
        <v>0.0</v>
      </c>
      <c r="S179" s="13">
        <f t="shared" si="37"/>
        <v>5</v>
      </c>
    </row>
    <row r="180" ht="12.75" customHeight="1">
      <c r="A180" s="18"/>
      <c r="B180" s="49"/>
      <c r="C180" s="50" t="s">
        <v>134</v>
      </c>
      <c r="D180" s="51"/>
      <c r="E180" s="73">
        <v>1.0</v>
      </c>
      <c r="F180" s="73">
        <v>0.0</v>
      </c>
      <c r="G180" s="73">
        <v>0.0</v>
      </c>
      <c r="H180" s="73">
        <v>0.0</v>
      </c>
      <c r="I180" s="73">
        <v>1.0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2.0</v>
      </c>
      <c r="P180" s="73">
        <v>2.0</v>
      </c>
      <c r="Q180" s="73">
        <v>0.0</v>
      </c>
      <c r="R180" s="73">
        <v>0.0</v>
      </c>
      <c r="S180" s="13">
        <f t="shared" si="37"/>
        <v>6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1.0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1.0</v>
      </c>
      <c r="P181" s="73">
        <v>0.0</v>
      </c>
      <c r="Q181" s="73">
        <v>0.0</v>
      </c>
      <c r="R181" s="73">
        <v>1.0</v>
      </c>
      <c r="S181" s="13">
        <f t="shared" si="37"/>
        <v>3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1.0</v>
      </c>
      <c r="P182" s="73">
        <v>0.0</v>
      </c>
      <c r="Q182" s="73">
        <v>2.0</v>
      </c>
      <c r="R182" s="73">
        <v>0.0</v>
      </c>
      <c r="S182" s="13">
        <f t="shared" si="37"/>
        <v>3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1.0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13">
        <f t="shared" si="37"/>
        <v>1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1.0</v>
      </c>
      <c r="P184" s="73">
        <v>0.0</v>
      </c>
      <c r="Q184" s="73">
        <v>0.0</v>
      </c>
      <c r="R184" s="73">
        <v>0.0</v>
      </c>
      <c r="S184" s="13">
        <f t="shared" si="37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2.0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13">
        <f t="shared" si="37"/>
        <v>2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1.0</v>
      </c>
      <c r="Q186" s="73">
        <v>0.0</v>
      </c>
      <c r="R186" s="73">
        <v>0.0</v>
      </c>
      <c r="S186" s="13">
        <f t="shared" si="37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S187" si="38">SUM(E177:E186)</f>
        <v>2</v>
      </c>
      <c r="F187" s="13">
        <f t="shared" si="38"/>
        <v>0</v>
      </c>
      <c r="G187" s="13">
        <f t="shared" si="38"/>
        <v>0</v>
      </c>
      <c r="H187" s="13">
        <f t="shared" si="38"/>
        <v>5</v>
      </c>
      <c r="I187" s="13">
        <f t="shared" si="38"/>
        <v>6</v>
      </c>
      <c r="J187" s="13">
        <f t="shared" si="38"/>
        <v>0</v>
      </c>
      <c r="K187" s="13">
        <f t="shared" si="38"/>
        <v>1</v>
      </c>
      <c r="L187" s="13">
        <f t="shared" si="38"/>
        <v>0</v>
      </c>
      <c r="M187" s="13">
        <f t="shared" si="38"/>
        <v>0</v>
      </c>
      <c r="N187" s="13">
        <f t="shared" si="38"/>
        <v>2</v>
      </c>
      <c r="O187" s="13">
        <f t="shared" si="38"/>
        <v>16</v>
      </c>
      <c r="P187" s="13">
        <f t="shared" si="38"/>
        <v>8</v>
      </c>
      <c r="Q187" s="13">
        <f t="shared" si="38"/>
        <v>2</v>
      </c>
      <c r="R187" s="13">
        <f t="shared" si="38"/>
        <v>1</v>
      </c>
      <c r="S187" s="13">
        <f t="shared" si="38"/>
        <v>43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S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2.0</v>
      </c>
      <c r="R189" s="73">
        <v>0.0</v>
      </c>
      <c r="S189" s="13">
        <f t="shared" ref="S189:S198" si="39">SUM(E189:R189)</f>
        <v>3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1.0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13">
        <f t="shared" si="39"/>
        <v>1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1.0</v>
      </c>
      <c r="I191" s="73">
        <v>0.0</v>
      </c>
      <c r="J191" s="73">
        <v>0.0</v>
      </c>
      <c r="K191" s="73">
        <v>0.0</v>
      </c>
      <c r="L191" s="73">
        <v>0.0</v>
      </c>
      <c r="M191" s="73">
        <v>1.0</v>
      </c>
      <c r="N191" s="73">
        <v>2.0</v>
      </c>
      <c r="O191" s="73">
        <v>1.0</v>
      </c>
      <c r="P191" s="73">
        <v>0.0</v>
      </c>
      <c r="Q191" s="73">
        <v>0.0</v>
      </c>
      <c r="R191" s="73">
        <v>0.0</v>
      </c>
      <c r="S191" s="13">
        <f t="shared" si="39"/>
        <v>5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1.0</v>
      </c>
      <c r="O192" s="73">
        <v>1.0</v>
      </c>
      <c r="P192" s="73">
        <v>0.0</v>
      </c>
      <c r="Q192" s="73">
        <v>0.0</v>
      </c>
      <c r="R192" s="73">
        <v>0.0</v>
      </c>
      <c r="S192" s="13">
        <f t="shared" si="39"/>
        <v>2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1.0</v>
      </c>
      <c r="Q193" s="73">
        <v>0.0</v>
      </c>
      <c r="R193" s="73">
        <v>0.0</v>
      </c>
      <c r="S193" s="13">
        <f t="shared" si="39"/>
        <v>1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13">
        <f t="shared" si="39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13">
        <f t="shared" si="39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1.0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13">
        <f t="shared" si="39"/>
        <v>1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1.0</v>
      </c>
      <c r="O197" s="73">
        <v>0.0</v>
      </c>
      <c r="P197" s="73">
        <v>0.0</v>
      </c>
      <c r="Q197" s="73">
        <v>0.0</v>
      </c>
      <c r="R197" s="73">
        <v>0.0</v>
      </c>
      <c r="S197" s="13">
        <f t="shared" si="39"/>
        <v>1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13">
        <f t="shared" si="39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S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2</v>
      </c>
      <c r="N199" s="13">
        <f t="shared" si="40"/>
        <v>4</v>
      </c>
      <c r="O199" s="13">
        <f t="shared" si="40"/>
        <v>2</v>
      </c>
      <c r="P199" s="13">
        <f t="shared" si="40"/>
        <v>2</v>
      </c>
      <c r="Q199" s="13">
        <f t="shared" si="40"/>
        <v>2</v>
      </c>
      <c r="R199" s="13">
        <f t="shared" si="40"/>
        <v>0</v>
      </c>
      <c r="S199" s="13">
        <f t="shared" si="40"/>
        <v>14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5.0</v>
      </c>
      <c r="F201" s="73">
        <v>7.0</v>
      </c>
      <c r="G201" s="73">
        <v>3.0</v>
      </c>
      <c r="H201" s="73">
        <v>5.0</v>
      </c>
      <c r="I201" s="73">
        <v>6.0</v>
      </c>
      <c r="J201" s="73">
        <v>4.0</v>
      </c>
      <c r="K201" s="73">
        <v>2.0</v>
      </c>
      <c r="L201" s="73">
        <v>2.0</v>
      </c>
      <c r="M201" s="73">
        <v>4.0</v>
      </c>
      <c r="N201" s="73">
        <v>7.0</v>
      </c>
      <c r="O201" s="73">
        <v>8.0</v>
      </c>
      <c r="P201" s="73">
        <v>1.0</v>
      </c>
      <c r="Q201" s="73">
        <v>3.0</v>
      </c>
      <c r="R201" s="73">
        <v>3.0</v>
      </c>
      <c r="S201" s="13">
        <f t="shared" ref="S201:S210" si="41">SUM(E201:R201)</f>
        <v>60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92.0</v>
      </c>
      <c r="F202" s="73">
        <v>124.0</v>
      </c>
      <c r="G202" s="73">
        <v>101.0</v>
      </c>
      <c r="H202" s="73">
        <v>66.0</v>
      </c>
      <c r="I202" s="73">
        <v>32.0</v>
      </c>
      <c r="J202" s="73">
        <v>27.0</v>
      </c>
      <c r="K202" s="73">
        <v>39.0</v>
      </c>
      <c r="L202" s="73">
        <v>9.0</v>
      </c>
      <c r="M202" s="73">
        <v>54.0</v>
      </c>
      <c r="N202" s="73">
        <v>91.0</v>
      </c>
      <c r="O202" s="73">
        <v>37.0</v>
      </c>
      <c r="P202" s="73">
        <v>38.0</v>
      </c>
      <c r="Q202" s="73">
        <v>36.0</v>
      </c>
      <c r="R202" s="73">
        <v>112.0</v>
      </c>
      <c r="S202" s="13">
        <f t="shared" si="41"/>
        <v>858</v>
      </c>
    </row>
    <row r="203" ht="12.75" customHeight="1">
      <c r="A203" s="18"/>
      <c r="B203" s="49"/>
      <c r="C203" s="50" t="s">
        <v>155</v>
      </c>
      <c r="D203" s="51"/>
      <c r="E203" s="73">
        <v>5.0</v>
      </c>
      <c r="F203" s="73">
        <v>2.0</v>
      </c>
      <c r="G203" s="73">
        <v>2.0</v>
      </c>
      <c r="H203" s="73">
        <v>1.0</v>
      </c>
      <c r="I203" s="73">
        <v>0.0</v>
      </c>
      <c r="J203" s="73">
        <v>1.0</v>
      </c>
      <c r="K203" s="73">
        <v>1.0</v>
      </c>
      <c r="L203" s="73">
        <v>1.0</v>
      </c>
      <c r="M203" s="73">
        <v>5.0</v>
      </c>
      <c r="N203" s="73">
        <v>1.0</v>
      </c>
      <c r="O203" s="73">
        <v>2.0</v>
      </c>
      <c r="P203" s="73">
        <v>0.0</v>
      </c>
      <c r="Q203" s="73">
        <v>3.0</v>
      </c>
      <c r="R203" s="73">
        <v>3.0</v>
      </c>
      <c r="S203" s="13">
        <f t="shared" si="41"/>
        <v>27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1.0</v>
      </c>
      <c r="J204" s="73">
        <v>1.0</v>
      </c>
      <c r="K204" s="73">
        <v>0.0</v>
      </c>
      <c r="L204" s="73">
        <v>0.0</v>
      </c>
      <c r="M204" s="73">
        <v>1.0</v>
      </c>
      <c r="N204" s="73">
        <v>0.0</v>
      </c>
      <c r="O204" s="73">
        <v>2.0</v>
      </c>
      <c r="P204" s="73">
        <v>1.0</v>
      </c>
      <c r="Q204" s="73">
        <v>0.0</v>
      </c>
      <c r="R204" s="73">
        <v>2.0</v>
      </c>
      <c r="S204" s="13">
        <f t="shared" si="41"/>
        <v>9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1.0</v>
      </c>
      <c r="R205" s="73">
        <v>0.0</v>
      </c>
      <c r="S205" s="13">
        <f t="shared" si="41"/>
        <v>1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13">
        <f t="shared" si="41"/>
        <v>0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2.0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1.0</v>
      </c>
      <c r="P207" s="73">
        <v>0.0</v>
      </c>
      <c r="Q207" s="73">
        <v>0.0</v>
      </c>
      <c r="R207" s="73">
        <v>0.0</v>
      </c>
      <c r="S207" s="13">
        <f t="shared" si="41"/>
        <v>3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0.0</v>
      </c>
      <c r="P208" s="73">
        <v>0.0</v>
      </c>
      <c r="Q208" s="73">
        <v>0.0</v>
      </c>
      <c r="R208" s="73">
        <v>0.0</v>
      </c>
      <c r="S208" s="13">
        <f t="shared" si="41"/>
        <v>0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13">
        <f t="shared" si="41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13">
        <f t="shared" si="41"/>
        <v>0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S211" si="42">SUM(E201:E210)</f>
        <v>102</v>
      </c>
      <c r="F211" s="13">
        <f t="shared" si="42"/>
        <v>133</v>
      </c>
      <c r="G211" s="13">
        <f t="shared" si="42"/>
        <v>108</v>
      </c>
      <c r="H211" s="13">
        <f t="shared" si="42"/>
        <v>73</v>
      </c>
      <c r="I211" s="13">
        <f t="shared" si="42"/>
        <v>39</v>
      </c>
      <c r="J211" s="13">
        <f t="shared" si="42"/>
        <v>33</v>
      </c>
      <c r="K211" s="13">
        <f t="shared" si="42"/>
        <v>42</v>
      </c>
      <c r="L211" s="13">
        <f t="shared" si="42"/>
        <v>12</v>
      </c>
      <c r="M211" s="13">
        <f t="shared" si="42"/>
        <v>64</v>
      </c>
      <c r="N211" s="13">
        <f t="shared" si="42"/>
        <v>99</v>
      </c>
      <c r="O211" s="13">
        <f t="shared" si="42"/>
        <v>50</v>
      </c>
      <c r="P211" s="13">
        <f t="shared" si="42"/>
        <v>40</v>
      </c>
      <c r="Q211" s="13">
        <f t="shared" si="42"/>
        <v>43</v>
      </c>
      <c r="R211" s="13">
        <f t="shared" si="42"/>
        <v>120</v>
      </c>
      <c r="S211" s="13">
        <f t="shared" si="42"/>
        <v>958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1.0</v>
      </c>
      <c r="G213" s="73">
        <v>1.0</v>
      </c>
      <c r="H213" s="73">
        <v>3.0</v>
      </c>
      <c r="I213" s="73">
        <v>1.0</v>
      </c>
      <c r="J213" s="73">
        <v>0.0</v>
      </c>
      <c r="K213" s="73">
        <v>0.0</v>
      </c>
      <c r="L213" s="73">
        <v>3.0</v>
      </c>
      <c r="M213" s="73">
        <v>0.0</v>
      </c>
      <c r="N213" s="73">
        <v>2.0</v>
      </c>
      <c r="O213" s="73">
        <v>4.0</v>
      </c>
      <c r="P213" s="73">
        <v>0.0</v>
      </c>
      <c r="Q213" s="73">
        <v>1.0</v>
      </c>
      <c r="R213" s="73">
        <v>1.0</v>
      </c>
      <c r="S213" s="13">
        <f t="shared" ref="S213:S222" si="43">SUM(E213:R213)</f>
        <v>17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1.0</v>
      </c>
      <c r="G214" s="73">
        <v>0.0</v>
      </c>
      <c r="H214" s="73">
        <v>1.0</v>
      </c>
      <c r="I214" s="73">
        <v>1.0</v>
      </c>
      <c r="J214" s="73">
        <v>3.0</v>
      </c>
      <c r="K214" s="73">
        <v>0.0</v>
      </c>
      <c r="L214" s="73">
        <v>0.0</v>
      </c>
      <c r="M214" s="73">
        <v>2.0</v>
      </c>
      <c r="N214" s="73">
        <v>0.0</v>
      </c>
      <c r="O214" s="73">
        <v>1.0</v>
      </c>
      <c r="P214" s="73">
        <v>0.0</v>
      </c>
      <c r="Q214" s="73">
        <v>0.0</v>
      </c>
      <c r="R214" s="73">
        <v>1.0</v>
      </c>
      <c r="S214" s="13">
        <f t="shared" si="43"/>
        <v>10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0.0</v>
      </c>
      <c r="G215" s="73">
        <v>1.0</v>
      </c>
      <c r="H215" s="73">
        <v>2.0</v>
      </c>
      <c r="I215" s="73">
        <v>1.0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3.0</v>
      </c>
      <c r="P215" s="73">
        <v>0.0</v>
      </c>
      <c r="Q215" s="73">
        <v>1.0</v>
      </c>
      <c r="R215" s="73">
        <v>1.0</v>
      </c>
      <c r="S215" s="13">
        <f t="shared" si="43"/>
        <v>9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1.0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1.0</v>
      </c>
      <c r="Q216" s="73">
        <v>1.0</v>
      </c>
      <c r="R216" s="73">
        <v>0.0</v>
      </c>
      <c r="S216" s="13">
        <f t="shared" si="43"/>
        <v>3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3">
        <f t="shared" si="43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3">
        <f t="shared" si="43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3">
        <f t="shared" si="43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3">
        <f t="shared" si="43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S223" si="44">SUM(E213:E222)</f>
        <v>0</v>
      </c>
      <c r="F223" s="13">
        <f t="shared" si="44"/>
        <v>2</v>
      </c>
      <c r="G223" s="13">
        <f t="shared" si="44"/>
        <v>2</v>
      </c>
      <c r="H223" s="13">
        <f t="shared" si="44"/>
        <v>6</v>
      </c>
      <c r="I223" s="13">
        <f t="shared" si="44"/>
        <v>4</v>
      </c>
      <c r="J223" s="13">
        <f t="shared" si="44"/>
        <v>3</v>
      </c>
      <c r="K223" s="13">
        <f t="shared" si="44"/>
        <v>0</v>
      </c>
      <c r="L223" s="13">
        <f t="shared" si="44"/>
        <v>3</v>
      </c>
      <c r="M223" s="13">
        <f t="shared" si="44"/>
        <v>2</v>
      </c>
      <c r="N223" s="13">
        <f t="shared" si="44"/>
        <v>2</v>
      </c>
      <c r="O223" s="13">
        <f t="shared" si="44"/>
        <v>8</v>
      </c>
      <c r="P223" s="13">
        <f t="shared" si="44"/>
        <v>1</v>
      </c>
      <c r="Q223" s="13">
        <f t="shared" si="44"/>
        <v>3</v>
      </c>
      <c r="R223" s="13">
        <f t="shared" si="44"/>
        <v>3</v>
      </c>
      <c r="S223" s="13">
        <f t="shared" si="44"/>
        <v>39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1.0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1.0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13">
        <f t="shared" ref="S225:S234" si="45">SUM(E225:R225)</f>
        <v>2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3.0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13">
        <f t="shared" si="45"/>
        <v>3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1.0</v>
      </c>
      <c r="J227" s="73">
        <v>1.0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13">
        <f t="shared" si="45"/>
        <v>2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13">
        <f t="shared" si="45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1.0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13">
        <f t="shared" si="45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3">
        <f t="shared" si="45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3">
        <f t="shared" si="45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3">
        <f t="shared" si="45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S235" si="46">SUM(E225:E234)</f>
        <v>0</v>
      </c>
      <c r="F235" s="13">
        <f t="shared" si="46"/>
        <v>1</v>
      </c>
      <c r="G235" s="13">
        <f t="shared" si="46"/>
        <v>0</v>
      </c>
      <c r="H235" s="13">
        <f t="shared" si="46"/>
        <v>1</v>
      </c>
      <c r="I235" s="13">
        <f t="shared" si="46"/>
        <v>1</v>
      </c>
      <c r="J235" s="13">
        <f t="shared" si="46"/>
        <v>1</v>
      </c>
      <c r="K235" s="13">
        <f t="shared" si="46"/>
        <v>3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8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1.0</v>
      </c>
      <c r="G237" s="73">
        <v>5.0</v>
      </c>
      <c r="H237" s="73">
        <v>0.0</v>
      </c>
      <c r="I237" s="73">
        <v>2.0</v>
      </c>
      <c r="J237" s="73">
        <v>4.0</v>
      </c>
      <c r="K237" s="73">
        <v>4.0</v>
      </c>
      <c r="L237" s="73">
        <v>4.0</v>
      </c>
      <c r="M237" s="73">
        <v>8.0</v>
      </c>
      <c r="N237" s="73">
        <v>5.0</v>
      </c>
      <c r="O237" s="73">
        <v>1.0</v>
      </c>
      <c r="P237" s="73">
        <v>7.0</v>
      </c>
      <c r="Q237" s="73">
        <v>3.0</v>
      </c>
      <c r="R237" s="73">
        <v>0.0</v>
      </c>
      <c r="S237" s="13">
        <f t="shared" ref="S237:S246" si="47">SUM(E237:R237)</f>
        <v>45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0.0</v>
      </c>
      <c r="G238" s="73">
        <v>1.0</v>
      </c>
      <c r="H238" s="73">
        <v>2.0</v>
      </c>
      <c r="I238" s="73">
        <v>1.0</v>
      </c>
      <c r="J238" s="73">
        <v>3.0</v>
      </c>
      <c r="K238" s="73">
        <v>3.0</v>
      </c>
      <c r="L238" s="73">
        <v>2.0</v>
      </c>
      <c r="M238" s="73">
        <v>2.0</v>
      </c>
      <c r="N238" s="73">
        <v>1.0</v>
      </c>
      <c r="O238" s="73">
        <v>2.0</v>
      </c>
      <c r="P238" s="73">
        <v>2.0</v>
      </c>
      <c r="Q238" s="73">
        <v>1.0</v>
      </c>
      <c r="R238" s="73">
        <v>1.0</v>
      </c>
      <c r="S238" s="13">
        <f t="shared" si="47"/>
        <v>21</v>
      </c>
    </row>
    <row r="239" ht="12.75" customHeight="1">
      <c r="A239" s="18"/>
      <c r="B239" s="49"/>
      <c r="C239" s="50" t="s">
        <v>177</v>
      </c>
      <c r="D239" s="51"/>
      <c r="E239" s="73">
        <v>1.0</v>
      </c>
      <c r="F239" s="73">
        <v>1.0</v>
      </c>
      <c r="G239" s="73">
        <v>3.0</v>
      </c>
      <c r="H239" s="73">
        <v>4.0</v>
      </c>
      <c r="I239" s="73">
        <v>2.0</v>
      </c>
      <c r="J239" s="73">
        <v>5.0</v>
      </c>
      <c r="K239" s="73">
        <v>8.0</v>
      </c>
      <c r="L239" s="73">
        <v>4.0</v>
      </c>
      <c r="M239" s="73">
        <v>6.0</v>
      </c>
      <c r="N239" s="73">
        <v>9.0</v>
      </c>
      <c r="O239" s="73">
        <v>5.0</v>
      </c>
      <c r="P239" s="73">
        <v>20.0</v>
      </c>
      <c r="Q239" s="73">
        <v>21.0</v>
      </c>
      <c r="R239" s="73">
        <v>10.0</v>
      </c>
      <c r="S239" s="13">
        <f t="shared" si="47"/>
        <v>99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2.0</v>
      </c>
      <c r="M240" s="73">
        <v>0.0</v>
      </c>
      <c r="N240" s="73">
        <v>1.0</v>
      </c>
      <c r="O240" s="73">
        <v>0.0</v>
      </c>
      <c r="P240" s="73">
        <v>0.0</v>
      </c>
      <c r="Q240" s="73">
        <v>1.0</v>
      </c>
      <c r="R240" s="73">
        <v>1.0</v>
      </c>
      <c r="S240" s="13">
        <f t="shared" si="47"/>
        <v>6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0.0</v>
      </c>
      <c r="L241" s="73">
        <v>2.0</v>
      </c>
      <c r="M241" s="73">
        <v>0.0</v>
      </c>
      <c r="N241" s="73">
        <v>2.0</v>
      </c>
      <c r="O241" s="73">
        <v>0.0</v>
      </c>
      <c r="P241" s="73">
        <v>1.0</v>
      </c>
      <c r="Q241" s="73">
        <v>0.0</v>
      </c>
      <c r="R241" s="73">
        <v>0.0</v>
      </c>
      <c r="S241" s="13">
        <f t="shared" si="47"/>
        <v>6</v>
      </c>
    </row>
    <row r="242" ht="12.75" customHeight="1">
      <c r="A242" s="18"/>
      <c r="B242" s="49"/>
      <c r="C242" s="50" t="s">
        <v>180</v>
      </c>
      <c r="D242" s="51"/>
      <c r="E242" s="73">
        <v>1.0</v>
      </c>
      <c r="F242" s="73">
        <v>0.0</v>
      </c>
      <c r="G242" s="73">
        <v>0.0</v>
      </c>
      <c r="H242" s="73">
        <v>0.0</v>
      </c>
      <c r="I242" s="73">
        <v>1.0</v>
      </c>
      <c r="J242" s="73">
        <v>12.0</v>
      </c>
      <c r="K242" s="73">
        <v>1.0</v>
      </c>
      <c r="L242" s="73">
        <v>3.0</v>
      </c>
      <c r="M242" s="73">
        <v>2.0</v>
      </c>
      <c r="N242" s="73">
        <v>1.0</v>
      </c>
      <c r="O242" s="73">
        <v>1.0</v>
      </c>
      <c r="P242" s="73">
        <v>5.0</v>
      </c>
      <c r="Q242" s="73">
        <v>1.0</v>
      </c>
      <c r="R242" s="73">
        <v>1.0</v>
      </c>
      <c r="S242" s="13">
        <f t="shared" si="47"/>
        <v>29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1.0</v>
      </c>
      <c r="H243" s="73">
        <v>1.0</v>
      </c>
      <c r="I243" s="73">
        <v>0.0</v>
      </c>
      <c r="J243" s="73">
        <v>6.0</v>
      </c>
      <c r="K243" s="73">
        <v>1.0</v>
      </c>
      <c r="L243" s="73">
        <v>0.0</v>
      </c>
      <c r="M243" s="73">
        <v>1.0</v>
      </c>
      <c r="N243" s="73">
        <v>0.0</v>
      </c>
      <c r="O243" s="73">
        <v>0.0</v>
      </c>
      <c r="P243" s="73">
        <v>3.0</v>
      </c>
      <c r="Q243" s="73">
        <v>1.0</v>
      </c>
      <c r="R243" s="73">
        <v>0.0</v>
      </c>
      <c r="S243" s="13">
        <f t="shared" si="47"/>
        <v>14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1.0</v>
      </c>
      <c r="H244" s="73">
        <v>0.0</v>
      </c>
      <c r="I244" s="73">
        <v>0.0</v>
      </c>
      <c r="J244" s="73">
        <v>2.0</v>
      </c>
      <c r="K244" s="73">
        <v>1.0</v>
      </c>
      <c r="L244" s="73">
        <v>0.0</v>
      </c>
      <c r="M244" s="73">
        <v>1.0</v>
      </c>
      <c r="N244" s="73">
        <v>1.0</v>
      </c>
      <c r="O244" s="73">
        <v>0.0</v>
      </c>
      <c r="P244" s="73">
        <v>3.0</v>
      </c>
      <c r="Q244" s="73">
        <v>0.0</v>
      </c>
      <c r="R244" s="73">
        <v>2.0</v>
      </c>
      <c r="S244" s="13">
        <f t="shared" si="47"/>
        <v>11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1.0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1.0</v>
      </c>
      <c r="Q245" s="73">
        <v>0.0</v>
      </c>
      <c r="R245" s="73">
        <v>0.0</v>
      </c>
      <c r="S245" s="13">
        <f t="shared" si="47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1.0</v>
      </c>
      <c r="H246" s="73">
        <v>0.0</v>
      </c>
      <c r="I246" s="73">
        <v>1.0</v>
      </c>
      <c r="J246" s="73">
        <v>4.0</v>
      </c>
      <c r="K246" s="73">
        <v>3.0</v>
      </c>
      <c r="L246" s="73">
        <v>0.0</v>
      </c>
      <c r="M246" s="73">
        <v>0.0</v>
      </c>
      <c r="N246" s="73">
        <v>2.0</v>
      </c>
      <c r="O246" s="73">
        <v>0.0</v>
      </c>
      <c r="P246" s="73">
        <v>1.0</v>
      </c>
      <c r="Q246" s="73">
        <v>1.0</v>
      </c>
      <c r="R246" s="73">
        <v>1.0</v>
      </c>
      <c r="S246" s="13">
        <f t="shared" si="47"/>
        <v>14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S247" si="48">SUM(E237:E246)</f>
        <v>3</v>
      </c>
      <c r="F247" s="13">
        <f t="shared" si="48"/>
        <v>2</v>
      </c>
      <c r="G247" s="13">
        <f t="shared" si="48"/>
        <v>13</v>
      </c>
      <c r="H247" s="13">
        <f t="shared" si="48"/>
        <v>7</v>
      </c>
      <c r="I247" s="13">
        <f t="shared" si="48"/>
        <v>7</v>
      </c>
      <c r="J247" s="13">
        <f t="shared" si="48"/>
        <v>37</v>
      </c>
      <c r="K247" s="13">
        <f t="shared" si="48"/>
        <v>22</v>
      </c>
      <c r="L247" s="13">
        <f t="shared" si="48"/>
        <v>17</v>
      </c>
      <c r="M247" s="13">
        <f t="shared" si="48"/>
        <v>20</v>
      </c>
      <c r="N247" s="13">
        <f t="shared" si="48"/>
        <v>22</v>
      </c>
      <c r="O247" s="13">
        <f t="shared" si="48"/>
        <v>9</v>
      </c>
      <c r="P247" s="13">
        <f t="shared" si="48"/>
        <v>43</v>
      </c>
      <c r="Q247" s="13">
        <f t="shared" si="48"/>
        <v>29</v>
      </c>
      <c r="R247" s="13">
        <f t="shared" si="48"/>
        <v>16</v>
      </c>
      <c r="S247" s="13">
        <f t="shared" si="48"/>
        <v>247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1.0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1.0</v>
      </c>
      <c r="P249" s="73">
        <v>0.0</v>
      </c>
      <c r="Q249" s="73">
        <v>0.0</v>
      </c>
      <c r="R249" s="73">
        <v>0.0</v>
      </c>
      <c r="S249" s="13">
        <f t="shared" ref="S249:S258" si="49">SUM(E249:R249)</f>
        <v>3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3.0</v>
      </c>
      <c r="N250" s="73">
        <v>0.0</v>
      </c>
      <c r="O250" s="73">
        <v>4.0</v>
      </c>
      <c r="P250" s="73">
        <v>1.0</v>
      </c>
      <c r="Q250" s="73">
        <v>1.0</v>
      </c>
      <c r="R250" s="73">
        <v>0.0</v>
      </c>
      <c r="S250" s="13">
        <f t="shared" si="49"/>
        <v>9</v>
      </c>
    </row>
    <row r="251" ht="12.75" customHeight="1">
      <c r="A251" s="18"/>
      <c r="B251" s="49"/>
      <c r="C251" s="50" t="s">
        <v>188</v>
      </c>
      <c r="D251" s="51"/>
      <c r="E251" s="73">
        <v>1.0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13">
        <f t="shared" si="49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13">
        <f t="shared" si="49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S259" si="50">SUM(E249:E258)</f>
        <v>1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3</v>
      </c>
      <c r="N259" s="13">
        <f t="shared" si="50"/>
        <v>0</v>
      </c>
      <c r="O259" s="13">
        <f t="shared" si="50"/>
        <v>5</v>
      </c>
      <c r="P259" s="13">
        <f t="shared" si="50"/>
        <v>1</v>
      </c>
      <c r="Q259" s="13">
        <f t="shared" si="50"/>
        <v>1</v>
      </c>
      <c r="R259" s="13">
        <f t="shared" si="50"/>
        <v>0</v>
      </c>
      <c r="S259" s="13">
        <f t="shared" si="50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R262" si="51">E55+E67+E79+E91+E103+E115+E127+E139+E151+E163+E175+E187+E199+E211+E223+E235+E247+E259</f>
        <v>212</v>
      </c>
      <c r="F262" s="19">
        <f t="shared" si="51"/>
        <v>221</v>
      </c>
      <c r="G262" s="19">
        <f t="shared" si="51"/>
        <v>243</v>
      </c>
      <c r="H262" s="19">
        <f t="shared" si="51"/>
        <v>179</v>
      </c>
      <c r="I262" s="19">
        <f t="shared" si="51"/>
        <v>183</v>
      </c>
      <c r="J262" s="19">
        <f t="shared" si="51"/>
        <v>193</v>
      </c>
      <c r="K262" s="19">
        <f t="shared" si="51"/>
        <v>224</v>
      </c>
      <c r="L262" s="19">
        <f t="shared" si="51"/>
        <v>234</v>
      </c>
      <c r="M262" s="19">
        <f t="shared" si="51"/>
        <v>192</v>
      </c>
      <c r="N262" s="19">
        <f t="shared" si="51"/>
        <v>213</v>
      </c>
      <c r="O262" s="19">
        <f t="shared" si="51"/>
        <v>198</v>
      </c>
      <c r="P262" s="19">
        <f t="shared" si="51"/>
        <v>183</v>
      </c>
      <c r="Q262" s="19">
        <f t="shared" si="51"/>
        <v>201</v>
      </c>
      <c r="R262" s="19">
        <f t="shared" si="51"/>
        <v>208</v>
      </c>
      <c r="S262" s="13">
        <f t="shared" ref="S262:S264" si="52">SUM(E262:R262)</f>
        <v>2884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23.0</v>
      </c>
      <c r="F263" s="73">
        <v>32.0</v>
      </c>
      <c r="G263" s="73">
        <v>19.0</v>
      </c>
      <c r="H263" s="73">
        <v>43.0</v>
      </c>
      <c r="I263" s="73">
        <v>26.0</v>
      </c>
      <c r="J263" s="73">
        <v>10.0</v>
      </c>
      <c r="K263" s="73">
        <v>16.0</v>
      </c>
      <c r="L263" s="73">
        <v>23.0</v>
      </c>
      <c r="M263" s="73">
        <v>9.0</v>
      </c>
      <c r="N263" s="73">
        <v>22.0</v>
      </c>
      <c r="O263" s="73">
        <v>12.0</v>
      </c>
      <c r="P263" s="73">
        <v>24.0</v>
      </c>
      <c r="Q263" s="73">
        <v>14.0</v>
      </c>
      <c r="R263" s="73">
        <v>10.0</v>
      </c>
      <c r="S263" s="13">
        <f t="shared" si="52"/>
        <v>283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R264" si="53">SUM(E262:E263)</f>
        <v>235</v>
      </c>
      <c r="F264" s="13">
        <f t="shared" si="53"/>
        <v>253</v>
      </c>
      <c r="G264" s="13">
        <f t="shared" si="53"/>
        <v>262</v>
      </c>
      <c r="H264" s="13">
        <f t="shared" si="53"/>
        <v>222</v>
      </c>
      <c r="I264" s="13">
        <f t="shared" si="53"/>
        <v>209</v>
      </c>
      <c r="J264" s="13">
        <f t="shared" si="53"/>
        <v>203</v>
      </c>
      <c r="K264" s="13">
        <f t="shared" si="53"/>
        <v>240</v>
      </c>
      <c r="L264" s="13">
        <f t="shared" si="53"/>
        <v>257</v>
      </c>
      <c r="M264" s="13">
        <f t="shared" si="53"/>
        <v>201</v>
      </c>
      <c r="N264" s="13">
        <f t="shared" si="53"/>
        <v>235</v>
      </c>
      <c r="O264" s="13">
        <f t="shared" si="53"/>
        <v>210</v>
      </c>
      <c r="P264" s="13">
        <f t="shared" si="53"/>
        <v>207</v>
      </c>
      <c r="Q264" s="13">
        <f t="shared" si="53"/>
        <v>215</v>
      </c>
      <c r="R264" s="13">
        <f t="shared" si="53"/>
        <v>218</v>
      </c>
      <c r="S264" s="13">
        <f t="shared" si="52"/>
        <v>3167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E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3">
        <v>135.0</v>
      </c>
      <c r="F14" s="73">
        <v>140.0</v>
      </c>
      <c r="G14" s="73">
        <v>141.0</v>
      </c>
      <c r="H14" s="73">
        <v>135.0</v>
      </c>
      <c r="I14" s="73">
        <v>144.0</v>
      </c>
      <c r="J14" s="73">
        <v>125.0</v>
      </c>
      <c r="K14" s="73">
        <v>150.0</v>
      </c>
      <c r="L14" s="73">
        <v>148.0</v>
      </c>
      <c r="M14" s="73">
        <v>126.0</v>
      </c>
      <c r="N14" s="73">
        <v>142.0</v>
      </c>
      <c r="O14" s="73">
        <v>146.0</v>
      </c>
      <c r="P14" s="73">
        <v>147.0</v>
      </c>
      <c r="Q14" s="73">
        <v>136.0</v>
      </c>
      <c r="R14" s="73">
        <v>129.0</v>
      </c>
      <c r="S14" s="73">
        <v>146.0</v>
      </c>
      <c r="T14" s="73">
        <v>150.0</v>
      </c>
      <c r="U14" s="73">
        <v>144.0</v>
      </c>
      <c r="V14" s="73">
        <v>139.0</v>
      </c>
      <c r="W14" s="73">
        <v>151.0</v>
      </c>
      <c r="X14" s="73">
        <v>140.0</v>
      </c>
      <c r="Y14" s="73">
        <v>125.0</v>
      </c>
      <c r="Z14" s="73">
        <v>115.0</v>
      </c>
      <c r="AA14" s="73">
        <v>121.0</v>
      </c>
      <c r="AB14" s="73">
        <v>118.0</v>
      </c>
      <c r="AC14" s="73">
        <v>120.0</v>
      </c>
      <c r="AD14" s="73">
        <v>116.0</v>
      </c>
      <c r="AE14" s="73">
        <v>117.0</v>
      </c>
      <c r="AF14" s="13">
        <f t="shared" ref="AF14:AF16" si="1">SUM(E14:AE14)</f>
        <v>3646</v>
      </c>
    </row>
    <row r="15" ht="12.75" customHeight="1">
      <c r="A15" s="18"/>
      <c r="B15" s="26"/>
      <c r="C15" s="27"/>
      <c r="D15" s="19" t="s">
        <v>13</v>
      </c>
      <c r="E15" s="73">
        <v>133.0</v>
      </c>
      <c r="F15" s="73">
        <v>150.0</v>
      </c>
      <c r="G15" s="73">
        <v>148.0</v>
      </c>
      <c r="H15" s="73">
        <v>141.0</v>
      </c>
      <c r="I15" s="73">
        <v>124.0</v>
      </c>
      <c r="J15" s="73">
        <v>139.0</v>
      </c>
      <c r="K15" s="73">
        <v>138.0</v>
      </c>
      <c r="L15" s="73">
        <v>144.0</v>
      </c>
      <c r="M15" s="73">
        <v>152.0</v>
      </c>
      <c r="N15" s="73">
        <v>144.0</v>
      </c>
      <c r="O15" s="73">
        <v>137.0</v>
      </c>
      <c r="P15" s="73">
        <v>127.0</v>
      </c>
      <c r="Q15" s="73">
        <v>147.0</v>
      </c>
      <c r="R15" s="73">
        <v>124.0</v>
      </c>
      <c r="S15" s="73">
        <v>133.0</v>
      </c>
      <c r="T15" s="73">
        <v>141.0</v>
      </c>
      <c r="U15" s="73">
        <v>138.0</v>
      </c>
      <c r="V15" s="73">
        <v>147.0</v>
      </c>
      <c r="W15" s="73">
        <v>135.0</v>
      </c>
      <c r="X15" s="73">
        <v>136.0</v>
      </c>
      <c r="Y15" s="73">
        <v>132.0</v>
      </c>
      <c r="Z15" s="73">
        <v>116.0</v>
      </c>
      <c r="AA15" s="73">
        <v>117.0</v>
      </c>
      <c r="AB15" s="73">
        <v>118.0</v>
      </c>
      <c r="AC15" s="73">
        <v>125.0</v>
      </c>
      <c r="AD15" s="73">
        <v>118.0</v>
      </c>
      <c r="AE15" s="73">
        <v>122.0</v>
      </c>
      <c r="AF15" s="13">
        <f t="shared" si="1"/>
        <v>3626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268</v>
      </c>
      <c r="F16" s="13">
        <f t="shared" si="2"/>
        <v>290</v>
      </c>
      <c r="G16" s="13">
        <f t="shared" si="2"/>
        <v>289</v>
      </c>
      <c r="H16" s="13">
        <f t="shared" si="2"/>
        <v>276</v>
      </c>
      <c r="I16" s="13">
        <f t="shared" si="2"/>
        <v>268</v>
      </c>
      <c r="J16" s="13">
        <f t="shared" si="2"/>
        <v>264</v>
      </c>
      <c r="K16" s="13">
        <f t="shared" si="2"/>
        <v>288</v>
      </c>
      <c r="L16" s="13">
        <f t="shared" si="2"/>
        <v>292</v>
      </c>
      <c r="M16" s="13">
        <f t="shared" si="2"/>
        <v>278</v>
      </c>
      <c r="N16" s="13">
        <f t="shared" si="2"/>
        <v>286</v>
      </c>
      <c r="O16" s="13">
        <f t="shared" si="2"/>
        <v>283</v>
      </c>
      <c r="P16" s="13">
        <f t="shared" si="2"/>
        <v>274</v>
      </c>
      <c r="Q16" s="13">
        <f t="shared" si="2"/>
        <v>283</v>
      </c>
      <c r="R16" s="13">
        <f t="shared" si="2"/>
        <v>253</v>
      </c>
      <c r="S16" s="13">
        <f t="shared" si="2"/>
        <v>279</v>
      </c>
      <c r="T16" s="13">
        <f t="shared" si="2"/>
        <v>291</v>
      </c>
      <c r="U16" s="13">
        <f t="shared" si="2"/>
        <v>282</v>
      </c>
      <c r="V16" s="13">
        <f t="shared" si="2"/>
        <v>286</v>
      </c>
      <c r="W16" s="13">
        <f t="shared" si="2"/>
        <v>286</v>
      </c>
      <c r="X16" s="13">
        <f t="shared" si="2"/>
        <v>276</v>
      </c>
      <c r="Y16" s="13">
        <f t="shared" si="2"/>
        <v>257</v>
      </c>
      <c r="Z16" s="13">
        <f t="shared" si="2"/>
        <v>231</v>
      </c>
      <c r="AA16" s="13">
        <f t="shared" si="2"/>
        <v>238</v>
      </c>
      <c r="AB16" s="13">
        <f t="shared" si="2"/>
        <v>236</v>
      </c>
      <c r="AC16" s="13">
        <f t="shared" si="2"/>
        <v>245</v>
      </c>
      <c r="AD16" s="13">
        <f t="shared" si="2"/>
        <v>234</v>
      </c>
      <c r="AE16" s="13">
        <f t="shared" si="2"/>
        <v>239</v>
      </c>
      <c r="AF16" s="13">
        <f t="shared" si="1"/>
        <v>7272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74"/>
      <c r="S17" s="19"/>
      <c r="T17" s="19"/>
      <c r="U17" s="19"/>
      <c r="V17" s="19"/>
      <c r="W17" s="19"/>
      <c r="X17" s="19"/>
      <c r="Y17" s="19"/>
      <c r="Z17" s="19"/>
      <c r="AA17" s="74"/>
      <c r="AB17" s="19"/>
      <c r="AC17" s="19"/>
      <c r="AD17" s="19"/>
      <c r="AE17" s="74"/>
      <c r="AF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74"/>
      <c r="S18" s="19"/>
      <c r="T18" s="19"/>
      <c r="U18" s="19"/>
      <c r="V18" s="19"/>
      <c r="W18" s="19"/>
      <c r="X18" s="19"/>
      <c r="Y18" s="19"/>
      <c r="Z18" s="19"/>
      <c r="AA18" s="74"/>
      <c r="AB18" s="19"/>
      <c r="AC18" s="19"/>
      <c r="AD18" s="19"/>
      <c r="AE18" s="74"/>
      <c r="AF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108.0</v>
      </c>
      <c r="F19" s="73">
        <v>104.0</v>
      </c>
      <c r="G19" s="73">
        <v>113.0</v>
      </c>
      <c r="H19" s="73">
        <v>99.0</v>
      </c>
      <c r="I19" s="73">
        <v>108.0</v>
      </c>
      <c r="J19" s="73">
        <v>87.0</v>
      </c>
      <c r="K19" s="73">
        <v>108.0</v>
      </c>
      <c r="L19" s="73">
        <v>106.0</v>
      </c>
      <c r="M19" s="73">
        <v>100.0</v>
      </c>
      <c r="N19" s="73">
        <v>111.0</v>
      </c>
      <c r="O19" s="73">
        <v>104.0</v>
      </c>
      <c r="P19" s="73">
        <v>117.0</v>
      </c>
      <c r="Q19" s="73">
        <v>105.0</v>
      </c>
      <c r="R19" s="73">
        <v>82.0</v>
      </c>
      <c r="S19" s="73">
        <v>120.0</v>
      </c>
      <c r="T19" s="73">
        <v>115.0</v>
      </c>
      <c r="U19" s="73">
        <v>104.0</v>
      </c>
      <c r="V19" s="73">
        <v>107.0</v>
      </c>
      <c r="W19" s="73">
        <v>112.0</v>
      </c>
      <c r="X19" s="73">
        <v>115.0</v>
      </c>
      <c r="Y19" s="73">
        <v>90.0</v>
      </c>
      <c r="Z19" s="73">
        <v>95.0</v>
      </c>
      <c r="AA19" s="73">
        <v>96.0</v>
      </c>
      <c r="AB19" s="73">
        <v>93.0</v>
      </c>
      <c r="AC19" s="73">
        <v>97.0</v>
      </c>
      <c r="AD19" s="73">
        <v>93.0</v>
      </c>
      <c r="AE19" s="73">
        <v>93.0</v>
      </c>
      <c r="AF19" s="13">
        <f t="shared" ref="AF19:AF30" si="3">SUM(E19:AE19)</f>
        <v>2782</v>
      </c>
    </row>
    <row r="20" ht="12.75" customHeight="1">
      <c r="A20" s="33"/>
      <c r="B20" s="27"/>
      <c r="C20" s="34"/>
      <c r="D20" s="19" t="s">
        <v>13</v>
      </c>
      <c r="E20" s="73">
        <v>111.0</v>
      </c>
      <c r="F20" s="73">
        <v>108.0</v>
      </c>
      <c r="G20" s="73">
        <v>111.0</v>
      </c>
      <c r="H20" s="73">
        <v>111.0</v>
      </c>
      <c r="I20" s="73">
        <v>98.0</v>
      </c>
      <c r="J20" s="73">
        <v>100.0</v>
      </c>
      <c r="K20" s="73">
        <v>103.0</v>
      </c>
      <c r="L20" s="73">
        <v>110.0</v>
      </c>
      <c r="M20" s="73">
        <v>119.0</v>
      </c>
      <c r="N20" s="73">
        <v>114.0</v>
      </c>
      <c r="O20" s="73">
        <v>108.0</v>
      </c>
      <c r="P20" s="73">
        <v>102.0</v>
      </c>
      <c r="Q20" s="73">
        <v>108.0</v>
      </c>
      <c r="R20" s="73">
        <v>98.0</v>
      </c>
      <c r="S20" s="73">
        <v>113.0</v>
      </c>
      <c r="T20" s="73">
        <v>113.0</v>
      </c>
      <c r="U20" s="73">
        <v>108.0</v>
      </c>
      <c r="V20" s="73">
        <v>108.0</v>
      </c>
      <c r="W20" s="73">
        <v>98.0</v>
      </c>
      <c r="X20" s="73">
        <v>114.0</v>
      </c>
      <c r="Y20" s="73">
        <v>104.0</v>
      </c>
      <c r="Z20" s="73">
        <v>97.0</v>
      </c>
      <c r="AA20" s="73">
        <v>95.0</v>
      </c>
      <c r="AB20" s="73">
        <v>95.0</v>
      </c>
      <c r="AC20" s="73">
        <v>96.0</v>
      </c>
      <c r="AD20" s="73">
        <v>92.0</v>
      </c>
      <c r="AE20" s="73">
        <v>97.0</v>
      </c>
      <c r="AF20" s="13">
        <f t="shared" si="3"/>
        <v>2831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219</v>
      </c>
      <c r="F21" s="13">
        <f t="shared" si="4"/>
        <v>212</v>
      </c>
      <c r="G21" s="13">
        <f t="shared" si="4"/>
        <v>224</v>
      </c>
      <c r="H21" s="13">
        <f t="shared" si="4"/>
        <v>210</v>
      </c>
      <c r="I21" s="13">
        <f t="shared" si="4"/>
        <v>206</v>
      </c>
      <c r="J21" s="13">
        <f t="shared" si="4"/>
        <v>187</v>
      </c>
      <c r="K21" s="13">
        <f t="shared" si="4"/>
        <v>211</v>
      </c>
      <c r="L21" s="13">
        <f t="shared" si="4"/>
        <v>216</v>
      </c>
      <c r="M21" s="13">
        <f t="shared" si="4"/>
        <v>219</v>
      </c>
      <c r="N21" s="13">
        <f t="shared" si="4"/>
        <v>225</v>
      </c>
      <c r="O21" s="13">
        <f t="shared" si="4"/>
        <v>212</v>
      </c>
      <c r="P21" s="13">
        <f t="shared" si="4"/>
        <v>219</v>
      </c>
      <c r="Q21" s="13">
        <f t="shared" si="4"/>
        <v>213</v>
      </c>
      <c r="R21" s="13">
        <f t="shared" si="4"/>
        <v>180</v>
      </c>
      <c r="S21" s="13">
        <f t="shared" si="4"/>
        <v>233</v>
      </c>
      <c r="T21" s="13">
        <f t="shared" si="4"/>
        <v>228</v>
      </c>
      <c r="U21" s="13">
        <f t="shared" si="4"/>
        <v>212</v>
      </c>
      <c r="V21" s="13">
        <f t="shared" si="4"/>
        <v>215</v>
      </c>
      <c r="W21" s="13">
        <f t="shared" si="4"/>
        <v>210</v>
      </c>
      <c r="X21" s="13">
        <f t="shared" si="4"/>
        <v>229</v>
      </c>
      <c r="Y21" s="13">
        <f t="shared" si="4"/>
        <v>194</v>
      </c>
      <c r="Z21" s="13">
        <f t="shared" si="4"/>
        <v>192</v>
      </c>
      <c r="AA21" s="13">
        <f t="shared" si="4"/>
        <v>191</v>
      </c>
      <c r="AB21" s="13">
        <f t="shared" si="4"/>
        <v>188</v>
      </c>
      <c r="AC21" s="13">
        <f t="shared" si="4"/>
        <v>193</v>
      </c>
      <c r="AD21" s="13">
        <f t="shared" si="4"/>
        <v>185</v>
      </c>
      <c r="AE21" s="13">
        <f t="shared" si="4"/>
        <v>190</v>
      </c>
      <c r="AF21" s="13">
        <f t="shared" si="3"/>
        <v>5613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1.0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1.0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0.0</v>
      </c>
      <c r="H25" s="73">
        <v>4.0</v>
      </c>
      <c r="I25" s="73">
        <v>1.0</v>
      </c>
      <c r="J25" s="73">
        <v>0.0</v>
      </c>
      <c r="K25" s="73">
        <v>0.0</v>
      </c>
      <c r="L25" s="73">
        <v>0.0</v>
      </c>
      <c r="M25" s="73">
        <v>1.0</v>
      </c>
      <c r="N25" s="73">
        <v>0.0</v>
      </c>
      <c r="O25" s="73">
        <v>1.0</v>
      </c>
      <c r="P25" s="73">
        <v>0.0</v>
      </c>
      <c r="Q25" s="73">
        <v>2.0</v>
      </c>
      <c r="R25" s="73">
        <v>0.0</v>
      </c>
      <c r="S25" s="73">
        <v>1.0</v>
      </c>
      <c r="T25" s="73">
        <v>1.0</v>
      </c>
      <c r="U25" s="73">
        <v>0.0</v>
      </c>
      <c r="V25" s="73">
        <v>0.0</v>
      </c>
      <c r="W25" s="73">
        <v>4.0</v>
      </c>
      <c r="X25" s="73">
        <v>0.0</v>
      </c>
      <c r="Y25" s="73">
        <v>0.0</v>
      </c>
      <c r="Z25" s="73">
        <v>0.0</v>
      </c>
      <c r="AA25" s="73">
        <v>1.0</v>
      </c>
      <c r="AB25" s="73">
        <v>2.0</v>
      </c>
      <c r="AC25" s="73">
        <v>2.0</v>
      </c>
      <c r="AD25" s="73">
        <v>1.0</v>
      </c>
      <c r="AE25" s="73">
        <v>0.0</v>
      </c>
      <c r="AF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1.0</v>
      </c>
      <c r="G26" s="73">
        <v>0.0</v>
      </c>
      <c r="H26" s="73">
        <v>6.0</v>
      </c>
      <c r="I26" s="73">
        <v>6.0</v>
      </c>
      <c r="J26" s="73">
        <v>0.0</v>
      </c>
      <c r="K26" s="73">
        <v>0.0</v>
      </c>
      <c r="L26" s="73">
        <v>1.0</v>
      </c>
      <c r="M26" s="73">
        <v>0.0</v>
      </c>
      <c r="N26" s="73">
        <v>0.0</v>
      </c>
      <c r="O26" s="73">
        <v>1.0</v>
      </c>
      <c r="P26" s="73">
        <v>0.0</v>
      </c>
      <c r="Q26" s="73">
        <v>3.0</v>
      </c>
      <c r="R26" s="73">
        <v>1.0</v>
      </c>
      <c r="S26" s="73">
        <v>3.0</v>
      </c>
      <c r="T26" s="73">
        <v>2.0</v>
      </c>
      <c r="U26" s="73">
        <v>0.0</v>
      </c>
      <c r="V26" s="73">
        <v>0.0</v>
      </c>
      <c r="W26" s="73">
        <v>2.0</v>
      </c>
      <c r="X26" s="73">
        <v>2.0</v>
      </c>
      <c r="Y26" s="73">
        <v>0.0</v>
      </c>
      <c r="Z26" s="73">
        <v>0.0</v>
      </c>
      <c r="AA26" s="73">
        <v>1.0</v>
      </c>
      <c r="AB26" s="73">
        <v>2.0</v>
      </c>
      <c r="AC26" s="73">
        <v>1.0</v>
      </c>
      <c r="AD26" s="73">
        <v>0.0</v>
      </c>
      <c r="AE26" s="73">
        <v>1.0</v>
      </c>
      <c r="AF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10</v>
      </c>
      <c r="I27" s="13">
        <f t="shared" si="6"/>
        <v>7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5</v>
      </c>
      <c r="R27" s="13">
        <f t="shared" si="6"/>
        <v>1</v>
      </c>
      <c r="S27" s="13">
        <f t="shared" si="6"/>
        <v>4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6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108</v>
      </c>
      <c r="F28" s="13">
        <f t="shared" si="7"/>
        <v>105</v>
      </c>
      <c r="G28" s="13">
        <f t="shared" si="7"/>
        <v>113</v>
      </c>
      <c r="H28" s="13">
        <f t="shared" si="7"/>
        <v>103</v>
      </c>
      <c r="I28" s="13">
        <f t="shared" si="7"/>
        <v>109</v>
      </c>
      <c r="J28" s="13">
        <f t="shared" si="7"/>
        <v>87</v>
      </c>
      <c r="K28" s="13">
        <f t="shared" si="7"/>
        <v>108</v>
      </c>
      <c r="L28" s="13">
        <f t="shared" si="7"/>
        <v>106</v>
      </c>
      <c r="M28" s="13">
        <f t="shared" si="7"/>
        <v>101</v>
      </c>
      <c r="N28" s="13">
        <f t="shared" si="7"/>
        <v>111</v>
      </c>
      <c r="O28" s="13">
        <f t="shared" si="7"/>
        <v>105</v>
      </c>
      <c r="P28" s="13">
        <f t="shared" si="7"/>
        <v>117</v>
      </c>
      <c r="Q28" s="13">
        <f t="shared" si="7"/>
        <v>107</v>
      </c>
      <c r="R28" s="13">
        <f t="shared" si="7"/>
        <v>83</v>
      </c>
      <c r="S28" s="13">
        <f t="shared" si="7"/>
        <v>121</v>
      </c>
      <c r="T28" s="13">
        <f t="shared" si="7"/>
        <v>116</v>
      </c>
      <c r="U28" s="13">
        <f t="shared" si="7"/>
        <v>104</v>
      </c>
      <c r="V28" s="13">
        <f t="shared" si="7"/>
        <v>107</v>
      </c>
      <c r="W28" s="13">
        <f t="shared" si="7"/>
        <v>116</v>
      </c>
      <c r="X28" s="13">
        <f t="shared" si="7"/>
        <v>115</v>
      </c>
      <c r="Y28" s="13">
        <f t="shared" si="7"/>
        <v>90</v>
      </c>
      <c r="Z28" s="13">
        <f t="shared" si="7"/>
        <v>95</v>
      </c>
      <c r="AA28" s="13">
        <f t="shared" si="7"/>
        <v>97</v>
      </c>
      <c r="AB28" s="13">
        <f t="shared" si="7"/>
        <v>95</v>
      </c>
      <c r="AC28" s="13">
        <f t="shared" si="7"/>
        <v>99</v>
      </c>
      <c r="AD28" s="13">
        <f t="shared" si="7"/>
        <v>94</v>
      </c>
      <c r="AE28" s="13">
        <f t="shared" si="7"/>
        <v>93</v>
      </c>
      <c r="AF28" s="13">
        <f t="shared" si="3"/>
        <v>2805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111</v>
      </c>
      <c r="F29" s="13">
        <f t="shared" si="8"/>
        <v>109</v>
      </c>
      <c r="G29" s="13">
        <f t="shared" si="8"/>
        <v>111</v>
      </c>
      <c r="H29" s="13">
        <f t="shared" si="8"/>
        <v>117</v>
      </c>
      <c r="I29" s="13">
        <f t="shared" si="8"/>
        <v>104</v>
      </c>
      <c r="J29" s="13">
        <f t="shared" si="8"/>
        <v>100</v>
      </c>
      <c r="K29" s="13">
        <f t="shared" si="8"/>
        <v>104</v>
      </c>
      <c r="L29" s="13">
        <f t="shared" si="8"/>
        <v>111</v>
      </c>
      <c r="M29" s="13">
        <f t="shared" si="8"/>
        <v>119</v>
      </c>
      <c r="N29" s="13">
        <f t="shared" si="8"/>
        <v>114</v>
      </c>
      <c r="O29" s="13">
        <f t="shared" si="8"/>
        <v>109</v>
      </c>
      <c r="P29" s="13">
        <f t="shared" si="8"/>
        <v>102</v>
      </c>
      <c r="Q29" s="13">
        <f t="shared" si="8"/>
        <v>111</v>
      </c>
      <c r="R29" s="13">
        <f t="shared" si="8"/>
        <v>99</v>
      </c>
      <c r="S29" s="13">
        <f t="shared" si="8"/>
        <v>116</v>
      </c>
      <c r="T29" s="13">
        <f t="shared" si="8"/>
        <v>115</v>
      </c>
      <c r="U29" s="13">
        <f t="shared" si="8"/>
        <v>108</v>
      </c>
      <c r="V29" s="13">
        <f t="shared" si="8"/>
        <v>108</v>
      </c>
      <c r="W29" s="13">
        <f t="shared" si="8"/>
        <v>100</v>
      </c>
      <c r="X29" s="13">
        <f t="shared" si="8"/>
        <v>116</v>
      </c>
      <c r="Y29" s="13">
        <f t="shared" si="8"/>
        <v>104</v>
      </c>
      <c r="Z29" s="13">
        <f t="shared" si="8"/>
        <v>97</v>
      </c>
      <c r="AA29" s="13">
        <f t="shared" si="8"/>
        <v>96</v>
      </c>
      <c r="AB29" s="13">
        <f t="shared" si="8"/>
        <v>97</v>
      </c>
      <c r="AC29" s="13">
        <f t="shared" si="8"/>
        <v>97</v>
      </c>
      <c r="AD29" s="13">
        <f t="shared" si="8"/>
        <v>92</v>
      </c>
      <c r="AE29" s="13">
        <f t="shared" si="8"/>
        <v>98</v>
      </c>
      <c r="AF29" s="13">
        <f t="shared" si="3"/>
        <v>2865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219</v>
      </c>
      <c r="F30" s="13">
        <f t="shared" si="9"/>
        <v>214</v>
      </c>
      <c r="G30" s="13">
        <f t="shared" si="9"/>
        <v>224</v>
      </c>
      <c r="H30" s="13">
        <f t="shared" si="9"/>
        <v>220</v>
      </c>
      <c r="I30" s="13">
        <f t="shared" si="9"/>
        <v>213</v>
      </c>
      <c r="J30" s="13">
        <f t="shared" si="9"/>
        <v>187</v>
      </c>
      <c r="K30" s="13">
        <f t="shared" si="9"/>
        <v>212</v>
      </c>
      <c r="L30" s="13">
        <f t="shared" si="9"/>
        <v>217</v>
      </c>
      <c r="M30" s="13">
        <f t="shared" si="9"/>
        <v>220</v>
      </c>
      <c r="N30" s="13">
        <f t="shared" si="9"/>
        <v>225</v>
      </c>
      <c r="O30" s="13">
        <f t="shared" si="9"/>
        <v>214</v>
      </c>
      <c r="P30" s="13">
        <f t="shared" si="9"/>
        <v>219</v>
      </c>
      <c r="Q30" s="13">
        <f t="shared" si="9"/>
        <v>218</v>
      </c>
      <c r="R30" s="13">
        <f t="shared" si="9"/>
        <v>182</v>
      </c>
      <c r="S30" s="13">
        <f t="shared" si="9"/>
        <v>237</v>
      </c>
      <c r="T30" s="13">
        <f t="shared" si="9"/>
        <v>231</v>
      </c>
      <c r="U30" s="13">
        <f t="shared" si="9"/>
        <v>212</v>
      </c>
      <c r="V30" s="13">
        <f t="shared" si="9"/>
        <v>215</v>
      </c>
      <c r="W30" s="13">
        <f t="shared" si="9"/>
        <v>216</v>
      </c>
      <c r="X30" s="13">
        <f t="shared" si="9"/>
        <v>231</v>
      </c>
      <c r="Y30" s="13">
        <f t="shared" si="9"/>
        <v>194</v>
      </c>
      <c r="Z30" s="13">
        <f t="shared" si="9"/>
        <v>192</v>
      </c>
      <c r="AA30" s="13">
        <f t="shared" si="9"/>
        <v>193</v>
      </c>
      <c r="AB30" s="13">
        <f t="shared" si="9"/>
        <v>192</v>
      </c>
      <c r="AC30" s="13">
        <f t="shared" si="9"/>
        <v>196</v>
      </c>
      <c r="AD30" s="13">
        <f t="shared" si="9"/>
        <v>186</v>
      </c>
      <c r="AE30" s="13">
        <f t="shared" si="9"/>
        <v>191</v>
      </c>
      <c r="AF30" s="13">
        <f t="shared" si="3"/>
        <v>5670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74"/>
      <c r="S31" s="19"/>
      <c r="T31" s="19"/>
      <c r="U31" s="19"/>
      <c r="V31" s="19"/>
      <c r="W31" s="19"/>
      <c r="X31" s="19"/>
      <c r="Y31" s="19"/>
      <c r="Z31" s="19"/>
      <c r="AA31" s="74"/>
      <c r="AB31" s="19"/>
      <c r="AC31" s="19"/>
      <c r="AD31" s="19"/>
      <c r="AE31" s="74"/>
      <c r="AF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76"/>
      <c r="S32" s="13"/>
      <c r="T32" s="13"/>
      <c r="U32" s="13"/>
      <c r="V32" s="13"/>
      <c r="W32" s="13"/>
      <c r="X32" s="13"/>
      <c r="Y32" s="13"/>
      <c r="Z32" s="13"/>
      <c r="AA32" s="76"/>
      <c r="AB32" s="13"/>
      <c r="AC32" s="13"/>
      <c r="AD32" s="13"/>
      <c r="AE32" s="76"/>
      <c r="AF32" s="75"/>
    </row>
    <row r="33" ht="12.75" customHeight="1">
      <c r="A33" s="19">
        <v>1.0</v>
      </c>
      <c r="B33" s="20" t="s">
        <v>27</v>
      </c>
      <c r="C33" s="15"/>
      <c r="D33" s="16"/>
      <c r="E33" s="73">
        <v>274.0</v>
      </c>
      <c r="F33" s="73">
        <v>296.0</v>
      </c>
      <c r="G33" s="73">
        <v>295.0</v>
      </c>
      <c r="H33" s="73">
        <v>282.0</v>
      </c>
      <c r="I33" s="73">
        <v>274.0</v>
      </c>
      <c r="J33" s="73">
        <v>270.0</v>
      </c>
      <c r="K33" s="73">
        <v>292.0</v>
      </c>
      <c r="L33" s="73">
        <v>298.0</v>
      </c>
      <c r="M33" s="73">
        <v>284.0</v>
      </c>
      <c r="N33" s="73">
        <v>292.0</v>
      </c>
      <c r="O33" s="73">
        <v>289.0</v>
      </c>
      <c r="P33" s="73">
        <v>280.0</v>
      </c>
      <c r="Q33" s="73">
        <v>289.0</v>
      </c>
      <c r="R33" s="73">
        <v>259.0</v>
      </c>
      <c r="S33" s="73">
        <v>285.0</v>
      </c>
      <c r="T33" s="73">
        <v>297.0</v>
      </c>
      <c r="U33" s="73">
        <v>288.0</v>
      </c>
      <c r="V33" s="73">
        <v>292.0</v>
      </c>
      <c r="W33" s="73">
        <v>293.0</v>
      </c>
      <c r="X33" s="73">
        <v>282.0</v>
      </c>
      <c r="Y33" s="73">
        <v>263.0</v>
      </c>
      <c r="Z33" s="73">
        <v>231.0</v>
      </c>
      <c r="AA33" s="73">
        <v>243.0</v>
      </c>
      <c r="AB33" s="73">
        <v>241.0</v>
      </c>
      <c r="AC33" s="73">
        <v>250.0</v>
      </c>
      <c r="AD33" s="73">
        <v>239.0</v>
      </c>
      <c r="AE33" s="73">
        <v>244.0</v>
      </c>
      <c r="AF33" s="13">
        <f t="shared" ref="AF33:AF36" si="10">SUM(E33:AE33)</f>
        <v>7422</v>
      </c>
    </row>
    <row r="34" ht="12.75" customHeight="1">
      <c r="A34" s="19">
        <v>2.0</v>
      </c>
      <c r="B34" s="20" t="s">
        <v>28</v>
      </c>
      <c r="C34" s="15"/>
      <c r="D34" s="16"/>
      <c r="E34" s="77">
        <v>219.0</v>
      </c>
      <c r="F34" s="77">
        <v>214.0</v>
      </c>
      <c r="G34" s="77">
        <v>224.0</v>
      </c>
      <c r="H34" s="77">
        <v>220.0</v>
      </c>
      <c r="I34" s="77">
        <v>213.0</v>
      </c>
      <c r="J34" s="77">
        <v>187.0</v>
      </c>
      <c r="K34" s="77">
        <v>212.0</v>
      </c>
      <c r="L34" s="77">
        <v>217.0</v>
      </c>
      <c r="M34" s="77">
        <v>220.0</v>
      </c>
      <c r="N34" s="77">
        <v>225.0</v>
      </c>
      <c r="O34" s="77">
        <v>214.0</v>
      </c>
      <c r="P34" s="77">
        <v>219.0</v>
      </c>
      <c r="Q34" s="77">
        <v>218.0</v>
      </c>
      <c r="R34" s="77">
        <v>182.0</v>
      </c>
      <c r="S34" s="77">
        <v>237.0</v>
      </c>
      <c r="T34" s="77">
        <v>231.0</v>
      </c>
      <c r="U34" s="77">
        <v>212.0</v>
      </c>
      <c r="V34" s="77">
        <v>215.0</v>
      </c>
      <c r="W34" s="77">
        <v>216.0</v>
      </c>
      <c r="X34" s="77">
        <v>231.0</v>
      </c>
      <c r="Y34" s="77">
        <v>194.0</v>
      </c>
      <c r="Z34" s="77">
        <v>192.0</v>
      </c>
      <c r="AA34" s="77">
        <v>193.0</v>
      </c>
      <c r="AB34" s="77">
        <v>192.0</v>
      </c>
      <c r="AC34" s="77">
        <v>196.0</v>
      </c>
      <c r="AD34" s="77">
        <v>186.0</v>
      </c>
      <c r="AE34" s="77">
        <v>191.0</v>
      </c>
      <c r="AF34" s="13">
        <f t="shared" si="10"/>
        <v>5670</v>
      </c>
    </row>
    <row r="35" ht="12.75" customHeight="1">
      <c r="A35" s="19">
        <v>3.0</v>
      </c>
      <c r="B35" s="20" t="s">
        <v>29</v>
      </c>
      <c r="C35" s="15"/>
      <c r="D35" s="16"/>
      <c r="E35" s="73">
        <v>3.0</v>
      </c>
      <c r="F35" s="73">
        <v>1.0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1.0</v>
      </c>
      <c r="U35" s="73">
        <v>0.0</v>
      </c>
      <c r="V35" s="73">
        <v>0.0</v>
      </c>
      <c r="W35" s="73">
        <v>0.0</v>
      </c>
      <c r="X35" s="73">
        <v>2.0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52</v>
      </c>
      <c r="F36" s="13">
        <f t="shared" si="11"/>
        <v>81</v>
      </c>
      <c r="G36" s="13">
        <f t="shared" si="11"/>
        <v>71</v>
      </c>
      <c r="H36" s="13">
        <f t="shared" si="11"/>
        <v>62</v>
      </c>
      <c r="I36" s="13">
        <f t="shared" si="11"/>
        <v>61</v>
      </c>
      <c r="J36" s="13">
        <f t="shared" si="11"/>
        <v>83</v>
      </c>
      <c r="K36" s="13">
        <f t="shared" si="11"/>
        <v>80</v>
      </c>
      <c r="L36" s="13">
        <f t="shared" si="11"/>
        <v>81</v>
      </c>
      <c r="M36" s="13">
        <f t="shared" si="11"/>
        <v>63</v>
      </c>
      <c r="N36" s="13">
        <f t="shared" si="11"/>
        <v>67</v>
      </c>
      <c r="O36" s="13">
        <f t="shared" si="11"/>
        <v>75</v>
      </c>
      <c r="P36" s="13">
        <f t="shared" si="11"/>
        <v>61</v>
      </c>
      <c r="Q36" s="13">
        <f t="shared" si="11"/>
        <v>71</v>
      </c>
      <c r="R36" s="13">
        <f t="shared" si="11"/>
        <v>77</v>
      </c>
      <c r="S36" s="13">
        <f t="shared" si="11"/>
        <v>48</v>
      </c>
      <c r="T36" s="13">
        <f t="shared" si="11"/>
        <v>65</v>
      </c>
      <c r="U36" s="13">
        <f t="shared" si="11"/>
        <v>76</v>
      </c>
      <c r="V36" s="13">
        <f t="shared" si="11"/>
        <v>77</v>
      </c>
      <c r="W36" s="13">
        <f t="shared" si="11"/>
        <v>77</v>
      </c>
      <c r="X36" s="13">
        <f t="shared" si="11"/>
        <v>49</v>
      </c>
      <c r="Y36" s="13">
        <f t="shared" si="11"/>
        <v>69</v>
      </c>
      <c r="Z36" s="13">
        <f t="shared" si="11"/>
        <v>39</v>
      </c>
      <c r="AA36" s="13">
        <f t="shared" si="11"/>
        <v>50</v>
      </c>
      <c r="AB36" s="13">
        <f t="shared" si="11"/>
        <v>49</v>
      </c>
      <c r="AC36" s="13">
        <f t="shared" si="11"/>
        <v>54</v>
      </c>
      <c r="AD36" s="13">
        <f t="shared" si="11"/>
        <v>53</v>
      </c>
      <c r="AE36" s="13">
        <f t="shared" si="11"/>
        <v>53</v>
      </c>
      <c r="AF36" s="13">
        <f t="shared" si="10"/>
        <v>1744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74"/>
      <c r="AB37" s="19"/>
      <c r="AC37" s="19"/>
      <c r="AD37" s="19"/>
      <c r="AE37" s="74"/>
      <c r="AF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76"/>
      <c r="S38" s="13"/>
      <c r="T38" s="13"/>
      <c r="U38" s="13"/>
      <c r="V38" s="13"/>
      <c r="W38" s="13"/>
      <c r="X38" s="13"/>
      <c r="Y38" s="13"/>
      <c r="Z38" s="13"/>
      <c r="AA38" s="76"/>
      <c r="AB38" s="13"/>
      <c r="AC38" s="13"/>
      <c r="AD38" s="13"/>
      <c r="AE38" s="76"/>
      <c r="AF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73">
        <v>0.0</v>
      </c>
      <c r="F40" s="73">
        <v>1.0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1.0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74"/>
      <c r="AB42" s="19"/>
      <c r="AC42" s="19"/>
      <c r="AD42" s="19"/>
      <c r="AE42" s="74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76"/>
      <c r="S43" s="13"/>
      <c r="T43" s="13"/>
      <c r="U43" s="13"/>
      <c r="V43" s="13"/>
      <c r="W43" s="13"/>
      <c r="X43" s="13"/>
      <c r="Y43" s="13"/>
      <c r="Z43" s="13"/>
      <c r="AA43" s="76"/>
      <c r="AB43" s="13"/>
      <c r="AC43" s="13"/>
      <c r="AD43" s="13"/>
      <c r="AE43" s="76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74"/>
      <c r="S44" s="19"/>
      <c r="T44" s="19"/>
      <c r="U44" s="19"/>
      <c r="V44" s="19"/>
      <c r="W44" s="19"/>
      <c r="X44" s="19"/>
      <c r="Y44" s="19"/>
      <c r="Z44" s="19"/>
      <c r="AA44" s="74"/>
      <c r="AB44" s="19"/>
      <c r="AC44" s="19"/>
      <c r="AD44" s="19"/>
      <c r="AE44" s="74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3.0</v>
      </c>
      <c r="F45" s="73">
        <v>5.0</v>
      </c>
      <c r="G45" s="73">
        <v>10.0</v>
      </c>
      <c r="H45" s="73">
        <v>3.0</v>
      </c>
      <c r="I45" s="73">
        <v>2.0</v>
      </c>
      <c r="J45" s="73">
        <v>2.0</v>
      </c>
      <c r="K45" s="73">
        <v>3.0</v>
      </c>
      <c r="L45" s="73">
        <v>2.0</v>
      </c>
      <c r="M45" s="73">
        <v>5.0</v>
      </c>
      <c r="N45" s="73">
        <v>14.0</v>
      </c>
      <c r="O45" s="73">
        <v>7.0</v>
      </c>
      <c r="P45" s="73">
        <v>10.0</v>
      </c>
      <c r="Q45" s="73">
        <v>11.0</v>
      </c>
      <c r="R45" s="73">
        <v>12.0</v>
      </c>
      <c r="S45" s="73">
        <v>5.0</v>
      </c>
      <c r="T45" s="73">
        <v>4.0</v>
      </c>
      <c r="U45" s="73">
        <v>7.0</v>
      </c>
      <c r="V45" s="73">
        <v>6.0</v>
      </c>
      <c r="W45" s="73">
        <v>3.0</v>
      </c>
      <c r="X45" s="73">
        <v>7.0</v>
      </c>
      <c r="Y45" s="73">
        <v>2.0</v>
      </c>
      <c r="Z45" s="73">
        <v>6.0</v>
      </c>
      <c r="AA45" s="73">
        <v>3.0</v>
      </c>
      <c r="AB45" s="73">
        <v>4.0</v>
      </c>
      <c r="AC45" s="73">
        <v>9.0</v>
      </c>
      <c r="AD45" s="73">
        <v>6.0</v>
      </c>
      <c r="AE45" s="73">
        <v>4.0</v>
      </c>
      <c r="AF45" s="13">
        <f t="shared" ref="AF45:AF54" si="14">SUM(E45:AE45)</f>
        <v>155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5.0</v>
      </c>
      <c r="F46" s="73">
        <v>4.0</v>
      </c>
      <c r="G46" s="73">
        <v>3.0</v>
      </c>
      <c r="H46" s="73">
        <v>7.0</v>
      </c>
      <c r="I46" s="73">
        <v>2.0</v>
      </c>
      <c r="J46" s="73">
        <v>4.0</v>
      </c>
      <c r="K46" s="73">
        <v>6.0</v>
      </c>
      <c r="L46" s="73">
        <v>3.0</v>
      </c>
      <c r="M46" s="73">
        <v>4.0</v>
      </c>
      <c r="N46" s="73">
        <v>9.0</v>
      </c>
      <c r="O46" s="73">
        <v>9.0</v>
      </c>
      <c r="P46" s="73">
        <v>11.0</v>
      </c>
      <c r="Q46" s="73">
        <v>7.0</v>
      </c>
      <c r="R46" s="73">
        <v>4.0</v>
      </c>
      <c r="S46" s="73">
        <v>10.0</v>
      </c>
      <c r="T46" s="73">
        <v>8.0</v>
      </c>
      <c r="U46" s="73">
        <v>2.0</v>
      </c>
      <c r="V46" s="73">
        <v>10.0</v>
      </c>
      <c r="W46" s="73">
        <v>5.0</v>
      </c>
      <c r="X46" s="73">
        <v>12.0</v>
      </c>
      <c r="Y46" s="73">
        <v>10.0</v>
      </c>
      <c r="Z46" s="73">
        <v>6.0</v>
      </c>
      <c r="AA46" s="73">
        <v>7.0</v>
      </c>
      <c r="AB46" s="73">
        <v>16.0</v>
      </c>
      <c r="AC46" s="73">
        <v>23.0</v>
      </c>
      <c r="AD46" s="73">
        <v>11.0</v>
      </c>
      <c r="AE46" s="73">
        <v>5.0</v>
      </c>
      <c r="AF46" s="13">
        <f t="shared" si="14"/>
        <v>203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2.0</v>
      </c>
      <c r="G47" s="73">
        <v>1.0</v>
      </c>
      <c r="H47" s="73">
        <v>1.0</v>
      </c>
      <c r="I47" s="73">
        <v>0.0</v>
      </c>
      <c r="J47" s="73">
        <v>3.0</v>
      </c>
      <c r="K47" s="73">
        <v>2.0</v>
      </c>
      <c r="L47" s="73">
        <v>0.0</v>
      </c>
      <c r="M47" s="73">
        <v>1.0</v>
      </c>
      <c r="N47" s="73">
        <v>7.0</v>
      </c>
      <c r="O47" s="73">
        <v>2.0</v>
      </c>
      <c r="P47" s="73">
        <v>1.0</v>
      </c>
      <c r="Q47" s="73">
        <v>1.0</v>
      </c>
      <c r="R47" s="73">
        <v>2.0</v>
      </c>
      <c r="S47" s="73">
        <v>5.0</v>
      </c>
      <c r="T47" s="73">
        <v>1.0</v>
      </c>
      <c r="U47" s="73">
        <v>0.0</v>
      </c>
      <c r="V47" s="73">
        <v>2.0</v>
      </c>
      <c r="W47" s="73">
        <v>2.0</v>
      </c>
      <c r="X47" s="73">
        <v>3.0</v>
      </c>
      <c r="Y47" s="73">
        <v>6.0</v>
      </c>
      <c r="Z47" s="73">
        <v>7.0</v>
      </c>
      <c r="AA47" s="73">
        <v>1.0</v>
      </c>
      <c r="AB47" s="73">
        <v>0.0</v>
      </c>
      <c r="AC47" s="73">
        <v>1.0</v>
      </c>
      <c r="AD47" s="73">
        <v>2.0</v>
      </c>
      <c r="AE47" s="73">
        <v>1.0</v>
      </c>
      <c r="AF47" s="13">
        <f t="shared" si="14"/>
        <v>55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2.0</v>
      </c>
      <c r="H48" s="73">
        <v>1.0</v>
      </c>
      <c r="I48" s="73">
        <v>1.0</v>
      </c>
      <c r="J48" s="73">
        <v>1.0</v>
      </c>
      <c r="K48" s="73">
        <v>0.0</v>
      </c>
      <c r="L48" s="73">
        <v>0.0</v>
      </c>
      <c r="M48" s="73">
        <v>0.0</v>
      </c>
      <c r="N48" s="73">
        <v>2.0</v>
      </c>
      <c r="O48" s="73">
        <v>2.0</v>
      </c>
      <c r="P48" s="73">
        <v>1.0</v>
      </c>
      <c r="Q48" s="73">
        <v>1.0</v>
      </c>
      <c r="R48" s="73">
        <v>0.0</v>
      </c>
      <c r="S48" s="73">
        <v>0.0</v>
      </c>
      <c r="T48" s="73">
        <v>0.0</v>
      </c>
      <c r="U48" s="73">
        <v>0.0</v>
      </c>
      <c r="V48" s="73">
        <v>1.0</v>
      </c>
      <c r="W48" s="73">
        <v>0.0</v>
      </c>
      <c r="X48" s="73">
        <v>1.0</v>
      </c>
      <c r="Y48" s="73">
        <v>0.0</v>
      </c>
      <c r="Z48" s="73">
        <v>0.0</v>
      </c>
      <c r="AA48" s="73">
        <v>0.0</v>
      </c>
      <c r="AB48" s="73">
        <v>1.0</v>
      </c>
      <c r="AC48" s="73">
        <v>0.0</v>
      </c>
      <c r="AD48" s="73">
        <v>0.0</v>
      </c>
      <c r="AE48" s="73">
        <v>0.0</v>
      </c>
      <c r="AF48" s="13">
        <f t="shared" si="14"/>
        <v>15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1.0</v>
      </c>
      <c r="H49" s="73">
        <v>1.0</v>
      </c>
      <c r="I49" s="73">
        <v>2.0</v>
      </c>
      <c r="J49" s="73">
        <v>1.0</v>
      </c>
      <c r="K49" s="73">
        <v>2.0</v>
      </c>
      <c r="L49" s="73">
        <v>2.0</v>
      </c>
      <c r="M49" s="73">
        <v>0.0</v>
      </c>
      <c r="N49" s="73">
        <v>1.0</v>
      </c>
      <c r="O49" s="73">
        <v>2.0</v>
      </c>
      <c r="P49" s="73">
        <v>1.0</v>
      </c>
      <c r="Q49" s="73">
        <v>2.0</v>
      </c>
      <c r="R49" s="73">
        <v>1.0</v>
      </c>
      <c r="S49" s="73">
        <v>2.0</v>
      </c>
      <c r="T49" s="73">
        <v>0.0</v>
      </c>
      <c r="U49" s="73">
        <v>2.0</v>
      </c>
      <c r="V49" s="73">
        <v>3.0</v>
      </c>
      <c r="W49" s="73">
        <v>1.0</v>
      </c>
      <c r="X49" s="73">
        <v>1.0</v>
      </c>
      <c r="Y49" s="73">
        <v>1.0</v>
      </c>
      <c r="Z49" s="73">
        <v>2.0</v>
      </c>
      <c r="AA49" s="73">
        <v>1.0</v>
      </c>
      <c r="AB49" s="73">
        <v>3.0</v>
      </c>
      <c r="AC49" s="73">
        <v>2.0</v>
      </c>
      <c r="AD49" s="73">
        <v>0.0</v>
      </c>
      <c r="AE49" s="73">
        <v>1.0</v>
      </c>
      <c r="AF49" s="13">
        <f t="shared" si="14"/>
        <v>35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2.0</v>
      </c>
      <c r="G50" s="73">
        <v>0.0</v>
      </c>
      <c r="H50" s="73">
        <v>1.0</v>
      </c>
      <c r="I50" s="73">
        <v>0.0</v>
      </c>
      <c r="J50" s="73">
        <v>0.0</v>
      </c>
      <c r="K50" s="73">
        <v>1.0</v>
      </c>
      <c r="L50" s="73">
        <v>0.0</v>
      </c>
      <c r="M50" s="73">
        <v>0.0</v>
      </c>
      <c r="N50" s="73">
        <v>0.0</v>
      </c>
      <c r="O50" s="73">
        <v>1.0</v>
      </c>
      <c r="P50" s="73">
        <v>0.0</v>
      </c>
      <c r="Q50" s="73">
        <v>1.0</v>
      </c>
      <c r="R50" s="73">
        <v>0.0</v>
      </c>
      <c r="S50" s="73">
        <v>2.0</v>
      </c>
      <c r="T50" s="73">
        <v>2.0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13">
        <f t="shared" si="14"/>
        <v>11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1.0</v>
      </c>
      <c r="H51" s="73">
        <v>0.0</v>
      </c>
      <c r="I51" s="73">
        <v>1.0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1.0</v>
      </c>
      <c r="Q51" s="73">
        <v>0.0</v>
      </c>
      <c r="R51" s="73">
        <v>0.0</v>
      </c>
      <c r="S51" s="73">
        <v>0.0</v>
      </c>
      <c r="T51" s="73">
        <v>1.0</v>
      </c>
      <c r="U51" s="73">
        <v>0.0</v>
      </c>
      <c r="V51" s="73">
        <v>1.0</v>
      </c>
      <c r="W51" s="73">
        <v>0.0</v>
      </c>
      <c r="X51" s="73">
        <v>0.0</v>
      </c>
      <c r="Y51" s="73">
        <v>1.0</v>
      </c>
      <c r="Z51" s="73">
        <v>0.0</v>
      </c>
      <c r="AA51" s="73">
        <v>0.0</v>
      </c>
      <c r="AB51" s="73">
        <v>1.0</v>
      </c>
      <c r="AC51" s="73">
        <v>0.0</v>
      </c>
      <c r="AD51" s="73">
        <v>1.0</v>
      </c>
      <c r="AE51" s="73">
        <v>0.0</v>
      </c>
      <c r="AF51" s="13">
        <f t="shared" si="14"/>
        <v>10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0.0</v>
      </c>
      <c r="I52" s="73">
        <v>0.0</v>
      </c>
      <c r="J52" s="73">
        <v>1.0</v>
      </c>
      <c r="K52" s="73">
        <v>0.0</v>
      </c>
      <c r="L52" s="73">
        <v>0.0</v>
      </c>
      <c r="M52" s="73">
        <v>0.0</v>
      </c>
      <c r="N52" s="73">
        <v>0.0</v>
      </c>
      <c r="O52" s="73">
        <v>2.0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1.0</v>
      </c>
      <c r="V52" s="73">
        <v>1.0</v>
      </c>
      <c r="W52" s="73">
        <v>0.0</v>
      </c>
      <c r="X52" s="73">
        <v>0.0</v>
      </c>
      <c r="Y52" s="73">
        <v>1.0</v>
      </c>
      <c r="Z52" s="73">
        <v>0.0</v>
      </c>
      <c r="AA52" s="73">
        <v>1.0</v>
      </c>
      <c r="AB52" s="73">
        <v>0.0</v>
      </c>
      <c r="AC52" s="73">
        <v>2.0</v>
      </c>
      <c r="AD52" s="73">
        <v>1.0</v>
      </c>
      <c r="AE52" s="73">
        <v>0.0</v>
      </c>
      <c r="AF52" s="13">
        <f t="shared" si="14"/>
        <v>10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1.0</v>
      </c>
      <c r="M53" s="73">
        <v>0.0</v>
      </c>
      <c r="N53" s="73">
        <v>0.0</v>
      </c>
      <c r="O53" s="73">
        <v>0.0</v>
      </c>
      <c r="P53" s="73">
        <v>0.0</v>
      </c>
      <c r="Q53" s="73">
        <v>1.0</v>
      </c>
      <c r="R53" s="73">
        <v>0.0</v>
      </c>
      <c r="S53" s="73">
        <v>2.0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1.0</v>
      </c>
      <c r="AB53" s="73">
        <v>1.0</v>
      </c>
      <c r="AC53" s="73">
        <v>0.0</v>
      </c>
      <c r="AD53" s="73">
        <v>0.0</v>
      </c>
      <c r="AE53" s="73">
        <v>0.0</v>
      </c>
      <c r="AF53" s="13">
        <f t="shared" si="14"/>
        <v>6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1.0</v>
      </c>
      <c r="G54" s="73">
        <v>0.0</v>
      </c>
      <c r="H54" s="73">
        <v>0.0</v>
      </c>
      <c r="I54" s="73">
        <v>1.0</v>
      </c>
      <c r="J54" s="73">
        <v>1.0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1.0</v>
      </c>
      <c r="T54" s="73">
        <v>0.0</v>
      </c>
      <c r="U54" s="73">
        <v>0.0</v>
      </c>
      <c r="V54" s="73">
        <v>1.0</v>
      </c>
      <c r="W54" s="73">
        <v>1.0</v>
      </c>
      <c r="X54" s="73">
        <v>0.0</v>
      </c>
      <c r="Y54" s="73">
        <v>0.0</v>
      </c>
      <c r="Z54" s="73">
        <v>2.0</v>
      </c>
      <c r="AA54" s="73">
        <v>0.0</v>
      </c>
      <c r="AB54" s="73">
        <v>1.0</v>
      </c>
      <c r="AC54" s="73">
        <v>0.0</v>
      </c>
      <c r="AD54" s="73">
        <v>0.0</v>
      </c>
      <c r="AE54" s="73">
        <v>0.0</v>
      </c>
      <c r="AF54" s="13">
        <f t="shared" si="14"/>
        <v>9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F55" si="15">SUM(E45:E54)</f>
        <v>10</v>
      </c>
      <c r="F55" s="13">
        <f t="shared" si="15"/>
        <v>16</v>
      </c>
      <c r="G55" s="13">
        <f t="shared" si="15"/>
        <v>18</v>
      </c>
      <c r="H55" s="13">
        <f t="shared" si="15"/>
        <v>14</v>
      </c>
      <c r="I55" s="13">
        <f t="shared" si="15"/>
        <v>9</v>
      </c>
      <c r="J55" s="13">
        <f t="shared" si="15"/>
        <v>14</v>
      </c>
      <c r="K55" s="13">
        <f t="shared" si="15"/>
        <v>14</v>
      </c>
      <c r="L55" s="13">
        <f t="shared" si="15"/>
        <v>8</v>
      </c>
      <c r="M55" s="13">
        <f t="shared" si="15"/>
        <v>10</v>
      </c>
      <c r="N55" s="13">
        <f t="shared" si="15"/>
        <v>33</v>
      </c>
      <c r="O55" s="13">
        <f t="shared" si="15"/>
        <v>25</v>
      </c>
      <c r="P55" s="13">
        <f t="shared" si="15"/>
        <v>25</v>
      </c>
      <c r="Q55" s="13">
        <f t="shared" si="15"/>
        <v>24</v>
      </c>
      <c r="R55" s="13">
        <f t="shared" si="15"/>
        <v>19</v>
      </c>
      <c r="S55" s="13">
        <f t="shared" si="15"/>
        <v>27</v>
      </c>
      <c r="T55" s="13">
        <f t="shared" si="15"/>
        <v>16</v>
      </c>
      <c r="U55" s="13">
        <f t="shared" si="15"/>
        <v>12</v>
      </c>
      <c r="V55" s="13">
        <f t="shared" si="15"/>
        <v>25</v>
      </c>
      <c r="W55" s="13">
        <f t="shared" si="15"/>
        <v>12</v>
      </c>
      <c r="X55" s="13">
        <f t="shared" si="15"/>
        <v>24</v>
      </c>
      <c r="Y55" s="13">
        <f t="shared" si="15"/>
        <v>21</v>
      </c>
      <c r="Z55" s="13">
        <f t="shared" si="15"/>
        <v>23</v>
      </c>
      <c r="AA55" s="13">
        <f t="shared" si="15"/>
        <v>14</v>
      </c>
      <c r="AB55" s="13">
        <f t="shared" si="15"/>
        <v>27</v>
      </c>
      <c r="AC55" s="13">
        <f t="shared" si="15"/>
        <v>37</v>
      </c>
      <c r="AD55" s="13">
        <f t="shared" si="15"/>
        <v>21</v>
      </c>
      <c r="AE55" s="13">
        <f t="shared" si="15"/>
        <v>11</v>
      </c>
      <c r="AF55" s="13">
        <f t="shared" si="15"/>
        <v>509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4.0</v>
      </c>
      <c r="F57" s="73">
        <v>6.0</v>
      </c>
      <c r="G57" s="73">
        <v>10.0</v>
      </c>
      <c r="H57" s="73">
        <v>11.0</v>
      </c>
      <c r="I57" s="73">
        <v>3.0</v>
      </c>
      <c r="J57" s="73">
        <v>2.0</v>
      </c>
      <c r="K57" s="73">
        <v>12.0</v>
      </c>
      <c r="L57" s="73">
        <v>10.0</v>
      </c>
      <c r="M57" s="73">
        <v>6.0</v>
      </c>
      <c r="N57" s="73">
        <v>4.0</v>
      </c>
      <c r="O57" s="73">
        <v>6.0</v>
      </c>
      <c r="P57" s="73">
        <v>7.0</v>
      </c>
      <c r="Q57" s="73">
        <v>8.0</v>
      </c>
      <c r="R57" s="73">
        <v>10.0</v>
      </c>
      <c r="S57" s="73">
        <v>1.0</v>
      </c>
      <c r="T57" s="73">
        <v>2.0</v>
      </c>
      <c r="U57" s="73">
        <v>5.0</v>
      </c>
      <c r="V57" s="73">
        <v>15.0</v>
      </c>
      <c r="W57" s="73">
        <v>2.0</v>
      </c>
      <c r="X57" s="73">
        <v>11.0</v>
      </c>
      <c r="Y57" s="73">
        <v>3.0</v>
      </c>
      <c r="Z57" s="73">
        <v>2.0</v>
      </c>
      <c r="AA57" s="73">
        <v>3.0</v>
      </c>
      <c r="AB57" s="73">
        <v>5.0</v>
      </c>
      <c r="AC57" s="73">
        <v>1.0</v>
      </c>
      <c r="AD57" s="73">
        <v>3.0</v>
      </c>
      <c r="AE57" s="73">
        <v>9.0</v>
      </c>
      <c r="AF57" s="13">
        <f t="shared" ref="AF57:AF66" si="16">SUM(E57:AE57)</f>
        <v>161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1.0</v>
      </c>
      <c r="F58" s="73">
        <v>1.0</v>
      </c>
      <c r="G58" s="73">
        <v>4.0</v>
      </c>
      <c r="H58" s="73">
        <v>41.0</v>
      </c>
      <c r="I58" s="73">
        <v>13.0</v>
      </c>
      <c r="J58" s="73">
        <v>3.0</v>
      </c>
      <c r="K58" s="73">
        <v>5.0</v>
      </c>
      <c r="L58" s="73">
        <v>6.0</v>
      </c>
      <c r="M58" s="73">
        <v>0.0</v>
      </c>
      <c r="N58" s="73">
        <v>4.0</v>
      </c>
      <c r="O58" s="73">
        <v>7.0</v>
      </c>
      <c r="P58" s="73">
        <v>6.0</v>
      </c>
      <c r="Q58" s="73">
        <v>6.0</v>
      </c>
      <c r="R58" s="73">
        <v>47.0</v>
      </c>
      <c r="S58" s="73">
        <v>3.0</v>
      </c>
      <c r="T58" s="73">
        <v>2.0</v>
      </c>
      <c r="U58" s="73">
        <v>6.0</v>
      </c>
      <c r="V58" s="73">
        <v>23.0</v>
      </c>
      <c r="W58" s="73">
        <v>4.0</v>
      </c>
      <c r="X58" s="73">
        <v>30.0</v>
      </c>
      <c r="Y58" s="73">
        <v>10.0</v>
      </c>
      <c r="Z58" s="73">
        <v>34.0</v>
      </c>
      <c r="AA58" s="73">
        <v>8.0</v>
      </c>
      <c r="AB58" s="73">
        <v>5.0</v>
      </c>
      <c r="AC58" s="73">
        <v>3.0</v>
      </c>
      <c r="AD58" s="73">
        <v>7.0</v>
      </c>
      <c r="AE58" s="73">
        <v>53.0</v>
      </c>
      <c r="AF58" s="13">
        <f t="shared" si="16"/>
        <v>332</v>
      </c>
    </row>
    <row r="59" ht="12.75" customHeight="1">
      <c r="A59" s="18"/>
      <c r="B59" s="49"/>
      <c r="C59" s="50" t="s">
        <v>52</v>
      </c>
      <c r="D59" s="51"/>
      <c r="E59" s="73">
        <v>0.0</v>
      </c>
      <c r="F59" s="73">
        <v>3.0</v>
      </c>
      <c r="G59" s="73">
        <v>0.0</v>
      </c>
      <c r="H59" s="73">
        <v>1.0</v>
      </c>
      <c r="I59" s="73">
        <v>0.0</v>
      </c>
      <c r="J59" s="73">
        <v>3.0</v>
      </c>
      <c r="K59" s="73">
        <v>5.0</v>
      </c>
      <c r="L59" s="73">
        <v>3.0</v>
      </c>
      <c r="M59" s="73">
        <v>2.0</v>
      </c>
      <c r="N59" s="73">
        <v>1.0</v>
      </c>
      <c r="O59" s="73">
        <v>5.0</v>
      </c>
      <c r="P59" s="73">
        <v>1.0</v>
      </c>
      <c r="Q59" s="73">
        <v>3.0</v>
      </c>
      <c r="R59" s="73">
        <v>2.0</v>
      </c>
      <c r="S59" s="73">
        <v>2.0</v>
      </c>
      <c r="T59" s="73">
        <v>5.0</v>
      </c>
      <c r="U59" s="73">
        <v>2.0</v>
      </c>
      <c r="V59" s="73">
        <v>0.0</v>
      </c>
      <c r="W59" s="73">
        <v>2.0</v>
      </c>
      <c r="X59" s="73">
        <v>7.0</v>
      </c>
      <c r="Y59" s="73">
        <v>5.0</v>
      </c>
      <c r="Z59" s="73">
        <v>1.0</v>
      </c>
      <c r="AA59" s="73">
        <v>2.0</v>
      </c>
      <c r="AB59" s="73">
        <v>9.0</v>
      </c>
      <c r="AC59" s="73">
        <v>3.0</v>
      </c>
      <c r="AD59" s="73">
        <v>2.0</v>
      </c>
      <c r="AE59" s="73">
        <v>3.0</v>
      </c>
      <c r="AF59" s="13">
        <f t="shared" si="16"/>
        <v>72</v>
      </c>
    </row>
    <row r="60" ht="12.75" customHeight="1">
      <c r="A60" s="18"/>
      <c r="B60" s="49"/>
      <c r="C60" s="50" t="s">
        <v>53</v>
      </c>
      <c r="D60" s="51"/>
      <c r="E60" s="73">
        <v>0.0</v>
      </c>
      <c r="F60" s="73">
        <v>1.0</v>
      </c>
      <c r="G60" s="73">
        <v>1.0</v>
      </c>
      <c r="H60" s="73">
        <v>2.0</v>
      </c>
      <c r="I60" s="73">
        <v>0.0</v>
      </c>
      <c r="J60" s="73">
        <v>2.0</v>
      </c>
      <c r="K60" s="73">
        <v>1.0</v>
      </c>
      <c r="L60" s="73">
        <v>0.0</v>
      </c>
      <c r="M60" s="73">
        <v>1.0</v>
      </c>
      <c r="N60" s="73">
        <v>1.0</v>
      </c>
      <c r="O60" s="73">
        <v>4.0</v>
      </c>
      <c r="P60" s="73">
        <v>2.0</v>
      </c>
      <c r="Q60" s="73">
        <v>1.0</v>
      </c>
      <c r="R60" s="73">
        <v>0.0</v>
      </c>
      <c r="S60" s="73">
        <v>2.0</v>
      </c>
      <c r="T60" s="73">
        <v>1.0</v>
      </c>
      <c r="U60" s="73">
        <v>0.0</v>
      </c>
      <c r="V60" s="73">
        <v>3.0</v>
      </c>
      <c r="W60" s="73">
        <v>0.0</v>
      </c>
      <c r="X60" s="73">
        <v>0.0</v>
      </c>
      <c r="Y60" s="73">
        <v>0.0</v>
      </c>
      <c r="Z60" s="73">
        <v>0.0</v>
      </c>
      <c r="AA60" s="73">
        <v>2.0</v>
      </c>
      <c r="AB60" s="73">
        <v>1.0</v>
      </c>
      <c r="AC60" s="73">
        <v>1.0</v>
      </c>
      <c r="AD60" s="73">
        <v>1.0</v>
      </c>
      <c r="AE60" s="73">
        <v>1.0</v>
      </c>
      <c r="AF60" s="13">
        <f t="shared" si="16"/>
        <v>28</v>
      </c>
    </row>
    <row r="61" ht="12.75" customHeight="1">
      <c r="A61" s="18"/>
      <c r="B61" s="49"/>
      <c r="C61" s="50" t="s">
        <v>54</v>
      </c>
      <c r="D61" s="51"/>
      <c r="E61" s="73">
        <v>0.0</v>
      </c>
      <c r="F61" s="73">
        <v>1.0</v>
      </c>
      <c r="G61" s="73">
        <v>0.0</v>
      </c>
      <c r="H61" s="73">
        <v>0.0</v>
      </c>
      <c r="I61" s="73">
        <v>0.0</v>
      </c>
      <c r="J61" s="73">
        <v>0.0</v>
      </c>
      <c r="K61" s="73">
        <v>0.0</v>
      </c>
      <c r="L61" s="73">
        <v>0.0</v>
      </c>
      <c r="M61" s="73">
        <v>1.0</v>
      </c>
      <c r="N61" s="73">
        <v>1.0</v>
      </c>
      <c r="O61" s="73">
        <v>2.0</v>
      </c>
      <c r="P61" s="73">
        <v>9.0</v>
      </c>
      <c r="Q61" s="73">
        <v>0.0</v>
      </c>
      <c r="R61" s="73">
        <v>1.0</v>
      </c>
      <c r="S61" s="73">
        <v>1.0</v>
      </c>
      <c r="T61" s="73">
        <v>1.0</v>
      </c>
      <c r="U61" s="73">
        <v>2.0</v>
      </c>
      <c r="V61" s="73">
        <v>1.0</v>
      </c>
      <c r="W61" s="73">
        <v>2.0</v>
      </c>
      <c r="X61" s="73">
        <v>0.0</v>
      </c>
      <c r="Y61" s="73">
        <v>0.0</v>
      </c>
      <c r="Z61" s="73">
        <v>1.0</v>
      </c>
      <c r="AA61" s="73">
        <v>6.0</v>
      </c>
      <c r="AB61" s="73">
        <v>11.0</v>
      </c>
      <c r="AC61" s="73">
        <v>11.0</v>
      </c>
      <c r="AD61" s="73">
        <v>1.0</v>
      </c>
      <c r="AE61" s="73">
        <v>0.0</v>
      </c>
      <c r="AF61" s="13">
        <f t="shared" si="16"/>
        <v>52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1.0</v>
      </c>
      <c r="K62" s="73">
        <v>1.0</v>
      </c>
      <c r="L62" s="73">
        <v>1.0</v>
      </c>
      <c r="M62" s="73">
        <v>1.0</v>
      </c>
      <c r="N62" s="73">
        <v>0.0</v>
      </c>
      <c r="O62" s="73">
        <v>0.0</v>
      </c>
      <c r="P62" s="73">
        <v>1.0</v>
      </c>
      <c r="Q62" s="73">
        <v>0.0</v>
      </c>
      <c r="R62" s="73">
        <v>0.0</v>
      </c>
      <c r="S62" s="73">
        <v>0.0</v>
      </c>
      <c r="T62" s="73">
        <v>1.0</v>
      </c>
      <c r="U62" s="73">
        <v>1.0</v>
      </c>
      <c r="V62" s="73">
        <v>2.0</v>
      </c>
      <c r="W62" s="73">
        <v>1.0</v>
      </c>
      <c r="X62" s="73">
        <v>0.0</v>
      </c>
      <c r="Y62" s="73">
        <v>2.0</v>
      </c>
      <c r="Z62" s="73">
        <v>2.0</v>
      </c>
      <c r="AA62" s="73">
        <v>1.0</v>
      </c>
      <c r="AB62" s="73">
        <v>0.0</v>
      </c>
      <c r="AC62" s="73">
        <v>0.0</v>
      </c>
      <c r="AD62" s="73">
        <v>1.0</v>
      </c>
      <c r="AE62" s="73">
        <v>0.0</v>
      </c>
      <c r="AF62" s="13">
        <f t="shared" si="16"/>
        <v>16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1.0</v>
      </c>
      <c r="P63" s="73">
        <v>1.0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1.0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1.0</v>
      </c>
      <c r="AF63" s="13">
        <f t="shared" si="16"/>
        <v>4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1.0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1.0</v>
      </c>
      <c r="Y64" s="73">
        <v>0.0</v>
      </c>
      <c r="Z64" s="73">
        <v>0.0</v>
      </c>
      <c r="AA64" s="73">
        <v>1.0</v>
      </c>
      <c r="AB64" s="73">
        <v>0.0</v>
      </c>
      <c r="AC64" s="73">
        <v>0.0</v>
      </c>
      <c r="AD64" s="73">
        <v>0.0</v>
      </c>
      <c r="AE64" s="73">
        <v>2.0</v>
      </c>
      <c r="AF64" s="13">
        <f t="shared" si="16"/>
        <v>5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1.0</v>
      </c>
      <c r="M65" s="73">
        <v>0.0</v>
      </c>
      <c r="N65" s="73">
        <v>0.0</v>
      </c>
      <c r="O65" s="73">
        <v>0.0</v>
      </c>
      <c r="P65" s="73">
        <v>0.0</v>
      </c>
      <c r="Q65" s="73">
        <v>0.0</v>
      </c>
      <c r="R65" s="73">
        <v>0.0</v>
      </c>
      <c r="S65" s="73">
        <v>1.0</v>
      </c>
      <c r="T65" s="73">
        <v>1.0</v>
      </c>
      <c r="U65" s="73">
        <v>0.0</v>
      </c>
      <c r="V65" s="73">
        <v>0.0</v>
      </c>
      <c r="W65" s="73">
        <v>1.0</v>
      </c>
      <c r="X65" s="73">
        <v>0.0</v>
      </c>
      <c r="Y65" s="73">
        <v>0.0</v>
      </c>
      <c r="Z65" s="73">
        <v>0.0</v>
      </c>
      <c r="AA65" s="73">
        <v>1.0</v>
      </c>
      <c r="AB65" s="73">
        <v>0.0</v>
      </c>
      <c r="AC65" s="73">
        <v>0.0</v>
      </c>
      <c r="AD65" s="73">
        <v>0.0</v>
      </c>
      <c r="AE65" s="73">
        <v>0.0</v>
      </c>
      <c r="AF65" s="13">
        <f t="shared" si="16"/>
        <v>5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1.0</v>
      </c>
      <c r="L66" s="73">
        <v>0.0</v>
      </c>
      <c r="M66" s="73">
        <v>0.0</v>
      </c>
      <c r="N66" s="73">
        <v>2.0</v>
      </c>
      <c r="O66" s="73">
        <v>0.0</v>
      </c>
      <c r="P66" s="73">
        <v>0.0</v>
      </c>
      <c r="Q66" s="73">
        <v>0.0</v>
      </c>
      <c r="R66" s="73">
        <v>1.0</v>
      </c>
      <c r="S66" s="73">
        <v>0.0</v>
      </c>
      <c r="T66" s="73">
        <v>0.0</v>
      </c>
      <c r="U66" s="73">
        <v>1.0</v>
      </c>
      <c r="V66" s="73">
        <v>1.0</v>
      </c>
      <c r="W66" s="73">
        <v>1.0</v>
      </c>
      <c r="X66" s="73">
        <v>0.0</v>
      </c>
      <c r="Y66" s="73">
        <v>0.0</v>
      </c>
      <c r="Z66" s="73">
        <v>0.0</v>
      </c>
      <c r="AA66" s="73">
        <v>0.0</v>
      </c>
      <c r="AB66" s="73">
        <v>0.0</v>
      </c>
      <c r="AC66" s="73">
        <v>0.0</v>
      </c>
      <c r="AD66" s="73">
        <v>0.0</v>
      </c>
      <c r="AE66" s="73">
        <v>0.0</v>
      </c>
      <c r="AF66" s="13">
        <f t="shared" si="16"/>
        <v>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F67" si="17">SUM(E57:E66)</f>
        <v>5</v>
      </c>
      <c r="F67" s="13">
        <f t="shared" si="17"/>
        <v>12</v>
      </c>
      <c r="G67" s="13">
        <f t="shared" si="17"/>
        <v>15</v>
      </c>
      <c r="H67" s="13">
        <f t="shared" si="17"/>
        <v>55</v>
      </c>
      <c r="I67" s="13">
        <f t="shared" si="17"/>
        <v>16</v>
      </c>
      <c r="J67" s="13">
        <f t="shared" si="17"/>
        <v>11</v>
      </c>
      <c r="K67" s="13">
        <f t="shared" si="17"/>
        <v>26</v>
      </c>
      <c r="L67" s="13">
        <f t="shared" si="17"/>
        <v>21</v>
      </c>
      <c r="M67" s="13">
        <f t="shared" si="17"/>
        <v>11</v>
      </c>
      <c r="N67" s="13">
        <f t="shared" si="17"/>
        <v>13</v>
      </c>
      <c r="O67" s="13">
        <f t="shared" si="17"/>
        <v>25</v>
      </c>
      <c r="P67" s="13">
        <f t="shared" si="17"/>
        <v>27</v>
      </c>
      <c r="Q67" s="13">
        <f t="shared" si="17"/>
        <v>18</v>
      </c>
      <c r="R67" s="13">
        <f t="shared" si="17"/>
        <v>61</v>
      </c>
      <c r="S67" s="13">
        <f t="shared" si="17"/>
        <v>10</v>
      </c>
      <c r="T67" s="13">
        <f t="shared" si="17"/>
        <v>13</v>
      </c>
      <c r="U67" s="13">
        <f t="shared" si="17"/>
        <v>17</v>
      </c>
      <c r="V67" s="13">
        <f t="shared" si="17"/>
        <v>45</v>
      </c>
      <c r="W67" s="13">
        <f t="shared" si="17"/>
        <v>14</v>
      </c>
      <c r="X67" s="13">
        <f t="shared" si="17"/>
        <v>49</v>
      </c>
      <c r="Y67" s="13">
        <f t="shared" si="17"/>
        <v>20</v>
      </c>
      <c r="Z67" s="13">
        <f t="shared" si="17"/>
        <v>40</v>
      </c>
      <c r="AA67" s="13">
        <f t="shared" si="17"/>
        <v>24</v>
      </c>
      <c r="AB67" s="13">
        <f t="shared" si="17"/>
        <v>31</v>
      </c>
      <c r="AC67" s="13">
        <f t="shared" si="17"/>
        <v>19</v>
      </c>
      <c r="AD67" s="13">
        <f t="shared" si="17"/>
        <v>15</v>
      </c>
      <c r="AE67" s="13">
        <f t="shared" si="17"/>
        <v>69</v>
      </c>
      <c r="AF67" s="13">
        <f t="shared" si="17"/>
        <v>682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1.0</v>
      </c>
      <c r="F69" s="73">
        <v>2.0</v>
      </c>
      <c r="G69" s="73">
        <v>6.0</v>
      </c>
      <c r="H69" s="73">
        <v>11.0</v>
      </c>
      <c r="I69" s="73">
        <v>4.0</v>
      </c>
      <c r="J69" s="73">
        <v>1.0</v>
      </c>
      <c r="K69" s="73">
        <v>10.0</v>
      </c>
      <c r="L69" s="73">
        <v>10.0</v>
      </c>
      <c r="M69" s="73">
        <v>11.0</v>
      </c>
      <c r="N69" s="73">
        <v>21.0</v>
      </c>
      <c r="O69" s="73">
        <v>11.0</v>
      </c>
      <c r="P69" s="73">
        <v>15.0</v>
      </c>
      <c r="Q69" s="73">
        <v>17.0</v>
      </c>
      <c r="R69" s="73">
        <v>7.0</v>
      </c>
      <c r="S69" s="73">
        <v>3.0</v>
      </c>
      <c r="T69" s="73">
        <v>5.0</v>
      </c>
      <c r="U69" s="73">
        <v>11.0</v>
      </c>
      <c r="V69" s="73">
        <v>6.0</v>
      </c>
      <c r="W69" s="73">
        <v>13.0</v>
      </c>
      <c r="X69" s="73">
        <v>10.0</v>
      </c>
      <c r="Y69" s="73">
        <v>7.0</v>
      </c>
      <c r="Z69" s="73">
        <v>4.0</v>
      </c>
      <c r="AA69" s="73">
        <v>6.0</v>
      </c>
      <c r="AB69" s="73">
        <v>5.0</v>
      </c>
      <c r="AC69" s="73">
        <v>5.0</v>
      </c>
      <c r="AD69" s="73">
        <v>6.0</v>
      </c>
      <c r="AE69" s="73">
        <v>3.0</v>
      </c>
      <c r="AF69" s="13">
        <f t="shared" ref="AF69:AF78" si="18">SUM(E69:AE69)</f>
        <v>211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0.0</v>
      </c>
      <c r="F70" s="73">
        <v>0.0</v>
      </c>
      <c r="G70" s="73">
        <v>1.0</v>
      </c>
      <c r="H70" s="73">
        <v>3.0</v>
      </c>
      <c r="I70" s="73">
        <v>3.0</v>
      </c>
      <c r="J70" s="73">
        <v>3.0</v>
      </c>
      <c r="K70" s="73">
        <v>5.0</v>
      </c>
      <c r="L70" s="73">
        <v>16.0</v>
      </c>
      <c r="M70" s="73">
        <v>4.0</v>
      </c>
      <c r="N70" s="73">
        <v>8.0</v>
      </c>
      <c r="O70" s="73">
        <v>8.0</v>
      </c>
      <c r="P70" s="73">
        <v>6.0</v>
      </c>
      <c r="Q70" s="73">
        <v>11.0</v>
      </c>
      <c r="R70" s="73">
        <v>5.0</v>
      </c>
      <c r="S70" s="73">
        <v>4.0</v>
      </c>
      <c r="T70" s="73">
        <v>9.0</v>
      </c>
      <c r="U70" s="73">
        <v>5.0</v>
      </c>
      <c r="V70" s="73">
        <v>3.0</v>
      </c>
      <c r="W70" s="73">
        <v>3.0</v>
      </c>
      <c r="X70" s="73">
        <v>8.0</v>
      </c>
      <c r="Y70" s="73">
        <v>3.0</v>
      </c>
      <c r="Z70" s="73">
        <v>1.0</v>
      </c>
      <c r="AA70" s="73">
        <v>4.0</v>
      </c>
      <c r="AB70" s="73">
        <v>4.0</v>
      </c>
      <c r="AC70" s="73">
        <v>6.0</v>
      </c>
      <c r="AD70" s="73">
        <v>3.0</v>
      </c>
      <c r="AE70" s="73">
        <v>6.0</v>
      </c>
      <c r="AF70" s="13">
        <f t="shared" si="18"/>
        <v>132</v>
      </c>
    </row>
    <row r="71" ht="12.75" customHeight="1">
      <c r="A71" s="18"/>
      <c r="B71" s="49"/>
      <c r="C71" s="50" t="s">
        <v>62</v>
      </c>
      <c r="D71" s="51"/>
      <c r="E71" s="73">
        <v>2.0</v>
      </c>
      <c r="F71" s="73">
        <v>3.0</v>
      </c>
      <c r="G71" s="73">
        <v>2.0</v>
      </c>
      <c r="H71" s="73">
        <v>4.0</v>
      </c>
      <c r="I71" s="73">
        <v>2.0</v>
      </c>
      <c r="J71" s="73">
        <v>3.0</v>
      </c>
      <c r="K71" s="73">
        <v>2.0</v>
      </c>
      <c r="L71" s="73">
        <v>3.0</v>
      </c>
      <c r="M71" s="73">
        <v>3.0</v>
      </c>
      <c r="N71" s="73">
        <v>4.0</v>
      </c>
      <c r="O71" s="73">
        <v>3.0</v>
      </c>
      <c r="P71" s="73">
        <v>7.0</v>
      </c>
      <c r="Q71" s="73">
        <v>2.0</v>
      </c>
      <c r="R71" s="73">
        <v>2.0</v>
      </c>
      <c r="S71" s="73">
        <v>22.0</v>
      </c>
      <c r="T71" s="73">
        <v>5.0</v>
      </c>
      <c r="U71" s="73">
        <v>3.0</v>
      </c>
      <c r="V71" s="73">
        <v>4.0</v>
      </c>
      <c r="W71" s="73">
        <v>10.0</v>
      </c>
      <c r="X71" s="73">
        <v>5.0</v>
      </c>
      <c r="Y71" s="73">
        <v>6.0</v>
      </c>
      <c r="Z71" s="73">
        <v>4.0</v>
      </c>
      <c r="AA71" s="73">
        <v>4.0</v>
      </c>
      <c r="AB71" s="73">
        <v>1.0</v>
      </c>
      <c r="AC71" s="73">
        <v>1.0</v>
      </c>
      <c r="AD71" s="73">
        <v>3.0</v>
      </c>
      <c r="AE71" s="73">
        <v>3.0</v>
      </c>
      <c r="AF71" s="13">
        <f t="shared" si="18"/>
        <v>113</v>
      </c>
    </row>
    <row r="72" ht="12.75" customHeight="1">
      <c r="A72" s="18"/>
      <c r="B72" s="49"/>
      <c r="C72" s="50" t="s">
        <v>63</v>
      </c>
      <c r="D72" s="51"/>
      <c r="E72" s="73">
        <v>0.0</v>
      </c>
      <c r="F72" s="73">
        <v>0.0</v>
      </c>
      <c r="G72" s="73">
        <v>3.0</v>
      </c>
      <c r="H72" s="73">
        <v>3.0</v>
      </c>
      <c r="I72" s="73">
        <v>2.0</v>
      </c>
      <c r="J72" s="73">
        <v>1.0</v>
      </c>
      <c r="K72" s="73">
        <v>4.0</v>
      </c>
      <c r="L72" s="73">
        <v>4.0</v>
      </c>
      <c r="M72" s="73">
        <v>1.0</v>
      </c>
      <c r="N72" s="73">
        <v>5.0</v>
      </c>
      <c r="O72" s="73">
        <v>4.0</v>
      </c>
      <c r="P72" s="73">
        <v>3.0</v>
      </c>
      <c r="Q72" s="73">
        <v>8.0</v>
      </c>
      <c r="R72" s="73">
        <v>1.0</v>
      </c>
      <c r="S72" s="73">
        <v>2.0</v>
      </c>
      <c r="T72" s="73">
        <v>0.0</v>
      </c>
      <c r="U72" s="73">
        <v>1.0</v>
      </c>
      <c r="V72" s="73">
        <v>1.0</v>
      </c>
      <c r="W72" s="73">
        <v>2.0</v>
      </c>
      <c r="X72" s="73">
        <v>4.0</v>
      </c>
      <c r="Y72" s="73">
        <v>5.0</v>
      </c>
      <c r="Z72" s="73">
        <v>1.0</v>
      </c>
      <c r="AA72" s="73">
        <v>2.0</v>
      </c>
      <c r="AB72" s="73">
        <v>2.0</v>
      </c>
      <c r="AC72" s="73">
        <v>2.0</v>
      </c>
      <c r="AD72" s="73">
        <v>2.0</v>
      </c>
      <c r="AE72" s="73">
        <v>2.0</v>
      </c>
      <c r="AF72" s="13">
        <f t="shared" si="18"/>
        <v>65</v>
      </c>
    </row>
    <row r="73" ht="12.75" customHeight="1">
      <c r="A73" s="18"/>
      <c r="B73" s="49"/>
      <c r="C73" s="50" t="s">
        <v>64</v>
      </c>
      <c r="D73" s="51"/>
      <c r="E73" s="73">
        <v>0.0</v>
      </c>
      <c r="F73" s="73">
        <v>0.0</v>
      </c>
      <c r="G73" s="73">
        <v>1.0</v>
      </c>
      <c r="H73" s="73">
        <v>2.0</v>
      </c>
      <c r="I73" s="73">
        <v>3.0</v>
      </c>
      <c r="J73" s="73">
        <v>0.0</v>
      </c>
      <c r="K73" s="73">
        <v>0.0</v>
      </c>
      <c r="L73" s="73">
        <v>0.0</v>
      </c>
      <c r="M73" s="73">
        <v>2.0</v>
      </c>
      <c r="N73" s="73">
        <v>20.0</v>
      </c>
      <c r="O73" s="73">
        <v>26.0</v>
      </c>
      <c r="P73" s="73">
        <v>36.0</v>
      </c>
      <c r="Q73" s="73">
        <v>13.0</v>
      </c>
      <c r="R73" s="73">
        <v>4.0</v>
      </c>
      <c r="S73" s="73">
        <v>1.0</v>
      </c>
      <c r="T73" s="73">
        <v>2.0</v>
      </c>
      <c r="U73" s="73">
        <v>7.0</v>
      </c>
      <c r="V73" s="73">
        <v>1.0</v>
      </c>
      <c r="W73" s="73">
        <v>1.0</v>
      </c>
      <c r="X73" s="73">
        <v>2.0</v>
      </c>
      <c r="Y73" s="73">
        <v>3.0</v>
      </c>
      <c r="Z73" s="73">
        <v>5.0</v>
      </c>
      <c r="AA73" s="73">
        <v>6.0</v>
      </c>
      <c r="AB73" s="73">
        <v>4.0</v>
      </c>
      <c r="AC73" s="73">
        <v>1.0</v>
      </c>
      <c r="AD73" s="73">
        <v>5.0</v>
      </c>
      <c r="AE73" s="73">
        <v>0.0</v>
      </c>
      <c r="AF73" s="13">
        <f t="shared" si="18"/>
        <v>145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  <c r="K74" s="73">
        <v>1.0</v>
      </c>
      <c r="L74" s="73">
        <v>0.0</v>
      </c>
      <c r="M74" s="73">
        <v>1.0</v>
      </c>
      <c r="N74" s="73">
        <v>3.0</v>
      </c>
      <c r="O74" s="73">
        <v>2.0</v>
      </c>
      <c r="P74" s="73">
        <v>0.0</v>
      </c>
      <c r="Q74" s="73">
        <v>1.0</v>
      </c>
      <c r="R74" s="73">
        <v>0.0</v>
      </c>
      <c r="S74" s="73">
        <v>1.0</v>
      </c>
      <c r="T74" s="73">
        <v>0.0</v>
      </c>
      <c r="U74" s="73">
        <v>1.0</v>
      </c>
      <c r="V74" s="73">
        <v>1.0</v>
      </c>
      <c r="W74" s="73">
        <v>1.0</v>
      </c>
      <c r="X74" s="73">
        <v>1.0</v>
      </c>
      <c r="Y74" s="73">
        <v>1.0</v>
      </c>
      <c r="Z74" s="73">
        <v>1.0</v>
      </c>
      <c r="AA74" s="73">
        <v>2.0</v>
      </c>
      <c r="AB74" s="73">
        <v>1.0</v>
      </c>
      <c r="AC74" s="73">
        <v>0.0</v>
      </c>
      <c r="AD74" s="73">
        <v>0.0</v>
      </c>
      <c r="AE74" s="73">
        <v>1.0</v>
      </c>
      <c r="AF74" s="13">
        <f t="shared" si="18"/>
        <v>19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0.0</v>
      </c>
      <c r="G75" s="73">
        <v>2.0</v>
      </c>
      <c r="H75" s="73">
        <v>1.0</v>
      </c>
      <c r="I75" s="73">
        <v>0.0</v>
      </c>
      <c r="J75" s="73">
        <v>0.0</v>
      </c>
      <c r="K75" s="73">
        <v>2.0</v>
      </c>
      <c r="L75" s="73">
        <v>2.0</v>
      </c>
      <c r="M75" s="73">
        <v>0.0</v>
      </c>
      <c r="N75" s="73">
        <v>0.0</v>
      </c>
      <c r="O75" s="73">
        <v>0.0</v>
      </c>
      <c r="P75" s="73">
        <v>2.0</v>
      </c>
      <c r="Q75" s="73">
        <v>0.0</v>
      </c>
      <c r="R75" s="73">
        <v>0.0</v>
      </c>
      <c r="S75" s="73">
        <v>0.0</v>
      </c>
      <c r="T75" s="73">
        <v>0.0</v>
      </c>
      <c r="U75" s="73">
        <v>6.0</v>
      </c>
      <c r="V75" s="73">
        <v>2.0</v>
      </c>
      <c r="W75" s="73">
        <v>1.0</v>
      </c>
      <c r="X75" s="73">
        <v>0.0</v>
      </c>
      <c r="Y75" s="73">
        <v>0.0</v>
      </c>
      <c r="Z75" s="73">
        <v>0.0</v>
      </c>
      <c r="AA75" s="73">
        <v>1.0</v>
      </c>
      <c r="AB75" s="73">
        <v>1.0</v>
      </c>
      <c r="AC75" s="73">
        <v>2.0</v>
      </c>
      <c r="AD75" s="73">
        <v>1.0</v>
      </c>
      <c r="AE75" s="73">
        <v>2.0</v>
      </c>
      <c r="AF75" s="13">
        <f t="shared" si="18"/>
        <v>25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0.0</v>
      </c>
      <c r="N76" s="73">
        <v>2.0</v>
      </c>
      <c r="O76" s="73">
        <v>1.0</v>
      </c>
      <c r="P76" s="73">
        <v>1.0</v>
      </c>
      <c r="Q76" s="73">
        <v>1.0</v>
      </c>
      <c r="R76" s="73">
        <v>0.0</v>
      </c>
      <c r="S76" s="73">
        <v>1.0</v>
      </c>
      <c r="T76" s="73">
        <v>0.0</v>
      </c>
      <c r="U76" s="73">
        <v>0.0</v>
      </c>
      <c r="V76" s="73">
        <v>2.0</v>
      </c>
      <c r="W76" s="73">
        <v>0.0</v>
      </c>
      <c r="X76" s="73">
        <v>0.0</v>
      </c>
      <c r="Y76" s="73">
        <v>1.0</v>
      </c>
      <c r="Z76" s="73">
        <v>0.0</v>
      </c>
      <c r="AA76" s="73">
        <v>0.0</v>
      </c>
      <c r="AB76" s="73">
        <v>0.0</v>
      </c>
      <c r="AC76" s="73">
        <v>0.0</v>
      </c>
      <c r="AD76" s="73">
        <v>0.0</v>
      </c>
      <c r="AE76" s="73">
        <v>0.0</v>
      </c>
      <c r="AF76" s="13">
        <f t="shared" si="18"/>
        <v>9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1.0</v>
      </c>
      <c r="G77" s="73">
        <v>0.0</v>
      </c>
      <c r="H77" s="73">
        <v>3.0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2.0</v>
      </c>
      <c r="O77" s="73">
        <v>0.0</v>
      </c>
      <c r="P77" s="73">
        <v>0.0</v>
      </c>
      <c r="Q77" s="73">
        <v>0.0</v>
      </c>
      <c r="R77" s="73">
        <v>0.0</v>
      </c>
      <c r="S77" s="73">
        <v>0.0</v>
      </c>
      <c r="T77" s="73">
        <v>2.0</v>
      </c>
      <c r="U77" s="73">
        <v>0.0</v>
      </c>
      <c r="V77" s="73">
        <v>1.0</v>
      </c>
      <c r="W77" s="73">
        <v>1.0</v>
      </c>
      <c r="X77" s="73">
        <v>1.0</v>
      </c>
      <c r="Y77" s="73">
        <v>0.0</v>
      </c>
      <c r="Z77" s="73">
        <v>0.0</v>
      </c>
      <c r="AA77" s="73">
        <v>0.0</v>
      </c>
      <c r="AB77" s="73">
        <v>0.0</v>
      </c>
      <c r="AC77" s="73">
        <v>0.0</v>
      </c>
      <c r="AD77" s="73">
        <v>0.0</v>
      </c>
      <c r="AE77" s="73">
        <v>0.0</v>
      </c>
      <c r="AF77" s="13">
        <f t="shared" si="18"/>
        <v>11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1.0</v>
      </c>
      <c r="H78" s="73">
        <v>1.0</v>
      </c>
      <c r="I78" s="73">
        <v>0.0</v>
      </c>
      <c r="J78" s="73">
        <v>0.0</v>
      </c>
      <c r="K78" s="73">
        <v>1.0</v>
      </c>
      <c r="L78" s="73">
        <v>1.0</v>
      </c>
      <c r="M78" s="73">
        <v>0.0</v>
      </c>
      <c r="N78" s="73">
        <v>2.0</v>
      </c>
      <c r="O78" s="73">
        <v>2.0</v>
      </c>
      <c r="P78" s="73">
        <v>0.0</v>
      </c>
      <c r="Q78" s="73">
        <v>0.0</v>
      </c>
      <c r="R78" s="73">
        <v>1.0</v>
      </c>
      <c r="S78" s="73">
        <v>0.0</v>
      </c>
      <c r="T78" s="73">
        <v>0.0</v>
      </c>
      <c r="U78" s="73">
        <v>0.0</v>
      </c>
      <c r="V78" s="73">
        <v>0.0</v>
      </c>
      <c r="W78" s="73">
        <v>0.0</v>
      </c>
      <c r="X78" s="73">
        <v>0.0</v>
      </c>
      <c r="Y78" s="73">
        <v>0.0</v>
      </c>
      <c r="Z78" s="73">
        <v>0.0</v>
      </c>
      <c r="AA78" s="73">
        <v>3.0</v>
      </c>
      <c r="AB78" s="73">
        <v>0.0</v>
      </c>
      <c r="AC78" s="73">
        <v>1.0</v>
      </c>
      <c r="AD78" s="73">
        <v>0.0</v>
      </c>
      <c r="AE78" s="73">
        <v>0.0</v>
      </c>
      <c r="AF78" s="13">
        <f t="shared" si="18"/>
        <v>13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F79" si="19">SUM(E69:E78)</f>
        <v>3</v>
      </c>
      <c r="F79" s="13">
        <f t="shared" si="19"/>
        <v>6</v>
      </c>
      <c r="G79" s="13">
        <f t="shared" si="19"/>
        <v>16</v>
      </c>
      <c r="H79" s="13">
        <f t="shared" si="19"/>
        <v>28</v>
      </c>
      <c r="I79" s="13">
        <f t="shared" si="19"/>
        <v>14</v>
      </c>
      <c r="J79" s="13">
        <f t="shared" si="19"/>
        <v>8</v>
      </c>
      <c r="K79" s="13">
        <f t="shared" si="19"/>
        <v>25</v>
      </c>
      <c r="L79" s="13">
        <f t="shared" si="19"/>
        <v>36</v>
      </c>
      <c r="M79" s="13">
        <f t="shared" si="19"/>
        <v>22</v>
      </c>
      <c r="N79" s="13">
        <f t="shared" si="19"/>
        <v>67</v>
      </c>
      <c r="O79" s="13">
        <f t="shared" si="19"/>
        <v>57</v>
      </c>
      <c r="P79" s="13">
        <f t="shared" si="19"/>
        <v>70</v>
      </c>
      <c r="Q79" s="13">
        <f t="shared" si="19"/>
        <v>53</v>
      </c>
      <c r="R79" s="13">
        <f t="shared" si="19"/>
        <v>20</v>
      </c>
      <c r="S79" s="13">
        <f t="shared" si="19"/>
        <v>34</v>
      </c>
      <c r="T79" s="13">
        <f t="shared" si="19"/>
        <v>23</v>
      </c>
      <c r="U79" s="13">
        <f t="shared" si="19"/>
        <v>34</v>
      </c>
      <c r="V79" s="13">
        <f t="shared" si="19"/>
        <v>21</v>
      </c>
      <c r="W79" s="13">
        <f t="shared" si="19"/>
        <v>32</v>
      </c>
      <c r="X79" s="13">
        <f t="shared" si="19"/>
        <v>31</v>
      </c>
      <c r="Y79" s="13">
        <f t="shared" si="19"/>
        <v>26</v>
      </c>
      <c r="Z79" s="13">
        <f t="shared" si="19"/>
        <v>16</v>
      </c>
      <c r="AA79" s="13">
        <f t="shared" si="19"/>
        <v>28</v>
      </c>
      <c r="AB79" s="13">
        <f t="shared" si="19"/>
        <v>18</v>
      </c>
      <c r="AC79" s="13">
        <f t="shared" si="19"/>
        <v>18</v>
      </c>
      <c r="AD79" s="13">
        <f t="shared" si="19"/>
        <v>20</v>
      </c>
      <c r="AE79" s="13">
        <f t="shared" si="19"/>
        <v>17</v>
      </c>
      <c r="AF79" s="13">
        <f t="shared" si="19"/>
        <v>743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2.0</v>
      </c>
      <c r="G81" s="73">
        <v>0.0</v>
      </c>
      <c r="H81" s="73">
        <v>0.0</v>
      </c>
      <c r="I81" s="73">
        <v>0.0</v>
      </c>
      <c r="J81" s="73">
        <v>1.0</v>
      </c>
      <c r="K81" s="73">
        <v>2.0</v>
      </c>
      <c r="L81" s="73">
        <v>1.0</v>
      </c>
      <c r="M81" s="73">
        <v>3.0</v>
      </c>
      <c r="N81" s="73">
        <v>2.0</v>
      </c>
      <c r="O81" s="73">
        <v>9.0</v>
      </c>
      <c r="P81" s="73">
        <v>9.0</v>
      </c>
      <c r="Q81" s="73">
        <v>0.0</v>
      </c>
      <c r="R81" s="73">
        <v>3.0</v>
      </c>
      <c r="S81" s="73">
        <v>3.0</v>
      </c>
      <c r="T81" s="73">
        <v>4.0</v>
      </c>
      <c r="U81" s="73">
        <v>3.0</v>
      </c>
      <c r="V81" s="73">
        <v>2.0</v>
      </c>
      <c r="W81" s="73">
        <v>4.0</v>
      </c>
      <c r="X81" s="73">
        <v>3.0</v>
      </c>
      <c r="Y81" s="73">
        <v>2.0</v>
      </c>
      <c r="Z81" s="73">
        <v>2.0</v>
      </c>
      <c r="AA81" s="73">
        <v>7.0</v>
      </c>
      <c r="AB81" s="73">
        <v>2.0</v>
      </c>
      <c r="AC81" s="73">
        <v>0.0</v>
      </c>
      <c r="AD81" s="73">
        <v>6.0</v>
      </c>
      <c r="AE81" s="73">
        <v>0.0</v>
      </c>
      <c r="AF81" s="13">
        <f t="shared" ref="AF81:AF90" si="20">SUM(E81:AE81)</f>
        <v>71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1.0</v>
      </c>
      <c r="F82" s="73">
        <v>0.0</v>
      </c>
      <c r="G82" s="73">
        <v>4.0</v>
      </c>
      <c r="H82" s="73">
        <v>1.0</v>
      </c>
      <c r="I82" s="73">
        <v>0.0</v>
      </c>
      <c r="J82" s="73">
        <v>0.0</v>
      </c>
      <c r="K82" s="73">
        <v>0.0</v>
      </c>
      <c r="L82" s="73">
        <v>1.0</v>
      </c>
      <c r="M82" s="73">
        <v>0.0</v>
      </c>
      <c r="N82" s="73">
        <v>3.0</v>
      </c>
      <c r="O82" s="73">
        <v>3.0</v>
      </c>
      <c r="P82" s="73">
        <v>7.0</v>
      </c>
      <c r="Q82" s="73">
        <v>3.0</v>
      </c>
      <c r="R82" s="73">
        <v>3.0</v>
      </c>
      <c r="S82" s="73">
        <v>3.0</v>
      </c>
      <c r="T82" s="73">
        <v>1.0</v>
      </c>
      <c r="U82" s="73">
        <v>0.0</v>
      </c>
      <c r="V82" s="73">
        <v>2.0</v>
      </c>
      <c r="W82" s="73">
        <v>2.0</v>
      </c>
      <c r="X82" s="73">
        <v>0.0</v>
      </c>
      <c r="Y82" s="73">
        <v>0.0</v>
      </c>
      <c r="Z82" s="73">
        <v>2.0</v>
      </c>
      <c r="AA82" s="73">
        <v>1.0</v>
      </c>
      <c r="AB82" s="73">
        <v>0.0</v>
      </c>
      <c r="AC82" s="73">
        <v>1.0</v>
      </c>
      <c r="AD82" s="73">
        <v>4.0</v>
      </c>
      <c r="AE82" s="73">
        <v>8.0</v>
      </c>
      <c r="AF82" s="13">
        <f t="shared" si="20"/>
        <v>50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0.0</v>
      </c>
      <c r="G83" s="73">
        <v>0.0</v>
      </c>
      <c r="H83" s="73">
        <v>0.0</v>
      </c>
      <c r="I83" s="73">
        <v>1.0</v>
      </c>
      <c r="J83" s="73">
        <v>0.0</v>
      </c>
      <c r="K83" s="73">
        <v>0.0</v>
      </c>
      <c r="L83" s="73">
        <v>1.0</v>
      </c>
      <c r="M83" s="73">
        <v>1.0</v>
      </c>
      <c r="N83" s="73">
        <v>1.0</v>
      </c>
      <c r="O83" s="73">
        <v>2.0</v>
      </c>
      <c r="P83" s="73">
        <v>2.0</v>
      </c>
      <c r="Q83" s="73">
        <v>2.0</v>
      </c>
      <c r="R83" s="73">
        <v>1.0</v>
      </c>
      <c r="S83" s="73">
        <v>0.0</v>
      </c>
      <c r="T83" s="73">
        <v>0.0</v>
      </c>
      <c r="U83" s="73">
        <v>0.0</v>
      </c>
      <c r="V83" s="73">
        <v>1.0</v>
      </c>
      <c r="W83" s="73">
        <v>0.0</v>
      </c>
      <c r="X83" s="73">
        <v>1.0</v>
      </c>
      <c r="Y83" s="73">
        <v>0.0</v>
      </c>
      <c r="Z83" s="73">
        <v>0.0</v>
      </c>
      <c r="AA83" s="73">
        <v>0.0</v>
      </c>
      <c r="AB83" s="73">
        <v>2.0</v>
      </c>
      <c r="AC83" s="73">
        <v>0.0</v>
      </c>
      <c r="AD83" s="73">
        <v>0.0</v>
      </c>
      <c r="AE83" s="73">
        <v>1.0</v>
      </c>
      <c r="AF83" s="13">
        <f t="shared" si="20"/>
        <v>17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0.0</v>
      </c>
      <c r="G84" s="73">
        <v>0.0</v>
      </c>
      <c r="H84" s="73">
        <v>0.0</v>
      </c>
      <c r="I84" s="73">
        <v>1.0</v>
      </c>
      <c r="J84" s="73">
        <v>0.0</v>
      </c>
      <c r="K84" s="73">
        <v>0.0</v>
      </c>
      <c r="L84" s="73">
        <v>0.0</v>
      </c>
      <c r="M84" s="73">
        <v>0.0</v>
      </c>
      <c r="N84" s="73">
        <v>0.0</v>
      </c>
      <c r="O84" s="73">
        <v>4.0</v>
      </c>
      <c r="P84" s="73">
        <v>1.0</v>
      </c>
      <c r="Q84" s="73">
        <v>0.0</v>
      </c>
      <c r="R84" s="73">
        <v>0.0</v>
      </c>
      <c r="S84" s="73">
        <v>2.0</v>
      </c>
      <c r="T84" s="73">
        <v>0.0</v>
      </c>
      <c r="U84" s="73">
        <v>0.0</v>
      </c>
      <c r="V84" s="73">
        <v>0.0</v>
      </c>
      <c r="W84" s="73">
        <v>1.0</v>
      </c>
      <c r="X84" s="73">
        <v>1.0</v>
      </c>
      <c r="Y84" s="73">
        <v>0.0</v>
      </c>
      <c r="Z84" s="73">
        <v>1.0</v>
      </c>
      <c r="AA84" s="73">
        <v>0.0</v>
      </c>
      <c r="AB84" s="73">
        <v>1.0</v>
      </c>
      <c r="AC84" s="73">
        <v>1.0</v>
      </c>
      <c r="AD84" s="73">
        <v>2.0</v>
      </c>
      <c r="AE84" s="73">
        <v>1.0</v>
      </c>
      <c r="AF84" s="13">
        <f t="shared" si="20"/>
        <v>17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2.0</v>
      </c>
      <c r="G85" s="73">
        <v>1.0</v>
      </c>
      <c r="H85" s="73">
        <v>2.0</v>
      </c>
      <c r="I85" s="73">
        <v>0.0</v>
      </c>
      <c r="J85" s="73">
        <v>1.0</v>
      </c>
      <c r="K85" s="73">
        <v>0.0</v>
      </c>
      <c r="L85" s="73">
        <v>0.0</v>
      </c>
      <c r="M85" s="73">
        <v>0.0</v>
      </c>
      <c r="N85" s="73">
        <v>0.0</v>
      </c>
      <c r="O85" s="73">
        <v>3.0</v>
      </c>
      <c r="P85" s="73">
        <v>3.0</v>
      </c>
      <c r="Q85" s="73">
        <v>0.0</v>
      </c>
      <c r="R85" s="73">
        <v>0.0</v>
      </c>
      <c r="S85" s="73">
        <v>0.0</v>
      </c>
      <c r="T85" s="73">
        <v>0.0</v>
      </c>
      <c r="U85" s="73">
        <v>2.0</v>
      </c>
      <c r="V85" s="73">
        <v>1.0</v>
      </c>
      <c r="W85" s="73">
        <v>9.0</v>
      </c>
      <c r="X85" s="73">
        <v>2.0</v>
      </c>
      <c r="Y85" s="73">
        <v>1.0</v>
      </c>
      <c r="Z85" s="73">
        <v>3.0</v>
      </c>
      <c r="AA85" s="73">
        <v>0.0</v>
      </c>
      <c r="AB85" s="73">
        <v>1.0</v>
      </c>
      <c r="AC85" s="73">
        <v>4.0</v>
      </c>
      <c r="AD85" s="73">
        <v>3.0</v>
      </c>
      <c r="AE85" s="73">
        <v>4.0</v>
      </c>
      <c r="AF85" s="13">
        <f t="shared" si="20"/>
        <v>43</v>
      </c>
    </row>
    <row r="86" ht="12.75" customHeight="1">
      <c r="A86" s="18"/>
      <c r="B86" s="49"/>
      <c r="C86" s="50" t="s">
        <v>75</v>
      </c>
      <c r="D86" s="51"/>
      <c r="E86" s="73">
        <v>1.0</v>
      </c>
      <c r="F86" s="73">
        <v>0.0</v>
      </c>
      <c r="G86" s="73">
        <v>1.0</v>
      </c>
      <c r="H86" s="73">
        <v>0.0</v>
      </c>
      <c r="I86" s="73">
        <v>0.0</v>
      </c>
      <c r="J86" s="73">
        <v>0.0</v>
      </c>
      <c r="K86" s="73">
        <v>1.0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2.0</v>
      </c>
      <c r="R86" s="73">
        <v>1.0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13">
        <f t="shared" si="20"/>
        <v>6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1.0</v>
      </c>
      <c r="P87" s="73">
        <v>0.0</v>
      </c>
      <c r="Q87" s="73">
        <v>0.0</v>
      </c>
      <c r="R87" s="73">
        <v>0.0</v>
      </c>
      <c r="S87" s="73">
        <v>1.0</v>
      </c>
      <c r="T87" s="73">
        <v>1.0</v>
      </c>
      <c r="U87" s="73">
        <v>0.0</v>
      </c>
      <c r="V87" s="73">
        <v>1.0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13">
        <f t="shared" si="20"/>
        <v>4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1.0</v>
      </c>
      <c r="S88" s="73">
        <v>0.0</v>
      </c>
      <c r="T88" s="73">
        <v>2.0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2.0</v>
      </c>
      <c r="AC88" s="73">
        <v>0.0</v>
      </c>
      <c r="AD88" s="73">
        <v>0.0</v>
      </c>
      <c r="AE88" s="73">
        <v>1.0</v>
      </c>
      <c r="AF88" s="13">
        <f t="shared" si="20"/>
        <v>6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1.0</v>
      </c>
      <c r="AD89" s="73">
        <v>0.0</v>
      </c>
      <c r="AE89" s="73">
        <v>0.0</v>
      </c>
      <c r="AF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2.0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2.0</v>
      </c>
      <c r="S90" s="73">
        <v>0.0</v>
      </c>
      <c r="T90" s="73">
        <v>1.0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1.0</v>
      </c>
      <c r="AA90" s="73">
        <v>0.0</v>
      </c>
      <c r="AB90" s="73">
        <v>0.0</v>
      </c>
      <c r="AC90" s="73">
        <v>0.0</v>
      </c>
      <c r="AD90" s="73">
        <v>0.0</v>
      </c>
      <c r="AE90" s="73">
        <v>0.0</v>
      </c>
      <c r="AF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F91" si="21">SUM(E81:E90)</f>
        <v>8</v>
      </c>
      <c r="F91" s="13">
        <f t="shared" si="21"/>
        <v>4</v>
      </c>
      <c r="G91" s="13">
        <f t="shared" si="21"/>
        <v>6</v>
      </c>
      <c r="H91" s="13">
        <f t="shared" si="21"/>
        <v>3</v>
      </c>
      <c r="I91" s="13">
        <f t="shared" si="21"/>
        <v>2</v>
      </c>
      <c r="J91" s="13">
        <f t="shared" si="21"/>
        <v>2</v>
      </c>
      <c r="K91" s="13">
        <f t="shared" si="21"/>
        <v>3</v>
      </c>
      <c r="L91" s="13">
        <f t="shared" si="21"/>
        <v>3</v>
      </c>
      <c r="M91" s="13">
        <f t="shared" si="21"/>
        <v>4</v>
      </c>
      <c r="N91" s="13">
        <f t="shared" si="21"/>
        <v>6</v>
      </c>
      <c r="O91" s="13">
        <f t="shared" si="21"/>
        <v>22</v>
      </c>
      <c r="P91" s="13">
        <f t="shared" si="21"/>
        <v>22</v>
      </c>
      <c r="Q91" s="13">
        <f t="shared" si="21"/>
        <v>7</v>
      </c>
      <c r="R91" s="13">
        <f t="shared" si="21"/>
        <v>11</v>
      </c>
      <c r="S91" s="13">
        <f t="shared" si="21"/>
        <v>9</v>
      </c>
      <c r="T91" s="13">
        <f t="shared" si="21"/>
        <v>9</v>
      </c>
      <c r="U91" s="13">
        <f t="shared" si="21"/>
        <v>5</v>
      </c>
      <c r="V91" s="13">
        <f t="shared" si="21"/>
        <v>7</v>
      </c>
      <c r="W91" s="13">
        <f t="shared" si="21"/>
        <v>16</v>
      </c>
      <c r="X91" s="13">
        <f t="shared" si="21"/>
        <v>7</v>
      </c>
      <c r="Y91" s="13">
        <f t="shared" si="21"/>
        <v>3</v>
      </c>
      <c r="Z91" s="13">
        <f t="shared" si="21"/>
        <v>9</v>
      </c>
      <c r="AA91" s="13">
        <f t="shared" si="21"/>
        <v>8</v>
      </c>
      <c r="AB91" s="13">
        <f t="shared" si="21"/>
        <v>8</v>
      </c>
      <c r="AC91" s="13">
        <f t="shared" si="21"/>
        <v>7</v>
      </c>
      <c r="AD91" s="13">
        <f t="shared" si="21"/>
        <v>15</v>
      </c>
      <c r="AE91" s="13">
        <f t="shared" si="21"/>
        <v>15</v>
      </c>
      <c r="AF91" s="13">
        <f t="shared" si="21"/>
        <v>221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1.0</v>
      </c>
      <c r="G93" s="73">
        <v>0.0</v>
      </c>
      <c r="H93" s="73">
        <v>0.0</v>
      </c>
      <c r="I93" s="73">
        <v>0.0</v>
      </c>
      <c r="J93" s="73">
        <v>0.0</v>
      </c>
      <c r="K93" s="73">
        <v>0.0</v>
      </c>
      <c r="L93" s="73">
        <v>0.0</v>
      </c>
      <c r="M93" s="73">
        <v>0.0</v>
      </c>
      <c r="N93" s="73">
        <v>1.0</v>
      </c>
      <c r="O93" s="73">
        <v>0.0</v>
      </c>
      <c r="P93" s="73">
        <v>0.0</v>
      </c>
      <c r="Q93" s="73">
        <v>1.0</v>
      </c>
      <c r="R93" s="73">
        <v>2.0</v>
      </c>
      <c r="S93" s="73">
        <v>0.0</v>
      </c>
      <c r="T93" s="73">
        <v>7.0</v>
      </c>
      <c r="U93" s="73">
        <v>0.0</v>
      </c>
      <c r="V93" s="73">
        <v>1.0</v>
      </c>
      <c r="W93" s="73">
        <v>4.0</v>
      </c>
      <c r="X93" s="73">
        <v>0.0</v>
      </c>
      <c r="Y93" s="73">
        <v>8.0</v>
      </c>
      <c r="Z93" s="73">
        <v>2.0</v>
      </c>
      <c r="AA93" s="73">
        <v>3.0</v>
      </c>
      <c r="AB93" s="73">
        <v>1.0</v>
      </c>
      <c r="AC93" s="73">
        <v>0.0</v>
      </c>
      <c r="AD93" s="73">
        <v>0.0</v>
      </c>
      <c r="AE93" s="73">
        <v>1.0</v>
      </c>
      <c r="AF93" s="13">
        <f t="shared" ref="AF93:AF102" si="22">SUM(E93:AE93)</f>
        <v>32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1.0</v>
      </c>
      <c r="F94" s="73">
        <v>0.0</v>
      </c>
      <c r="G94" s="73">
        <v>3.0</v>
      </c>
      <c r="H94" s="73">
        <v>1.0</v>
      </c>
      <c r="I94" s="73">
        <v>2.0</v>
      </c>
      <c r="J94" s="73">
        <v>1.0</v>
      </c>
      <c r="K94" s="73">
        <v>2.0</v>
      </c>
      <c r="L94" s="73">
        <v>1.0</v>
      </c>
      <c r="M94" s="73">
        <v>2.0</v>
      </c>
      <c r="N94" s="73">
        <v>4.0</v>
      </c>
      <c r="O94" s="73">
        <v>4.0</v>
      </c>
      <c r="P94" s="73">
        <v>2.0</v>
      </c>
      <c r="Q94" s="73">
        <v>1.0</v>
      </c>
      <c r="R94" s="73">
        <v>0.0</v>
      </c>
      <c r="S94" s="73">
        <v>7.0</v>
      </c>
      <c r="T94" s="73">
        <v>21.0</v>
      </c>
      <c r="U94" s="73">
        <v>5.0</v>
      </c>
      <c r="V94" s="73">
        <v>2.0</v>
      </c>
      <c r="W94" s="73">
        <v>11.0</v>
      </c>
      <c r="X94" s="73">
        <v>12.0</v>
      </c>
      <c r="Y94" s="73">
        <v>2.0</v>
      </c>
      <c r="Z94" s="73">
        <v>4.0</v>
      </c>
      <c r="AA94" s="73">
        <v>2.0</v>
      </c>
      <c r="AB94" s="73">
        <v>2.0</v>
      </c>
      <c r="AC94" s="73">
        <v>2.0</v>
      </c>
      <c r="AD94" s="73">
        <v>4.0</v>
      </c>
      <c r="AE94" s="73">
        <v>5.0</v>
      </c>
      <c r="AF94" s="13">
        <f t="shared" si="22"/>
        <v>103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1.0</v>
      </c>
      <c r="N95" s="73">
        <v>0.0</v>
      </c>
      <c r="O95" s="73">
        <v>0.0</v>
      </c>
      <c r="P95" s="73">
        <v>0.0</v>
      </c>
      <c r="Q95" s="73">
        <v>0.0</v>
      </c>
      <c r="R95" s="73">
        <v>1.0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1.0</v>
      </c>
      <c r="AC95" s="73">
        <v>0.0</v>
      </c>
      <c r="AD95" s="73">
        <v>0.0</v>
      </c>
      <c r="AE95" s="73">
        <v>0.0</v>
      </c>
      <c r="AF95" s="13">
        <f t="shared" si="22"/>
        <v>3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1.0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1.0</v>
      </c>
      <c r="AF96" s="13">
        <f t="shared" si="22"/>
        <v>2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1.0</v>
      </c>
      <c r="J97" s="73">
        <v>0.0</v>
      </c>
      <c r="K97" s="73">
        <v>1.0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1.0</v>
      </c>
      <c r="AE97" s="73">
        <v>0.0</v>
      </c>
      <c r="AF97" s="13">
        <f t="shared" si="22"/>
        <v>3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1.0</v>
      </c>
      <c r="R98" s="73">
        <v>0.0</v>
      </c>
      <c r="S98" s="73">
        <v>1.0</v>
      </c>
      <c r="T98" s="73">
        <v>0.0</v>
      </c>
      <c r="U98" s="73">
        <v>0.0</v>
      </c>
      <c r="V98" s="73">
        <v>0.0</v>
      </c>
      <c r="W98" s="73">
        <v>2.0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1.0</v>
      </c>
      <c r="AE98" s="73">
        <v>1.0</v>
      </c>
      <c r="AF98" s="13">
        <f t="shared" si="22"/>
        <v>6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1.0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1.0</v>
      </c>
      <c r="AA99" s="73">
        <v>0.0</v>
      </c>
      <c r="AB99" s="73">
        <v>0.0</v>
      </c>
      <c r="AC99" s="73">
        <v>0.0</v>
      </c>
      <c r="AD99" s="73">
        <v>1.0</v>
      </c>
      <c r="AE99" s="73">
        <v>0.0</v>
      </c>
      <c r="AF99" s="13">
        <f t="shared" si="22"/>
        <v>3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1.0</v>
      </c>
      <c r="U100" s="73">
        <v>0.0</v>
      </c>
      <c r="V100" s="73">
        <v>0.0</v>
      </c>
      <c r="W100" s="73">
        <v>0.0</v>
      </c>
      <c r="X100" s="73">
        <v>1.0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13">
        <f t="shared" si="22"/>
        <v>2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F103" si="23">SUM(E93:E102)</f>
        <v>1</v>
      </c>
      <c r="F103" s="13">
        <f t="shared" si="23"/>
        <v>1</v>
      </c>
      <c r="G103" s="13">
        <f t="shared" si="23"/>
        <v>3</v>
      </c>
      <c r="H103" s="13">
        <f t="shared" si="23"/>
        <v>1</v>
      </c>
      <c r="I103" s="13">
        <f t="shared" si="23"/>
        <v>3</v>
      </c>
      <c r="J103" s="13">
        <f t="shared" si="23"/>
        <v>1</v>
      </c>
      <c r="K103" s="13">
        <f t="shared" si="23"/>
        <v>3</v>
      </c>
      <c r="L103" s="13">
        <f t="shared" si="23"/>
        <v>1</v>
      </c>
      <c r="M103" s="13">
        <f t="shared" si="23"/>
        <v>3</v>
      </c>
      <c r="N103" s="13">
        <f t="shared" si="23"/>
        <v>5</v>
      </c>
      <c r="O103" s="13">
        <f t="shared" si="23"/>
        <v>4</v>
      </c>
      <c r="P103" s="13">
        <f t="shared" si="23"/>
        <v>2</v>
      </c>
      <c r="Q103" s="13">
        <f t="shared" si="23"/>
        <v>4</v>
      </c>
      <c r="R103" s="13">
        <f t="shared" si="23"/>
        <v>3</v>
      </c>
      <c r="S103" s="13">
        <f t="shared" si="23"/>
        <v>8</v>
      </c>
      <c r="T103" s="13">
        <f t="shared" si="23"/>
        <v>30</v>
      </c>
      <c r="U103" s="13">
        <f t="shared" si="23"/>
        <v>5</v>
      </c>
      <c r="V103" s="13">
        <f t="shared" si="23"/>
        <v>3</v>
      </c>
      <c r="W103" s="13">
        <f t="shared" si="23"/>
        <v>17</v>
      </c>
      <c r="X103" s="13">
        <f t="shared" si="23"/>
        <v>13</v>
      </c>
      <c r="Y103" s="13">
        <f t="shared" si="23"/>
        <v>10</v>
      </c>
      <c r="Z103" s="13">
        <f t="shared" si="23"/>
        <v>7</v>
      </c>
      <c r="AA103" s="13">
        <f t="shared" si="23"/>
        <v>5</v>
      </c>
      <c r="AB103" s="13">
        <f t="shared" si="23"/>
        <v>4</v>
      </c>
      <c r="AC103" s="13">
        <f t="shared" si="23"/>
        <v>2</v>
      </c>
      <c r="AD103" s="13">
        <f t="shared" si="23"/>
        <v>7</v>
      </c>
      <c r="AE103" s="13">
        <f t="shared" si="23"/>
        <v>8</v>
      </c>
      <c r="AF103" s="13">
        <f t="shared" si="23"/>
        <v>154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0.0</v>
      </c>
      <c r="L105" s="73">
        <v>1.0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2.0</v>
      </c>
      <c r="T105" s="73">
        <v>1.0</v>
      </c>
      <c r="U105" s="73">
        <v>0.0</v>
      </c>
      <c r="V105" s="73">
        <v>0.0</v>
      </c>
      <c r="W105" s="73">
        <v>0.0</v>
      </c>
      <c r="X105" s="73">
        <v>0.0</v>
      </c>
      <c r="Y105" s="73">
        <v>1.0</v>
      </c>
      <c r="Z105" s="73">
        <v>1.0</v>
      </c>
      <c r="AA105" s="73">
        <v>0.0</v>
      </c>
      <c r="AB105" s="73">
        <v>1.0</v>
      </c>
      <c r="AC105" s="73">
        <v>0.0</v>
      </c>
      <c r="AD105" s="73">
        <v>0.0</v>
      </c>
      <c r="AE105" s="73">
        <v>2.0</v>
      </c>
      <c r="AF105" s="13">
        <f t="shared" ref="AF105:AF114" si="24">SUM(E105:AE105)</f>
        <v>10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1.0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1.0</v>
      </c>
      <c r="T106" s="73">
        <v>1.0</v>
      </c>
      <c r="U106" s="73">
        <v>0.0</v>
      </c>
      <c r="V106" s="73">
        <v>0.0</v>
      </c>
      <c r="W106" s="73">
        <v>1.0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1.0</v>
      </c>
      <c r="AE106" s="73">
        <v>0.0</v>
      </c>
      <c r="AF106" s="13">
        <f t="shared" si="24"/>
        <v>6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1.0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1.0</v>
      </c>
      <c r="W107" s="73">
        <v>0.0</v>
      </c>
      <c r="X107" s="73">
        <v>0.0</v>
      </c>
      <c r="Y107" s="73">
        <v>1.0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13">
        <f t="shared" si="24"/>
        <v>3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F115" si="25">SUM(E105:E114)</f>
        <v>0</v>
      </c>
      <c r="F115" s="13">
        <f t="shared" si="25"/>
        <v>0</v>
      </c>
      <c r="G115" s="13">
        <f t="shared" si="25"/>
        <v>2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3</v>
      </c>
      <c r="T115" s="13">
        <f t="shared" si="25"/>
        <v>2</v>
      </c>
      <c r="U115" s="13">
        <f t="shared" si="25"/>
        <v>0</v>
      </c>
      <c r="V115" s="13">
        <f t="shared" si="25"/>
        <v>1</v>
      </c>
      <c r="W115" s="13">
        <f t="shared" si="25"/>
        <v>1</v>
      </c>
      <c r="X115" s="13">
        <f t="shared" si="25"/>
        <v>0</v>
      </c>
      <c r="Y115" s="13">
        <f t="shared" si="25"/>
        <v>2</v>
      </c>
      <c r="Z115" s="13">
        <f t="shared" si="25"/>
        <v>1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 t="shared" si="25"/>
        <v>2</v>
      </c>
      <c r="AF115" s="13">
        <f t="shared" si="25"/>
        <v>19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1.0</v>
      </c>
      <c r="M117" s="73">
        <v>0.0</v>
      </c>
      <c r="N117" s="73">
        <v>1.0</v>
      </c>
      <c r="O117" s="73">
        <v>1.0</v>
      </c>
      <c r="P117" s="73">
        <v>2.0</v>
      </c>
      <c r="Q117" s="73">
        <v>0.0</v>
      </c>
      <c r="R117" s="73">
        <v>1.0</v>
      </c>
      <c r="S117" s="73">
        <v>0.0</v>
      </c>
      <c r="T117" s="73">
        <v>2.0</v>
      </c>
      <c r="U117" s="73">
        <v>1.0</v>
      </c>
      <c r="V117" s="73">
        <v>0.0</v>
      </c>
      <c r="W117" s="73">
        <v>1.0</v>
      </c>
      <c r="X117" s="73">
        <v>0.0</v>
      </c>
      <c r="Y117" s="73">
        <v>1.0</v>
      </c>
      <c r="Z117" s="73">
        <v>2.0</v>
      </c>
      <c r="AA117" s="73">
        <v>0.0</v>
      </c>
      <c r="AB117" s="73">
        <v>1.0</v>
      </c>
      <c r="AC117" s="73">
        <v>0.0</v>
      </c>
      <c r="AD117" s="73">
        <v>1.0</v>
      </c>
      <c r="AE117" s="73">
        <v>0.0</v>
      </c>
      <c r="AF117" s="13">
        <f t="shared" ref="AF117:AF126" si="26">SUM(E117:AE117)</f>
        <v>15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1.0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1.0</v>
      </c>
      <c r="AA118" s="73">
        <v>0.0</v>
      </c>
      <c r="AB118" s="73">
        <v>1.0</v>
      </c>
      <c r="AC118" s="73">
        <v>0.0</v>
      </c>
      <c r="AD118" s="73">
        <v>1.0</v>
      </c>
      <c r="AE118" s="73">
        <v>0.0</v>
      </c>
      <c r="AF118" s="13">
        <f t="shared" si="26"/>
        <v>4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1.0</v>
      </c>
      <c r="T119" s="73">
        <v>0.0</v>
      </c>
      <c r="U119" s="73">
        <v>1.0</v>
      </c>
      <c r="V119" s="73">
        <v>0.0</v>
      </c>
      <c r="W119" s="73">
        <v>1.0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1.0</v>
      </c>
      <c r="I120" s="73">
        <v>0.0</v>
      </c>
      <c r="J120" s="73">
        <v>0.0</v>
      </c>
      <c r="K120" s="73">
        <v>1.0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13">
        <f t="shared" si="26"/>
        <v>2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1.0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13">
        <f t="shared" si="26"/>
        <v>1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1.0</v>
      </c>
      <c r="O122" s="73">
        <v>0.0</v>
      </c>
      <c r="P122" s="73">
        <v>0.0</v>
      </c>
      <c r="Q122" s="73">
        <v>0.0</v>
      </c>
      <c r="R122" s="73">
        <v>0.0</v>
      </c>
      <c r="S122" s="73">
        <v>1.0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13">
        <f t="shared" si="26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F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2</v>
      </c>
      <c r="O127" s="13">
        <f t="shared" si="27"/>
        <v>1</v>
      </c>
      <c r="P127" s="13">
        <f t="shared" si="27"/>
        <v>3</v>
      </c>
      <c r="Q127" s="13">
        <f t="shared" si="27"/>
        <v>1</v>
      </c>
      <c r="R127" s="13">
        <f t="shared" si="27"/>
        <v>1</v>
      </c>
      <c r="S127" s="13">
        <f t="shared" si="27"/>
        <v>2</v>
      </c>
      <c r="T127" s="13">
        <f t="shared" si="27"/>
        <v>2</v>
      </c>
      <c r="U127" s="13">
        <f t="shared" si="27"/>
        <v>2</v>
      </c>
      <c r="V127" s="13">
        <f t="shared" si="27"/>
        <v>0</v>
      </c>
      <c r="W127" s="13">
        <f t="shared" si="27"/>
        <v>2</v>
      </c>
      <c r="X127" s="13">
        <f t="shared" si="27"/>
        <v>0</v>
      </c>
      <c r="Y127" s="13">
        <f t="shared" si="27"/>
        <v>1</v>
      </c>
      <c r="Z127" s="13">
        <f t="shared" si="27"/>
        <v>3</v>
      </c>
      <c r="AA127" s="13">
        <f t="shared" si="27"/>
        <v>0</v>
      </c>
      <c r="AB127" s="13">
        <f t="shared" si="27"/>
        <v>2</v>
      </c>
      <c r="AC127" s="13">
        <f t="shared" si="27"/>
        <v>0</v>
      </c>
      <c r="AD127" s="13">
        <f t="shared" si="27"/>
        <v>2</v>
      </c>
      <c r="AE127" s="13">
        <f t="shared" si="27"/>
        <v>0</v>
      </c>
      <c r="AF127" s="13">
        <f t="shared" si="27"/>
        <v>27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1.0</v>
      </c>
      <c r="G129" s="73">
        <v>0.0</v>
      </c>
      <c r="H129" s="73">
        <v>0.0</v>
      </c>
      <c r="I129" s="73">
        <v>0.0</v>
      </c>
      <c r="J129" s="73">
        <v>1.0</v>
      </c>
      <c r="K129" s="73">
        <v>0.0</v>
      </c>
      <c r="L129" s="73">
        <v>1.0</v>
      </c>
      <c r="M129" s="73">
        <v>0.0</v>
      </c>
      <c r="N129" s="73">
        <v>0.0</v>
      </c>
      <c r="O129" s="73">
        <v>0.0</v>
      </c>
      <c r="P129" s="73">
        <v>1.0</v>
      </c>
      <c r="Q129" s="73">
        <v>1.0</v>
      </c>
      <c r="R129" s="73">
        <v>2.0</v>
      </c>
      <c r="S129" s="73">
        <v>2.0</v>
      </c>
      <c r="T129" s="73">
        <v>0.0</v>
      </c>
      <c r="U129" s="73">
        <v>0.0</v>
      </c>
      <c r="V129" s="73">
        <v>2.0</v>
      </c>
      <c r="W129" s="73">
        <v>0.0</v>
      </c>
      <c r="X129" s="73">
        <v>1.0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0.0</v>
      </c>
      <c r="AD129" s="73">
        <v>1.0</v>
      </c>
      <c r="AE129" s="73">
        <v>0.0</v>
      </c>
      <c r="AF129" s="13">
        <f t="shared" ref="AF129:AF138" si="28">SUM(E129:AE129)</f>
        <v>15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2.0</v>
      </c>
      <c r="F130" s="73">
        <v>0.0</v>
      </c>
      <c r="G130" s="73">
        <v>0.0</v>
      </c>
      <c r="H130" s="73">
        <v>0.0</v>
      </c>
      <c r="I130" s="73">
        <v>0.0</v>
      </c>
      <c r="J130" s="73">
        <v>6.0</v>
      </c>
      <c r="K130" s="73">
        <v>1.0</v>
      </c>
      <c r="L130" s="73">
        <v>3.0</v>
      </c>
      <c r="M130" s="73">
        <v>0.0</v>
      </c>
      <c r="N130" s="73">
        <v>0.0</v>
      </c>
      <c r="O130" s="73">
        <v>1.0</v>
      </c>
      <c r="P130" s="73">
        <v>0.0</v>
      </c>
      <c r="Q130" s="73">
        <v>2.0</v>
      </c>
      <c r="R130" s="73">
        <v>0.0</v>
      </c>
      <c r="S130" s="73">
        <v>0.0</v>
      </c>
      <c r="T130" s="73">
        <v>0.0</v>
      </c>
      <c r="U130" s="73">
        <v>0.0</v>
      </c>
      <c r="V130" s="73">
        <v>1.0</v>
      </c>
      <c r="W130" s="73">
        <v>1.0</v>
      </c>
      <c r="X130" s="73">
        <v>5.0</v>
      </c>
      <c r="Y130" s="73">
        <v>1.0</v>
      </c>
      <c r="Z130" s="73">
        <v>0.0</v>
      </c>
      <c r="AA130" s="73">
        <v>2.0</v>
      </c>
      <c r="AB130" s="73">
        <v>0.0</v>
      </c>
      <c r="AC130" s="73">
        <v>0.0</v>
      </c>
      <c r="AD130" s="73">
        <v>2.0</v>
      </c>
      <c r="AE130" s="73">
        <v>0.0</v>
      </c>
      <c r="AF130" s="13">
        <f t="shared" si="28"/>
        <v>27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2.0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1.0</v>
      </c>
      <c r="W131" s="73">
        <v>1.0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1.0</v>
      </c>
      <c r="AF131" s="13">
        <f t="shared" si="28"/>
        <v>5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2.0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1.0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13">
        <f t="shared" si="28"/>
        <v>3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13">
        <f t="shared" si="28"/>
        <v>0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13">
        <f t="shared" si="28"/>
        <v>0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F139" si="29">SUM(E129:E138)</f>
        <v>4</v>
      </c>
      <c r="F139" s="13">
        <f t="shared" si="29"/>
        <v>1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7</v>
      </c>
      <c r="K139" s="13">
        <f t="shared" si="29"/>
        <v>3</v>
      </c>
      <c r="L139" s="13">
        <f t="shared" si="29"/>
        <v>6</v>
      </c>
      <c r="M139" s="13">
        <f t="shared" si="29"/>
        <v>0</v>
      </c>
      <c r="N139" s="13">
        <f t="shared" si="29"/>
        <v>0</v>
      </c>
      <c r="O139" s="13">
        <f t="shared" si="29"/>
        <v>2</v>
      </c>
      <c r="P139" s="13">
        <f t="shared" si="29"/>
        <v>1</v>
      </c>
      <c r="Q139" s="13">
        <f t="shared" si="29"/>
        <v>3</v>
      </c>
      <c r="R139" s="13">
        <f t="shared" si="29"/>
        <v>2</v>
      </c>
      <c r="S139" s="13">
        <f t="shared" si="29"/>
        <v>2</v>
      </c>
      <c r="T139" s="13">
        <f t="shared" si="29"/>
        <v>0</v>
      </c>
      <c r="U139" s="13">
        <f t="shared" si="29"/>
        <v>0</v>
      </c>
      <c r="V139" s="13">
        <f t="shared" si="29"/>
        <v>4</v>
      </c>
      <c r="W139" s="13">
        <f t="shared" si="29"/>
        <v>2</v>
      </c>
      <c r="X139" s="13">
        <f t="shared" si="29"/>
        <v>7</v>
      </c>
      <c r="Y139" s="13">
        <f t="shared" si="29"/>
        <v>1</v>
      </c>
      <c r="Z139" s="13">
        <f t="shared" si="29"/>
        <v>0</v>
      </c>
      <c r="AA139" s="13">
        <f t="shared" si="29"/>
        <v>2</v>
      </c>
      <c r="AB139" s="13">
        <f t="shared" si="29"/>
        <v>0</v>
      </c>
      <c r="AC139" s="13">
        <f t="shared" si="29"/>
        <v>0</v>
      </c>
      <c r="AD139" s="13">
        <f t="shared" si="29"/>
        <v>3</v>
      </c>
      <c r="AE139" s="13">
        <f t="shared" si="29"/>
        <v>1</v>
      </c>
      <c r="AF139" s="13">
        <f t="shared" si="29"/>
        <v>51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13">
        <f t="shared" ref="AF141:AF150" si="30">SUM(E141:AE141)</f>
        <v>0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1.0</v>
      </c>
      <c r="T142" s="73">
        <v>0.0</v>
      </c>
      <c r="U142" s="73">
        <v>1.0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1.0</v>
      </c>
      <c r="AB142" s="73">
        <v>0.0</v>
      </c>
      <c r="AC142" s="73">
        <v>1.0</v>
      </c>
      <c r="AD142" s="73">
        <v>0.0</v>
      </c>
      <c r="AE142" s="73">
        <v>0.0</v>
      </c>
      <c r="AF142" s="13">
        <f t="shared" si="30"/>
        <v>4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1.0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13">
        <f t="shared" si="30"/>
        <v>1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1.0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1.0</v>
      </c>
      <c r="V153" s="73">
        <v>0.0</v>
      </c>
      <c r="W153" s="73">
        <v>1.0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13">
        <f t="shared" ref="AF153:AF156" si="32">SUM(E154:AE154)</f>
        <v>1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1.0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13">
        <f t="shared" si="32"/>
        <v>1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1.0</v>
      </c>
      <c r="AC155" s="73">
        <v>0.0</v>
      </c>
      <c r="AD155" s="73">
        <v>0.0</v>
      </c>
      <c r="AE155" s="73">
        <v>0.0</v>
      </c>
      <c r="AF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1.0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1.0</v>
      </c>
      <c r="AE156" s="73">
        <v>0.0</v>
      </c>
      <c r="AF156" s="13">
        <f t="shared" si="32"/>
        <v>0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3">
        <f t="shared" ref="AF157:AF162" si="33">SUM(E163:AE163)</f>
        <v>11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1.0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3">
        <f t="shared" si="33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3">
        <f t="shared" si="33"/>
        <v>7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1.0</v>
      </c>
      <c r="Q160" s="73">
        <v>2.0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13">
        <f t="shared" si="33"/>
        <v>3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3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3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F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2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1</v>
      </c>
      <c r="Q163" s="13">
        <f t="shared" si="34"/>
        <v>2</v>
      </c>
      <c r="R163" s="13">
        <f t="shared" si="34"/>
        <v>0</v>
      </c>
      <c r="S163" s="13">
        <f t="shared" si="34"/>
        <v>0</v>
      </c>
      <c r="T163" s="13">
        <f t="shared" si="34"/>
        <v>1</v>
      </c>
      <c r="U163" s="13">
        <f t="shared" si="34"/>
        <v>1</v>
      </c>
      <c r="V163" s="13">
        <f t="shared" si="34"/>
        <v>0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1</v>
      </c>
      <c r="AC163" s="13">
        <f t="shared" si="34"/>
        <v>0</v>
      </c>
      <c r="AD163" s="13">
        <f t="shared" si="34"/>
        <v>1</v>
      </c>
      <c r="AE163" s="13">
        <f t="shared" si="34"/>
        <v>0</v>
      </c>
      <c r="AF163" s="13">
        <f t="shared" si="34"/>
        <v>25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1.0</v>
      </c>
      <c r="L165" s="73">
        <v>0.0</v>
      </c>
      <c r="M165" s="73">
        <v>1.0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1.0</v>
      </c>
      <c r="U165" s="73">
        <v>0.0</v>
      </c>
      <c r="V165" s="73">
        <v>0.0</v>
      </c>
      <c r="W165" s="73">
        <v>0.0</v>
      </c>
      <c r="X165" s="73">
        <v>1.0</v>
      </c>
      <c r="Y165" s="73">
        <v>0.0</v>
      </c>
      <c r="Z165" s="73">
        <v>1.0</v>
      </c>
      <c r="AA165" s="73">
        <v>1.0</v>
      </c>
      <c r="AB165" s="73">
        <v>0.0</v>
      </c>
      <c r="AC165" s="73">
        <v>0.0</v>
      </c>
      <c r="AD165" s="73">
        <v>0.0</v>
      </c>
      <c r="AE165" s="73">
        <v>0.0</v>
      </c>
      <c r="AF165" s="13">
        <f t="shared" ref="AF165:AF174" si="35">SUM(E165:AE165)</f>
        <v>7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0.0</v>
      </c>
      <c r="Z166" s="73">
        <v>0.0</v>
      </c>
      <c r="AA166" s="73">
        <v>1.0</v>
      </c>
      <c r="AB166" s="73">
        <v>1.0</v>
      </c>
      <c r="AC166" s="73">
        <v>1.0</v>
      </c>
      <c r="AD166" s="73">
        <v>0.0</v>
      </c>
      <c r="AE166" s="73">
        <v>0.0</v>
      </c>
      <c r="AF166" s="13">
        <f t="shared" si="35"/>
        <v>3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3">
        <f t="shared" si="35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3">
        <f t="shared" si="35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3">
        <f t="shared" si="35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3">
        <f t="shared" si="35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3">
        <f t="shared" si="35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3">
        <f t="shared" si="35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5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5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F175" si="36">SUM(E165:E174)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0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1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 t="shared" si="36"/>
        <v>1</v>
      </c>
      <c r="AA175" s="13">
        <f t="shared" si="36"/>
        <v>2</v>
      </c>
      <c r="AB175" s="13">
        <f t="shared" si="36"/>
        <v>1</v>
      </c>
      <c r="AC175" s="13">
        <f t="shared" si="36"/>
        <v>1</v>
      </c>
      <c r="AD175" s="13">
        <f t="shared" si="36"/>
        <v>0</v>
      </c>
      <c r="AE175" s="13">
        <f t="shared" si="36"/>
        <v>0</v>
      </c>
      <c r="AF175" s="13">
        <f t="shared" si="36"/>
        <v>10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2.0</v>
      </c>
      <c r="I177" s="73">
        <v>2.0</v>
      </c>
      <c r="J177" s="73">
        <v>0.0</v>
      </c>
      <c r="K177" s="73">
        <v>0.0</v>
      </c>
      <c r="L177" s="73">
        <v>0.0</v>
      </c>
      <c r="M177" s="73">
        <v>0.0</v>
      </c>
      <c r="N177" s="73">
        <v>3.0</v>
      </c>
      <c r="O177" s="73">
        <v>0.0</v>
      </c>
      <c r="P177" s="73">
        <v>0.0</v>
      </c>
      <c r="Q177" s="73">
        <v>0.0</v>
      </c>
      <c r="R177" s="73">
        <v>2.0</v>
      </c>
      <c r="S177" s="73">
        <v>0.0</v>
      </c>
      <c r="T177" s="73">
        <v>0.0</v>
      </c>
      <c r="U177" s="73">
        <v>1.0</v>
      </c>
      <c r="V177" s="73">
        <v>0.0</v>
      </c>
      <c r="W177" s="73">
        <v>0.0</v>
      </c>
      <c r="X177" s="73">
        <v>0.0</v>
      </c>
      <c r="Y177" s="73">
        <v>1.0</v>
      </c>
      <c r="Z177" s="73">
        <v>0.0</v>
      </c>
      <c r="AA177" s="73">
        <v>1.0</v>
      </c>
      <c r="AB177" s="73">
        <v>0.0</v>
      </c>
      <c r="AC177" s="73">
        <v>0.0</v>
      </c>
      <c r="AD177" s="73">
        <v>0.0</v>
      </c>
      <c r="AE177" s="73">
        <v>0.0</v>
      </c>
      <c r="AF177" s="13">
        <f t="shared" ref="AF177:AF186" si="37">SUM(E177:AE177)</f>
        <v>12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2.0</v>
      </c>
      <c r="H178" s="73">
        <v>1.0</v>
      </c>
      <c r="I178" s="73">
        <v>0.0</v>
      </c>
      <c r="J178" s="73">
        <v>2.0</v>
      </c>
      <c r="K178" s="73">
        <v>1.0</v>
      </c>
      <c r="L178" s="73">
        <v>1.0</v>
      </c>
      <c r="M178" s="73">
        <v>1.0</v>
      </c>
      <c r="N178" s="73">
        <v>2.0</v>
      </c>
      <c r="O178" s="73">
        <v>0.0</v>
      </c>
      <c r="P178" s="73">
        <v>0.0</v>
      </c>
      <c r="Q178" s="73">
        <v>1.0</v>
      </c>
      <c r="R178" s="73">
        <v>1.0</v>
      </c>
      <c r="S178" s="73">
        <v>0.0</v>
      </c>
      <c r="T178" s="73">
        <v>1.0</v>
      </c>
      <c r="U178" s="73">
        <v>0.0</v>
      </c>
      <c r="V178" s="73">
        <v>1.0</v>
      </c>
      <c r="W178" s="73">
        <v>0.0</v>
      </c>
      <c r="X178" s="73">
        <v>1.0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0.0</v>
      </c>
      <c r="AD178" s="73">
        <v>0.0</v>
      </c>
      <c r="AE178" s="73">
        <v>0.0</v>
      </c>
      <c r="AF178" s="13">
        <f t="shared" si="37"/>
        <v>15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1.0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1.0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13">
        <f t="shared" si="37"/>
        <v>2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1.0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4.0</v>
      </c>
      <c r="AB180" s="73">
        <v>1.0</v>
      </c>
      <c r="AC180" s="73">
        <v>0.0</v>
      </c>
      <c r="AD180" s="73">
        <v>1.0</v>
      </c>
      <c r="AE180" s="73">
        <v>0.0</v>
      </c>
      <c r="AF180" s="13">
        <f t="shared" si="37"/>
        <v>7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1.0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1.0</v>
      </c>
      <c r="P181" s="73">
        <v>0.0</v>
      </c>
      <c r="Q181" s="73">
        <v>0.0</v>
      </c>
      <c r="R181" s="73">
        <v>0.0</v>
      </c>
      <c r="S181" s="73">
        <v>1.0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13">
        <f t="shared" si="37"/>
        <v>3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1.0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1.0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13">
        <f t="shared" si="37"/>
        <v>2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13">
        <f t="shared" si="37"/>
        <v>0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1.0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13">
        <f t="shared" si="37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1.0</v>
      </c>
      <c r="AC185" s="73">
        <v>0.0</v>
      </c>
      <c r="AD185" s="73">
        <v>0.0</v>
      </c>
      <c r="AE185" s="73">
        <v>0.0</v>
      </c>
      <c r="AF185" s="13">
        <f t="shared" si="37"/>
        <v>1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13">
        <f t="shared" si="37"/>
        <v>0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F187" si="38">SUM(E177:E186)</f>
        <v>0</v>
      </c>
      <c r="F187" s="13">
        <f t="shared" si="38"/>
        <v>0</v>
      </c>
      <c r="G187" s="13">
        <f t="shared" si="38"/>
        <v>3</v>
      </c>
      <c r="H187" s="13">
        <f t="shared" si="38"/>
        <v>5</v>
      </c>
      <c r="I187" s="13">
        <f t="shared" si="38"/>
        <v>2</v>
      </c>
      <c r="J187" s="13">
        <f t="shared" si="38"/>
        <v>2</v>
      </c>
      <c r="K187" s="13">
        <f t="shared" si="38"/>
        <v>1</v>
      </c>
      <c r="L187" s="13">
        <f t="shared" si="38"/>
        <v>1</v>
      </c>
      <c r="M187" s="13">
        <f t="shared" si="38"/>
        <v>1</v>
      </c>
      <c r="N187" s="13">
        <f t="shared" si="38"/>
        <v>5</v>
      </c>
      <c r="O187" s="13">
        <f t="shared" si="38"/>
        <v>2</v>
      </c>
      <c r="P187" s="13">
        <f t="shared" si="38"/>
        <v>0</v>
      </c>
      <c r="Q187" s="13">
        <f t="shared" si="38"/>
        <v>1</v>
      </c>
      <c r="R187" s="13">
        <f t="shared" si="38"/>
        <v>5</v>
      </c>
      <c r="S187" s="13">
        <f t="shared" si="38"/>
        <v>1</v>
      </c>
      <c r="T187" s="13">
        <f t="shared" si="38"/>
        <v>1</v>
      </c>
      <c r="U187" s="13">
        <f t="shared" si="38"/>
        <v>2</v>
      </c>
      <c r="V187" s="13">
        <f t="shared" si="38"/>
        <v>1</v>
      </c>
      <c r="W187" s="13">
        <f t="shared" si="38"/>
        <v>0</v>
      </c>
      <c r="X187" s="13">
        <f t="shared" si="38"/>
        <v>1</v>
      </c>
      <c r="Y187" s="13">
        <f t="shared" si="38"/>
        <v>1</v>
      </c>
      <c r="Z187" s="13">
        <f t="shared" si="38"/>
        <v>0</v>
      </c>
      <c r="AA187" s="13">
        <f t="shared" si="38"/>
        <v>5</v>
      </c>
      <c r="AB187" s="13">
        <f t="shared" si="38"/>
        <v>2</v>
      </c>
      <c r="AC187" s="13">
        <f t="shared" si="38"/>
        <v>0</v>
      </c>
      <c r="AD187" s="13">
        <f t="shared" si="38"/>
        <v>1</v>
      </c>
      <c r="AE187" s="13">
        <f t="shared" si="38"/>
        <v>0</v>
      </c>
      <c r="AF187" s="13">
        <f t="shared" si="38"/>
        <v>43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1.0</v>
      </c>
      <c r="V189" s="73">
        <v>0.0</v>
      </c>
      <c r="W189" s="73">
        <v>1.0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1.0</v>
      </c>
      <c r="AD189" s="73">
        <v>0.0</v>
      </c>
      <c r="AE189" s="73">
        <v>0.0</v>
      </c>
      <c r="AF189" s="13">
        <f t="shared" ref="AF189:AF198" si="39">SUM(E189:AE189)</f>
        <v>4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1.0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1.0</v>
      </c>
      <c r="AE190" s="73">
        <v>0.0</v>
      </c>
      <c r="AF190" s="13">
        <f t="shared" si="39"/>
        <v>2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1.0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1.0</v>
      </c>
      <c r="AD191" s="73">
        <v>0.0</v>
      </c>
      <c r="AE191" s="73">
        <v>0.0</v>
      </c>
      <c r="AF191" s="13">
        <f t="shared" si="39"/>
        <v>3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1.0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1.0</v>
      </c>
      <c r="AB192" s="73">
        <v>0.0</v>
      </c>
      <c r="AC192" s="73">
        <v>0.0</v>
      </c>
      <c r="AD192" s="73">
        <v>1.0</v>
      </c>
      <c r="AE192" s="73">
        <v>0.0</v>
      </c>
      <c r="AF192" s="13">
        <f t="shared" si="39"/>
        <v>3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13">
        <f t="shared" si="39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13">
        <f t="shared" si="39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13">
        <f t="shared" si="39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1.0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1.0</v>
      </c>
      <c r="AB196" s="73">
        <v>0.0</v>
      </c>
      <c r="AC196" s="73">
        <v>0.0</v>
      </c>
      <c r="AD196" s="73">
        <v>0.0</v>
      </c>
      <c r="AE196" s="73">
        <v>0.0</v>
      </c>
      <c r="AF196" s="13">
        <f t="shared" si="39"/>
        <v>2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1.0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13">
        <f t="shared" si="39"/>
        <v>1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13">
        <f t="shared" si="39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F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2</v>
      </c>
      <c r="R199" s="13">
        <f t="shared" si="40"/>
        <v>0</v>
      </c>
      <c r="S199" s="13">
        <f t="shared" si="40"/>
        <v>0</v>
      </c>
      <c r="T199" s="13">
        <f t="shared" si="40"/>
        <v>2</v>
      </c>
      <c r="U199" s="13">
        <f t="shared" si="40"/>
        <v>1</v>
      </c>
      <c r="V199" s="13">
        <f t="shared" si="40"/>
        <v>0</v>
      </c>
      <c r="W199" s="13">
        <f t="shared" si="40"/>
        <v>1</v>
      </c>
      <c r="X199" s="13">
        <f t="shared" si="40"/>
        <v>1</v>
      </c>
      <c r="Y199" s="13">
        <f t="shared" si="40"/>
        <v>0</v>
      </c>
      <c r="Z199" s="13">
        <f t="shared" si="40"/>
        <v>0</v>
      </c>
      <c r="AA199" s="13">
        <f t="shared" si="40"/>
        <v>2</v>
      </c>
      <c r="AB199" s="13">
        <f t="shared" si="40"/>
        <v>0</v>
      </c>
      <c r="AC199" s="13">
        <f t="shared" si="40"/>
        <v>2</v>
      </c>
      <c r="AD199" s="13">
        <f t="shared" si="40"/>
        <v>2</v>
      </c>
      <c r="AE199" s="13">
        <f t="shared" si="40"/>
        <v>0</v>
      </c>
      <c r="AF199" s="13">
        <f t="shared" si="40"/>
        <v>15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2.0</v>
      </c>
      <c r="F201" s="73">
        <v>13.0</v>
      </c>
      <c r="G201" s="73">
        <v>9.0</v>
      </c>
      <c r="H201" s="73">
        <v>6.0</v>
      </c>
      <c r="I201" s="73">
        <v>9.0</v>
      </c>
      <c r="J201" s="73">
        <v>7.0</v>
      </c>
      <c r="K201" s="73">
        <v>15.0</v>
      </c>
      <c r="L201" s="73">
        <v>5.0</v>
      </c>
      <c r="M201" s="73">
        <v>11.0</v>
      </c>
      <c r="N201" s="73">
        <v>3.0</v>
      </c>
      <c r="O201" s="73">
        <v>4.0</v>
      </c>
      <c r="P201" s="73">
        <v>3.0</v>
      </c>
      <c r="Q201" s="73">
        <v>4.0</v>
      </c>
      <c r="R201" s="73">
        <v>4.0</v>
      </c>
      <c r="S201" s="73">
        <v>7.0</v>
      </c>
      <c r="T201" s="73">
        <v>7.0</v>
      </c>
      <c r="U201" s="73">
        <v>3.0</v>
      </c>
      <c r="V201" s="73">
        <v>2.0</v>
      </c>
      <c r="W201" s="73">
        <v>4.0</v>
      </c>
      <c r="X201" s="73">
        <v>8.0</v>
      </c>
      <c r="Y201" s="73">
        <v>9.0</v>
      </c>
      <c r="Z201" s="73">
        <v>1.0</v>
      </c>
      <c r="AA201" s="73">
        <v>3.0</v>
      </c>
      <c r="AB201" s="73">
        <v>3.0</v>
      </c>
      <c r="AC201" s="73">
        <v>1.0</v>
      </c>
      <c r="AD201" s="73">
        <v>4.0</v>
      </c>
      <c r="AE201" s="73">
        <v>2.0</v>
      </c>
      <c r="AF201" s="13">
        <f t="shared" ref="AF201:AF210" si="41">SUM(E201:AE201)</f>
        <v>149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165.0</v>
      </c>
      <c r="F202" s="73">
        <v>140.0</v>
      </c>
      <c r="G202" s="73">
        <v>124.0</v>
      </c>
      <c r="H202" s="73">
        <v>77.0</v>
      </c>
      <c r="I202" s="73">
        <v>131.0</v>
      </c>
      <c r="J202" s="73">
        <v>116.0</v>
      </c>
      <c r="K202" s="73">
        <v>80.0</v>
      </c>
      <c r="L202" s="73">
        <v>95.0</v>
      </c>
      <c r="M202" s="73">
        <v>116.0</v>
      </c>
      <c r="N202" s="73">
        <v>57.0</v>
      </c>
      <c r="O202" s="73">
        <v>38.0</v>
      </c>
      <c r="P202" s="73">
        <v>32.0</v>
      </c>
      <c r="Q202" s="73">
        <v>50.0</v>
      </c>
      <c r="R202" s="73">
        <v>23.0</v>
      </c>
      <c r="S202" s="73">
        <v>95.0</v>
      </c>
      <c r="T202" s="73">
        <v>88.0</v>
      </c>
      <c r="U202" s="73">
        <v>80.0</v>
      </c>
      <c r="V202" s="73">
        <v>52.0</v>
      </c>
      <c r="W202" s="73">
        <v>64.0</v>
      </c>
      <c r="X202" s="73">
        <v>48.0</v>
      </c>
      <c r="Y202" s="73">
        <v>49.0</v>
      </c>
      <c r="Z202" s="73">
        <v>70.0</v>
      </c>
      <c r="AA202" s="73">
        <v>53.0</v>
      </c>
      <c r="AB202" s="73">
        <v>42.0</v>
      </c>
      <c r="AC202" s="73">
        <v>56.0</v>
      </c>
      <c r="AD202" s="73">
        <v>41.0</v>
      </c>
      <c r="AE202" s="73">
        <v>26.0</v>
      </c>
      <c r="AF202" s="13">
        <f t="shared" si="41"/>
        <v>2008</v>
      </c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2.0</v>
      </c>
      <c r="G203" s="73">
        <v>2.0</v>
      </c>
      <c r="H203" s="73">
        <v>1.0</v>
      </c>
      <c r="I203" s="73">
        <v>1.0</v>
      </c>
      <c r="J203" s="73">
        <v>0.0</v>
      </c>
      <c r="K203" s="73">
        <v>0.0</v>
      </c>
      <c r="L203" s="73">
        <v>2.0</v>
      </c>
      <c r="M203" s="73">
        <v>0.0</v>
      </c>
      <c r="N203" s="73">
        <v>0.0</v>
      </c>
      <c r="O203" s="73">
        <v>1.0</v>
      </c>
      <c r="P203" s="73">
        <v>0.0</v>
      </c>
      <c r="Q203" s="73">
        <v>1.0</v>
      </c>
      <c r="R203" s="73">
        <v>0.0</v>
      </c>
      <c r="S203" s="73">
        <v>3.0</v>
      </c>
      <c r="T203" s="73">
        <v>2.0</v>
      </c>
      <c r="U203" s="73">
        <v>0.0</v>
      </c>
      <c r="V203" s="73">
        <v>3.0</v>
      </c>
      <c r="W203" s="73">
        <v>1.0</v>
      </c>
      <c r="X203" s="73">
        <v>0.0</v>
      </c>
      <c r="Y203" s="73">
        <v>2.0</v>
      </c>
      <c r="Z203" s="73">
        <v>0.0</v>
      </c>
      <c r="AA203" s="73">
        <v>0.0</v>
      </c>
      <c r="AB203" s="73">
        <v>3.0</v>
      </c>
      <c r="AC203" s="73">
        <v>0.0</v>
      </c>
      <c r="AD203" s="73">
        <v>0.0</v>
      </c>
      <c r="AE203" s="73">
        <v>0.0</v>
      </c>
      <c r="AF203" s="13">
        <f t="shared" si="41"/>
        <v>25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1.0</v>
      </c>
      <c r="G204" s="73">
        <v>1.0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1.0</v>
      </c>
      <c r="W204" s="73">
        <v>1.0</v>
      </c>
      <c r="X204" s="73">
        <v>1.0</v>
      </c>
      <c r="Y204" s="73">
        <v>0.0</v>
      </c>
      <c r="Z204" s="73">
        <v>1.0</v>
      </c>
      <c r="AA204" s="73">
        <v>0.0</v>
      </c>
      <c r="AB204" s="73">
        <v>1.0</v>
      </c>
      <c r="AC204" s="73">
        <v>0.0</v>
      </c>
      <c r="AD204" s="73">
        <v>0.0</v>
      </c>
      <c r="AE204" s="73">
        <v>0.0</v>
      </c>
      <c r="AF204" s="13">
        <f t="shared" si="41"/>
        <v>7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1.0</v>
      </c>
      <c r="M205" s="73">
        <v>1.0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0.0</v>
      </c>
      <c r="V205" s="73">
        <v>1.0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13">
        <f t="shared" si="41"/>
        <v>4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1.0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1.0</v>
      </c>
      <c r="AE206" s="73">
        <v>0.0</v>
      </c>
      <c r="AF206" s="13">
        <f t="shared" si="41"/>
        <v>2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1.0</v>
      </c>
      <c r="K207" s="73">
        <v>0.0</v>
      </c>
      <c r="L207" s="73">
        <v>0.0</v>
      </c>
      <c r="M207" s="73">
        <v>0.0</v>
      </c>
      <c r="N207" s="73">
        <v>0.0</v>
      </c>
      <c r="O207" s="73">
        <v>1.0</v>
      </c>
      <c r="P207" s="73">
        <v>0.0</v>
      </c>
      <c r="Q207" s="73">
        <v>0.0</v>
      </c>
      <c r="R207" s="73">
        <v>0.0</v>
      </c>
      <c r="S207" s="73">
        <v>0.0</v>
      </c>
      <c r="T207" s="73">
        <v>1.0</v>
      </c>
      <c r="U207" s="73">
        <v>1.0</v>
      </c>
      <c r="V207" s="73">
        <v>0.0</v>
      </c>
      <c r="W207" s="73">
        <v>0.0</v>
      </c>
      <c r="X207" s="73">
        <v>1.0</v>
      </c>
      <c r="Y207" s="73">
        <v>2.0</v>
      </c>
      <c r="Z207" s="73">
        <v>0.0</v>
      </c>
      <c r="AA207" s="73">
        <v>1.0</v>
      </c>
      <c r="AB207" s="73">
        <v>0.0</v>
      </c>
      <c r="AC207" s="73">
        <v>0.0</v>
      </c>
      <c r="AD207" s="73">
        <v>1.0</v>
      </c>
      <c r="AE207" s="73">
        <v>0.0</v>
      </c>
      <c r="AF207" s="13">
        <f t="shared" si="41"/>
        <v>9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1.0</v>
      </c>
      <c r="N208" s="73">
        <v>3.0</v>
      </c>
      <c r="O208" s="73">
        <v>0.0</v>
      </c>
      <c r="P208" s="73">
        <v>0.0</v>
      </c>
      <c r="Q208" s="73">
        <v>0.0</v>
      </c>
      <c r="R208" s="73">
        <v>0.0</v>
      </c>
      <c r="S208" s="73">
        <v>0.0</v>
      </c>
      <c r="T208" s="73">
        <v>1.0</v>
      </c>
      <c r="U208" s="73">
        <v>0.0</v>
      </c>
      <c r="V208" s="73">
        <v>0.0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0.0</v>
      </c>
      <c r="AB208" s="73">
        <v>2.0</v>
      </c>
      <c r="AC208" s="73">
        <v>0.0</v>
      </c>
      <c r="AD208" s="73">
        <v>1.0</v>
      </c>
      <c r="AE208" s="73">
        <v>0.0</v>
      </c>
      <c r="AF208" s="13">
        <f t="shared" si="41"/>
        <v>8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13">
        <f t="shared" si="41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1.0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13">
        <f t="shared" si="41"/>
        <v>1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F211" si="42">SUM(E201:E210)</f>
        <v>168</v>
      </c>
      <c r="F211" s="13">
        <f t="shared" si="42"/>
        <v>157</v>
      </c>
      <c r="G211" s="13">
        <f t="shared" si="42"/>
        <v>136</v>
      </c>
      <c r="H211" s="13">
        <f t="shared" si="42"/>
        <v>84</v>
      </c>
      <c r="I211" s="13">
        <f t="shared" si="42"/>
        <v>141</v>
      </c>
      <c r="J211" s="13">
        <f t="shared" si="42"/>
        <v>124</v>
      </c>
      <c r="K211" s="13">
        <f t="shared" si="42"/>
        <v>95</v>
      </c>
      <c r="L211" s="13">
        <f t="shared" si="42"/>
        <v>103</v>
      </c>
      <c r="M211" s="13">
        <f t="shared" si="42"/>
        <v>130</v>
      </c>
      <c r="N211" s="13">
        <f t="shared" si="42"/>
        <v>63</v>
      </c>
      <c r="O211" s="13">
        <f t="shared" si="42"/>
        <v>44</v>
      </c>
      <c r="P211" s="13">
        <f t="shared" si="42"/>
        <v>35</v>
      </c>
      <c r="Q211" s="13">
        <f t="shared" si="42"/>
        <v>55</v>
      </c>
      <c r="R211" s="13">
        <f t="shared" si="42"/>
        <v>27</v>
      </c>
      <c r="S211" s="13">
        <f t="shared" si="42"/>
        <v>106</v>
      </c>
      <c r="T211" s="13">
        <f t="shared" si="42"/>
        <v>99</v>
      </c>
      <c r="U211" s="13">
        <f t="shared" si="42"/>
        <v>84</v>
      </c>
      <c r="V211" s="13">
        <f t="shared" si="42"/>
        <v>59</v>
      </c>
      <c r="W211" s="13">
        <f t="shared" si="42"/>
        <v>70</v>
      </c>
      <c r="X211" s="13">
        <f t="shared" si="42"/>
        <v>58</v>
      </c>
      <c r="Y211" s="13">
        <f t="shared" si="42"/>
        <v>62</v>
      </c>
      <c r="Z211" s="13">
        <f t="shared" si="42"/>
        <v>72</v>
      </c>
      <c r="AA211" s="13">
        <f t="shared" si="42"/>
        <v>57</v>
      </c>
      <c r="AB211" s="13">
        <f t="shared" si="42"/>
        <v>51</v>
      </c>
      <c r="AC211" s="13">
        <f t="shared" si="42"/>
        <v>57</v>
      </c>
      <c r="AD211" s="13">
        <f t="shared" si="42"/>
        <v>48</v>
      </c>
      <c r="AE211" s="13">
        <f t="shared" si="42"/>
        <v>28</v>
      </c>
      <c r="AF211" s="13">
        <f t="shared" si="42"/>
        <v>2213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0.0</v>
      </c>
      <c r="G213" s="73">
        <v>0.0</v>
      </c>
      <c r="H213" s="73">
        <v>2.0</v>
      </c>
      <c r="I213" s="73">
        <v>1.0</v>
      </c>
      <c r="J213" s="73">
        <v>1.0</v>
      </c>
      <c r="K213" s="73">
        <v>0.0</v>
      </c>
      <c r="L213" s="73">
        <v>3.0</v>
      </c>
      <c r="M213" s="73">
        <v>0.0</v>
      </c>
      <c r="N213" s="73">
        <v>1.0</v>
      </c>
      <c r="O213" s="73">
        <v>1.0</v>
      </c>
      <c r="P213" s="73">
        <v>0.0</v>
      </c>
      <c r="Q213" s="73">
        <v>3.0</v>
      </c>
      <c r="R213" s="73">
        <v>0.0</v>
      </c>
      <c r="S213" s="73">
        <v>0.0</v>
      </c>
      <c r="T213" s="73">
        <v>0.0</v>
      </c>
      <c r="U213" s="73">
        <v>0.0</v>
      </c>
      <c r="V213" s="73">
        <v>3.0</v>
      </c>
      <c r="W213" s="73">
        <v>4.0</v>
      </c>
      <c r="X213" s="73">
        <v>1.0</v>
      </c>
      <c r="Y213" s="73">
        <v>1.0</v>
      </c>
      <c r="Z213" s="73">
        <v>0.0</v>
      </c>
      <c r="AA213" s="73">
        <v>2.0</v>
      </c>
      <c r="AB213" s="73">
        <v>0.0</v>
      </c>
      <c r="AC213" s="73">
        <v>3.0</v>
      </c>
      <c r="AD213" s="73">
        <v>0.0</v>
      </c>
      <c r="AE213" s="73">
        <v>0.0</v>
      </c>
      <c r="AF213" s="13">
        <f t="shared" ref="AF213:AF222" si="43">SUM(E213:AE213)</f>
        <v>26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2.0</v>
      </c>
      <c r="F214" s="73">
        <v>1.0</v>
      </c>
      <c r="G214" s="73">
        <v>0.0</v>
      </c>
      <c r="H214" s="73">
        <v>0.0</v>
      </c>
      <c r="I214" s="73">
        <v>0.0</v>
      </c>
      <c r="J214" s="73">
        <v>2.0</v>
      </c>
      <c r="K214" s="73">
        <v>0.0</v>
      </c>
      <c r="L214" s="73">
        <v>1.0</v>
      </c>
      <c r="M214" s="73">
        <v>0.0</v>
      </c>
      <c r="N214" s="73">
        <v>1.0</v>
      </c>
      <c r="O214" s="73">
        <v>0.0</v>
      </c>
      <c r="P214" s="73">
        <v>0.0</v>
      </c>
      <c r="Q214" s="73">
        <v>1.0</v>
      </c>
      <c r="R214" s="73">
        <v>0.0</v>
      </c>
      <c r="S214" s="73">
        <v>0.0</v>
      </c>
      <c r="T214" s="73">
        <v>3.0</v>
      </c>
      <c r="U214" s="73">
        <v>0.0</v>
      </c>
      <c r="V214" s="73">
        <v>1.0</v>
      </c>
      <c r="W214" s="73">
        <v>0.0</v>
      </c>
      <c r="X214" s="73">
        <v>0.0</v>
      </c>
      <c r="Y214" s="73">
        <v>1.0</v>
      </c>
      <c r="Z214" s="73">
        <v>0.0</v>
      </c>
      <c r="AA214" s="73">
        <v>0.0</v>
      </c>
      <c r="AB214" s="73">
        <v>0.0</v>
      </c>
      <c r="AC214" s="73">
        <v>0.0</v>
      </c>
      <c r="AD214" s="73">
        <v>0.0</v>
      </c>
      <c r="AE214" s="73">
        <v>0.0</v>
      </c>
      <c r="AF214" s="13">
        <f t="shared" si="43"/>
        <v>13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1.0</v>
      </c>
      <c r="G215" s="73">
        <v>0.0</v>
      </c>
      <c r="H215" s="73">
        <v>0.0</v>
      </c>
      <c r="I215" s="73">
        <v>1.0</v>
      </c>
      <c r="J215" s="73">
        <v>1.0</v>
      </c>
      <c r="K215" s="73">
        <v>0.0</v>
      </c>
      <c r="L215" s="73">
        <v>1.0</v>
      </c>
      <c r="M215" s="73">
        <v>0.0</v>
      </c>
      <c r="N215" s="73">
        <v>1.0</v>
      </c>
      <c r="O215" s="73">
        <v>3.0</v>
      </c>
      <c r="P215" s="73">
        <v>1.0</v>
      </c>
      <c r="Q215" s="73">
        <v>0.0</v>
      </c>
      <c r="R215" s="73">
        <v>0.0</v>
      </c>
      <c r="S215" s="73">
        <v>0.0</v>
      </c>
      <c r="T215" s="73">
        <v>0.0</v>
      </c>
      <c r="U215" s="73">
        <v>1.0</v>
      </c>
      <c r="V215" s="73">
        <v>0.0</v>
      </c>
      <c r="W215" s="73">
        <v>1.0</v>
      </c>
      <c r="X215" s="73">
        <v>0.0</v>
      </c>
      <c r="Y215" s="73">
        <v>0.0</v>
      </c>
      <c r="Z215" s="73">
        <v>0.0</v>
      </c>
      <c r="AA215" s="73">
        <v>1.0</v>
      </c>
      <c r="AB215" s="73">
        <v>0.0</v>
      </c>
      <c r="AC215" s="73">
        <v>2.0</v>
      </c>
      <c r="AD215" s="73">
        <v>1.0</v>
      </c>
      <c r="AE215" s="73">
        <v>2.0</v>
      </c>
      <c r="AF215" s="13">
        <f t="shared" si="43"/>
        <v>17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1.0</v>
      </c>
      <c r="P216" s="73">
        <v>0.0</v>
      </c>
      <c r="Q216" s="73">
        <v>1.0</v>
      </c>
      <c r="R216" s="73">
        <v>1.0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1.0</v>
      </c>
      <c r="AD216" s="73">
        <v>0.0</v>
      </c>
      <c r="AE216" s="73">
        <v>0.0</v>
      </c>
      <c r="AF216" s="13">
        <f t="shared" si="43"/>
        <v>4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3">
        <f t="shared" si="43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3">
        <f t="shared" si="43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3">
        <f t="shared" si="43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3">
        <f t="shared" si="43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3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3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F223" si="44">SUM(E213:E222)</f>
        <v>2</v>
      </c>
      <c r="F223" s="13">
        <f t="shared" si="44"/>
        <v>2</v>
      </c>
      <c r="G223" s="13">
        <f t="shared" si="44"/>
        <v>0</v>
      </c>
      <c r="H223" s="13">
        <f t="shared" si="44"/>
        <v>2</v>
      </c>
      <c r="I223" s="13">
        <f t="shared" si="44"/>
        <v>2</v>
      </c>
      <c r="J223" s="13">
        <f t="shared" si="44"/>
        <v>4</v>
      </c>
      <c r="K223" s="13">
        <f t="shared" si="44"/>
        <v>0</v>
      </c>
      <c r="L223" s="13">
        <f t="shared" si="44"/>
        <v>5</v>
      </c>
      <c r="M223" s="13">
        <f t="shared" si="44"/>
        <v>0</v>
      </c>
      <c r="N223" s="13">
        <f t="shared" si="44"/>
        <v>3</v>
      </c>
      <c r="O223" s="13">
        <f t="shared" si="44"/>
        <v>5</v>
      </c>
      <c r="P223" s="13">
        <f t="shared" si="44"/>
        <v>1</v>
      </c>
      <c r="Q223" s="13">
        <f t="shared" si="44"/>
        <v>5</v>
      </c>
      <c r="R223" s="13">
        <f t="shared" si="44"/>
        <v>1</v>
      </c>
      <c r="S223" s="13">
        <f t="shared" si="44"/>
        <v>0</v>
      </c>
      <c r="T223" s="13">
        <f t="shared" si="44"/>
        <v>3</v>
      </c>
      <c r="U223" s="13">
        <f t="shared" si="44"/>
        <v>1</v>
      </c>
      <c r="V223" s="13">
        <f t="shared" si="44"/>
        <v>4</v>
      </c>
      <c r="W223" s="13">
        <f t="shared" si="44"/>
        <v>5</v>
      </c>
      <c r="X223" s="13">
        <f t="shared" si="44"/>
        <v>1</v>
      </c>
      <c r="Y223" s="13">
        <f t="shared" si="44"/>
        <v>2</v>
      </c>
      <c r="Z223" s="13">
        <f t="shared" si="44"/>
        <v>0</v>
      </c>
      <c r="AA223" s="13">
        <f t="shared" si="44"/>
        <v>3</v>
      </c>
      <c r="AB223" s="13">
        <f t="shared" si="44"/>
        <v>0</v>
      </c>
      <c r="AC223" s="13">
        <f t="shared" si="44"/>
        <v>6</v>
      </c>
      <c r="AD223" s="13">
        <f t="shared" si="44"/>
        <v>1</v>
      </c>
      <c r="AE223" s="13">
        <f t="shared" si="44"/>
        <v>2</v>
      </c>
      <c r="AF223" s="13">
        <f t="shared" si="44"/>
        <v>60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2.0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1.0</v>
      </c>
      <c r="AE225" s="73">
        <v>1.0</v>
      </c>
      <c r="AF225" s="13">
        <f t="shared" ref="AF225:AF234" si="45">SUM(E225:AE225)</f>
        <v>5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4.0</v>
      </c>
      <c r="H226" s="73">
        <v>0.0</v>
      </c>
      <c r="I226" s="73">
        <v>0.0</v>
      </c>
      <c r="J226" s="73">
        <v>0.0</v>
      </c>
      <c r="K226" s="73">
        <v>2.0</v>
      </c>
      <c r="L226" s="73">
        <v>0.0</v>
      </c>
      <c r="M226" s="73">
        <v>1.0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1.0</v>
      </c>
      <c r="T226" s="73">
        <v>0.0</v>
      </c>
      <c r="U226" s="73">
        <v>1.0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13">
        <f t="shared" si="45"/>
        <v>9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13">
        <f t="shared" si="45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13">
        <f t="shared" si="45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1.0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1.0</v>
      </c>
      <c r="AB229" s="73">
        <v>0.0</v>
      </c>
      <c r="AC229" s="73">
        <v>0.0</v>
      </c>
      <c r="AD229" s="73">
        <v>0.0</v>
      </c>
      <c r="AE229" s="73">
        <v>0.0</v>
      </c>
      <c r="AF229" s="13">
        <f t="shared" si="45"/>
        <v>2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3">
        <f t="shared" si="45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3">
        <f t="shared" si="45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3">
        <f t="shared" si="45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5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5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F235" si="46">SUM(E225:E234)</f>
        <v>0</v>
      </c>
      <c r="F235" s="13">
        <f t="shared" si="46"/>
        <v>0</v>
      </c>
      <c r="G235" s="13">
        <f t="shared" si="46"/>
        <v>4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5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1</v>
      </c>
      <c r="T235" s="13">
        <f t="shared" si="46"/>
        <v>0</v>
      </c>
      <c r="U235" s="13">
        <f t="shared" si="46"/>
        <v>1</v>
      </c>
      <c r="V235" s="13">
        <f t="shared" si="46"/>
        <v>0</v>
      </c>
      <c r="W235" s="13">
        <f t="shared" si="46"/>
        <v>0</v>
      </c>
      <c r="X235" s="13">
        <f t="shared" si="46"/>
        <v>1</v>
      </c>
      <c r="Y235" s="13">
        <f t="shared" si="46"/>
        <v>0</v>
      </c>
      <c r="Z235" s="13">
        <f t="shared" si="46"/>
        <v>0</v>
      </c>
      <c r="AA235" s="13">
        <f t="shared" si="46"/>
        <v>1</v>
      </c>
      <c r="AB235" s="13">
        <f t="shared" si="46"/>
        <v>0</v>
      </c>
      <c r="AC235" s="13">
        <f t="shared" si="46"/>
        <v>0</v>
      </c>
      <c r="AD235" s="13">
        <f t="shared" si="46"/>
        <v>1</v>
      </c>
      <c r="AE235" s="13">
        <f t="shared" si="46"/>
        <v>1</v>
      </c>
      <c r="AF235" s="13">
        <f t="shared" si="46"/>
        <v>16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2.0</v>
      </c>
      <c r="F237" s="73">
        <v>1.0</v>
      </c>
      <c r="G237" s="73">
        <v>1.0</v>
      </c>
      <c r="H237" s="73">
        <v>1.0</v>
      </c>
      <c r="I237" s="73">
        <v>2.0</v>
      </c>
      <c r="J237" s="73">
        <v>1.0</v>
      </c>
      <c r="K237" s="73">
        <v>3.0</v>
      </c>
      <c r="L237" s="73">
        <v>2.0</v>
      </c>
      <c r="M237" s="73">
        <v>3.0</v>
      </c>
      <c r="N237" s="73">
        <v>1.0</v>
      </c>
      <c r="O237" s="73">
        <v>2.0</v>
      </c>
      <c r="P237" s="73">
        <v>1.0</v>
      </c>
      <c r="Q237" s="73">
        <v>0.0</v>
      </c>
      <c r="R237" s="73">
        <v>2.0</v>
      </c>
      <c r="S237" s="73">
        <v>2.0</v>
      </c>
      <c r="T237" s="73">
        <v>2.0</v>
      </c>
      <c r="U237" s="73">
        <v>5.0</v>
      </c>
      <c r="V237" s="73">
        <v>7.0</v>
      </c>
      <c r="W237" s="73">
        <v>5.0</v>
      </c>
      <c r="X237" s="73">
        <v>5.0</v>
      </c>
      <c r="Y237" s="73">
        <v>2.0</v>
      </c>
      <c r="Z237" s="73">
        <v>0.0</v>
      </c>
      <c r="AA237" s="73">
        <v>2.0</v>
      </c>
      <c r="AB237" s="73">
        <v>5.0</v>
      </c>
      <c r="AC237" s="73">
        <v>1.0</v>
      </c>
      <c r="AD237" s="73">
        <v>2.0</v>
      </c>
      <c r="AE237" s="73">
        <v>2.0</v>
      </c>
      <c r="AF237" s="13">
        <f t="shared" ref="AF237:AF246" si="47">SUM(E237:AE237)</f>
        <v>62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1.0</v>
      </c>
      <c r="G238" s="73">
        <v>1.0</v>
      </c>
      <c r="H238" s="73">
        <v>0.0</v>
      </c>
      <c r="I238" s="73">
        <v>0.0</v>
      </c>
      <c r="J238" s="73">
        <v>0.0</v>
      </c>
      <c r="K238" s="73">
        <v>1.0</v>
      </c>
      <c r="L238" s="73">
        <v>1.0</v>
      </c>
      <c r="M238" s="73">
        <v>0.0</v>
      </c>
      <c r="N238" s="73">
        <v>1.0</v>
      </c>
      <c r="O238" s="73">
        <v>2.0</v>
      </c>
      <c r="P238" s="73">
        <v>1.0</v>
      </c>
      <c r="Q238" s="73">
        <v>2.0</v>
      </c>
      <c r="R238" s="73">
        <v>2.0</v>
      </c>
      <c r="S238" s="73">
        <v>2.0</v>
      </c>
      <c r="T238" s="73">
        <v>2.0</v>
      </c>
      <c r="U238" s="73">
        <v>2.0</v>
      </c>
      <c r="V238" s="73">
        <v>2.0</v>
      </c>
      <c r="W238" s="73">
        <v>0.0</v>
      </c>
      <c r="X238" s="73">
        <v>2.0</v>
      </c>
      <c r="Y238" s="73">
        <v>0.0</v>
      </c>
      <c r="Z238" s="73">
        <v>0.0</v>
      </c>
      <c r="AA238" s="73">
        <v>5.0</v>
      </c>
      <c r="AB238" s="73">
        <v>8.0</v>
      </c>
      <c r="AC238" s="73">
        <v>23.0</v>
      </c>
      <c r="AD238" s="73">
        <v>22.0</v>
      </c>
      <c r="AE238" s="73">
        <v>11.0</v>
      </c>
      <c r="AF238" s="13">
        <f t="shared" si="47"/>
        <v>91</v>
      </c>
    </row>
    <row r="239" ht="12.75" customHeight="1">
      <c r="A239" s="18"/>
      <c r="B239" s="49"/>
      <c r="C239" s="50" t="s">
        <v>177</v>
      </c>
      <c r="D239" s="51"/>
      <c r="E239" s="73">
        <v>6.0</v>
      </c>
      <c r="F239" s="73">
        <v>1.0</v>
      </c>
      <c r="G239" s="73">
        <v>0.0</v>
      </c>
      <c r="H239" s="73">
        <v>1.0</v>
      </c>
      <c r="I239" s="73">
        <v>5.0</v>
      </c>
      <c r="J239" s="73">
        <v>0.0</v>
      </c>
      <c r="K239" s="73">
        <v>4.0</v>
      </c>
      <c r="L239" s="73">
        <v>4.0</v>
      </c>
      <c r="M239" s="73">
        <v>3.0</v>
      </c>
      <c r="N239" s="73">
        <v>3.0</v>
      </c>
      <c r="O239" s="73">
        <v>1.0</v>
      </c>
      <c r="P239" s="73">
        <v>0.0</v>
      </c>
      <c r="Q239" s="73">
        <v>3.0</v>
      </c>
      <c r="R239" s="73">
        <v>3.0</v>
      </c>
      <c r="S239" s="73">
        <v>1.0</v>
      </c>
      <c r="T239" s="73">
        <v>0.0</v>
      </c>
      <c r="U239" s="73">
        <v>8.0</v>
      </c>
      <c r="V239" s="73">
        <v>11.0</v>
      </c>
      <c r="W239" s="73">
        <v>6.0</v>
      </c>
      <c r="X239" s="73">
        <v>9.0</v>
      </c>
      <c r="Y239" s="73">
        <v>5.0</v>
      </c>
      <c r="Z239" s="73">
        <v>3.0</v>
      </c>
      <c r="AA239" s="73">
        <v>7.0</v>
      </c>
      <c r="AB239" s="73">
        <v>5.0</v>
      </c>
      <c r="AC239" s="73">
        <v>10.0</v>
      </c>
      <c r="AD239" s="73">
        <v>0.0</v>
      </c>
      <c r="AE239" s="73">
        <v>2.0</v>
      </c>
      <c r="AF239" s="13">
        <f t="shared" si="47"/>
        <v>101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1.0</v>
      </c>
      <c r="J240" s="73">
        <v>1.0</v>
      </c>
      <c r="K240" s="73">
        <v>1.0</v>
      </c>
      <c r="L240" s="73">
        <v>1.0</v>
      </c>
      <c r="M240" s="73">
        <v>0.0</v>
      </c>
      <c r="N240" s="73">
        <v>1.0</v>
      </c>
      <c r="O240" s="73">
        <v>1.0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1.0</v>
      </c>
      <c r="AD240" s="73">
        <v>0.0</v>
      </c>
      <c r="AE240" s="73">
        <v>0.0</v>
      </c>
      <c r="AF240" s="13">
        <f t="shared" si="47"/>
        <v>7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1.0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1.0</v>
      </c>
      <c r="U241" s="73">
        <v>0.0</v>
      </c>
      <c r="V241" s="73">
        <v>1.0</v>
      </c>
      <c r="W241" s="73">
        <v>1.0</v>
      </c>
      <c r="X241" s="73">
        <v>1.0</v>
      </c>
      <c r="Y241" s="73">
        <v>0.0</v>
      </c>
      <c r="Z241" s="73">
        <v>2.0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1.0</v>
      </c>
      <c r="AF241" s="13">
        <f t="shared" si="47"/>
        <v>9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1.0</v>
      </c>
      <c r="H242" s="73">
        <v>1.0</v>
      </c>
      <c r="I242" s="73">
        <v>3.0</v>
      </c>
      <c r="J242" s="73">
        <v>0.0</v>
      </c>
      <c r="K242" s="73">
        <v>2.0</v>
      </c>
      <c r="L242" s="73">
        <v>0.0</v>
      </c>
      <c r="M242" s="73">
        <v>2.0</v>
      </c>
      <c r="N242" s="73">
        <v>0.0</v>
      </c>
      <c r="O242" s="73">
        <v>1.0</v>
      </c>
      <c r="P242" s="73">
        <v>1.0</v>
      </c>
      <c r="Q242" s="73">
        <v>1.0</v>
      </c>
      <c r="R242" s="73">
        <v>6.0</v>
      </c>
      <c r="S242" s="73">
        <v>2.0</v>
      </c>
      <c r="T242" s="73">
        <v>2.0</v>
      </c>
      <c r="U242" s="73">
        <v>4.0</v>
      </c>
      <c r="V242" s="73">
        <v>1.0</v>
      </c>
      <c r="W242" s="73">
        <v>3.0</v>
      </c>
      <c r="X242" s="73">
        <v>1.0</v>
      </c>
      <c r="Y242" s="73">
        <v>2.0</v>
      </c>
      <c r="Z242" s="73">
        <v>3.0</v>
      </c>
      <c r="AA242" s="73">
        <v>4.0</v>
      </c>
      <c r="AB242" s="73">
        <v>3.0</v>
      </c>
      <c r="AC242" s="73">
        <v>1.0</v>
      </c>
      <c r="AD242" s="73">
        <v>0.0</v>
      </c>
      <c r="AE242" s="73">
        <v>3.0</v>
      </c>
      <c r="AF242" s="13">
        <f t="shared" si="47"/>
        <v>47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1.0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73">
        <v>1.0</v>
      </c>
      <c r="M243" s="73">
        <v>0.0</v>
      </c>
      <c r="N243" s="73">
        <v>0.0</v>
      </c>
      <c r="O243" s="73">
        <v>1.0</v>
      </c>
      <c r="P243" s="73">
        <v>0.0</v>
      </c>
      <c r="Q243" s="73">
        <v>1.0</v>
      </c>
      <c r="R243" s="73">
        <v>3.0</v>
      </c>
      <c r="S243" s="73">
        <v>0.0</v>
      </c>
      <c r="T243" s="73">
        <v>0.0</v>
      </c>
      <c r="U243" s="73">
        <v>2.0</v>
      </c>
      <c r="V243" s="73">
        <v>1.0</v>
      </c>
      <c r="W243" s="73">
        <v>2.0</v>
      </c>
      <c r="X243" s="73">
        <v>2.0</v>
      </c>
      <c r="Y243" s="73">
        <v>0.0</v>
      </c>
      <c r="Z243" s="73">
        <v>0.0</v>
      </c>
      <c r="AA243" s="73">
        <v>0.0</v>
      </c>
      <c r="AB243" s="73">
        <v>1.0</v>
      </c>
      <c r="AC243" s="73">
        <v>0.0</v>
      </c>
      <c r="AD243" s="73">
        <v>0.0</v>
      </c>
      <c r="AE243" s="73">
        <v>1.0</v>
      </c>
      <c r="AF243" s="13">
        <f t="shared" si="47"/>
        <v>17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1.0</v>
      </c>
      <c r="J244" s="73">
        <v>0.0</v>
      </c>
      <c r="K244" s="73">
        <v>1.0</v>
      </c>
      <c r="L244" s="73">
        <v>0.0</v>
      </c>
      <c r="M244" s="73">
        <v>0.0</v>
      </c>
      <c r="N244" s="73">
        <v>0.0</v>
      </c>
      <c r="O244" s="73">
        <v>1.0</v>
      </c>
      <c r="P244" s="73">
        <v>0.0</v>
      </c>
      <c r="Q244" s="73">
        <v>1.0</v>
      </c>
      <c r="R244" s="73">
        <v>0.0</v>
      </c>
      <c r="S244" s="73">
        <v>1.0</v>
      </c>
      <c r="T244" s="73">
        <v>1.0</v>
      </c>
      <c r="U244" s="73">
        <v>2.0</v>
      </c>
      <c r="V244" s="73">
        <v>2.0</v>
      </c>
      <c r="W244" s="73">
        <v>1.0</v>
      </c>
      <c r="X244" s="73">
        <v>0.0</v>
      </c>
      <c r="Y244" s="73">
        <v>0.0</v>
      </c>
      <c r="Z244" s="73">
        <v>2.0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1.0</v>
      </c>
      <c r="AF244" s="13">
        <f t="shared" si="47"/>
        <v>14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1.0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1.0</v>
      </c>
      <c r="AB245" s="73">
        <v>2.0</v>
      </c>
      <c r="AC245" s="73">
        <v>0.0</v>
      </c>
      <c r="AD245" s="73">
        <v>0.0</v>
      </c>
      <c r="AE245" s="73">
        <v>0.0</v>
      </c>
      <c r="AF245" s="13">
        <f t="shared" si="47"/>
        <v>4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2.0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1.0</v>
      </c>
      <c r="N246" s="73">
        <v>1.0</v>
      </c>
      <c r="O246" s="73">
        <v>0.0</v>
      </c>
      <c r="P246" s="73">
        <v>1.0</v>
      </c>
      <c r="Q246" s="73">
        <v>0.0</v>
      </c>
      <c r="R246" s="73">
        <v>0.0</v>
      </c>
      <c r="S246" s="73">
        <v>1.0</v>
      </c>
      <c r="T246" s="73">
        <v>0.0</v>
      </c>
      <c r="U246" s="73">
        <v>2.0</v>
      </c>
      <c r="V246" s="73">
        <v>0.0</v>
      </c>
      <c r="W246" s="73">
        <v>0.0</v>
      </c>
      <c r="X246" s="73">
        <v>0.0</v>
      </c>
      <c r="Y246" s="73">
        <v>1.0</v>
      </c>
      <c r="Z246" s="73">
        <v>2.0</v>
      </c>
      <c r="AA246" s="73">
        <v>0.0</v>
      </c>
      <c r="AB246" s="73">
        <v>2.0</v>
      </c>
      <c r="AC246" s="73">
        <v>0.0</v>
      </c>
      <c r="AD246" s="73">
        <v>1.0</v>
      </c>
      <c r="AE246" s="73">
        <v>0.0</v>
      </c>
      <c r="AF246" s="13">
        <f t="shared" si="47"/>
        <v>14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F247" si="48">SUM(E237:E246)</f>
        <v>8</v>
      </c>
      <c r="F247" s="13">
        <f t="shared" si="48"/>
        <v>7</v>
      </c>
      <c r="G247" s="13">
        <f t="shared" si="48"/>
        <v>3</v>
      </c>
      <c r="H247" s="13">
        <f t="shared" si="48"/>
        <v>3</v>
      </c>
      <c r="I247" s="13">
        <f t="shared" si="48"/>
        <v>12</v>
      </c>
      <c r="J247" s="13">
        <f t="shared" si="48"/>
        <v>2</v>
      </c>
      <c r="K247" s="13">
        <f t="shared" si="48"/>
        <v>14</v>
      </c>
      <c r="L247" s="13">
        <f t="shared" si="48"/>
        <v>9</v>
      </c>
      <c r="M247" s="13">
        <f t="shared" si="48"/>
        <v>9</v>
      </c>
      <c r="N247" s="13">
        <f t="shared" si="48"/>
        <v>7</v>
      </c>
      <c r="O247" s="13">
        <f t="shared" si="48"/>
        <v>9</v>
      </c>
      <c r="P247" s="13">
        <f t="shared" si="48"/>
        <v>4</v>
      </c>
      <c r="Q247" s="13">
        <f t="shared" si="48"/>
        <v>8</v>
      </c>
      <c r="R247" s="13">
        <f t="shared" si="48"/>
        <v>16</v>
      </c>
      <c r="S247" s="13">
        <f t="shared" si="48"/>
        <v>9</v>
      </c>
      <c r="T247" s="13">
        <f t="shared" si="48"/>
        <v>9</v>
      </c>
      <c r="U247" s="13">
        <f t="shared" si="48"/>
        <v>25</v>
      </c>
      <c r="V247" s="13">
        <f t="shared" si="48"/>
        <v>25</v>
      </c>
      <c r="W247" s="13">
        <f t="shared" si="48"/>
        <v>18</v>
      </c>
      <c r="X247" s="13">
        <f t="shared" si="48"/>
        <v>20</v>
      </c>
      <c r="Y247" s="13">
        <f t="shared" si="48"/>
        <v>10</v>
      </c>
      <c r="Z247" s="13">
        <f t="shared" si="48"/>
        <v>12</v>
      </c>
      <c r="AA247" s="13">
        <f t="shared" si="48"/>
        <v>19</v>
      </c>
      <c r="AB247" s="13">
        <f t="shared" si="48"/>
        <v>26</v>
      </c>
      <c r="AC247" s="13">
        <f t="shared" si="48"/>
        <v>36</v>
      </c>
      <c r="AD247" s="13">
        <f t="shared" si="48"/>
        <v>25</v>
      </c>
      <c r="AE247" s="13">
        <f t="shared" si="48"/>
        <v>21</v>
      </c>
      <c r="AF247" s="13">
        <f t="shared" si="48"/>
        <v>366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1.0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1.0</v>
      </c>
      <c r="Q249" s="73">
        <v>0.0</v>
      </c>
      <c r="R249" s="73">
        <v>0.0</v>
      </c>
      <c r="S249" s="73">
        <v>0.0</v>
      </c>
      <c r="T249" s="73">
        <v>2.0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3.0</v>
      </c>
      <c r="AA249" s="73">
        <v>0.0</v>
      </c>
      <c r="AB249" s="73">
        <v>0.0</v>
      </c>
      <c r="AC249" s="73">
        <v>0.0</v>
      </c>
      <c r="AD249" s="73">
        <v>2.0</v>
      </c>
      <c r="AE249" s="73">
        <v>0.0</v>
      </c>
      <c r="AF249" s="13">
        <f t="shared" ref="AF249:AF258" si="49">SUM(E249:AE249)</f>
        <v>11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1.0</v>
      </c>
      <c r="G250" s="73">
        <v>0.0</v>
      </c>
      <c r="H250" s="73">
        <v>0.0</v>
      </c>
      <c r="I250" s="73">
        <v>0.0</v>
      </c>
      <c r="J250" s="73">
        <v>0.0</v>
      </c>
      <c r="K250" s="73">
        <v>1.0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1.0</v>
      </c>
      <c r="V250" s="73">
        <v>0.0</v>
      </c>
      <c r="W250" s="73">
        <v>2.0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5.0</v>
      </c>
      <c r="AE250" s="73">
        <v>0.0</v>
      </c>
      <c r="AF250" s="13">
        <f t="shared" si="49"/>
        <v>10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1.0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13">
        <f t="shared" si="49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1.0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1.0</v>
      </c>
      <c r="AC252" s="73">
        <v>0.0</v>
      </c>
      <c r="AD252" s="73">
        <v>0.0</v>
      </c>
      <c r="AE252" s="73">
        <v>0.0</v>
      </c>
      <c r="AF252" s="13">
        <f t="shared" si="49"/>
        <v>2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F259" si="50">SUM(E249:E258)</f>
        <v>0</v>
      </c>
      <c r="F259" s="13">
        <f t="shared" si="50"/>
        <v>2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1</v>
      </c>
      <c r="Q259" s="13">
        <f t="shared" si="50"/>
        <v>0</v>
      </c>
      <c r="R259" s="13">
        <f t="shared" si="50"/>
        <v>1</v>
      </c>
      <c r="S259" s="13">
        <f t="shared" si="50"/>
        <v>0</v>
      </c>
      <c r="T259" s="13">
        <f t="shared" si="50"/>
        <v>3</v>
      </c>
      <c r="U259" s="13">
        <f t="shared" si="50"/>
        <v>1</v>
      </c>
      <c r="V259" s="13">
        <f t="shared" si="50"/>
        <v>0</v>
      </c>
      <c r="W259" s="13">
        <f t="shared" si="50"/>
        <v>2</v>
      </c>
      <c r="X259" s="13">
        <f t="shared" si="50"/>
        <v>0</v>
      </c>
      <c r="Y259" s="13">
        <f t="shared" si="50"/>
        <v>0</v>
      </c>
      <c r="Z259" s="13">
        <f t="shared" si="50"/>
        <v>3</v>
      </c>
      <c r="AA259" s="13">
        <f t="shared" si="50"/>
        <v>0</v>
      </c>
      <c r="AB259" s="13">
        <f t="shared" si="50"/>
        <v>1</v>
      </c>
      <c r="AC259" s="13">
        <f t="shared" si="50"/>
        <v>0</v>
      </c>
      <c r="AD259" s="13">
        <f t="shared" si="50"/>
        <v>7</v>
      </c>
      <c r="AE259" s="13">
        <f t="shared" si="50"/>
        <v>0</v>
      </c>
      <c r="AF259" s="13">
        <f t="shared" si="50"/>
        <v>24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76"/>
      <c r="S261" s="13"/>
      <c r="T261" s="13"/>
      <c r="U261" s="13"/>
      <c r="V261" s="13"/>
      <c r="W261" s="13"/>
      <c r="X261" s="13"/>
      <c r="Y261" s="13"/>
      <c r="Z261" s="13"/>
      <c r="AA261" s="76"/>
      <c r="AB261" s="13"/>
      <c r="AC261" s="13"/>
      <c r="AD261" s="13"/>
      <c r="AE261" s="76"/>
      <c r="AF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E262" si="51">E55+E67+E79+E91+E103+E115+E127+E139+E151+E163+E175+E187+E199+E211+E223+E235+E247+E259</f>
        <v>210</v>
      </c>
      <c r="F262" s="19">
        <f t="shared" si="51"/>
        <v>208</v>
      </c>
      <c r="G262" s="19">
        <f t="shared" si="51"/>
        <v>206</v>
      </c>
      <c r="H262" s="19">
        <f t="shared" si="51"/>
        <v>197</v>
      </c>
      <c r="I262" s="19">
        <f t="shared" si="51"/>
        <v>202</v>
      </c>
      <c r="J262" s="19">
        <f t="shared" si="51"/>
        <v>176</v>
      </c>
      <c r="K262" s="19">
        <f t="shared" si="51"/>
        <v>194</v>
      </c>
      <c r="L262" s="19">
        <f t="shared" si="51"/>
        <v>196</v>
      </c>
      <c r="M262" s="19">
        <f t="shared" si="51"/>
        <v>193</v>
      </c>
      <c r="N262" s="19">
        <f t="shared" si="51"/>
        <v>206</v>
      </c>
      <c r="O262" s="19">
        <f t="shared" si="51"/>
        <v>196</v>
      </c>
      <c r="P262" s="19">
        <f t="shared" si="51"/>
        <v>192</v>
      </c>
      <c r="Q262" s="19">
        <f t="shared" si="51"/>
        <v>183</v>
      </c>
      <c r="R262" s="19">
        <f t="shared" si="51"/>
        <v>167</v>
      </c>
      <c r="S262" s="19">
        <f t="shared" si="51"/>
        <v>213</v>
      </c>
      <c r="T262" s="19">
        <f t="shared" si="51"/>
        <v>214</v>
      </c>
      <c r="U262" s="19">
        <f t="shared" si="51"/>
        <v>192</v>
      </c>
      <c r="V262" s="19">
        <f t="shared" si="51"/>
        <v>195</v>
      </c>
      <c r="W262" s="19">
        <f t="shared" si="51"/>
        <v>193</v>
      </c>
      <c r="X262" s="19">
        <f t="shared" si="51"/>
        <v>214</v>
      </c>
      <c r="Y262" s="19">
        <f t="shared" si="51"/>
        <v>160</v>
      </c>
      <c r="Z262" s="19">
        <f t="shared" si="51"/>
        <v>187</v>
      </c>
      <c r="AA262" s="19">
        <f t="shared" si="51"/>
        <v>171</v>
      </c>
      <c r="AB262" s="19">
        <f t="shared" si="51"/>
        <v>173</v>
      </c>
      <c r="AC262" s="19">
        <f t="shared" si="51"/>
        <v>186</v>
      </c>
      <c r="AD262" s="19">
        <f t="shared" si="51"/>
        <v>170</v>
      </c>
      <c r="AE262" s="19">
        <f t="shared" si="51"/>
        <v>175</v>
      </c>
      <c r="AF262" s="13">
        <f t="shared" ref="AF262:AF264" si="52">SUM(E262:AE262)</f>
        <v>5169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9.0</v>
      </c>
      <c r="F263" s="73">
        <v>6.0</v>
      </c>
      <c r="G263" s="73">
        <v>18.0</v>
      </c>
      <c r="H263" s="73">
        <v>23.0</v>
      </c>
      <c r="I263" s="73">
        <v>11.0</v>
      </c>
      <c r="J263" s="73">
        <v>11.0</v>
      </c>
      <c r="K263" s="73">
        <v>18.0</v>
      </c>
      <c r="L263" s="73">
        <v>21.0</v>
      </c>
      <c r="M263" s="73">
        <v>27.0</v>
      </c>
      <c r="N263" s="73">
        <v>19.0</v>
      </c>
      <c r="O263" s="73">
        <v>18.0</v>
      </c>
      <c r="P263" s="73">
        <v>27.0</v>
      </c>
      <c r="Q263" s="73">
        <v>35.0</v>
      </c>
      <c r="R263" s="73">
        <v>15.0</v>
      </c>
      <c r="S263" s="73">
        <v>24.0</v>
      </c>
      <c r="T263" s="73">
        <v>17.0</v>
      </c>
      <c r="U263" s="73">
        <v>20.0</v>
      </c>
      <c r="V263" s="73">
        <v>20.0</v>
      </c>
      <c r="W263" s="73">
        <v>23.0</v>
      </c>
      <c r="X263" s="73">
        <v>17.0</v>
      </c>
      <c r="Y263" s="73">
        <v>34.0</v>
      </c>
      <c r="Z263" s="73">
        <v>5.0</v>
      </c>
      <c r="AA263" s="73">
        <v>22.0</v>
      </c>
      <c r="AB263" s="73">
        <v>19.0</v>
      </c>
      <c r="AC263" s="73">
        <v>10.0</v>
      </c>
      <c r="AD263" s="73">
        <v>16.0</v>
      </c>
      <c r="AE263" s="73">
        <v>16.0</v>
      </c>
      <c r="AF263" s="13">
        <f t="shared" si="52"/>
        <v>501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E264" si="53">SUM(E262:E263)</f>
        <v>219</v>
      </c>
      <c r="F264" s="13">
        <f t="shared" si="53"/>
        <v>214</v>
      </c>
      <c r="G264" s="13">
        <f t="shared" si="53"/>
        <v>224</v>
      </c>
      <c r="H264" s="13">
        <f t="shared" si="53"/>
        <v>220</v>
      </c>
      <c r="I264" s="13">
        <f t="shared" si="53"/>
        <v>213</v>
      </c>
      <c r="J264" s="13">
        <f t="shared" si="53"/>
        <v>187</v>
      </c>
      <c r="K264" s="13">
        <f t="shared" si="53"/>
        <v>212</v>
      </c>
      <c r="L264" s="13">
        <f t="shared" si="53"/>
        <v>217</v>
      </c>
      <c r="M264" s="13">
        <f t="shared" si="53"/>
        <v>220</v>
      </c>
      <c r="N264" s="13">
        <f t="shared" si="53"/>
        <v>225</v>
      </c>
      <c r="O264" s="13">
        <f t="shared" si="53"/>
        <v>214</v>
      </c>
      <c r="P264" s="13">
        <f t="shared" si="53"/>
        <v>219</v>
      </c>
      <c r="Q264" s="13">
        <f t="shared" si="53"/>
        <v>218</v>
      </c>
      <c r="R264" s="13">
        <f t="shared" si="53"/>
        <v>182</v>
      </c>
      <c r="S264" s="13">
        <f t="shared" si="53"/>
        <v>237</v>
      </c>
      <c r="T264" s="13">
        <f t="shared" si="53"/>
        <v>231</v>
      </c>
      <c r="U264" s="13">
        <f t="shared" si="53"/>
        <v>212</v>
      </c>
      <c r="V264" s="13">
        <f t="shared" si="53"/>
        <v>215</v>
      </c>
      <c r="W264" s="13">
        <f t="shared" si="53"/>
        <v>216</v>
      </c>
      <c r="X264" s="13">
        <f t="shared" si="53"/>
        <v>231</v>
      </c>
      <c r="Y264" s="13">
        <f t="shared" si="53"/>
        <v>194</v>
      </c>
      <c r="Z264" s="13">
        <f t="shared" si="53"/>
        <v>192</v>
      </c>
      <c r="AA264" s="13">
        <f t="shared" si="53"/>
        <v>193</v>
      </c>
      <c r="AB264" s="13">
        <f t="shared" si="53"/>
        <v>192</v>
      </c>
      <c r="AC264" s="13">
        <f t="shared" si="53"/>
        <v>196</v>
      </c>
      <c r="AD264" s="13">
        <f t="shared" si="53"/>
        <v>186</v>
      </c>
      <c r="AE264" s="13">
        <f t="shared" si="53"/>
        <v>191</v>
      </c>
      <c r="AF264" s="13">
        <f t="shared" si="52"/>
        <v>5670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B38:D38"/>
    <mergeCell ref="B39:C41"/>
    <mergeCell ref="A42:D42"/>
    <mergeCell ref="E42:V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3">
        <v>128.0</v>
      </c>
      <c r="F14" s="73">
        <v>127.0</v>
      </c>
      <c r="G14" s="73">
        <v>137.0</v>
      </c>
      <c r="H14" s="73">
        <v>138.0</v>
      </c>
      <c r="I14" s="73">
        <v>144.0</v>
      </c>
      <c r="J14" s="73">
        <v>135.0</v>
      </c>
      <c r="K14" s="73">
        <v>140.0</v>
      </c>
      <c r="L14" s="73">
        <v>139.0</v>
      </c>
      <c r="M14" s="73">
        <v>144.0</v>
      </c>
      <c r="N14" s="73">
        <v>154.0</v>
      </c>
      <c r="O14" s="73">
        <v>131.0</v>
      </c>
      <c r="P14" s="73">
        <v>149.0</v>
      </c>
      <c r="Q14" s="73">
        <v>145.0</v>
      </c>
      <c r="R14" s="73">
        <v>131.0</v>
      </c>
      <c r="S14" s="73">
        <v>130.0</v>
      </c>
      <c r="T14" s="73">
        <v>130.0</v>
      </c>
      <c r="U14" s="73">
        <v>132.0</v>
      </c>
      <c r="V14" s="73">
        <v>140.0</v>
      </c>
      <c r="W14" s="73">
        <v>143.0</v>
      </c>
      <c r="X14" s="73">
        <v>130.0</v>
      </c>
      <c r="Y14" s="73">
        <v>135.0</v>
      </c>
      <c r="Z14" s="73">
        <v>131.0</v>
      </c>
      <c r="AA14" s="73">
        <v>129.0</v>
      </c>
      <c r="AB14" s="73">
        <v>128.0</v>
      </c>
      <c r="AC14" s="73">
        <v>129.0</v>
      </c>
      <c r="AD14" s="73">
        <v>131.0</v>
      </c>
      <c r="AE14" s="73">
        <v>135.0</v>
      </c>
      <c r="AF14" s="13">
        <f t="shared" ref="AF14:AF16" si="1">SUM(E14:AE14)</f>
        <v>3665</v>
      </c>
    </row>
    <row r="15" ht="12.75" customHeight="1">
      <c r="A15" s="18"/>
      <c r="B15" s="26"/>
      <c r="C15" s="27"/>
      <c r="D15" s="19" t="s">
        <v>13</v>
      </c>
      <c r="E15" s="73">
        <v>133.0</v>
      </c>
      <c r="F15" s="73">
        <v>133.0</v>
      </c>
      <c r="G15" s="73">
        <v>132.0</v>
      </c>
      <c r="H15" s="73">
        <v>150.0</v>
      </c>
      <c r="I15" s="73">
        <v>131.0</v>
      </c>
      <c r="J15" s="73">
        <v>137.0</v>
      </c>
      <c r="K15" s="73">
        <v>151.0</v>
      </c>
      <c r="L15" s="73">
        <v>147.0</v>
      </c>
      <c r="M15" s="73">
        <v>129.0</v>
      </c>
      <c r="N15" s="73">
        <v>138.0</v>
      </c>
      <c r="O15" s="73">
        <v>119.0</v>
      </c>
      <c r="P15" s="73">
        <v>144.0</v>
      </c>
      <c r="Q15" s="73">
        <v>146.0</v>
      </c>
      <c r="R15" s="73">
        <v>142.0</v>
      </c>
      <c r="S15" s="73">
        <v>134.0</v>
      </c>
      <c r="T15" s="73">
        <v>144.0</v>
      </c>
      <c r="U15" s="73">
        <v>128.0</v>
      </c>
      <c r="V15" s="73">
        <v>130.0</v>
      </c>
      <c r="W15" s="73">
        <v>119.0</v>
      </c>
      <c r="X15" s="73">
        <v>132.0</v>
      </c>
      <c r="Y15" s="73">
        <v>128.0</v>
      </c>
      <c r="Z15" s="73">
        <v>119.0</v>
      </c>
      <c r="AA15" s="73">
        <v>126.0</v>
      </c>
      <c r="AB15" s="73">
        <v>128.0</v>
      </c>
      <c r="AC15" s="73">
        <v>122.0</v>
      </c>
      <c r="AD15" s="73">
        <v>126.0</v>
      </c>
      <c r="AE15" s="73">
        <v>141.0</v>
      </c>
      <c r="AF15" s="13">
        <f t="shared" si="1"/>
        <v>3609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261</v>
      </c>
      <c r="F16" s="13">
        <f t="shared" si="2"/>
        <v>260</v>
      </c>
      <c r="G16" s="13">
        <f t="shared" si="2"/>
        <v>269</v>
      </c>
      <c r="H16" s="13">
        <f t="shared" si="2"/>
        <v>288</v>
      </c>
      <c r="I16" s="13">
        <f t="shared" si="2"/>
        <v>275</v>
      </c>
      <c r="J16" s="13">
        <f t="shared" si="2"/>
        <v>272</v>
      </c>
      <c r="K16" s="13">
        <f t="shared" si="2"/>
        <v>291</v>
      </c>
      <c r="L16" s="13">
        <f t="shared" si="2"/>
        <v>286</v>
      </c>
      <c r="M16" s="13">
        <f t="shared" si="2"/>
        <v>273</v>
      </c>
      <c r="N16" s="13">
        <f t="shared" si="2"/>
        <v>292</v>
      </c>
      <c r="O16" s="13">
        <f t="shared" si="2"/>
        <v>250</v>
      </c>
      <c r="P16" s="13">
        <f t="shared" si="2"/>
        <v>293</v>
      </c>
      <c r="Q16" s="13">
        <f t="shared" si="2"/>
        <v>291</v>
      </c>
      <c r="R16" s="13">
        <f t="shared" si="2"/>
        <v>273</v>
      </c>
      <c r="S16" s="13">
        <f t="shared" si="2"/>
        <v>264</v>
      </c>
      <c r="T16" s="13">
        <f t="shared" si="2"/>
        <v>274</v>
      </c>
      <c r="U16" s="13">
        <f t="shared" si="2"/>
        <v>260</v>
      </c>
      <c r="V16" s="13">
        <f t="shared" si="2"/>
        <v>270</v>
      </c>
      <c r="W16" s="13">
        <f t="shared" si="2"/>
        <v>262</v>
      </c>
      <c r="X16" s="13">
        <f t="shared" si="2"/>
        <v>262</v>
      </c>
      <c r="Y16" s="13">
        <f t="shared" si="2"/>
        <v>263</v>
      </c>
      <c r="Z16" s="13">
        <f t="shared" si="2"/>
        <v>250</v>
      </c>
      <c r="AA16" s="13">
        <f t="shared" si="2"/>
        <v>255</v>
      </c>
      <c r="AB16" s="13">
        <f t="shared" si="2"/>
        <v>256</v>
      </c>
      <c r="AC16" s="13">
        <f t="shared" si="2"/>
        <v>251</v>
      </c>
      <c r="AD16" s="13">
        <f t="shared" si="2"/>
        <v>257</v>
      </c>
      <c r="AE16" s="13">
        <f t="shared" si="2"/>
        <v>276</v>
      </c>
      <c r="AF16" s="13">
        <f t="shared" si="1"/>
        <v>7274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101.0</v>
      </c>
      <c r="F19" s="73">
        <v>94.0</v>
      </c>
      <c r="G19" s="73">
        <v>109.0</v>
      </c>
      <c r="H19" s="73">
        <v>113.0</v>
      </c>
      <c r="I19" s="73">
        <v>112.0</v>
      </c>
      <c r="J19" s="73">
        <v>100.0</v>
      </c>
      <c r="K19" s="73">
        <v>116.0</v>
      </c>
      <c r="L19" s="73">
        <v>108.0</v>
      </c>
      <c r="M19" s="73">
        <v>109.0</v>
      </c>
      <c r="N19" s="73">
        <v>108.0</v>
      </c>
      <c r="O19" s="73">
        <v>109.0</v>
      </c>
      <c r="P19" s="73">
        <v>109.0</v>
      </c>
      <c r="Q19" s="73">
        <v>108.0</v>
      </c>
      <c r="R19" s="73">
        <v>96.0</v>
      </c>
      <c r="S19" s="73">
        <v>99.0</v>
      </c>
      <c r="T19" s="73">
        <v>102.0</v>
      </c>
      <c r="U19" s="73">
        <v>92.0</v>
      </c>
      <c r="V19" s="73">
        <v>113.0</v>
      </c>
      <c r="W19" s="73">
        <v>103.0</v>
      </c>
      <c r="X19" s="73">
        <v>105.0</v>
      </c>
      <c r="Y19" s="73">
        <v>107.0</v>
      </c>
      <c r="Z19" s="73">
        <v>98.0</v>
      </c>
      <c r="AA19" s="73">
        <v>96.0</v>
      </c>
      <c r="AB19" s="73">
        <v>109.0</v>
      </c>
      <c r="AC19" s="73">
        <v>88.0</v>
      </c>
      <c r="AD19" s="73">
        <v>105.0</v>
      </c>
      <c r="AE19" s="73">
        <v>105.0</v>
      </c>
      <c r="AF19" s="13">
        <f t="shared" ref="AF19:AF30" si="3">SUM(E19:AE19)</f>
        <v>2814</v>
      </c>
    </row>
    <row r="20" ht="12.75" customHeight="1">
      <c r="A20" s="33"/>
      <c r="B20" s="27"/>
      <c r="C20" s="34"/>
      <c r="D20" s="19" t="s">
        <v>13</v>
      </c>
      <c r="E20" s="73">
        <v>96.0</v>
      </c>
      <c r="F20" s="73">
        <v>99.0</v>
      </c>
      <c r="G20" s="73">
        <v>108.0</v>
      </c>
      <c r="H20" s="73">
        <v>113.0</v>
      </c>
      <c r="I20" s="73">
        <v>104.0</v>
      </c>
      <c r="J20" s="73">
        <v>114.0</v>
      </c>
      <c r="K20" s="73">
        <v>122.0</v>
      </c>
      <c r="L20" s="73">
        <v>130.0</v>
      </c>
      <c r="M20" s="73">
        <v>108.0</v>
      </c>
      <c r="N20" s="73">
        <v>102.0</v>
      </c>
      <c r="O20" s="73">
        <v>97.0</v>
      </c>
      <c r="P20" s="73">
        <v>116.0</v>
      </c>
      <c r="Q20" s="73">
        <v>108.0</v>
      </c>
      <c r="R20" s="73">
        <v>122.0</v>
      </c>
      <c r="S20" s="73">
        <v>113.0</v>
      </c>
      <c r="T20" s="73">
        <v>109.0</v>
      </c>
      <c r="U20" s="73">
        <v>99.0</v>
      </c>
      <c r="V20" s="73">
        <v>110.0</v>
      </c>
      <c r="W20" s="73">
        <v>91.0</v>
      </c>
      <c r="X20" s="73">
        <v>106.0</v>
      </c>
      <c r="Y20" s="73">
        <v>105.0</v>
      </c>
      <c r="Z20" s="73">
        <v>92.0</v>
      </c>
      <c r="AA20" s="73">
        <v>105.0</v>
      </c>
      <c r="AB20" s="73">
        <v>102.0</v>
      </c>
      <c r="AC20" s="73">
        <v>92.0</v>
      </c>
      <c r="AD20" s="73">
        <v>97.0</v>
      </c>
      <c r="AE20" s="73">
        <v>119.0</v>
      </c>
      <c r="AF20" s="13">
        <f t="shared" si="3"/>
        <v>2879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197</v>
      </c>
      <c r="F21" s="13">
        <f t="shared" si="4"/>
        <v>193</v>
      </c>
      <c r="G21" s="13">
        <f t="shared" si="4"/>
        <v>217</v>
      </c>
      <c r="H21" s="13">
        <f t="shared" si="4"/>
        <v>226</v>
      </c>
      <c r="I21" s="13">
        <f t="shared" si="4"/>
        <v>216</v>
      </c>
      <c r="J21" s="13">
        <f t="shared" si="4"/>
        <v>214</v>
      </c>
      <c r="K21" s="13">
        <f t="shared" si="4"/>
        <v>238</v>
      </c>
      <c r="L21" s="13">
        <f t="shared" si="4"/>
        <v>238</v>
      </c>
      <c r="M21" s="13">
        <f t="shared" si="4"/>
        <v>217</v>
      </c>
      <c r="N21" s="13">
        <f t="shared" si="4"/>
        <v>210</v>
      </c>
      <c r="O21" s="13">
        <f t="shared" si="4"/>
        <v>206</v>
      </c>
      <c r="P21" s="13">
        <f t="shared" si="4"/>
        <v>225</v>
      </c>
      <c r="Q21" s="13">
        <f t="shared" si="4"/>
        <v>216</v>
      </c>
      <c r="R21" s="13">
        <f t="shared" si="4"/>
        <v>218</v>
      </c>
      <c r="S21" s="13">
        <f t="shared" si="4"/>
        <v>212</v>
      </c>
      <c r="T21" s="13">
        <f t="shared" si="4"/>
        <v>211</v>
      </c>
      <c r="U21" s="13">
        <f t="shared" si="4"/>
        <v>191</v>
      </c>
      <c r="V21" s="13">
        <f t="shared" si="4"/>
        <v>223</v>
      </c>
      <c r="W21" s="13">
        <f t="shared" si="4"/>
        <v>194</v>
      </c>
      <c r="X21" s="13">
        <f t="shared" si="4"/>
        <v>211</v>
      </c>
      <c r="Y21" s="13">
        <f t="shared" si="4"/>
        <v>212</v>
      </c>
      <c r="Z21" s="13">
        <f t="shared" si="4"/>
        <v>190</v>
      </c>
      <c r="AA21" s="13">
        <f t="shared" si="4"/>
        <v>201</v>
      </c>
      <c r="AB21" s="13">
        <f t="shared" si="4"/>
        <v>211</v>
      </c>
      <c r="AC21" s="13">
        <f t="shared" si="4"/>
        <v>180</v>
      </c>
      <c r="AD21" s="13">
        <f t="shared" si="4"/>
        <v>202</v>
      </c>
      <c r="AE21" s="13">
        <f t="shared" si="4"/>
        <v>224</v>
      </c>
      <c r="AF21" s="13">
        <f t="shared" si="3"/>
        <v>5693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1.0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2.0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1.0</v>
      </c>
      <c r="Z22" s="73">
        <v>0.0</v>
      </c>
      <c r="AA22" s="73">
        <v>0.0</v>
      </c>
      <c r="AB22" s="73">
        <v>0.0</v>
      </c>
      <c r="AC22" s="73">
        <v>1.0</v>
      </c>
      <c r="AD22" s="73">
        <v>0.0</v>
      </c>
      <c r="AE22" s="73">
        <v>0.0</v>
      </c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1.0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2.0</v>
      </c>
      <c r="Z23" s="73">
        <v>0.0</v>
      </c>
      <c r="AA23" s="73">
        <v>0.0</v>
      </c>
      <c r="AB23" s="73">
        <v>0.0</v>
      </c>
      <c r="AC23" s="73">
        <v>1.0</v>
      </c>
      <c r="AD23" s="73">
        <v>0.0</v>
      </c>
      <c r="AE23" s="73">
        <v>1.0</v>
      </c>
      <c r="AF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3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2</v>
      </c>
      <c r="AD24" s="13">
        <f t="shared" si="5"/>
        <v>0</v>
      </c>
      <c r="AE24" s="13">
        <f t="shared" si="5"/>
        <v>1</v>
      </c>
      <c r="AF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2.0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1.0</v>
      </c>
      <c r="Z25" s="73">
        <v>0.0</v>
      </c>
      <c r="AA25" s="73">
        <v>1.0</v>
      </c>
      <c r="AB25" s="73">
        <v>0.0</v>
      </c>
      <c r="AC25" s="73">
        <v>0.0</v>
      </c>
      <c r="AD25" s="73">
        <v>0.0</v>
      </c>
      <c r="AE25" s="73">
        <v>0.0</v>
      </c>
      <c r="AF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2.0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1.0</v>
      </c>
      <c r="T26" s="73">
        <v>0.0</v>
      </c>
      <c r="U26" s="73">
        <v>0.0</v>
      </c>
      <c r="V26" s="73">
        <v>0.0</v>
      </c>
      <c r="W26" s="73">
        <v>0.0</v>
      </c>
      <c r="X26" s="73">
        <v>0.0</v>
      </c>
      <c r="Y26" s="73">
        <v>1.0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102</v>
      </c>
      <c r="F28" s="13">
        <f t="shared" si="7"/>
        <v>94</v>
      </c>
      <c r="G28" s="13">
        <f t="shared" si="7"/>
        <v>109</v>
      </c>
      <c r="H28" s="13">
        <f t="shared" si="7"/>
        <v>113</v>
      </c>
      <c r="I28" s="13">
        <f t="shared" si="7"/>
        <v>112</v>
      </c>
      <c r="J28" s="13">
        <f t="shared" si="7"/>
        <v>100</v>
      </c>
      <c r="K28" s="13">
        <f t="shared" si="7"/>
        <v>118</v>
      </c>
      <c r="L28" s="13">
        <f t="shared" si="7"/>
        <v>108</v>
      </c>
      <c r="M28" s="13">
        <f t="shared" si="7"/>
        <v>109</v>
      </c>
      <c r="N28" s="13">
        <f t="shared" si="7"/>
        <v>110</v>
      </c>
      <c r="O28" s="13">
        <f t="shared" si="7"/>
        <v>109</v>
      </c>
      <c r="P28" s="13">
        <f t="shared" si="7"/>
        <v>109</v>
      </c>
      <c r="Q28" s="13">
        <f t="shared" si="7"/>
        <v>108</v>
      </c>
      <c r="R28" s="13">
        <f t="shared" si="7"/>
        <v>96</v>
      </c>
      <c r="S28" s="13">
        <f t="shared" si="7"/>
        <v>99</v>
      </c>
      <c r="T28" s="13">
        <f t="shared" si="7"/>
        <v>102</v>
      </c>
      <c r="U28" s="13">
        <f t="shared" si="7"/>
        <v>92</v>
      </c>
      <c r="V28" s="13">
        <f t="shared" si="7"/>
        <v>113</v>
      </c>
      <c r="W28" s="13">
        <f t="shared" si="7"/>
        <v>103</v>
      </c>
      <c r="X28" s="13">
        <f t="shared" si="7"/>
        <v>105</v>
      </c>
      <c r="Y28" s="13">
        <f t="shared" si="7"/>
        <v>109</v>
      </c>
      <c r="Z28" s="13">
        <f t="shared" si="7"/>
        <v>98</v>
      </c>
      <c r="AA28" s="13">
        <f t="shared" si="7"/>
        <v>97</v>
      </c>
      <c r="AB28" s="13">
        <f t="shared" si="7"/>
        <v>109</v>
      </c>
      <c r="AC28" s="13">
        <f t="shared" si="7"/>
        <v>89</v>
      </c>
      <c r="AD28" s="13">
        <f t="shared" si="7"/>
        <v>105</v>
      </c>
      <c r="AE28" s="13">
        <f t="shared" si="7"/>
        <v>105</v>
      </c>
      <c r="AF28" s="13">
        <f t="shared" si="3"/>
        <v>2823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96</v>
      </c>
      <c r="F29" s="13">
        <f t="shared" si="8"/>
        <v>99</v>
      </c>
      <c r="G29" s="13">
        <f t="shared" si="8"/>
        <v>108</v>
      </c>
      <c r="H29" s="13">
        <f t="shared" si="8"/>
        <v>113</v>
      </c>
      <c r="I29" s="13">
        <f t="shared" si="8"/>
        <v>104</v>
      </c>
      <c r="J29" s="13">
        <f t="shared" si="8"/>
        <v>114</v>
      </c>
      <c r="K29" s="13">
        <f t="shared" si="8"/>
        <v>124</v>
      </c>
      <c r="L29" s="13">
        <f t="shared" si="8"/>
        <v>130</v>
      </c>
      <c r="M29" s="13">
        <f t="shared" si="8"/>
        <v>108</v>
      </c>
      <c r="N29" s="13">
        <f t="shared" si="8"/>
        <v>103</v>
      </c>
      <c r="O29" s="13">
        <f t="shared" si="8"/>
        <v>97</v>
      </c>
      <c r="P29" s="13">
        <f t="shared" si="8"/>
        <v>117</v>
      </c>
      <c r="Q29" s="13">
        <f t="shared" si="8"/>
        <v>108</v>
      </c>
      <c r="R29" s="13">
        <f t="shared" si="8"/>
        <v>122</v>
      </c>
      <c r="S29" s="13">
        <f t="shared" si="8"/>
        <v>114</v>
      </c>
      <c r="T29" s="13">
        <f t="shared" si="8"/>
        <v>110</v>
      </c>
      <c r="U29" s="13">
        <f t="shared" si="8"/>
        <v>99</v>
      </c>
      <c r="V29" s="13">
        <f t="shared" si="8"/>
        <v>110</v>
      </c>
      <c r="W29" s="13">
        <f t="shared" si="8"/>
        <v>91</v>
      </c>
      <c r="X29" s="13">
        <f t="shared" si="8"/>
        <v>106</v>
      </c>
      <c r="Y29" s="13">
        <f t="shared" si="8"/>
        <v>108</v>
      </c>
      <c r="Z29" s="13">
        <f t="shared" si="8"/>
        <v>92</v>
      </c>
      <c r="AA29" s="13">
        <f t="shared" si="8"/>
        <v>105</v>
      </c>
      <c r="AB29" s="13">
        <f t="shared" si="8"/>
        <v>102</v>
      </c>
      <c r="AC29" s="13">
        <f t="shared" si="8"/>
        <v>93</v>
      </c>
      <c r="AD29" s="13">
        <f t="shared" si="8"/>
        <v>97</v>
      </c>
      <c r="AE29" s="13">
        <f t="shared" si="8"/>
        <v>120</v>
      </c>
      <c r="AF29" s="13">
        <f t="shared" si="3"/>
        <v>2890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198</v>
      </c>
      <c r="F30" s="13">
        <f t="shared" si="9"/>
        <v>193</v>
      </c>
      <c r="G30" s="13">
        <f t="shared" si="9"/>
        <v>217</v>
      </c>
      <c r="H30" s="13">
        <f t="shared" si="9"/>
        <v>226</v>
      </c>
      <c r="I30" s="13">
        <f t="shared" si="9"/>
        <v>216</v>
      </c>
      <c r="J30" s="13">
        <f t="shared" si="9"/>
        <v>214</v>
      </c>
      <c r="K30" s="13">
        <f t="shared" si="9"/>
        <v>242</v>
      </c>
      <c r="L30" s="13">
        <f t="shared" si="9"/>
        <v>238</v>
      </c>
      <c r="M30" s="13">
        <f t="shared" si="9"/>
        <v>217</v>
      </c>
      <c r="N30" s="13">
        <f t="shared" si="9"/>
        <v>213</v>
      </c>
      <c r="O30" s="13">
        <f t="shared" si="9"/>
        <v>206</v>
      </c>
      <c r="P30" s="13">
        <f t="shared" si="9"/>
        <v>226</v>
      </c>
      <c r="Q30" s="13">
        <f t="shared" si="9"/>
        <v>216</v>
      </c>
      <c r="R30" s="13">
        <f t="shared" si="9"/>
        <v>218</v>
      </c>
      <c r="S30" s="13">
        <f t="shared" si="9"/>
        <v>213</v>
      </c>
      <c r="T30" s="13">
        <f t="shared" si="9"/>
        <v>212</v>
      </c>
      <c r="U30" s="13">
        <f t="shared" si="9"/>
        <v>191</v>
      </c>
      <c r="V30" s="13">
        <f t="shared" si="9"/>
        <v>223</v>
      </c>
      <c r="W30" s="13">
        <f t="shared" si="9"/>
        <v>194</v>
      </c>
      <c r="X30" s="13">
        <f t="shared" si="9"/>
        <v>211</v>
      </c>
      <c r="Y30" s="13">
        <f t="shared" si="9"/>
        <v>217</v>
      </c>
      <c r="Z30" s="13">
        <f t="shared" si="9"/>
        <v>190</v>
      </c>
      <c r="AA30" s="13">
        <f t="shared" si="9"/>
        <v>202</v>
      </c>
      <c r="AB30" s="13">
        <f t="shared" si="9"/>
        <v>211</v>
      </c>
      <c r="AC30" s="13">
        <f t="shared" si="9"/>
        <v>182</v>
      </c>
      <c r="AD30" s="13">
        <f t="shared" si="9"/>
        <v>202</v>
      </c>
      <c r="AE30" s="13">
        <f t="shared" si="9"/>
        <v>225</v>
      </c>
      <c r="AF30" s="13">
        <f t="shared" si="3"/>
        <v>5713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75"/>
    </row>
    <row r="33" ht="12.75" customHeight="1">
      <c r="A33" s="19">
        <v>1.0</v>
      </c>
      <c r="B33" s="20" t="s">
        <v>27</v>
      </c>
      <c r="C33" s="15"/>
      <c r="D33" s="16"/>
      <c r="E33" s="73">
        <v>267.0</v>
      </c>
      <c r="F33" s="73">
        <v>266.0</v>
      </c>
      <c r="G33" s="73">
        <v>275.0</v>
      </c>
      <c r="H33" s="73">
        <v>294.0</v>
      </c>
      <c r="I33" s="73">
        <v>281.0</v>
      </c>
      <c r="J33" s="73">
        <v>278.0</v>
      </c>
      <c r="K33" s="73">
        <v>297.0</v>
      </c>
      <c r="L33" s="73">
        <v>292.0</v>
      </c>
      <c r="M33" s="73">
        <v>279.0</v>
      </c>
      <c r="N33" s="73">
        <v>298.0</v>
      </c>
      <c r="O33" s="73">
        <v>253.0</v>
      </c>
      <c r="P33" s="73">
        <v>299.0</v>
      </c>
      <c r="Q33" s="73">
        <v>297.0</v>
      </c>
      <c r="R33" s="73">
        <v>279.0</v>
      </c>
      <c r="S33" s="73">
        <v>270.0</v>
      </c>
      <c r="T33" s="73">
        <v>281.0</v>
      </c>
      <c r="U33" s="73">
        <v>266.0</v>
      </c>
      <c r="V33" s="73">
        <v>276.0</v>
      </c>
      <c r="W33" s="73">
        <v>268.0</v>
      </c>
      <c r="X33" s="73">
        <v>268.0</v>
      </c>
      <c r="Y33" s="73">
        <v>269.0</v>
      </c>
      <c r="Z33" s="73">
        <v>255.0</v>
      </c>
      <c r="AA33" s="73">
        <v>261.0</v>
      </c>
      <c r="AB33" s="73">
        <v>260.0</v>
      </c>
      <c r="AC33" s="73">
        <v>257.0</v>
      </c>
      <c r="AD33" s="73">
        <v>263.0</v>
      </c>
      <c r="AE33" s="73">
        <v>282.0</v>
      </c>
      <c r="AF33" s="13">
        <f t="shared" ref="AF33:AF36" si="10">SUM(E33:AE33)</f>
        <v>7431</v>
      </c>
    </row>
    <row r="34" ht="12.75" customHeight="1">
      <c r="A34" s="19">
        <v>2.0</v>
      </c>
      <c r="B34" s="20" t="s">
        <v>28</v>
      </c>
      <c r="C34" s="15"/>
      <c r="D34" s="16"/>
      <c r="E34" s="77">
        <v>198.0</v>
      </c>
      <c r="F34" s="77">
        <v>193.0</v>
      </c>
      <c r="G34" s="77">
        <v>217.0</v>
      </c>
      <c r="H34" s="77">
        <v>226.0</v>
      </c>
      <c r="I34" s="77">
        <v>216.0</v>
      </c>
      <c r="J34" s="77">
        <v>214.0</v>
      </c>
      <c r="K34" s="77">
        <v>242.0</v>
      </c>
      <c r="L34" s="77">
        <v>238.0</v>
      </c>
      <c r="M34" s="77">
        <v>217.0</v>
      </c>
      <c r="N34" s="77">
        <v>213.0</v>
      </c>
      <c r="O34" s="77">
        <v>206.0</v>
      </c>
      <c r="P34" s="77">
        <v>226.0</v>
      </c>
      <c r="Q34" s="77">
        <v>216.0</v>
      </c>
      <c r="R34" s="77">
        <v>218.0</v>
      </c>
      <c r="S34" s="77">
        <v>213.0</v>
      </c>
      <c r="T34" s="77">
        <v>212.0</v>
      </c>
      <c r="U34" s="77">
        <v>191.0</v>
      </c>
      <c r="V34" s="77">
        <v>223.0</v>
      </c>
      <c r="W34" s="77">
        <v>194.0</v>
      </c>
      <c r="X34" s="77">
        <v>211.0</v>
      </c>
      <c r="Y34" s="77">
        <v>217.0</v>
      </c>
      <c r="Z34" s="77">
        <v>190.0</v>
      </c>
      <c r="AA34" s="77">
        <v>202.0</v>
      </c>
      <c r="AB34" s="77">
        <v>211.0</v>
      </c>
      <c r="AC34" s="77">
        <v>182.0</v>
      </c>
      <c r="AD34" s="77">
        <v>202.0</v>
      </c>
      <c r="AE34" s="77">
        <v>225.0</v>
      </c>
      <c r="AF34" s="13">
        <f t="shared" si="10"/>
        <v>5713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1.0</v>
      </c>
      <c r="T35" s="73">
        <v>0.0</v>
      </c>
      <c r="U35" s="73">
        <v>0.0</v>
      </c>
      <c r="V35" s="73">
        <v>0.0</v>
      </c>
      <c r="W35" s="73">
        <v>0.0</v>
      </c>
      <c r="X35" s="73">
        <v>2.0</v>
      </c>
      <c r="Y35" s="73">
        <v>0.0</v>
      </c>
      <c r="Z35" s="73">
        <v>0.0</v>
      </c>
      <c r="AA35" s="73">
        <v>1.0</v>
      </c>
      <c r="AB35" s="73">
        <v>0.0</v>
      </c>
      <c r="AC35" s="73">
        <v>0.0</v>
      </c>
      <c r="AD35" s="73">
        <v>0.0</v>
      </c>
      <c r="AE35" s="73">
        <v>0.0</v>
      </c>
      <c r="AF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69</v>
      </c>
      <c r="F36" s="13">
        <f t="shared" si="11"/>
        <v>73</v>
      </c>
      <c r="G36" s="13">
        <f t="shared" si="11"/>
        <v>58</v>
      </c>
      <c r="H36" s="13">
        <f t="shared" si="11"/>
        <v>68</v>
      </c>
      <c r="I36" s="13">
        <f t="shared" si="11"/>
        <v>65</v>
      </c>
      <c r="J36" s="13">
        <f t="shared" si="11"/>
        <v>64</v>
      </c>
      <c r="K36" s="13">
        <f t="shared" si="11"/>
        <v>55</v>
      </c>
      <c r="L36" s="13">
        <f t="shared" si="11"/>
        <v>54</v>
      </c>
      <c r="M36" s="13">
        <f t="shared" si="11"/>
        <v>62</v>
      </c>
      <c r="N36" s="13">
        <f t="shared" si="11"/>
        <v>85</v>
      </c>
      <c r="O36" s="13">
        <f t="shared" si="11"/>
        <v>47</v>
      </c>
      <c r="P36" s="13">
        <f t="shared" si="11"/>
        <v>73</v>
      </c>
      <c r="Q36" s="13">
        <f t="shared" si="11"/>
        <v>81</v>
      </c>
      <c r="R36" s="13">
        <f t="shared" si="11"/>
        <v>61</v>
      </c>
      <c r="S36" s="13">
        <f t="shared" si="11"/>
        <v>56</v>
      </c>
      <c r="T36" s="13">
        <f t="shared" si="11"/>
        <v>69</v>
      </c>
      <c r="U36" s="13">
        <f t="shared" si="11"/>
        <v>75</v>
      </c>
      <c r="V36" s="13">
        <f t="shared" si="11"/>
        <v>53</v>
      </c>
      <c r="W36" s="13">
        <f t="shared" si="11"/>
        <v>74</v>
      </c>
      <c r="X36" s="13">
        <f t="shared" si="11"/>
        <v>55</v>
      </c>
      <c r="Y36" s="13">
        <f t="shared" si="11"/>
        <v>52</v>
      </c>
      <c r="Z36" s="13">
        <f t="shared" si="11"/>
        <v>65</v>
      </c>
      <c r="AA36" s="13">
        <f t="shared" si="11"/>
        <v>58</v>
      </c>
      <c r="AB36" s="13">
        <f t="shared" si="11"/>
        <v>49</v>
      </c>
      <c r="AC36" s="13">
        <f t="shared" si="11"/>
        <v>75</v>
      </c>
      <c r="AD36" s="13">
        <f t="shared" si="11"/>
        <v>61</v>
      </c>
      <c r="AE36" s="13">
        <f t="shared" si="11"/>
        <v>57</v>
      </c>
      <c r="AF36" s="13">
        <f t="shared" si="10"/>
        <v>1714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1.0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1.0</v>
      </c>
      <c r="AB39" s="73">
        <v>0.0</v>
      </c>
      <c r="AC39" s="73">
        <v>0.0</v>
      </c>
      <c r="AD39" s="73">
        <v>0.0</v>
      </c>
      <c r="AE39" s="73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5.0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2.0</v>
      </c>
      <c r="AD40" s="73">
        <v>0.0</v>
      </c>
      <c r="AE40" s="73">
        <v>0.0</v>
      </c>
      <c r="AF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5.0</v>
      </c>
      <c r="F45" s="73">
        <v>9.0</v>
      </c>
      <c r="G45" s="73">
        <v>12.0</v>
      </c>
      <c r="H45" s="73">
        <v>6.0</v>
      </c>
      <c r="I45" s="73">
        <v>8.0</v>
      </c>
      <c r="J45" s="73">
        <v>2.0</v>
      </c>
      <c r="K45" s="73">
        <v>1.0</v>
      </c>
      <c r="L45" s="73">
        <v>2.0</v>
      </c>
      <c r="M45" s="73">
        <v>5.0</v>
      </c>
      <c r="N45" s="73">
        <v>10.0</v>
      </c>
      <c r="O45" s="73">
        <v>4.0</v>
      </c>
      <c r="P45" s="73">
        <v>5.0</v>
      </c>
      <c r="Q45" s="73">
        <v>0.0</v>
      </c>
      <c r="R45" s="73">
        <v>5.0</v>
      </c>
      <c r="S45" s="73">
        <v>2.0</v>
      </c>
      <c r="T45" s="73">
        <v>2.0</v>
      </c>
      <c r="U45" s="73">
        <v>0.0</v>
      </c>
      <c r="V45" s="73">
        <v>1.0</v>
      </c>
      <c r="W45" s="73">
        <v>4.0</v>
      </c>
      <c r="X45" s="73">
        <v>4.0</v>
      </c>
      <c r="Y45" s="73">
        <v>4.0</v>
      </c>
      <c r="Z45" s="73">
        <v>10.0</v>
      </c>
      <c r="AA45" s="73">
        <v>11.0</v>
      </c>
      <c r="AB45" s="73">
        <v>5.0</v>
      </c>
      <c r="AC45" s="73">
        <v>4.0</v>
      </c>
      <c r="AD45" s="73">
        <v>8.0</v>
      </c>
      <c r="AE45" s="73">
        <v>10.0</v>
      </c>
      <c r="AF45" s="13">
        <f t="shared" ref="AF45:AF54" si="14">SUM(E45:AE45)</f>
        <v>139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12.0</v>
      </c>
      <c r="G46" s="73">
        <v>10.0</v>
      </c>
      <c r="H46" s="73">
        <v>6.0</v>
      </c>
      <c r="I46" s="73">
        <v>4.0</v>
      </c>
      <c r="J46" s="73">
        <v>4.0</v>
      </c>
      <c r="K46" s="73">
        <v>8.0</v>
      </c>
      <c r="L46" s="73">
        <v>5.0</v>
      </c>
      <c r="M46" s="73">
        <v>4.0</v>
      </c>
      <c r="N46" s="73">
        <v>5.0</v>
      </c>
      <c r="O46" s="73">
        <v>18.0</v>
      </c>
      <c r="P46" s="73">
        <v>4.0</v>
      </c>
      <c r="Q46" s="73">
        <v>2.0</v>
      </c>
      <c r="R46" s="73">
        <v>5.0</v>
      </c>
      <c r="S46" s="73">
        <v>5.0</v>
      </c>
      <c r="T46" s="73">
        <v>6.0</v>
      </c>
      <c r="U46" s="73">
        <v>4.0</v>
      </c>
      <c r="V46" s="73">
        <v>3.0</v>
      </c>
      <c r="W46" s="73">
        <v>10.0</v>
      </c>
      <c r="X46" s="73">
        <v>14.0</v>
      </c>
      <c r="Y46" s="73">
        <v>17.0</v>
      </c>
      <c r="Z46" s="73">
        <v>5.0</v>
      </c>
      <c r="AA46" s="73">
        <v>5.0</v>
      </c>
      <c r="AB46" s="73">
        <v>5.0</v>
      </c>
      <c r="AC46" s="73">
        <v>2.0</v>
      </c>
      <c r="AD46" s="73">
        <v>14.0</v>
      </c>
      <c r="AE46" s="73">
        <v>2.0</v>
      </c>
      <c r="AF46" s="13">
        <f t="shared" si="14"/>
        <v>185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3.0</v>
      </c>
      <c r="G47" s="73">
        <v>1.0</v>
      </c>
      <c r="H47" s="73">
        <v>1.0</v>
      </c>
      <c r="I47" s="73">
        <v>0.0</v>
      </c>
      <c r="J47" s="73">
        <v>0.0</v>
      </c>
      <c r="K47" s="73">
        <v>0.0</v>
      </c>
      <c r="L47" s="73">
        <v>0.0</v>
      </c>
      <c r="M47" s="73">
        <v>2.0</v>
      </c>
      <c r="N47" s="73">
        <v>5.0</v>
      </c>
      <c r="O47" s="73">
        <v>0.0</v>
      </c>
      <c r="P47" s="73">
        <v>0.0</v>
      </c>
      <c r="Q47" s="73">
        <v>2.0</v>
      </c>
      <c r="R47" s="73">
        <v>0.0</v>
      </c>
      <c r="S47" s="73">
        <v>2.0</v>
      </c>
      <c r="T47" s="73">
        <v>3.0</v>
      </c>
      <c r="U47" s="73">
        <v>0.0</v>
      </c>
      <c r="V47" s="73">
        <v>0.0</v>
      </c>
      <c r="W47" s="73">
        <v>1.0</v>
      </c>
      <c r="X47" s="73">
        <v>6.0</v>
      </c>
      <c r="Y47" s="73">
        <v>0.0</v>
      </c>
      <c r="Z47" s="73">
        <v>0.0</v>
      </c>
      <c r="AA47" s="73">
        <v>0.0</v>
      </c>
      <c r="AB47" s="73">
        <v>2.0</v>
      </c>
      <c r="AC47" s="73">
        <v>0.0</v>
      </c>
      <c r="AD47" s="73">
        <v>5.0</v>
      </c>
      <c r="AE47" s="73">
        <v>3.0</v>
      </c>
      <c r="AF47" s="13">
        <f t="shared" si="14"/>
        <v>37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2.0</v>
      </c>
      <c r="G48" s="73">
        <v>0.0</v>
      </c>
      <c r="H48" s="73">
        <v>2.0</v>
      </c>
      <c r="I48" s="73">
        <v>0.0</v>
      </c>
      <c r="J48" s="73">
        <v>0.0</v>
      </c>
      <c r="K48" s="73">
        <v>0.0</v>
      </c>
      <c r="L48" s="73">
        <v>0.0</v>
      </c>
      <c r="M48" s="73">
        <v>2.0</v>
      </c>
      <c r="N48" s="73">
        <v>3.0</v>
      </c>
      <c r="O48" s="73">
        <v>2.0</v>
      </c>
      <c r="P48" s="73">
        <v>0.0</v>
      </c>
      <c r="Q48" s="73">
        <v>1.0</v>
      </c>
      <c r="R48" s="73">
        <v>0.0</v>
      </c>
      <c r="S48" s="73">
        <v>1.0</v>
      </c>
      <c r="T48" s="73">
        <v>1.0</v>
      </c>
      <c r="U48" s="73">
        <v>0.0</v>
      </c>
      <c r="V48" s="73">
        <v>0.0</v>
      </c>
      <c r="W48" s="73">
        <v>2.0</v>
      </c>
      <c r="X48" s="73">
        <v>1.0</v>
      </c>
      <c r="Y48" s="73">
        <v>1.0</v>
      </c>
      <c r="Z48" s="73">
        <v>1.0</v>
      </c>
      <c r="AA48" s="73">
        <v>0.0</v>
      </c>
      <c r="AB48" s="73">
        <v>0.0</v>
      </c>
      <c r="AC48" s="73">
        <v>0.0</v>
      </c>
      <c r="AD48" s="73">
        <v>0.0</v>
      </c>
      <c r="AE48" s="73">
        <v>2.0</v>
      </c>
      <c r="AF48" s="13">
        <f t="shared" si="14"/>
        <v>21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0.0</v>
      </c>
      <c r="G49" s="73">
        <v>2.0</v>
      </c>
      <c r="H49" s="73">
        <v>2.0</v>
      </c>
      <c r="I49" s="73">
        <v>1.0</v>
      </c>
      <c r="J49" s="73">
        <v>0.0</v>
      </c>
      <c r="K49" s="73">
        <v>0.0</v>
      </c>
      <c r="L49" s="73">
        <v>0.0</v>
      </c>
      <c r="M49" s="73">
        <v>0.0</v>
      </c>
      <c r="N49" s="73">
        <v>0.0</v>
      </c>
      <c r="O49" s="73">
        <v>5.0</v>
      </c>
      <c r="P49" s="73">
        <v>3.0</v>
      </c>
      <c r="Q49" s="73">
        <v>1.0</v>
      </c>
      <c r="R49" s="73">
        <v>0.0</v>
      </c>
      <c r="S49" s="73">
        <v>0.0</v>
      </c>
      <c r="T49" s="73">
        <v>1.0</v>
      </c>
      <c r="U49" s="73">
        <v>1.0</v>
      </c>
      <c r="V49" s="73">
        <v>2.0</v>
      </c>
      <c r="W49" s="73">
        <v>2.0</v>
      </c>
      <c r="X49" s="73">
        <v>1.0</v>
      </c>
      <c r="Y49" s="73">
        <v>1.0</v>
      </c>
      <c r="Z49" s="73">
        <v>2.0</v>
      </c>
      <c r="AA49" s="73">
        <v>0.0</v>
      </c>
      <c r="AB49" s="73">
        <v>1.0</v>
      </c>
      <c r="AC49" s="73">
        <v>0.0</v>
      </c>
      <c r="AD49" s="73">
        <v>1.0</v>
      </c>
      <c r="AE49" s="73">
        <v>1.0</v>
      </c>
      <c r="AF49" s="13">
        <f t="shared" si="14"/>
        <v>28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2.0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1.0</v>
      </c>
      <c r="O50" s="73">
        <v>0.0</v>
      </c>
      <c r="P50" s="73">
        <v>1.0</v>
      </c>
      <c r="Q50" s="73">
        <v>0.0</v>
      </c>
      <c r="R50" s="73">
        <v>2.0</v>
      </c>
      <c r="S50" s="73">
        <v>1.0</v>
      </c>
      <c r="T50" s="73">
        <v>0.0</v>
      </c>
      <c r="U50" s="73">
        <v>0.0</v>
      </c>
      <c r="V50" s="73">
        <v>2.0</v>
      </c>
      <c r="W50" s="73">
        <v>0.0</v>
      </c>
      <c r="X50" s="73">
        <v>2.0</v>
      </c>
      <c r="Y50" s="73">
        <v>0.0</v>
      </c>
      <c r="Z50" s="73">
        <v>0.0</v>
      </c>
      <c r="AA50" s="73">
        <v>2.0</v>
      </c>
      <c r="AB50" s="73">
        <v>0.0</v>
      </c>
      <c r="AC50" s="73">
        <v>0.0</v>
      </c>
      <c r="AD50" s="73">
        <v>0.0</v>
      </c>
      <c r="AE50" s="73">
        <v>0.0</v>
      </c>
      <c r="AF50" s="13">
        <f t="shared" si="14"/>
        <v>14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1.0</v>
      </c>
      <c r="I51" s="73">
        <v>0.0</v>
      </c>
      <c r="J51" s="73">
        <v>0.0</v>
      </c>
      <c r="K51" s="73">
        <v>1.0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1.0</v>
      </c>
      <c r="R51" s="73">
        <v>1.0</v>
      </c>
      <c r="S51" s="73">
        <v>0.0</v>
      </c>
      <c r="T51" s="73">
        <v>0.0</v>
      </c>
      <c r="U51" s="73">
        <v>0.0</v>
      </c>
      <c r="V51" s="73">
        <v>0.0</v>
      </c>
      <c r="W51" s="73">
        <v>1.0</v>
      </c>
      <c r="X51" s="73">
        <v>0.0</v>
      </c>
      <c r="Y51" s="73">
        <v>0.0</v>
      </c>
      <c r="Z51" s="73">
        <v>1.0</v>
      </c>
      <c r="AA51" s="73">
        <v>0.0</v>
      </c>
      <c r="AB51" s="73">
        <v>0.0</v>
      </c>
      <c r="AC51" s="73">
        <v>0.0</v>
      </c>
      <c r="AD51" s="73">
        <v>0.0</v>
      </c>
      <c r="AE51" s="73">
        <v>0.0</v>
      </c>
      <c r="AF51" s="13">
        <f t="shared" si="14"/>
        <v>6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1.0</v>
      </c>
      <c r="G52" s="73">
        <v>1.0</v>
      </c>
      <c r="H52" s="73">
        <v>1.0</v>
      </c>
      <c r="I52" s="73">
        <v>0.0</v>
      </c>
      <c r="J52" s="73">
        <v>0.0</v>
      </c>
      <c r="K52" s="73">
        <v>0.0</v>
      </c>
      <c r="L52" s="73">
        <v>0.0</v>
      </c>
      <c r="M52" s="73">
        <v>1.0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1.0</v>
      </c>
      <c r="V52" s="73">
        <v>0.0</v>
      </c>
      <c r="W52" s="73">
        <v>0.0</v>
      </c>
      <c r="X52" s="73">
        <v>0.0</v>
      </c>
      <c r="Y52" s="73">
        <v>0.0</v>
      </c>
      <c r="Z52" s="73">
        <v>0.0</v>
      </c>
      <c r="AA52" s="73">
        <v>0.0</v>
      </c>
      <c r="AB52" s="73">
        <v>0.0</v>
      </c>
      <c r="AC52" s="73">
        <v>1.0</v>
      </c>
      <c r="AD52" s="73">
        <v>1.0</v>
      </c>
      <c r="AE52" s="73">
        <v>1.0</v>
      </c>
      <c r="AF52" s="13">
        <f t="shared" si="14"/>
        <v>8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1.0</v>
      </c>
      <c r="K53" s="73">
        <v>0.0</v>
      </c>
      <c r="L53" s="73">
        <v>0.0</v>
      </c>
      <c r="M53" s="73">
        <v>0.0</v>
      </c>
      <c r="N53" s="73">
        <v>1.0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1.0</v>
      </c>
      <c r="AE53" s="73">
        <v>0.0</v>
      </c>
      <c r="AF53" s="13">
        <f t="shared" si="14"/>
        <v>3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0.0</v>
      </c>
      <c r="I54" s="73">
        <v>0.0</v>
      </c>
      <c r="J54" s="73">
        <v>0.0</v>
      </c>
      <c r="K54" s="73">
        <v>0.0</v>
      </c>
      <c r="L54" s="73">
        <v>0.0</v>
      </c>
      <c r="M54" s="73">
        <v>1.0</v>
      </c>
      <c r="N54" s="73">
        <v>1.0</v>
      </c>
      <c r="O54" s="73">
        <v>0.0</v>
      </c>
      <c r="P54" s="73">
        <v>0.0</v>
      </c>
      <c r="Q54" s="73">
        <v>0.0</v>
      </c>
      <c r="R54" s="73">
        <v>0.0</v>
      </c>
      <c r="S54" s="73">
        <v>1.0</v>
      </c>
      <c r="T54" s="73">
        <v>2.0</v>
      </c>
      <c r="U54" s="73">
        <v>0.0</v>
      </c>
      <c r="V54" s="73">
        <v>2.0</v>
      </c>
      <c r="W54" s="73">
        <v>1.0</v>
      </c>
      <c r="X54" s="73">
        <v>1.0</v>
      </c>
      <c r="Y54" s="73">
        <v>0.0</v>
      </c>
      <c r="Z54" s="73">
        <v>1.0</v>
      </c>
      <c r="AA54" s="73">
        <v>0.0</v>
      </c>
      <c r="AB54" s="73">
        <v>0.0</v>
      </c>
      <c r="AC54" s="73">
        <v>0.0</v>
      </c>
      <c r="AD54" s="73">
        <v>1.0</v>
      </c>
      <c r="AE54" s="73">
        <v>0.0</v>
      </c>
      <c r="AF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F55" si="15">SUM(E45:E54)</f>
        <v>13</v>
      </c>
      <c r="F55" s="13">
        <f t="shared" si="15"/>
        <v>27</v>
      </c>
      <c r="G55" s="13">
        <f t="shared" si="15"/>
        <v>28</v>
      </c>
      <c r="H55" s="13">
        <f t="shared" si="15"/>
        <v>19</v>
      </c>
      <c r="I55" s="13">
        <f t="shared" si="15"/>
        <v>14</v>
      </c>
      <c r="J55" s="13">
        <f t="shared" si="15"/>
        <v>7</v>
      </c>
      <c r="K55" s="13">
        <f t="shared" si="15"/>
        <v>10</v>
      </c>
      <c r="L55" s="13">
        <f t="shared" si="15"/>
        <v>7</v>
      </c>
      <c r="M55" s="13">
        <f t="shared" si="15"/>
        <v>15</v>
      </c>
      <c r="N55" s="13">
        <f t="shared" si="15"/>
        <v>26</v>
      </c>
      <c r="O55" s="13">
        <f t="shared" si="15"/>
        <v>29</v>
      </c>
      <c r="P55" s="13">
        <f t="shared" si="15"/>
        <v>13</v>
      </c>
      <c r="Q55" s="13">
        <f t="shared" si="15"/>
        <v>7</v>
      </c>
      <c r="R55" s="13">
        <f t="shared" si="15"/>
        <v>13</v>
      </c>
      <c r="S55" s="13">
        <f t="shared" si="15"/>
        <v>12</v>
      </c>
      <c r="T55" s="13">
        <f t="shared" si="15"/>
        <v>15</v>
      </c>
      <c r="U55" s="13">
        <f t="shared" si="15"/>
        <v>6</v>
      </c>
      <c r="V55" s="13">
        <f t="shared" si="15"/>
        <v>10</v>
      </c>
      <c r="W55" s="13">
        <f t="shared" si="15"/>
        <v>21</v>
      </c>
      <c r="X55" s="13">
        <f t="shared" si="15"/>
        <v>29</v>
      </c>
      <c r="Y55" s="13">
        <f t="shared" si="15"/>
        <v>23</v>
      </c>
      <c r="Z55" s="13">
        <f t="shared" si="15"/>
        <v>20</v>
      </c>
      <c r="AA55" s="13">
        <f t="shared" si="15"/>
        <v>18</v>
      </c>
      <c r="AB55" s="13">
        <f t="shared" si="15"/>
        <v>13</v>
      </c>
      <c r="AC55" s="13">
        <f t="shared" si="15"/>
        <v>7</v>
      </c>
      <c r="AD55" s="13">
        <f t="shared" si="15"/>
        <v>31</v>
      </c>
      <c r="AE55" s="13">
        <f t="shared" si="15"/>
        <v>19</v>
      </c>
      <c r="AF55" s="13">
        <f t="shared" si="15"/>
        <v>452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7.0</v>
      </c>
      <c r="F57" s="73">
        <v>9.0</v>
      </c>
      <c r="G57" s="73">
        <v>12.0</v>
      </c>
      <c r="H57" s="73">
        <v>4.0</v>
      </c>
      <c r="I57" s="73">
        <v>7.0</v>
      </c>
      <c r="J57" s="73">
        <v>4.0</v>
      </c>
      <c r="K57" s="73">
        <v>12.0</v>
      </c>
      <c r="L57" s="73">
        <v>5.0</v>
      </c>
      <c r="M57" s="73">
        <v>7.0</v>
      </c>
      <c r="N57" s="73">
        <v>7.0</v>
      </c>
      <c r="O57" s="73">
        <v>8.0</v>
      </c>
      <c r="P57" s="73">
        <v>9.0</v>
      </c>
      <c r="Q57" s="73">
        <v>13.0</v>
      </c>
      <c r="R57" s="73">
        <v>6.0</v>
      </c>
      <c r="S57" s="73">
        <v>5.0</v>
      </c>
      <c r="T57" s="73">
        <v>9.0</v>
      </c>
      <c r="U57" s="73">
        <v>7.0</v>
      </c>
      <c r="V57" s="73">
        <v>6.0</v>
      </c>
      <c r="W57" s="73">
        <v>4.0</v>
      </c>
      <c r="X57" s="73">
        <v>9.0</v>
      </c>
      <c r="Y57" s="73">
        <v>8.0</v>
      </c>
      <c r="Z57" s="73">
        <v>6.0</v>
      </c>
      <c r="AA57" s="73">
        <v>5.0</v>
      </c>
      <c r="AB57" s="73">
        <v>8.0</v>
      </c>
      <c r="AC57" s="73">
        <v>5.0</v>
      </c>
      <c r="AD57" s="73">
        <v>4.0</v>
      </c>
      <c r="AE57" s="73">
        <v>4.0</v>
      </c>
      <c r="AF57" s="13">
        <f t="shared" ref="AF57:AF66" si="16">SUM(E57:AE57)</f>
        <v>190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5.0</v>
      </c>
      <c r="F58" s="73">
        <v>24.0</v>
      </c>
      <c r="G58" s="73">
        <v>42.0</v>
      </c>
      <c r="H58" s="73">
        <v>16.0</v>
      </c>
      <c r="I58" s="73">
        <v>13.0</v>
      </c>
      <c r="J58" s="73">
        <v>3.0</v>
      </c>
      <c r="K58" s="73">
        <v>12.0</v>
      </c>
      <c r="L58" s="73">
        <v>8.0</v>
      </c>
      <c r="M58" s="73">
        <v>38.0</v>
      </c>
      <c r="N58" s="73">
        <v>18.0</v>
      </c>
      <c r="O58" s="73">
        <v>54.0</v>
      </c>
      <c r="P58" s="73">
        <v>32.0</v>
      </c>
      <c r="Q58" s="73">
        <v>43.0</v>
      </c>
      <c r="R58" s="73">
        <v>55.0</v>
      </c>
      <c r="S58" s="73">
        <v>33.0</v>
      </c>
      <c r="T58" s="73">
        <v>50.0</v>
      </c>
      <c r="U58" s="73">
        <v>26.0</v>
      </c>
      <c r="V58" s="73">
        <v>12.0</v>
      </c>
      <c r="W58" s="73">
        <v>5.0</v>
      </c>
      <c r="X58" s="73">
        <v>7.0</v>
      </c>
      <c r="Y58" s="73">
        <v>7.0</v>
      </c>
      <c r="Z58" s="73">
        <v>1.0</v>
      </c>
      <c r="AA58" s="73">
        <v>4.0</v>
      </c>
      <c r="AB58" s="73">
        <v>1.0</v>
      </c>
      <c r="AC58" s="73">
        <v>4.0</v>
      </c>
      <c r="AD58" s="73">
        <v>5.0</v>
      </c>
      <c r="AE58" s="73">
        <v>4.0</v>
      </c>
      <c r="AF58" s="13">
        <f t="shared" si="16"/>
        <v>522</v>
      </c>
    </row>
    <row r="59" ht="12.75" customHeight="1">
      <c r="A59" s="18"/>
      <c r="B59" s="49"/>
      <c r="C59" s="50" t="s">
        <v>52</v>
      </c>
      <c r="D59" s="51"/>
      <c r="E59" s="73">
        <v>5.0</v>
      </c>
      <c r="F59" s="73">
        <v>8.0</v>
      </c>
      <c r="G59" s="73">
        <v>1.0</v>
      </c>
      <c r="H59" s="73">
        <v>1.0</v>
      </c>
      <c r="I59" s="73">
        <v>8.0</v>
      </c>
      <c r="J59" s="73">
        <v>4.0</v>
      </c>
      <c r="K59" s="73">
        <v>3.0</v>
      </c>
      <c r="L59" s="73">
        <v>7.0</v>
      </c>
      <c r="M59" s="73">
        <v>1.0</v>
      </c>
      <c r="N59" s="73">
        <v>1.0</v>
      </c>
      <c r="O59" s="73">
        <v>2.0</v>
      </c>
      <c r="P59" s="73">
        <v>2.0</v>
      </c>
      <c r="Q59" s="73">
        <v>7.0</v>
      </c>
      <c r="R59" s="73">
        <v>9.0</v>
      </c>
      <c r="S59" s="73">
        <v>6.0</v>
      </c>
      <c r="T59" s="73">
        <v>3.0</v>
      </c>
      <c r="U59" s="73">
        <v>6.0</v>
      </c>
      <c r="V59" s="73">
        <v>8.0</v>
      </c>
      <c r="W59" s="73">
        <v>10.0</v>
      </c>
      <c r="X59" s="73">
        <v>8.0</v>
      </c>
      <c r="Y59" s="73">
        <v>2.0</v>
      </c>
      <c r="Z59" s="73">
        <v>0.0</v>
      </c>
      <c r="AA59" s="73">
        <v>1.0</v>
      </c>
      <c r="AB59" s="73">
        <v>1.0</v>
      </c>
      <c r="AC59" s="73">
        <v>3.0</v>
      </c>
      <c r="AD59" s="73">
        <v>2.0</v>
      </c>
      <c r="AE59" s="73">
        <v>0.0</v>
      </c>
      <c r="AF59" s="13">
        <f t="shared" si="16"/>
        <v>109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4.0</v>
      </c>
      <c r="G60" s="73">
        <v>9.0</v>
      </c>
      <c r="H60" s="73">
        <v>1.0</v>
      </c>
      <c r="I60" s="73">
        <v>3.0</v>
      </c>
      <c r="J60" s="73">
        <v>2.0</v>
      </c>
      <c r="K60" s="73">
        <v>2.0</v>
      </c>
      <c r="L60" s="73">
        <v>1.0</v>
      </c>
      <c r="M60" s="73">
        <v>0.0</v>
      </c>
      <c r="N60" s="73">
        <v>1.0</v>
      </c>
      <c r="O60" s="73">
        <v>0.0</v>
      </c>
      <c r="P60" s="73">
        <v>2.0</v>
      </c>
      <c r="Q60" s="73">
        <v>2.0</v>
      </c>
      <c r="R60" s="73">
        <v>3.0</v>
      </c>
      <c r="S60" s="73">
        <v>2.0</v>
      </c>
      <c r="T60" s="73">
        <v>2.0</v>
      </c>
      <c r="U60" s="73">
        <v>1.0</v>
      </c>
      <c r="V60" s="73">
        <v>5.0</v>
      </c>
      <c r="W60" s="73">
        <v>1.0</v>
      </c>
      <c r="X60" s="73">
        <v>2.0</v>
      </c>
      <c r="Y60" s="73">
        <v>2.0</v>
      </c>
      <c r="Z60" s="73">
        <v>3.0</v>
      </c>
      <c r="AA60" s="73">
        <v>2.0</v>
      </c>
      <c r="AB60" s="73">
        <v>1.0</v>
      </c>
      <c r="AC60" s="73">
        <v>3.0</v>
      </c>
      <c r="AD60" s="73">
        <v>1.0</v>
      </c>
      <c r="AE60" s="73">
        <v>3.0</v>
      </c>
      <c r="AF60" s="13">
        <f t="shared" si="16"/>
        <v>59</v>
      </c>
    </row>
    <row r="61" ht="12.75" customHeight="1">
      <c r="A61" s="18"/>
      <c r="B61" s="49"/>
      <c r="C61" s="50" t="s">
        <v>54</v>
      </c>
      <c r="D61" s="51"/>
      <c r="E61" s="73">
        <v>3.0</v>
      </c>
      <c r="F61" s="73">
        <v>3.0</v>
      </c>
      <c r="G61" s="73">
        <v>9.0</v>
      </c>
      <c r="H61" s="73">
        <v>1.0</v>
      </c>
      <c r="I61" s="73">
        <v>7.0</v>
      </c>
      <c r="J61" s="73">
        <v>4.0</v>
      </c>
      <c r="K61" s="73">
        <v>7.0</v>
      </c>
      <c r="L61" s="73">
        <v>4.0</v>
      </c>
      <c r="M61" s="73">
        <v>3.0</v>
      </c>
      <c r="N61" s="73">
        <v>2.0</v>
      </c>
      <c r="O61" s="73">
        <v>8.0</v>
      </c>
      <c r="P61" s="73">
        <v>11.0</v>
      </c>
      <c r="Q61" s="73">
        <v>10.0</v>
      </c>
      <c r="R61" s="73">
        <v>4.0</v>
      </c>
      <c r="S61" s="73">
        <v>9.0</v>
      </c>
      <c r="T61" s="73">
        <v>5.0</v>
      </c>
      <c r="U61" s="73">
        <v>10.0</v>
      </c>
      <c r="V61" s="73">
        <v>19.0</v>
      </c>
      <c r="W61" s="73">
        <v>4.0</v>
      </c>
      <c r="X61" s="73">
        <v>7.0</v>
      </c>
      <c r="Y61" s="73">
        <v>37.0</v>
      </c>
      <c r="Z61" s="73">
        <v>21.0</v>
      </c>
      <c r="AA61" s="73">
        <v>0.0</v>
      </c>
      <c r="AB61" s="73">
        <v>0.0</v>
      </c>
      <c r="AC61" s="73">
        <v>7.0</v>
      </c>
      <c r="AD61" s="73">
        <v>5.0</v>
      </c>
      <c r="AE61" s="73">
        <v>0.0</v>
      </c>
      <c r="AF61" s="13">
        <f t="shared" si="16"/>
        <v>200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1.0</v>
      </c>
      <c r="G62" s="73">
        <v>2.0</v>
      </c>
      <c r="H62" s="73">
        <v>2.0</v>
      </c>
      <c r="I62" s="73">
        <v>4.0</v>
      </c>
      <c r="J62" s="73">
        <v>0.0</v>
      </c>
      <c r="K62" s="73">
        <v>3.0</v>
      </c>
      <c r="L62" s="73">
        <v>1.0</v>
      </c>
      <c r="M62" s="73">
        <v>0.0</v>
      </c>
      <c r="N62" s="73">
        <v>2.0</v>
      </c>
      <c r="O62" s="73">
        <v>1.0</v>
      </c>
      <c r="P62" s="73">
        <v>2.0</v>
      </c>
      <c r="Q62" s="73">
        <v>2.0</v>
      </c>
      <c r="R62" s="73">
        <v>1.0</v>
      </c>
      <c r="S62" s="73">
        <v>0.0</v>
      </c>
      <c r="T62" s="73">
        <v>3.0</v>
      </c>
      <c r="U62" s="73">
        <v>0.0</v>
      </c>
      <c r="V62" s="73">
        <v>1.0</v>
      </c>
      <c r="W62" s="73">
        <v>1.0</v>
      </c>
      <c r="X62" s="73">
        <v>0.0</v>
      </c>
      <c r="Y62" s="73">
        <v>2.0</v>
      </c>
      <c r="Z62" s="73">
        <v>0.0</v>
      </c>
      <c r="AA62" s="73">
        <v>0.0</v>
      </c>
      <c r="AB62" s="73">
        <v>1.0</v>
      </c>
      <c r="AC62" s="73">
        <v>1.0</v>
      </c>
      <c r="AD62" s="73">
        <v>2.0</v>
      </c>
      <c r="AE62" s="73">
        <v>0.0</v>
      </c>
      <c r="AF62" s="13">
        <f t="shared" si="16"/>
        <v>32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1.0</v>
      </c>
      <c r="G63" s="73">
        <v>0.0</v>
      </c>
      <c r="H63" s="73">
        <v>1.0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2.0</v>
      </c>
      <c r="O63" s="73">
        <v>0.0</v>
      </c>
      <c r="P63" s="73">
        <v>2.0</v>
      </c>
      <c r="Q63" s="73">
        <v>1.0</v>
      </c>
      <c r="R63" s="73">
        <v>0.0</v>
      </c>
      <c r="S63" s="73">
        <v>0.0</v>
      </c>
      <c r="T63" s="73">
        <v>0.0</v>
      </c>
      <c r="U63" s="73">
        <v>1.0</v>
      </c>
      <c r="V63" s="73">
        <v>2.0</v>
      </c>
      <c r="W63" s="73">
        <v>1.0</v>
      </c>
      <c r="X63" s="73">
        <v>2.0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1.0</v>
      </c>
      <c r="AF63" s="13">
        <f t="shared" si="16"/>
        <v>14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2.0</v>
      </c>
      <c r="J64" s="73">
        <v>0.0</v>
      </c>
      <c r="K64" s="73">
        <v>0.0</v>
      </c>
      <c r="L64" s="73">
        <v>1.0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1.0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0.0</v>
      </c>
      <c r="AD64" s="73">
        <v>2.0</v>
      </c>
      <c r="AE64" s="73">
        <v>0.0</v>
      </c>
      <c r="AF64" s="13">
        <f t="shared" si="16"/>
        <v>6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1.0</v>
      </c>
      <c r="J65" s="73">
        <v>0.0</v>
      </c>
      <c r="K65" s="73">
        <v>1.0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1.0</v>
      </c>
      <c r="R65" s="73">
        <v>0.0</v>
      </c>
      <c r="S65" s="73">
        <v>0.0</v>
      </c>
      <c r="T65" s="73">
        <v>1.0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13">
        <f t="shared" si="16"/>
        <v>4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1.0</v>
      </c>
      <c r="H66" s="73">
        <v>1.0</v>
      </c>
      <c r="I66" s="73">
        <v>0.0</v>
      </c>
      <c r="J66" s="73">
        <v>0.0</v>
      </c>
      <c r="K66" s="73">
        <v>0.0</v>
      </c>
      <c r="L66" s="73">
        <v>2.0</v>
      </c>
      <c r="M66" s="73">
        <v>0.0</v>
      </c>
      <c r="N66" s="73">
        <v>0.0</v>
      </c>
      <c r="O66" s="73">
        <v>0.0</v>
      </c>
      <c r="P66" s="73">
        <v>0.0</v>
      </c>
      <c r="Q66" s="73">
        <v>0.0</v>
      </c>
      <c r="R66" s="73">
        <v>0.0</v>
      </c>
      <c r="S66" s="73">
        <v>2.0</v>
      </c>
      <c r="T66" s="73">
        <v>1.0</v>
      </c>
      <c r="U66" s="73">
        <v>0.0</v>
      </c>
      <c r="V66" s="73">
        <v>1.0</v>
      </c>
      <c r="W66" s="73">
        <v>0.0</v>
      </c>
      <c r="X66" s="73">
        <v>1.0</v>
      </c>
      <c r="Y66" s="73">
        <v>0.0</v>
      </c>
      <c r="Z66" s="73">
        <v>0.0</v>
      </c>
      <c r="AA66" s="73">
        <v>0.0</v>
      </c>
      <c r="AB66" s="73">
        <v>1.0</v>
      </c>
      <c r="AC66" s="73">
        <v>0.0</v>
      </c>
      <c r="AD66" s="73">
        <v>0.0</v>
      </c>
      <c r="AE66" s="73">
        <v>0.0</v>
      </c>
      <c r="AF66" s="13">
        <f t="shared" si="16"/>
        <v>10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F67" si="17">SUM(E57:E66)</f>
        <v>21</v>
      </c>
      <c r="F67" s="13">
        <f t="shared" si="17"/>
        <v>50</v>
      </c>
      <c r="G67" s="13">
        <f t="shared" si="17"/>
        <v>76</v>
      </c>
      <c r="H67" s="13">
        <f t="shared" si="17"/>
        <v>27</v>
      </c>
      <c r="I67" s="13">
        <f t="shared" si="17"/>
        <v>45</v>
      </c>
      <c r="J67" s="13">
        <f t="shared" si="17"/>
        <v>17</v>
      </c>
      <c r="K67" s="13">
        <f t="shared" si="17"/>
        <v>40</v>
      </c>
      <c r="L67" s="13">
        <f t="shared" si="17"/>
        <v>29</v>
      </c>
      <c r="M67" s="13">
        <f t="shared" si="17"/>
        <v>49</v>
      </c>
      <c r="N67" s="13">
        <f t="shared" si="17"/>
        <v>33</v>
      </c>
      <c r="O67" s="13">
        <f t="shared" si="17"/>
        <v>73</v>
      </c>
      <c r="P67" s="13">
        <f t="shared" si="17"/>
        <v>60</v>
      </c>
      <c r="Q67" s="13">
        <f t="shared" si="17"/>
        <v>79</v>
      </c>
      <c r="R67" s="13">
        <f t="shared" si="17"/>
        <v>78</v>
      </c>
      <c r="S67" s="13">
        <f t="shared" si="17"/>
        <v>57</v>
      </c>
      <c r="T67" s="13">
        <f t="shared" si="17"/>
        <v>74</v>
      </c>
      <c r="U67" s="13">
        <f t="shared" si="17"/>
        <v>51</v>
      </c>
      <c r="V67" s="13">
        <f t="shared" si="17"/>
        <v>54</v>
      </c>
      <c r="W67" s="13">
        <f t="shared" si="17"/>
        <v>27</v>
      </c>
      <c r="X67" s="13">
        <f t="shared" si="17"/>
        <v>36</v>
      </c>
      <c r="Y67" s="13">
        <f t="shared" si="17"/>
        <v>58</v>
      </c>
      <c r="Z67" s="13">
        <f t="shared" si="17"/>
        <v>31</v>
      </c>
      <c r="AA67" s="13">
        <f t="shared" si="17"/>
        <v>12</v>
      </c>
      <c r="AB67" s="13">
        <f t="shared" si="17"/>
        <v>13</v>
      </c>
      <c r="AC67" s="13">
        <f t="shared" si="17"/>
        <v>23</v>
      </c>
      <c r="AD67" s="13">
        <f t="shared" si="17"/>
        <v>21</v>
      </c>
      <c r="AE67" s="13">
        <f t="shared" si="17"/>
        <v>12</v>
      </c>
      <c r="AF67" s="13">
        <f t="shared" si="17"/>
        <v>1146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20.0</v>
      </c>
      <c r="F69" s="73">
        <v>9.0</v>
      </c>
      <c r="G69" s="73">
        <v>6.0</v>
      </c>
      <c r="H69" s="73">
        <v>11.0</v>
      </c>
      <c r="I69" s="73">
        <v>14.0</v>
      </c>
      <c r="J69" s="73">
        <v>6.0</v>
      </c>
      <c r="K69" s="73">
        <v>15.0</v>
      </c>
      <c r="L69" s="73">
        <v>5.0</v>
      </c>
      <c r="M69" s="73">
        <v>4.0</v>
      </c>
      <c r="N69" s="73">
        <v>8.0</v>
      </c>
      <c r="O69" s="73">
        <v>6.0</v>
      </c>
      <c r="P69" s="73">
        <v>13.0</v>
      </c>
      <c r="Q69" s="73">
        <v>12.0</v>
      </c>
      <c r="R69" s="73">
        <v>6.0</v>
      </c>
      <c r="S69" s="73">
        <v>13.0</v>
      </c>
      <c r="T69" s="73">
        <v>9.0</v>
      </c>
      <c r="U69" s="73">
        <v>22.0</v>
      </c>
      <c r="V69" s="73">
        <v>16.0</v>
      </c>
      <c r="W69" s="73">
        <v>18.0</v>
      </c>
      <c r="X69" s="73">
        <v>14.0</v>
      </c>
      <c r="Y69" s="73">
        <v>14.0</v>
      </c>
      <c r="Z69" s="73">
        <v>8.0</v>
      </c>
      <c r="AA69" s="73">
        <v>9.0</v>
      </c>
      <c r="AB69" s="73">
        <v>4.0</v>
      </c>
      <c r="AC69" s="73">
        <v>9.0</v>
      </c>
      <c r="AD69" s="73">
        <v>7.0</v>
      </c>
      <c r="AE69" s="73">
        <v>18.0</v>
      </c>
      <c r="AF69" s="13">
        <f t="shared" ref="AF69:AF78" si="18">SUM(E69:AE69)</f>
        <v>296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14.0</v>
      </c>
      <c r="F70" s="73">
        <v>7.0</v>
      </c>
      <c r="G70" s="73">
        <v>14.0</v>
      </c>
      <c r="H70" s="73">
        <v>8.0</v>
      </c>
      <c r="I70" s="73">
        <v>13.0</v>
      </c>
      <c r="J70" s="73">
        <v>2.0</v>
      </c>
      <c r="K70" s="73">
        <v>8.0</v>
      </c>
      <c r="L70" s="73">
        <v>4.0</v>
      </c>
      <c r="M70" s="73">
        <v>3.0</v>
      </c>
      <c r="N70" s="73">
        <v>6.0</v>
      </c>
      <c r="O70" s="73">
        <v>1.0</v>
      </c>
      <c r="P70" s="73">
        <v>7.0</v>
      </c>
      <c r="Q70" s="73">
        <v>3.0</v>
      </c>
      <c r="R70" s="73">
        <v>9.0</v>
      </c>
      <c r="S70" s="73">
        <v>3.0</v>
      </c>
      <c r="T70" s="73">
        <v>6.0</v>
      </c>
      <c r="U70" s="73">
        <v>7.0</v>
      </c>
      <c r="V70" s="73">
        <v>8.0</v>
      </c>
      <c r="W70" s="73">
        <v>5.0</v>
      </c>
      <c r="X70" s="73">
        <v>10.0</v>
      </c>
      <c r="Y70" s="73">
        <v>11.0</v>
      </c>
      <c r="Z70" s="73">
        <v>6.0</v>
      </c>
      <c r="AA70" s="73">
        <v>2.0</v>
      </c>
      <c r="AB70" s="73">
        <v>1.0</v>
      </c>
      <c r="AC70" s="73">
        <v>8.0</v>
      </c>
      <c r="AD70" s="73">
        <v>2.0</v>
      </c>
      <c r="AE70" s="73">
        <v>10.0</v>
      </c>
      <c r="AF70" s="13">
        <f t="shared" si="18"/>
        <v>178</v>
      </c>
    </row>
    <row r="71" ht="12.75" customHeight="1">
      <c r="A71" s="18"/>
      <c r="B71" s="49"/>
      <c r="C71" s="50" t="s">
        <v>62</v>
      </c>
      <c r="D71" s="51"/>
      <c r="E71" s="73">
        <v>11.0</v>
      </c>
      <c r="F71" s="73">
        <v>7.0</v>
      </c>
      <c r="G71" s="73">
        <v>11.0</v>
      </c>
      <c r="H71" s="73">
        <v>27.0</v>
      </c>
      <c r="I71" s="73">
        <v>9.0</v>
      </c>
      <c r="J71" s="73">
        <v>5.0</v>
      </c>
      <c r="K71" s="73">
        <v>3.0</v>
      </c>
      <c r="L71" s="73">
        <v>5.0</v>
      </c>
      <c r="M71" s="73">
        <v>10.0</v>
      </c>
      <c r="N71" s="73">
        <v>12.0</v>
      </c>
      <c r="O71" s="73">
        <v>5.0</v>
      </c>
      <c r="P71" s="73">
        <v>5.0</v>
      </c>
      <c r="Q71" s="73">
        <v>11.0</v>
      </c>
      <c r="R71" s="73">
        <v>10.0</v>
      </c>
      <c r="S71" s="73">
        <v>11.0</v>
      </c>
      <c r="T71" s="73">
        <v>6.0</v>
      </c>
      <c r="U71" s="73">
        <v>5.0</v>
      </c>
      <c r="V71" s="73">
        <v>13.0</v>
      </c>
      <c r="W71" s="73">
        <v>8.0</v>
      </c>
      <c r="X71" s="73">
        <v>8.0</v>
      </c>
      <c r="Y71" s="73">
        <v>3.0</v>
      </c>
      <c r="Z71" s="73">
        <v>3.0</v>
      </c>
      <c r="AA71" s="73">
        <v>2.0</v>
      </c>
      <c r="AB71" s="73">
        <v>8.0</v>
      </c>
      <c r="AC71" s="73">
        <v>3.0</v>
      </c>
      <c r="AD71" s="73">
        <v>7.0</v>
      </c>
      <c r="AE71" s="73">
        <v>2.0</v>
      </c>
      <c r="AF71" s="13">
        <f t="shared" si="18"/>
        <v>210</v>
      </c>
    </row>
    <row r="72" ht="12.75" customHeight="1">
      <c r="A72" s="18"/>
      <c r="B72" s="49"/>
      <c r="C72" s="50" t="s">
        <v>63</v>
      </c>
      <c r="D72" s="51"/>
      <c r="E72" s="73">
        <v>7.0</v>
      </c>
      <c r="F72" s="73">
        <v>7.0</v>
      </c>
      <c r="G72" s="73">
        <v>3.0</v>
      </c>
      <c r="H72" s="73">
        <v>4.0</v>
      </c>
      <c r="I72" s="73">
        <v>5.0</v>
      </c>
      <c r="J72" s="73">
        <v>1.0</v>
      </c>
      <c r="K72" s="73">
        <v>6.0</v>
      </c>
      <c r="L72" s="73">
        <v>4.0</v>
      </c>
      <c r="M72" s="73">
        <v>3.0</v>
      </c>
      <c r="N72" s="73">
        <v>7.0</v>
      </c>
      <c r="O72" s="73">
        <v>3.0</v>
      </c>
      <c r="P72" s="73">
        <v>6.0</v>
      </c>
      <c r="Q72" s="73">
        <v>10.0</v>
      </c>
      <c r="R72" s="73">
        <v>4.0</v>
      </c>
      <c r="S72" s="73">
        <v>7.0</v>
      </c>
      <c r="T72" s="73">
        <v>9.0</v>
      </c>
      <c r="U72" s="73">
        <v>6.0</v>
      </c>
      <c r="V72" s="73">
        <v>8.0</v>
      </c>
      <c r="W72" s="73">
        <v>14.0</v>
      </c>
      <c r="X72" s="73">
        <v>6.0</v>
      </c>
      <c r="Y72" s="73">
        <v>5.0</v>
      </c>
      <c r="Z72" s="73">
        <v>2.0</v>
      </c>
      <c r="AA72" s="73">
        <v>1.0</v>
      </c>
      <c r="AB72" s="73">
        <v>3.0</v>
      </c>
      <c r="AC72" s="73">
        <v>0.0</v>
      </c>
      <c r="AD72" s="73">
        <v>3.0</v>
      </c>
      <c r="AE72" s="73">
        <v>14.0</v>
      </c>
      <c r="AF72" s="13">
        <f t="shared" si="18"/>
        <v>148</v>
      </c>
    </row>
    <row r="73" ht="12.75" customHeight="1">
      <c r="A73" s="18"/>
      <c r="B73" s="49"/>
      <c r="C73" s="50" t="s">
        <v>64</v>
      </c>
      <c r="D73" s="51"/>
      <c r="E73" s="73">
        <v>5.0</v>
      </c>
      <c r="F73" s="73">
        <v>0.0</v>
      </c>
      <c r="G73" s="73">
        <v>1.0</v>
      </c>
      <c r="H73" s="73">
        <v>9.0</v>
      </c>
      <c r="I73" s="73">
        <v>5.0</v>
      </c>
      <c r="J73" s="73">
        <v>3.0</v>
      </c>
      <c r="K73" s="73">
        <v>8.0</v>
      </c>
      <c r="L73" s="73">
        <v>7.0</v>
      </c>
      <c r="M73" s="73">
        <v>8.0</v>
      </c>
      <c r="N73" s="73">
        <v>6.0</v>
      </c>
      <c r="O73" s="73">
        <v>3.0</v>
      </c>
      <c r="P73" s="73">
        <v>2.0</v>
      </c>
      <c r="Q73" s="73">
        <v>2.0</v>
      </c>
      <c r="R73" s="73">
        <v>1.0</v>
      </c>
      <c r="S73" s="73">
        <v>2.0</v>
      </c>
      <c r="T73" s="73">
        <v>7.0</v>
      </c>
      <c r="U73" s="73">
        <v>2.0</v>
      </c>
      <c r="V73" s="73">
        <v>7.0</v>
      </c>
      <c r="W73" s="73">
        <v>10.0</v>
      </c>
      <c r="X73" s="73">
        <v>5.0</v>
      </c>
      <c r="Y73" s="73">
        <v>10.0</v>
      </c>
      <c r="Z73" s="73">
        <v>2.0</v>
      </c>
      <c r="AA73" s="73">
        <v>0.0</v>
      </c>
      <c r="AB73" s="73">
        <v>2.0</v>
      </c>
      <c r="AC73" s="73">
        <v>7.0</v>
      </c>
      <c r="AD73" s="73">
        <v>1.0</v>
      </c>
      <c r="AE73" s="73">
        <v>9.0</v>
      </c>
      <c r="AF73" s="13">
        <f t="shared" si="18"/>
        <v>124</v>
      </c>
    </row>
    <row r="74" ht="12.75" customHeight="1">
      <c r="A74" s="18"/>
      <c r="B74" s="49"/>
      <c r="C74" s="50" t="s">
        <v>65</v>
      </c>
      <c r="D74" s="51"/>
      <c r="E74" s="73">
        <v>1.0</v>
      </c>
      <c r="F74" s="73">
        <v>0.0</v>
      </c>
      <c r="G74" s="73">
        <v>2.0</v>
      </c>
      <c r="H74" s="73">
        <v>4.0</v>
      </c>
      <c r="I74" s="73">
        <v>1.0</v>
      </c>
      <c r="J74" s="73">
        <v>2.0</v>
      </c>
      <c r="K74" s="73">
        <v>3.0</v>
      </c>
      <c r="L74" s="73">
        <v>2.0</v>
      </c>
      <c r="M74" s="73">
        <v>1.0</v>
      </c>
      <c r="N74" s="73">
        <v>7.0</v>
      </c>
      <c r="O74" s="73">
        <v>1.0</v>
      </c>
      <c r="P74" s="73">
        <v>1.0</v>
      </c>
      <c r="Q74" s="73">
        <v>2.0</v>
      </c>
      <c r="R74" s="73">
        <v>3.0</v>
      </c>
      <c r="S74" s="73">
        <v>0.0</v>
      </c>
      <c r="T74" s="73">
        <v>1.0</v>
      </c>
      <c r="U74" s="73">
        <v>0.0</v>
      </c>
      <c r="V74" s="73">
        <v>8.0</v>
      </c>
      <c r="W74" s="73">
        <v>2.0</v>
      </c>
      <c r="X74" s="73">
        <v>2.0</v>
      </c>
      <c r="Y74" s="73">
        <v>4.0</v>
      </c>
      <c r="Z74" s="73">
        <v>0.0</v>
      </c>
      <c r="AA74" s="73">
        <v>0.0</v>
      </c>
      <c r="AB74" s="73">
        <v>1.0</v>
      </c>
      <c r="AC74" s="73">
        <v>0.0</v>
      </c>
      <c r="AD74" s="73">
        <v>1.0</v>
      </c>
      <c r="AE74" s="73">
        <v>2.0</v>
      </c>
      <c r="AF74" s="13">
        <f t="shared" si="18"/>
        <v>51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0.0</v>
      </c>
      <c r="G75" s="73">
        <v>0.0</v>
      </c>
      <c r="H75" s="73">
        <v>8.0</v>
      </c>
      <c r="I75" s="73">
        <v>2.0</v>
      </c>
      <c r="J75" s="73">
        <v>1.0</v>
      </c>
      <c r="K75" s="73">
        <v>2.0</v>
      </c>
      <c r="L75" s="73">
        <v>1.0</v>
      </c>
      <c r="M75" s="73">
        <v>1.0</v>
      </c>
      <c r="N75" s="73">
        <v>2.0</v>
      </c>
      <c r="O75" s="73">
        <v>1.0</v>
      </c>
      <c r="P75" s="73">
        <v>0.0</v>
      </c>
      <c r="Q75" s="73">
        <v>0.0</v>
      </c>
      <c r="R75" s="73">
        <v>5.0</v>
      </c>
      <c r="S75" s="73">
        <v>1.0</v>
      </c>
      <c r="T75" s="73">
        <v>2.0</v>
      </c>
      <c r="U75" s="73">
        <v>1.0</v>
      </c>
      <c r="V75" s="73">
        <v>3.0</v>
      </c>
      <c r="W75" s="73">
        <v>4.0</v>
      </c>
      <c r="X75" s="73">
        <v>3.0</v>
      </c>
      <c r="Y75" s="73">
        <v>2.0</v>
      </c>
      <c r="Z75" s="73">
        <v>1.0</v>
      </c>
      <c r="AA75" s="73">
        <v>0.0</v>
      </c>
      <c r="AB75" s="73">
        <v>0.0</v>
      </c>
      <c r="AC75" s="73">
        <v>1.0</v>
      </c>
      <c r="AD75" s="73">
        <v>0.0</v>
      </c>
      <c r="AE75" s="73">
        <v>1.0</v>
      </c>
      <c r="AF75" s="13">
        <f t="shared" si="18"/>
        <v>42</v>
      </c>
    </row>
    <row r="76" ht="12.75" customHeight="1">
      <c r="A76" s="18"/>
      <c r="B76" s="49"/>
      <c r="C76" s="50" t="s">
        <v>67</v>
      </c>
      <c r="D76" s="51"/>
      <c r="E76" s="73">
        <v>1.0</v>
      </c>
      <c r="F76" s="73">
        <v>0.0</v>
      </c>
      <c r="G76" s="73">
        <v>2.0</v>
      </c>
      <c r="H76" s="73">
        <v>0.0</v>
      </c>
      <c r="I76" s="73">
        <v>3.0</v>
      </c>
      <c r="J76" s="73">
        <v>0.0</v>
      </c>
      <c r="K76" s="73">
        <v>0.0</v>
      </c>
      <c r="L76" s="73">
        <v>2.0</v>
      </c>
      <c r="M76" s="73">
        <v>0.0</v>
      </c>
      <c r="N76" s="73">
        <v>2.0</v>
      </c>
      <c r="O76" s="73">
        <v>0.0</v>
      </c>
      <c r="P76" s="73">
        <v>1.0</v>
      </c>
      <c r="Q76" s="73">
        <v>2.0</v>
      </c>
      <c r="R76" s="73">
        <v>0.0</v>
      </c>
      <c r="S76" s="73">
        <v>2.0</v>
      </c>
      <c r="T76" s="73">
        <v>1.0</v>
      </c>
      <c r="U76" s="73">
        <v>1.0</v>
      </c>
      <c r="V76" s="73">
        <v>2.0</v>
      </c>
      <c r="W76" s="73">
        <v>1.0</v>
      </c>
      <c r="X76" s="73">
        <v>1.0</v>
      </c>
      <c r="Y76" s="73">
        <v>1.0</v>
      </c>
      <c r="Z76" s="73">
        <v>0.0</v>
      </c>
      <c r="AA76" s="73">
        <v>0.0</v>
      </c>
      <c r="AB76" s="73">
        <v>1.0</v>
      </c>
      <c r="AC76" s="73">
        <v>0.0</v>
      </c>
      <c r="AD76" s="73">
        <v>0.0</v>
      </c>
      <c r="AE76" s="73">
        <v>2.0</v>
      </c>
      <c r="AF76" s="13">
        <f t="shared" si="18"/>
        <v>25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1.0</v>
      </c>
      <c r="G77" s="73">
        <v>1.0</v>
      </c>
      <c r="H77" s="73">
        <v>1.0</v>
      </c>
      <c r="I77" s="73">
        <v>2.0</v>
      </c>
      <c r="J77" s="73">
        <v>0.0</v>
      </c>
      <c r="K77" s="73">
        <v>1.0</v>
      </c>
      <c r="L77" s="73">
        <v>1.0</v>
      </c>
      <c r="M77" s="73">
        <v>0.0</v>
      </c>
      <c r="N77" s="73">
        <v>5.0</v>
      </c>
      <c r="O77" s="73">
        <v>0.0</v>
      </c>
      <c r="P77" s="73">
        <v>1.0</v>
      </c>
      <c r="Q77" s="73">
        <v>1.0</v>
      </c>
      <c r="R77" s="73">
        <v>1.0</v>
      </c>
      <c r="S77" s="73">
        <v>1.0</v>
      </c>
      <c r="T77" s="73">
        <v>3.0</v>
      </c>
      <c r="U77" s="73">
        <v>1.0</v>
      </c>
      <c r="V77" s="73">
        <v>4.0</v>
      </c>
      <c r="W77" s="73">
        <v>2.0</v>
      </c>
      <c r="X77" s="73">
        <v>1.0</v>
      </c>
      <c r="Y77" s="73">
        <v>1.0</v>
      </c>
      <c r="Z77" s="73">
        <v>1.0</v>
      </c>
      <c r="AA77" s="73">
        <v>0.0</v>
      </c>
      <c r="AB77" s="73">
        <v>0.0</v>
      </c>
      <c r="AC77" s="73">
        <v>1.0</v>
      </c>
      <c r="AD77" s="73">
        <v>0.0</v>
      </c>
      <c r="AE77" s="73">
        <v>1.0</v>
      </c>
      <c r="AF77" s="13">
        <f t="shared" si="18"/>
        <v>31</v>
      </c>
    </row>
    <row r="78" ht="12.75" customHeight="1">
      <c r="A78" s="18"/>
      <c r="B78" s="49"/>
      <c r="C78" s="50" t="s">
        <v>69</v>
      </c>
      <c r="D78" s="51"/>
      <c r="E78" s="73">
        <v>1.0</v>
      </c>
      <c r="F78" s="73">
        <v>1.0</v>
      </c>
      <c r="G78" s="73">
        <v>1.0</v>
      </c>
      <c r="H78" s="73">
        <v>2.0</v>
      </c>
      <c r="I78" s="73">
        <v>5.0</v>
      </c>
      <c r="J78" s="73">
        <v>0.0</v>
      </c>
      <c r="K78" s="73">
        <v>1.0</v>
      </c>
      <c r="L78" s="73">
        <v>2.0</v>
      </c>
      <c r="M78" s="73">
        <v>2.0</v>
      </c>
      <c r="N78" s="73">
        <v>0.0</v>
      </c>
      <c r="O78" s="73">
        <v>2.0</v>
      </c>
      <c r="P78" s="73">
        <v>1.0</v>
      </c>
      <c r="Q78" s="73">
        <v>1.0</v>
      </c>
      <c r="R78" s="73">
        <v>1.0</v>
      </c>
      <c r="S78" s="73">
        <v>0.0</v>
      </c>
      <c r="T78" s="73">
        <v>2.0</v>
      </c>
      <c r="U78" s="73">
        <v>1.0</v>
      </c>
      <c r="V78" s="73">
        <v>4.0</v>
      </c>
      <c r="W78" s="73">
        <v>0.0</v>
      </c>
      <c r="X78" s="73">
        <v>1.0</v>
      </c>
      <c r="Y78" s="73">
        <v>0.0</v>
      </c>
      <c r="Z78" s="73">
        <v>0.0</v>
      </c>
      <c r="AA78" s="73">
        <v>3.0</v>
      </c>
      <c r="AB78" s="73">
        <v>0.0</v>
      </c>
      <c r="AC78" s="73">
        <v>1.0</v>
      </c>
      <c r="AD78" s="73">
        <v>0.0</v>
      </c>
      <c r="AE78" s="73">
        <v>1.0</v>
      </c>
      <c r="AF78" s="13">
        <f t="shared" si="18"/>
        <v>33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F79" si="19">SUM(E69:E78)</f>
        <v>60</v>
      </c>
      <c r="F79" s="13">
        <f t="shared" si="19"/>
        <v>32</v>
      </c>
      <c r="G79" s="13">
        <f t="shared" si="19"/>
        <v>41</v>
      </c>
      <c r="H79" s="13">
        <f t="shared" si="19"/>
        <v>74</v>
      </c>
      <c r="I79" s="13">
        <f t="shared" si="19"/>
        <v>59</v>
      </c>
      <c r="J79" s="13">
        <f t="shared" si="19"/>
        <v>20</v>
      </c>
      <c r="K79" s="13">
        <f t="shared" si="19"/>
        <v>47</v>
      </c>
      <c r="L79" s="13">
        <f t="shared" si="19"/>
        <v>33</v>
      </c>
      <c r="M79" s="13">
        <f t="shared" si="19"/>
        <v>32</v>
      </c>
      <c r="N79" s="13">
        <f t="shared" si="19"/>
        <v>55</v>
      </c>
      <c r="O79" s="13">
        <f t="shared" si="19"/>
        <v>22</v>
      </c>
      <c r="P79" s="13">
        <f t="shared" si="19"/>
        <v>37</v>
      </c>
      <c r="Q79" s="13">
        <f t="shared" si="19"/>
        <v>44</v>
      </c>
      <c r="R79" s="13">
        <f t="shared" si="19"/>
        <v>40</v>
      </c>
      <c r="S79" s="13">
        <f t="shared" si="19"/>
        <v>40</v>
      </c>
      <c r="T79" s="13">
        <f t="shared" si="19"/>
        <v>46</v>
      </c>
      <c r="U79" s="13">
        <f t="shared" si="19"/>
        <v>46</v>
      </c>
      <c r="V79" s="13">
        <f t="shared" si="19"/>
        <v>73</v>
      </c>
      <c r="W79" s="13">
        <f t="shared" si="19"/>
        <v>64</v>
      </c>
      <c r="X79" s="13">
        <f t="shared" si="19"/>
        <v>51</v>
      </c>
      <c r="Y79" s="13">
        <f t="shared" si="19"/>
        <v>51</v>
      </c>
      <c r="Z79" s="13">
        <f t="shared" si="19"/>
        <v>23</v>
      </c>
      <c r="AA79" s="13">
        <f t="shared" si="19"/>
        <v>17</v>
      </c>
      <c r="AB79" s="13">
        <f t="shared" si="19"/>
        <v>20</v>
      </c>
      <c r="AC79" s="13">
        <f t="shared" si="19"/>
        <v>30</v>
      </c>
      <c r="AD79" s="13">
        <f t="shared" si="19"/>
        <v>21</v>
      </c>
      <c r="AE79" s="13">
        <f t="shared" si="19"/>
        <v>60</v>
      </c>
      <c r="AF79" s="13">
        <f t="shared" si="19"/>
        <v>1138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10.0</v>
      </c>
      <c r="F81" s="73">
        <v>0.0</v>
      </c>
      <c r="G81" s="73">
        <v>2.0</v>
      </c>
      <c r="H81" s="73">
        <v>4.0</v>
      </c>
      <c r="I81" s="73">
        <v>4.0</v>
      </c>
      <c r="J81" s="73">
        <v>2.0</v>
      </c>
      <c r="K81" s="73">
        <v>8.0</v>
      </c>
      <c r="L81" s="73">
        <v>3.0</v>
      </c>
      <c r="M81" s="73">
        <v>6.0</v>
      </c>
      <c r="N81" s="73">
        <v>1.0</v>
      </c>
      <c r="O81" s="73">
        <v>2.0</v>
      </c>
      <c r="P81" s="73">
        <v>4.0</v>
      </c>
      <c r="Q81" s="73">
        <v>2.0</v>
      </c>
      <c r="R81" s="73">
        <v>0.0</v>
      </c>
      <c r="S81" s="73">
        <v>5.0</v>
      </c>
      <c r="T81" s="73">
        <v>2.0</v>
      </c>
      <c r="U81" s="73">
        <v>8.0</v>
      </c>
      <c r="V81" s="73">
        <v>8.0</v>
      </c>
      <c r="W81" s="73">
        <v>6.0</v>
      </c>
      <c r="X81" s="73">
        <v>10.0</v>
      </c>
      <c r="Y81" s="73">
        <v>4.0</v>
      </c>
      <c r="Z81" s="73">
        <v>5.0</v>
      </c>
      <c r="AA81" s="73">
        <v>0.0</v>
      </c>
      <c r="AB81" s="73">
        <v>0.0</v>
      </c>
      <c r="AC81" s="73">
        <v>2.0</v>
      </c>
      <c r="AD81" s="73">
        <v>3.0</v>
      </c>
      <c r="AE81" s="73">
        <v>2.0</v>
      </c>
      <c r="AF81" s="13">
        <f t="shared" ref="AF81:AF90" si="20">SUM(E81:AE81)</f>
        <v>103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13.0</v>
      </c>
      <c r="F82" s="73">
        <v>3.0</v>
      </c>
      <c r="G82" s="73">
        <v>2.0</v>
      </c>
      <c r="H82" s="73">
        <v>2.0</v>
      </c>
      <c r="I82" s="73">
        <v>3.0</v>
      </c>
      <c r="J82" s="73">
        <v>1.0</v>
      </c>
      <c r="K82" s="73">
        <v>4.0</v>
      </c>
      <c r="L82" s="73">
        <v>6.0</v>
      </c>
      <c r="M82" s="73">
        <v>0.0</v>
      </c>
      <c r="N82" s="73">
        <v>1.0</v>
      </c>
      <c r="O82" s="73">
        <v>0.0</v>
      </c>
      <c r="P82" s="73">
        <v>9.0</v>
      </c>
      <c r="Q82" s="73">
        <v>3.0</v>
      </c>
      <c r="R82" s="73">
        <v>1.0</v>
      </c>
      <c r="S82" s="73">
        <v>3.0</v>
      </c>
      <c r="T82" s="73">
        <v>4.0</v>
      </c>
      <c r="U82" s="73">
        <v>3.0</v>
      </c>
      <c r="V82" s="73">
        <v>2.0</v>
      </c>
      <c r="W82" s="73">
        <v>5.0</v>
      </c>
      <c r="X82" s="73">
        <v>16.0</v>
      </c>
      <c r="Y82" s="73">
        <v>5.0</v>
      </c>
      <c r="Z82" s="73">
        <v>2.0</v>
      </c>
      <c r="AA82" s="73">
        <v>1.0</v>
      </c>
      <c r="AB82" s="73">
        <v>10.0</v>
      </c>
      <c r="AC82" s="73">
        <v>20.0</v>
      </c>
      <c r="AD82" s="73">
        <v>0.0</v>
      </c>
      <c r="AE82" s="73">
        <v>3.0</v>
      </c>
      <c r="AF82" s="13">
        <f t="shared" si="20"/>
        <v>122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0.0</v>
      </c>
      <c r="G83" s="73">
        <v>1.0</v>
      </c>
      <c r="H83" s="73">
        <v>1.0</v>
      </c>
      <c r="I83" s="73">
        <v>1.0</v>
      </c>
      <c r="J83" s="73">
        <v>2.0</v>
      </c>
      <c r="K83" s="73">
        <v>1.0</v>
      </c>
      <c r="L83" s="73">
        <v>1.0</v>
      </c>
      <c r="M83" s="73">
        <v>0.0</v>
      </c>
      <c r="N83" s="73">
        <v>0.0</v>
      </c>
      <c r="O83" s="73">
        <v>0.0</v>
      </c>
      <c r="P83" s="73">
        <v>1.0</v>
      </c>
      <c r="Q83" s="73">
        <v>2.0</v>
      </c>
      <c r="R83" s="73">
        <v>0.0</v>
      </c>
      <c r="S83" s="73">
        <v>0.0</v>
      </c>
      <c r="T83" s="73">
        <v>0.0</v>
      </c>
      <c r="U83" s="73">
        <v>1.0</v>
      </c>
      <c r="V83" s="73">
        <v>1.0</v>
      </c>
      <c r="W83" s="73">
        <v>1.0</v>
      </c>
      <c r="X83" s="73">
        <v>1.0</v>
      </c>
      <c r="Y83" s="73">
        <v>1.0</v>
      </c>
      <c r="Z83" s="73">
        <v>0.0</v>
      </c>
      <c r="AA83" s="73">
        <v>0.0</v>
      </c>
      <c r="AB83" s="73">
        <v>0.0</v>
      </c>
      <c r="AC83" s="73">
        <v>1.0</v>
      </c>
      <c r="AD83" s="73">
        <v>1.0</v>
      </c>
      <c r="AE83" s="73">
        <v>0.0</v>
      </c>
      <c r="AF83" s="13">
        <f t="shared" si="20"/>
        <v>18</v>
      </c>
    </row>
    <row r="84" ht="12.75" customHeight="1">
      <c r="A84" s="18"/>
      <c r="B84" s="49"/>
      <c r="C84" s="50" t="s">
        <v>73</v>
      </c>
      <c r="D84" s="51"/>
      <c r="E84" s="73">
        <v>2.0</v>
      </c>
      <c r="F84" s="73">
        <v>0.0</v>
      </c>
      <c r="G84" s="73">
        <v>1.0</v>
      </c>
      <c r="H84" s="73">
        <v>0.0</v>
      </c>
      <c r="I84" s="73">
        <v>1.0</v>
      </c>
      <c r="J84" s="73">
        <v>1.0</v>
      </c>
      <c r="K84" s="73">
        <v>2.0</v>
      </c>
      <c r="L84" s="73">
        <v>1.0</v>
      </c>
      <c r="M84" s="73">
        <v>1.0</v>
      </c>
      <c r="N84" s="73">
        <v>0.0</v>
      </c>
      <c r="O84" s="73">
        <v>0.0</v>
      </c>
      <c r="P84" s="73">
        <v>2.0</v>
      </c>
      <c r="Q84" s="73">
        <v>1.0</v>
      </c>
      <c r="R84" s="73">
        <v>0.0</v>
      </c>
      <c r="S84" s="73">
        <v>1.0</v>
      </c>
      <c r="T84" s="73">
        <v>1.0</v>
      </c>
      <c r="U84" s="73">
        <v>1.0</v>
      </c>
      <c r="V84" s="73">
        <v>1.0</v>
      </c>
      <c r="W84" s="73">
        <v>1.0</v>
      </c>
      <c r="X84" s="73">
        <v>1.0</v>
      </c>
      <c r="Y84" s="73">
        <v>2.0</v>
      </c>
      <c r="Z84" s="73">
        <v>1.0</v>
      </c>
      <c r="AA84" s="73">
        <v>0.0</v>
      </c>
      <c r="AB84" s="73">
        <v>1.0</v>
      </c>
      <c r="AC84" s="73">
        <v>0.0</v>
      </c>
      <c r="AD84" s="73">
        <v>0.0</v>
      </c>
      <c r="AE84" s="73">
        <v>1.0</v>
      </c>
      <c r="AF84" s="13">
        <f t="shared" si="20"/>
        <v>23</v>
      </c>
    </row>
    <row r="85" ht="12.75" customHeight="1">
      <c r="A85" s="18"/>
      <c r="B85" s="49"/>
      <c r="C85" s="50" t="s">
        <v>74</v>
      </c>
      <c r="D85" s="51"/>
      <c r="E85" s="73">
        <v>3.0</v>
      </c>
      <c r="F85" s="73">
        <v>4.0</v>
      </c>
      <c r="G85" s="73">
        <v>1.0</v>
      </c>
      <c r="H85" s="73">
        <v>0.0</v>
      </c>
      <c r="I85" s="73">
        <v>0.0</v>
      </c>
      <c r="J85" s="73">
        <v>1.0</v>
      </c>
      <c r="K85" s="73">
        <v>5.0</v>
      </c>
      <c r="L85" s="73">
        <v>2.0</v>
      </c>
      <c r="M85" s="73">
        <v>0.0</v>
      </c>
      <c r="N85" s="73">
        <v>0.0</v>
      </c>
      <c r="O85" s="73">
        <v>1.0</v>
      </c>
      <c r="P85" s="73">
        <v>0.0</v>
      </c>
      <c r="Q85" s="73">
        <v>1.0</v>
      </c>
      <c r="R85" s="73">
        <v>1.0</v>
      </c>
      <c r="S85" s="73">
        <v>0.0</v>
      </c>
      <c r="T85" s="73">
        <v>1.0</v>
      </c>
      <c r="U85" s="73">
        <v>1.0</v>
      </c>
      <c r="V85" s="73">
        <v>0.0</v>
      </c>
      <c r="W85" s="73">
        <v>1.0</v>
      </c>
      <c r="X85" s="73">
        <v>0.0</v>
      </c>
      <c r="Y85" s="73">
        <v>1.0</v>
      </c>
      <c r="Z85" s="73">
        <v>1.0</v>
      </c>
      <c r="AA85" s="73">
        <v>0.0</v>
      </c>
      <c r="AB85" s="73">
        <v>1.0</v>
      </c>
      <c r="AC85" s="73">
        <v>0.0</v>
      </c>
      <c r="AD85" s="73">
        <v>0.0</v>
      </c>
      <c r="AE85" s="73">
        <v>1.0</v>
      </c>
      <c r="AF85" s="13">
        <f t="shared" si="20"/>
        <v>26</v>
      </c>
    </row>
    <row r="86" ht="12.75" customHeight="1">
      <c r="A86" s="18"/>
      <c r="B86" s="49"/>
      <c r="C86" s="50" t="s">
        <v>75</v>
      </c>
      <c r="D86" s="51"/>
      <c r="E86" s="73">
        <v>1.0</v>
      </c>
      <c r="F86" s="73">
        <v>0.0</v>
      </c>
      <c r="G86" s="73">
        <v>1.0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1.0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1.0</v>
      </c>
      <c r="Z86" s="73">
        <v>0.0</v>
      </c>
      <c r="AA86" s="73">
        <v>0.0</v>
      </c>
      <c r="AB86" s="73">
        <v>0.0</v>
      </c>
      <c r="AC86" s="73">
        <v>0.0</v>
      </c>
      <c r="AD86" s="73">
        <v>2.0</v>
      </c>
      <c r="AE86" s="73">
        <v>0.0</v>
      </c>
      <c r="AF86" s="13">
        <f t="shared" si="20"/>
        <v>6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2.0</v>
      </c>
      <c r="AE87" s="73">
        <v>0.0</v>
      </c>
      <c r="AF87" s="13">
        <f t="shared" si="20"/>
        <v>2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1.0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1.0</v>
      </c>
      <c r="AC88" s="73">
        <v>0.0</v>
      </c>
      <c r="AD88" s="73">
        <v>0.0</v>
      </c>
      <c r="AE88" s="73">
        <v>0.0</v>
      </c>
      <c r="AF88" s="13">
        <f t="shared" si="20"/>
        <v>2</v>
      </c>
    </row>
    <row r="89" ht="12.75" customHeight="1">
      <c r="A89" s="18"/>
      <c r="B89" s="49"/>
      <c r="C89" s="50" t="s">
        <v>78</v>
      </c>
      <c r="D89" s="51"/>
      <c r="E89" s="73">
        <v>1.0</v>
      </c>
      <c r="F89" s="73">
        <v>1.0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13">
        <f t="shared" si="20"/>
        <v>2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1.0</v>
      </c>
      <c r="L90" s="73">
        <v>0.0</v>
      </c>
      <c r="M90" s="73">
        <v>0.0</v>
      </c>
      <c r="N90" s="73">
        <v>0.0</v>
      </c>
      <c r="O90" s="73">
        <v>0.0</v>
      </c>
      <c r="P90" s="73">
        <v>1.0</v>
      </c>
      <c r="Q90" s="73">
        <v>0.0</v>
      </c>
      <c r="R90" s="73">
        <v>0.0</v>
      </c>
      <c r="S90" s="73">
        <v>1.0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73">
        <v>0.0</v>
      </c>
      <c r="AB90" s="73">
        <v>0.0</v>
      </c>
      <c r="AC90" s="73">
        <v>0.0</v>
      </c>
      <c r="AD90" s="73">
        <v>2.0</v>
      </c>
      <c r="AE90" s="73">
        <v>2.0</v>
      </c>
      <c r="AF90" s="13">
        <f t="shared" si="20"/>
        <v>7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F91" si="21">SUM(E81:E90)</f>
        <v>31</v>
      </c>
      <c r="F91" s="13">
        <f t="shared" si="21"/>
        <v>8</v>
      </c>
      <c r="G91" s="13">
        <f t="shared" si="21"/>
        <v>8</v>
      </c>
      <c r="H91" s="13">
        <f t="shared" si="21"/>
        <v>7</v>
      </c>
      <c r="I91" s="13">
        <f t="shared" si="21"/>
        <v>9</v>
      </c>
      <c r="J91" s="13">
        <f t="shared" si="21"/>
        <v>7</v>
      </c>
      <c r="K91" s="13">
        <f t="shared" si="21"/>
        <v>21</v>
      </c>
      <c r="L91" s="13">
        <f t="shared" si="21"/>
        <v>13</v>
      </c>
      <c r="M91" s="13">
        <f t="shared" si="21"/>
        <v>8</v>
      </c>
      <c r="N91" s="13">
        <f t="shared" si="21"/>
        <v>3</v>
      </c>
      <c r="O91" s="13">
        <f t="shared" si="21"/>
        <v>3</v>
      </c>
      <c r="P91" s="13">
        <f t="shared" si="21"/>
        <v>17</v>
      </c>
      <c r="Q91" s="13">
        <f t="shared" si="21"/>
        <v>9</v>
      </c>
      <c r="R91" s="13">
        <f t="shared" si="21"/>
        <v>2</v>
      </c>
      <c r="S91" s="13">
        <f t="shared" si="21"/>
        <v>10</v>
      </c>
      <c r="T91" s="13">
        <f t="shared" si="21"/>
        <v>8</v>
      </c>
      <c r="U91" s="13">
        <f t="shared" si="21"/>
        <v>14</v>
      </c>
      <c r="V91" s="13">
        <f t="shared" si="21"/>
        <v>12</v>
      </c>
      <c r="W91" s="13">
        <f t="shared" si="21"/>
        <v>14</v>
      </c>
      <c r="X91" s="13">
        <f t="shared" si="21"/>
        <v>28</v>
      </c>
      <c r="Y91" s="13">
        <f t="shared" si="21"/>
        <v>14</v>
      </c>
      <c r="Z91" s="13">
        <f t="shared" si="21"/>
        <v>9</v>
      </c>
      <c r="AA91" s="13">
        <f t="shared" si="21"/>
        <v>1</v>
      </c>
      <c r="AB91" s="13">
        <f t="shared" si="21"/>
        <v>13</v>
      </c>
      <c r="AC91" s="13">
        <f t="shared" si="21"/>
        <v>23</v>
      </c>
      <c r="AD91" s="13">
        <f t="shared" si="21"/>
        <v>10</v>
      </c>
      <c r="AE91" s="13">
        <f t="shared" si="21"/>
        <v>9</v>
      </c>
      <c r="AF91" s="13">
        <f t="shared" si="21"/>
        <v>311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1.0</v>
      </c>
      <c r="H93" s="73">
        <v>2.0</v>
      </c>
      <c r="I93" s="73">
        <v>3.0</v>
      </c>
      <c r="J93" s="73">
        <v>2.0</v>
      </c>
      <c r="K93" s="73">
        <v>2.0</v>
      </c>
      <c r="L93" s="73">
        <v>0.0</v>
      </c>
      <c r="M93" s="73">
        <v>0.0</v>
      </c>
      <c r="N93" s="73">
        <v>0.0</v>
      </c>
      <c r="O93" s="73">
        <v>0.0</v>
      </c>
      <c r="P93" s="73">
        <v>1.0</v>
      </c>
      <c r="Q93" s="73">
        <v>2.0</v>
      </c>
      <c r="R93" s="73">
        <v>2.0</v>
      </c>
      <c r="S93" s="73">
        <v>1.0</v>
      </c>
      <c r="T93" s="73">
        <v>0.0</v>
      </c>
      <c r="U93" s="73">
        <v>1.0</v>
      </c>
      <c r="V93" s="73">
        <v>2.0</v>
      </c>
      <c r="W93" s="73">
        <v>0.0</v>
      </c>
      <c r="X93" s="73">
        <v>1.0</v>
      </c>
      <c r="Y93" s="73">
        <v>0.0</v>
      </c>
      <c r="Z93" s="73">
        <v>11.0</v>
      </c>
      <c r="AA93" s="73">
        <v>6.0</v>
      </c>
      <c r="AB93" s="73">
        <v>1.0</v>
      </c>
      <c r="AC93" s="73">
        <v>3.0</v>
      </c>
      <c r="AD93" s="73">
        <v>1.0</v>
      </c>
      <c r="AE93" s="73">
        <v>0.0</v>
      </c>
      <c r="AF93" s="13">
        <f t="shared" ref="AF93:AF102" si="22">SUM(E93:AE93)</f>
        <v>42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0.0</v>
      </c>
      <c r="F94" s="73">
        <v>2.0</v>
      </c>
      <c r="G94" s="73">
        <v>3.0</v>
      </c>
      <c r="H94" s="73">
        <v>9.0</v>
      </c>
      <c r="I94" s="73">
        <v>2.0</v>
      </c>
      <c r="J94" s="73">
        <v>7.0</v>
      </c>
      <c r="K94" s="73">
        <v>4.0</v>
      </c>
      <c r="L94" s="73">
        <v>1.0</v>
      </c>
      <c r="M94" s="73">
        <v>6.0</v>
      </c>
      <c r="N94" s="73">
        <v>5.0</v>
      </c>
      <c r="O94" s="73">
        <v>4.0</v>
      </c>
      <c r="P94" s="73">
        <v>3.0</v>
      </c>
      <c r="Q94" s="73">
        <v>1.0</v>
      </c>
      <c r="R94" s="73">
        <v>3.0</v>
      </c>
      <c r="S94" s="73">
        <v>1.0</v>
      </c>
      <c r="T94" s="73">
        <v>3.0</v>
      </c>
      <c r="U94" s="73">
        <v>5.0</v>
      </c>
      <c r="V94" s="73">
        <v>1.0</v>
      </c>
      <c r="W94" s="73">
        <v>0.0</v>
      </c>
      <c r="X94" s="73">
        <v>4.0</v>
      </c>
      <c r="Y94" s="73">
        <v>6.0</v>
      </c>
      <c r="Z94" s="73">
        <v>64.0</v>
      </c>
      <c r="AA94" s="73">
        <v>103.0</v>
      </c>
      <c r="AB94" s="73">
        <v>80.0</v>
      </c>
      <c r="AC94" s="73">
        <v>20.0</v>
      </c>
      <c r="AD94" s="73">
        <v>12.0</v>
      </c>
      <c r="AE94" s="73">
        <v>1.0</v>
      </c>
      <c r="AF94" s="13">
        <f t="shared" si="22"/>
        <v>350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1.0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73">
        <v>2.0</v>
      </c>
      <c r="AB95" s="73">
        <v>2.0</v>
      </c>
      <c r="AC95" s="73">
        <v>1.0</v>
      </c>
      <c r="AD95" s="73">
        <v>0.0</v>
      </c>
      <c r="AE95" s="73">
        <v>0.0</v>
      </c>
      <c r="AF95" s="13">
        <f t="shared" si="22"/>
        <v>7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1.0</v>
      </c>
      <c r="Q96" s="73">
        <v>0.0</v>
      </c>
      <c r="R96" s="73">
        <v>0.0</v>
      </c>
      <c r="S96" s="73">
        <v>0.0</v>
      </c>
      <c r="T96" s="73">
        <v>0.0</v>
      </c>
      <c r="U96" s="73">
        <v>1.0</v>
      </c>
      <c r="V96" s="73">
        <v>0.0</v>
      </c>
      <c r="W96" s="73">
        <v>0.0</v>
      </c>
      <c r="X96" s="73">
        <v>0.0</v>
      </c>
      <c r="Y96" s="73">
        <v>1.0</v>
      </c>
      <c r="Z96" s="73">
        <v>0.0</v>
      </c>
      <c r="AA96" s="73">
        <v>1.0</v>
      </c>
      <c r="AB96" s="73">
        <v>0.0</v>
      </c>
      <c r="AC96" s="73">
        <v>0.0</v>
      </c>
      <c r="AD96" s="73">
        <v>0.0</v>
      </c>
      <c r="AE96" s="73">
        <v>0.0</v>
      </c>
      <c r="AF96" s="13">
        <f t="shared" si="22"/>
        <v>5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1.0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1.0</v>
      </c>
      <c r="Y97" s="73">
        <v>0.0</v>
      </c>
      <c r="Z97" s="73">
        <v>0.0</v>
      </c>
      <c r="AA97" s="73">
        <v>1.0</v>
      </c>
      <c r="AB97" s="73">
        <v>0.0</v>
      </c>
      <c r="AC97" s="73">
        <v>0.0</v>
      </c>
      <c r="AD97" s="73">
        <v>0.0</v>
      </c>
      <c r="AE97" s="73">
        <v>0.0</v>
      </c>
      <c r="AF97" s="13">
        <f t="shared" si="22"/>
        <v>3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13">
        <f t="shared" si="22"/>
        <v>0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13">
        <f t="shared" si="22"/>
        <v>0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1.0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1.0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F103" si="23">SUM(E93:E102)</f>
        <v>0</v>
      </c>
      <c r="F103" s="13">
        <f t="shared" si="23"/>
        <v>2</v>
      </c>
      <c r="G103" s="13">
        <f t="shared" si="23"/>
        <v>4</v>
      </c>
      <c r="H103" s="13">
        <f t="shared" si="23"/>
        <v>11</v>
      </c>
      <c r="I103" s="13">
        <f t="shared" si="23"/>
        <v>6</v>
      </c>
      <c r="J103" s="13">
        <f t="shared" si="23"/>
        <v>9</v>
      </c>
      <c r="K103" s="13">
        <f t="shared" si="23"/>
        <v>6</v>
      </c>
      <c r="L103" s="13">
        <f t="shared" si="23"/>
        <v>1</v>
      </c>
      <c r="M103" s="13">
        <f t="shared" si="23"/>
        <v>6</v>
      </c>
      <c r="N103" s="13">
        <f t="shared" si="23"/>
        <v>5</v>
      </c>
      <c r="O103" s="13">
        <f t="shared" si="23"/>
        <v>5</v>
      </c>
      <c r="P103" s="13">
        <f t="shared" si="23"/>
        <v>5</v>
      </c>
      <c r="Q103" s="13">
        <f t="shared" si="23"/>
        <v>3</v>
      </c>
      <c r="R103" s="13">
        <f t="shared" si="23"/>
        <v>5</v>
      </c>
      <c r="S103" s="13">
        <f t="shared" si="23"/>
        <v>3</v>
      </c>
      <c r="T103" s="13">
        <f t="shared" si="23"/>
        <v>5</v>
      </c>
      <c r="U103" s="13">
        <f t="shared" si="23"/>
        <v>7</v>
      </c>
      <c r="V103" s="13">
        <f t="shared" si="23"/>
        <v>3</v>
      </c>
      <c r="W103" s="13">
        <f t="shared" si="23"/>
        <v>0</v>
      </c>
      <c r="X103" s="13">
        <f t="shared" si="23"/>
        <v>6</v>
      </c>
      <c r="Y103" s="13">
        <f t="shared" si="23"/>
        <v>7</v>
      </c>
      <c r="Z103" s="13">
        <f t="shared" si="23"/>
        <v>76</v>
      </c>
      <c r="AA103" s="13">
        <f t="shared" si="23"/>
        <v>113</v>
      </c>
      <c r="AB103" s="13">
        <f t="shared" si="23"/>
        <v>83</v>
      </c>
      <c r="AC103" s="13">
        <f t="shared" si="23"/>
        <v>24</v>
      </c>
      <c r="AD103" s="13">
        <f t="shared" si="23"/>
        <v>13</v>
      </c>
      <c r="AE103" s="13">
        <f t="shared" si="23"/>
        <v>1</v>
      </c>
      <c r="AF103" s="13">
        <f t="shared" si="23"/>
        <v>409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1.0</v>
      </c>
      <c r="J105" s="73">
        <v>1.0</v>
      </c>
      <c r="K105" s="73">
        <v>2.0</v>
      </c>
      <c r="L105" s="73">
        <v>0.0</v>
      </c>
      <c r="M105" s="73">
        <v>0.0</v>
      </c>
      <c r="N105" s="73">
        <v>0.0</v>
      </c>
      <c r="O105" s="73">
        <v>0.0</v>
      </c>
      <c r="P105" s="73">
        <v>1.0</v>
      </c>
      <c r="Q105" s="73">
        <v>0.0</v>
      </c>
      <c r="R105" s="73">
        <v>1.0</v>
      </c>
      <c r="S105" s="73">
        <v>2.0</v>
      </c>
      <c r="T105" s="73">
        <v>0.0</v>
      </c>
      <c r="U105" s="73">
        <v>1.0</v>
      </c>
      <c r="V105" s="73">
        <v>1.0</v>
      </c>
      <c r="W105" s="73">
        <v>0.0</v>
      </c>
      <c r="X105" s="73">
        <v>1.0</v>
      </c>
      <c r="Y105" s="73">
        <v>1.0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13">
        <f t="shared" ref="AF105:AF114" si="24">SUM(E105:AE105)</f>
        <v>13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1.0</v>
      </c>
      <c r="K106" s="73">
        <v>0.0</v>
      </c>
      <c r="L106" s="73">
        <v>1.0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1.0</v>
      </c>
      <c r="S106" s="73">
        <v>0.0</v>
      </c>
      <c r="T106" s="73">
        <v>0.0</v>
      </c>
      <c r="U106" s="73">
        <v>0.0</v>
      </c>
      <c r="V106" s="73">
        <v>0.0</v>
      </c>
      <c r="W106" s="73">
        <v>1.0</v>
      </c>
      <c r="X106" s="73">
        <v>0.0</v>
      </c>
      <c r="Y106" s="73">
        <v>0.0</v>
      </c>
      <c r="Z106" s="73">
        <v>2.0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13">
        <f t="shared" si="24"/>
        <v>8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13">
        <f t="shared" si="24"/>
        <v>0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F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2</v>
      </c>
      <c r="K115" s="13">
        <f t="shared" si="25"/>
        <v>2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2</v>
      </c>
      <c r="S115" s="13">
        <f t="shared" si="25"/>
        <v>2</v>
      </c>
      <c r="T115" s="13">
        <f t="shared" si="25"/>
        <v>0</v>
      </c>
      <c r="U115" s="13">
        <f t="shared" si="25"/>
        <v>1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1.0</v>
      </c>
      <c r="H117" s="73">
        <v>1.0</v>
      </c>
      <c r="I117" s="73">
        <v>2.0</v>
      </c>
      <c r="J117" s="73">
        <v>1.0</v>
      </c>
      <c r="K117" s="73">
        <v>2.0</v>
      </c>
      <c r="L117" s="73">
        <v>0.0</v>
      </c>
      <c r="M117" s="73">
        <v>0.0</v>
      </c>
      <c r="N117" s="73">
        <v>1.0</v>
      </c>
      <c r="O117" s="73">
        <v>0.0</v>
      </c>
      <c r="P117" s="73">
        <v>1.0</v>
      </c>
      <c r="Q117" s="73">
        <v>0.0</v>
      </c>
      <c r="R117" s="73">
        <v>0.0</v>
      </c>
      <c r="S117" s="73">
        <v>1.0</v>
      </c>
      <c r="T117" s="73">
        <v>0.0</v>
      </c>
      <c r="U117" s="73">
        <v>1.0</v>
      </c>
      <c r="V117" s="73">
        <v>2.0</v>
      </c>
      <c r="W117" s="73">
        <v>0.0</v>
      </c>
      <c r="X117" s="73">
        <v>1.0</v>
      </c>
      <c r="Y117" s="73">
        <v>0.0</v>
      </c>
      <c r="Z117" s="73">
        <v>0.0</v>
      </c>
      <c r="AA117" s="73">
        <v>1.0</v>
      </c>
      <c r="AB117" s="73">
        <v>1.0</v>
      </c>
      <c r="AC117" s="73">
        <v>1.0</v>
      </c>
      <c r="AD117" s="73">
        <v>0.0</v>
      </c>
      <c r="AE117" s="73">
        <v>1.0</v>
      </c>
      <c r="AF117" s="13">
        <f t="shared" ref="AF117:AF126" si="26">SUM(E117:AE117)</f>
        <v>18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2.0</v>
      </c>
      <c r="F118" s="73">
        <v>1.0</v>
      </c>
      <c r="G118" s="73">
        <v>1.0</v>
      </c>
      <c r="H118" s="73">
        <v>1.0</v>
      </c>
      <c r="I118" s="73">
        <v>0.0</v>
      </c>
      <c r="J118" s="73">
        <v>0.0</v>
      </c>
      <c r="K118" s="73">
        <v>0.0</v>
      </c>
      <c r="L118" s="73">
        <v>1.0</v>
      </c>
      <c r="M118" s="73">
        <v>0.0</v>
      </c>
      <c r="N118" s="73">
        <v>0.0</v>
      </c>
      <c r="O118" s="73">
        <v>3.0</v>
      </c>
      <c r="P118" s="73">
        <v>0.0</v>
      </c>
      <c r="Q118" s="73">
        <v>1.0</v>
      </c>
      <c r="R118" s="73">
        <v>0.0</v>
      </c>
      <c r="S118" s="73">
        <v>0.0</v>
      </c>
      <c r="T118" s="73">
        <v>1.0</v>
      </c>
      <c r="U118" s="73">
        <v>0.0</v>
      </c>
      <c r="V118" s="73">
        <v>1.0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1.0</v>
      </c>
      <c r="AF118" s="13">
        <f t="shared" si="26"/>
        <v>13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1.0</v>
      </c>
      <c r="I119" s="73">
        <v>0.0</v>
      </c>
      <c r="J119" s="73">
        <v>0.0</v>
      </c>
      <c r="K119" s="73">
        <v>1.0</v>
      </c>
      <c r="L119" s="73">
        <v>2.0</v>
      </c>
      <c r="M119" s="73">
        <v>0.0</v>
      </c>
      <c r="N119" s="73">
        <v>1.0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13">
        <f t="shared" si="26"/>
        <v>5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1.0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1.0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1.0</v>
      </c>
      <c r="AF120" s="13">
        <f t="shared" si="26"/>
        <v>3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1.0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1.0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1.0</v>
      </c>
      <c r="AE121" s="73">
        <v>0.0</v>
      </c>
      <c r="AF121" s="13">
        <f t="shared" si="26"/>
        <v>3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1.0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1.0</v>
      </c>
      <c r="AB122" s="73">
        <v>0.0</v>
      </c>
      <c r="AC122" s="73">
        <v>0.0</v>
      </c>
      <c r="AD122" s="73">
        <v>0.0</v>
      </c>
      <c r="AE122" s="73">
        <v>0.0</v>
      </c>
      <c r="AF122" s="13">
        <f t="shared" si="26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F127" si="27">SUM(E117:E126)</f>
        <v>2</v>
      </c>
      <c r="F127" s="13">
        <f t="shared" si="27"/>
        <v>1</v>
      </c>
      <c r="G127" s="13">
        <f t="shared" si="27"/>
        <v>2</v>
      </c>
      <c r="H127" s="13">
        <f t="shared" si="27"/>
        <v>3</v>
      </c>
      <c r="I127" s="13">
        <f t="shared" si="27"/>
        <v>2</v>
      </c>
      <c r="J127" s="13">
        <f t="shared" si="27"/>
        <v>2</v>
      </c>
      <c r="K127" s="13">
        <f t="shared" si="27"/>
        <v>4</v>
      </c>
      <c r="L127" s="13">
        <f t="shared" si="27"/>
        <v>3</v>
      </c>
      <c r="M127" s="13">
        <f t="shared" si="27"/>
        <v>1</v>
      </c>
      <c r="N127" s="13">
        <f t="shared" si="27"/>
        <v>2</v>
      </c>
      <c r="O127" s="13">
        <f t="shared" si="27"/>
        <v>3</v>
      </c>
      <c r="P127" s="13">
        <f t="shared" si="27"/>
        <v>1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1</v>
      </c>
      <c r="U127" s="13">
        <f t="shared" si="27"/>
        <v>1</v>
      </c>
      <c r="V127" s="13">
        <f t="shared" si="27"/>
        <v>3</v>
      </c>
      <c r="W127" s="13">
        <f t="shared" si="27"/>
        <v>0</v>
      </c>
      <c r="X127" s="13">
        <f t="shared" si="27"/>
        <v>1</v>
      </c>
      <c r="Y127" s="13">
        <f t="shared" si="27"/>
        <v>1</v>
      </c>
      <c r="Z127" s="13">
        <f t="shared" si="27"/>
        <v>0</v>
      </c>
      <c r="AA127" s="13">
        <f t="shared" si="27"/>
        <v>2</v>
      </c>
      <c r="AB127" s="13">
        <f t="shared" si="27"/>
        <v>1</v>
      </c>
      <c r="AC127" s="13">
        <f t="shared" si="27"/>
        <v>1</v>
      </c>
      <c r="AD127" s="13">
        <f t="shared" si="27"/>
        <v>1</v>
      </c>
      <c r="AE127" s="13">
        <f t="shared" si="27"/>
        <v>3</v>
      </c>
      <c r="AF127" s="13">
        <f t="shared" si="27"/>
        <v>44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2.0</v>
      </c>
      <c r="O129" s="73">
        <v>2.0</v>
      </c>
      <c r="P129" s="73">
        <v>0.0</v>
      </c>
      <c r="Q129" s="73">
        <v>0.0</v>
      </c>
      <c r="R129" s="73">
        <v>0.0</v>
      </c>
      <c r="S129" s="73">
        <v>2.0</v>
      </c>
      <c r="T129" s="73">
        <v>1.0</v>
      </c>
      <c r="U129" s="73">
        <v>0.0</v>
      </c>
      <c r="V129" s="73">
        <v>1.0</v>
      </c>
      <c r="W129" s="73">
        <v>0.0</v>
      </c>
      <c r="X129" s="73">
        <v>1.0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1.0</v>
      </c>
      <c r="AD129" s="73">
        <v>0.0</v>
      </c>
      <c r="AE129" s="73">
        <v>0.0</v>
      </c>
      <c r="AF129" s="13">
        <f t="shared" ref="AF129:AF138" si="28">SUM(E129:AE129)</f>
        <v>10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2.0</v>
      </c>
      <c r="H130" s="73">
        <v>2.0</v>
      </c>
      <c r="I130" s="73">
        <v>0.0</v>
      </c>
      <c r="J130" s="73">
        <v>0.0</v>
      </c>
      <c r="K130" s="73">
        <v>0.0</v>
      </c>
      <c r="L130" s="73">
        <v>0.0</v>
      </c>
      <c r="M130" s="73">
        <v>0.0</v>
      </c>
      <c r="N130" s="73">
        <v>1.0</v>
      </c>
      <c r="O130" s="73">
        <v>0.0</v>
      </c>
      <c r="P130" s="73">
        <v>0.0</v>
      </c>
      <c r="Q130" s="73">
        <v>0.0</v>
      </c>
      <c r="R130" s="73">
        <v>1.0</v>
      </c>
      <c r="S130" s="73">
        <v>3.0</v>
      </c>
      <c r="T130" s="73">
        <v>0.0</v>
      </c>
      <c r="U130" s="73">
        <v>0.0</v>
      </c>
      <c r="V130" s="73">
        <v>0.0</v>
      </c>
      <c r="W130" s="73">
        <v>2.0</v>
      </c>
      <c r="X130" s="73">
        <v>1.0</v>
      </c>
      <c r="Y130" s="73">
        <v>4.0</v>
      </c>
      <c r="Z130" s="73">
        <v>4.0</v>
      </c>
      <c r="AA130" s="73">
        <v>0.0</v>
      </c>
      <c r="AB130" s="73">
        <v>0.0</v>
      </c>
      <c r="AC130" s="73">
        <v>0.0</v>
      </c>
      <c r="AD130" s="73">
        <v>0.0</v>
      </c>
      <c r="AE130" s="73">
        <v>0.0</v>
      </c>
      <c r="AF130" s="13">
        <f t="shared" si="28"/>
        <v>20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13">
        <f t="shared" si="28"/>
        <v>0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1.0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1.0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13">
        <f t="shared" si="28"/>
        <v>2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1.0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1.0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13">
        <f t="shared" si="28"/>
        <v>1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1.0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13">
        <f t="shared" si="28"/>
        <v>1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1.0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13">
        <f t="shared" si="28"/>
        <v>1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1.0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13">
        <f t="shared" si="28"/>
        <v>1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F139" si="29">SUM(E129:E138)</f>
        <v>0</v>
      </c>
      <c r="F139" s="13">
        <f t="shared" si="29"/>
        <v>1</v>
      </c>
      <c r="G139" s="13">
        <f t="shared" si="29"/>
        <v>2</v>
      </c>
      <c r="H139" s="13">
        <f t="shared" si="29"/>
        <v>2</v>
      </c>
      <c r="I139" s="13">
        <f t="shared" si="29"/>
        <v>1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1</v>
      </c>
      <c r="N139" s="13">
        <f t="shared" si="29"/>
        <v>4</v>
      </c>
      <c r="O139" s="13">
        <f t="shared" si="29"/>
        <v>2</v>
      </c>
      <c r="P139" s="13">
        <f t="shared" si="29"/>
        <v>0</v>
      </c>
      <c r="Q139" s="13">
        <f t="shared" si="29"/>
        <v>1</v>
      </c>
      <c r="R139" s="13">
        <f t="shared" si="29"/>
        <v>1</v>
      </c>
      <c r="S139" s="13">
        <f t="shared" si="29"/>
        <v>5</v>
      </c>
      <c r="T139" s="13">
        <f t="shared" si="29"/>
        <v>2</v>
      </c>
      <c r="U139" s="13">
        <f t="shared" si="29"/>
        <v>0</v>
      </c>
      <c r="V139" s="13">
        <f t="shared" si="29"/>
        <v>1</v>
      </c>
      <c r="W139" s="13">
        <f t="shared" si="29"/>
        <v>2</v>
      </c>
      <c r="X139" s="13">
        <f t="shared" si="29"/>
        <v>2</v>
      </c>
      <c r="Y139" s="13">
        <f t="shared" si="29"/>
        <v>4</v>
      </c>
      <c r="Z139" s="13">
        <f t="shared" si="29"/>
        <v>4</v>
      </c>
      <c r="AA139" s="13">
        <f t="shared" si="29"/>
        <v>0</v>
      </c>
      <c r="AB139" s="13">
        <f t="shared" si="29"/>
        <v>0</v>
      </c>
      <c r="AC139" s="13">
        <f t="shared" si="29"/>
        <v>1</v>
      </c>
      <c r="AD139" s="13">
        <f t="shared" si="29"/>
        <v>0</v>
      </c>
      <c r="AE139" s="13">
        <f t="shared" si="29"/>
        <v>0</v>
      </c>
      <c r="AF139" s="13">
        <f t="shared" si="29"/>
        <v>37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13">
        <f t="shared" ref="AF141:AF150" si="30">SUM(E141:AE141)</f>
        <v>0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1.0</v>
      </c>
      <c r="AF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1.0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F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1.0</v>
      </c>
      <c r="V153" s="73">
        <v>1.0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13">
        <f t="shared" ref="AF153:AF156" si="32">SUM(E154:AE154)</f>
        <v>5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1.0</v>
      </c>
      <c r="I154" s="73">
        <v>1.0</v>
      </c>
      <c r="J154" s="73">
        <v>1.0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1.0</v>
      </c>
      <c r="V154" s="73">
        <v>0.0</v>
      </c>
      <c r="W154" s="73">
        <v>0.0</v>
      </c>
      <c r="X154" s="73">
        <v>1.0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1.0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1.0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1.0</v>
      </c>
      <c r="L156" s="73">
        <v>0.0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13">
        <f t="shared" si="32"/>
        <v>4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1.0</v>
      </c>
      <c r="H157" s="73">
        <v>0.0</v>
      </c>
      <c r="I157" s="73">
        <v>1.0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1.0</v>
      </c>
      <c r="S157" s="73">
        <v>0.0</v>
      </c>
      <c r="T157" s="73">
        <v>1.0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3">
        <f t="shared" ref="AF157:AF162" si="33">SUM(E163:AE163)</f>
        <v>16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3">
        <f t="shared" si="33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3">
        <f t="shared" si="33"/>
        <v>9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13">
        <f t="shared" si="33"/>
        <v>3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3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3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F163" si="34">SUM(E153:E162)</f>
        <v>1</v>
      </c>
      <c r="F163" s="13">
        <f t="shared" si="34"/>
        <v>0</v>
      </c>
      <c r="G163" s="13">
        <f t="shared" si="34"/>
        <v>1</v>
      </c>
      <c r="H163" s="13">
        <f t="shared" si="34"/>
        <v>2</v>
      </c>
      <c r="I163" s="13">
        <f t="shared" si="34"/>
        <v>2</v>
      </c>
      <c r="J163" s="13">
        <f t="shared" si="34"/>
        <v>1</v>
      </c>
      <c r="K163" s="13">
        <f t="shared" si="34"/>
        <v>1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1</v>
      </c>
      <c r="P163" s="13">
        <f t="shared" si="34"/>
        <v>0</v>
      </c>
      <c r="Q163" s="13">
        <f t="shared" si="34"/>
        <v>0</v>
      </c>
      <c r="R163" s="13">
        <f t="shared" si="34"/>
        <v>1</v>
      </c>
      <c r="S163" s="13">
        <f t="shared" si="34"/>
        <v>0</v>
      </c>
      <c r="T163" s="13">
        <f t="shared" si="34"/>
        <v>1</v>
      </c>
      <c r="U163" s="13">
        <f t="shared" si="34"/>
        <v>2</v>
      </c>
      <c r="V163" s="13">
        <f t="shared" si="34"/>
        <v>1</v>
      </c>
      <c r="W163" s="13">
        <f t="shared" si="34"/>
        <v>0</v>
      </c>
      <c r="X163" s="13">
        <f t="shared" si="34"/>
        <v>1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0</v>
      </c>
      <c r="AF163" s="13">
        <f t="shared" si="34"/>
        <v>41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1.0</v>
      </c>
      <c r="O165" s="73">
        <v>0.0</v>
      </c>
      <c r="P165" s="73">
        <v>0.0</v>
      </c>
      <c r="Q165" s="73">
        <v>0.0</v>
      </c>
      <c r="R165" s="73">
        <v>2.0</v>
      </c>
      <c r="S165" s="73">
        <v>0.0</v>
      </c>
      <c r="T165" s="73">
        <v>0.0</v>
      </c>
      <c r="U165" s="73">
        <v>1.0</v>
      </c>
      <c r="V165" s="73">
        <v>1.0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1.0</v>
      </c>
      <c r="AD165" s="73">
        <v>0.0</v>
      </c>
      <c r="AE165" s="73">
        <v>1.0</v>
      </c>
      <c r="AF165" s="13">
        <f t="shared" ref="AF165:AF174" si="35">SUM(E165:AE165)</f>
        <v>9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2.0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0.0</v>
      </c>
      <c r="Z166" s="73">
        <v>0.0</v>
      </c>
      <c r="AA166" s="73">
        <v>0.0</v>
      </c>
      <c r="AB166" s="73">
        <v>0.0</v>
      </c>
      <c r="AC166" s="73">
        <v>0.0</v>
      </c>
      <c r="AD166" s="73">
        <v>1.0</v>
      </c>
      <c r="AE166" s="73">
        <v>0.0</v>
      </c>
      <c r="AF166" s="13">
        <f t="shared" si="35"/>
        <v>3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3">
        <f t="shared" si="35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3">
        <f t="shared" si="35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3">
        <f t="shared" si="35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3">
        <f t="shared" si="35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3">
        <f t="shared" si="35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3">
        <f t="shared" si="35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5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5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F175" si="36">SUM(E165:E174)</f>
        <v>0</v>
      </c>
      <c r="F175" s="13">
        <f t="shared" si="36"/>
        <v>1</v>
      </c>
      <c r="G175" s="13">
        <f t="shared" si="36"/>
        <v>2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1</v>
      </c>
      <c r="N175" s="13">
        <f t="shared" si="36"/>
        <v>1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2</v>
      </c>
      <c r="S175" s="13">
        <f t="shared" si="36"/>
        <v>0</v>
      </c>
      <c r="T175" s="13">
        <f t="shared" si="36"/>
        <v>0</v>
      </c>
      <c r="U175" s="13">
        <f t="shared" si="36"/>
        <v>1</v>
      </c>
      <c r="V175" s="13">
        <f t="shared" si="36"/>
        <v>1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1</v>
      </c>
      <c r="AD175" s="13">
        <f t="shared" si="36"/>
        <v>1</v>
      </c>
      <c r="AE175" s="13">
        <f t="shared" si="36"/>
        <v>1</v>
      </c>
      <c r="AF175" s="13">
        <f t="shared" si="36"/>
        <v>12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1.0</v>
      </c>
      <c r="N177" s="73">
        <v>1.0</v>
      </c>
      <c r="O177" s="73">
        <v>0.0</v>
      </c>
      <c r="P177" s="73">
        <v>0.0</v>
      </c>
      <c r="Q177" s="73">
        <v>0.0</v>
      </c>
      <c r="R177" s="73">
        <v>1.0</v>
      </c>
      <c r="S177" s="73">
        <v>0.0</v>
      </c>
      <c r="T177" s="73">
        <v>0.0</v>
      </c>
      <c r="U177" s="73">
        <v>2.0</v>
      </c>
      <c r="V177" s="73">
        <v>1.0</v>
      </c>
      <c r="W177" s="73">
        <v>1.0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0.0</v>
      </c>
      <c r="AF177" s="13">
        <f t="shared" ref="AF177:AF186" si="37">SUM(E177:AE177)</f>
        <v>7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1.0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1.0</v>
      </c>
      <c r="N178" s="73">
        <v>0.0</v>
      </c>
      <c r="O178" s="73">
        <v>0.0</v>
      </c>
      <c r="P178" s="73">
        <v>1.0</v>
      </c>
      <c r="Q178" s="73">
        <v>0.0</v>
      </c>
      <c r="R178" s="73">
        <v>1.0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2.0</v>
      </c>
      <c r="Z178" s="73">
        <v>0.0</v>
      </c>
      <c r="AA178" s="73">
        <v>0.0</v>
      </c>
      <c r="AB178" s="73">
        <v>0.0</v>
      </c>
      <c r="AC178" s="73">
        <v>1.0</v>
      </c>
      <c r="AD178" s="73">
        <v>0.0</v>
      </c>
      <c r="AE178" s="73">
        <v>0.0</v>
      </c>
      <c r="AF178" s="13">
        <f t="shared" si="37"/>
        <v>7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1.0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13">
        <f t="shared" si="37"/>
        <v>1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1.0</v>
      </c>
      <c r="L180" s="73">
        <v>0.0</v>
      </c>
      <c r="M180" s="73">
        <v>0.0</v>
      </c>
      <c r="N180" s="73">
        <v>0.0</v>
      </c>
      <c r="O180" s="73">
        <v>0.0</v>
      </c>
      <c r="P180" s="73">
        <v>5.0</v>
      </c>
      <c r="Q180" s="73">
        <v>1.0</v>
      </c>
      <c r="R180" s="73">
        <v>1.0</v>
      </c>
      <c r="S180" s="73">
        <v>0.0</v>
      </c>
      <c r="T180" s="73">
        <v>1.0</v>
      </c>
      <c r="U180" s="73">
        <v>1.0</v>
      </c>
      <c r="V180" s="73">
        <v>1.0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1.0</v>
      </c>
      <c r="AF180" s="13">
        <f t="shared" si="37"/>
        <v>12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1.0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1.0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13">
        <f t="shared" si="37"/>
        <v>3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2.0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1.0</v>
      </c>
      <c r="T182" s="73">
        <v>0.0</v>
      </c>
      <c r="U182" s="73">
        <v>1.0</v>
      </c>
      <c r="V182" s="73">
        <v>0.0</v>
      </c>
      <c r="W182" s="73">
        <v>0.0</v>
      </c>
      <c r="X182" s="73">
        <v>1.0</v>
      </c>
      <c r="Y182" s="73">
        <v>1.0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13">
        <f t="shared" si="37"/>
        <v>6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1.0</v>
      </c>
      <c r="H183" s="73">
        <v>2.0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2.0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13">
        <f t="shared" si="37"/>
        <v>5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13">
        <f t="shared" si="37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1.0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13">
        <f t="shared" si="37"/>
        <v>1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13">
        <f t="shared" si="37"/>
        <v>0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F187" si="38">SUM(E177:E186)</f>
        <v>1</v>
      </c>
      <c r="F187" s="13">
        <f t="shared" si="38"/>
        <v>2</v>
      </c>
      <c r="G187" s="13">
        <f t="shared" si="38"/>
        <v>1</v>
      </c>
      <c r="H187" s="13">
        <f t="shared" si="38"/>
        <v>2</v>
      </c>
      <c r="I187" s="13">
        <f t="shared" si="38"/>
        <v>2</v>
      </c>
      <c r="J187" s="13">
        <f t="shared" si="38"/>
        <v>0</v>
      </c>
      <c r="K187" s="13">
        <f t="shared" si="38"/>
        <v>1</v>
      </c>
      <c r="L187" s="13">
        <f t="shared" si="38"/>
        <v>0</v>
      </c>
      <c r="M187" s="13">
        <f t="shared" si="38"/>
        <v>2</v>
      </c>
      <c r="N187" s="13">
        <f t="shared" si="38"/>
        <v>2</v>
      </c>
      <c r="O187" s="13">
        <f t="shared" si="38"/>
        <v>0</v>
      </c>
      <c r="P187" s="13">
        <f t="shared" si="38"/>
        <v>6</v>
      </c>
      <c r="Q187" s="13">
        <f t="shared" si="38"/>
        <v>2</v>
      </c>
      <c r="R187" s="13">
        <f t="shared" si="38"/>
        <v>3</v>
      </c>
      <c r="S187" s="13">
        <f t="shared" si="38"/>
        <v>3</v>
      </c>
      <c r="T187" s="13">
        <f t="shared" si="38"/>
        <v>2</v>
      </c>
      <c r="U187" s="13">
        <f t="shared" si="38"/>
        <v>4</v>
      </c>
      <c r="V187" s="13">
        <f t="shared" si="38"/>
        <v>2</v>
      </c>
      <c r="W187" s="13">
        <f t="shared" si="38"/>
        <v>1</v>
      </c>
      <c r="X187" s="13">
        <f t="shared" si="38"/>
        <v>1</v>
      </c>
      <c r="Y187" s="13">
        <f t="shared" si="38"/>
        <v>3</v>
      </c>
      <c r="Z187" s="13">
        <f t="shared" si="38"/>
        <v>0</v>
      </c>
      <c r="AA187" s="13">
        <f t="shared" si="38"/>
        <v>0</v>
      </c>
      <c r="AB187" s="13">
        <f t="shared" si="38"/>
        <v>0</v>
      </c>
      <c r="AC187" s="13">
        <f t="shared" si="38"/>
        <v>1</v>
      </c>
      <c r="AD187" s="13">
        <f t="shared" si="38"/>
        <v>0</v>
      </c>
      <c r="AE187" s="13">
        <f t="shared" si="38"/>
        <v>1</v>
      </c>
      <c r="AF187" s="13">
        <f t="shared" si="38"/>
        <v>42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1.0</v>
      </c>
      <c r="G189" s="73">
        <v>0.0</v>
      </c>
      <c r="H189" s="73">
        <v>1.0</v>
      </c>
      <c r="I189" s="73">
        <v>2.0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2.0</v>
      </c>
      <c r="V189" s="73">
        <v>0.0</v>
      </c>
      <c r="W189" s="73">
        <v>0.0</v>
      </c>
      <c r="X189" s="73">
        <v>0.0</v>
      </c>
      <c r="Y189" s="73">
        <v>0.0</v>
      </c>
      <c r="Z189" s="73">
        <v>1.0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1.0</v>
      </c>
      <c r="AF189" s="13">
        <f t="shared" ref="AF189:AF198" si="39">SUM(E189:AE189)</f>
        <v>8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1.0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1.0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1.0</v>
      </c>
      <c r="AE190" s="73">
        <v>0.0</v>
      </c>
      <c r="AF190" s="13">
        <f t="shared" si="39"/>
        <v>3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1.0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1.0</v>
      </c>
      <c r="AF191" s="13">
        <f t="shared" si="39"/>
        <v>2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13">
        <f t="shared" si="39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1.0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13">
        <f t="shared" si="39"/>
        <v>1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13">
        <f t="shared" si="39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13">
        <f t="shared" si="39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13">
        <f t="shared" si="39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1.0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1.0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13">
        <f t="shared" si="39"/>
        <v>2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1.0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13">
        <f t="shared" si="39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F199" si="40">SUM(E189:E198)</f>
        <v>0</v>
      </c>
      <c r="F199" s="13">
        <f t="shared" si="40"/>
        <v>1</v>
      </c>
      <c r="G199" s="13">
        <f t="shared" si="40"/>
        <v>0</v>
      </c>
      <c r="H199" s="13">
        <f t="shared" si="40"/>
        <v>1</v>
      </c>
      <c r="I199" s="13">
        <f t="shared" si="40"/>
        <v>3</v>
      </c>
      <c r="J199" s="13">
        <f t="shared" si="40"/>
        <v>0</v>
      </c>
      <c r="K199" s="13">
        <f t="shared" si="40"/>
        <v>1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0</v>
      </c>
      <c r="T199" s="13">
        <f t="shared" si="40"/>
        <v>1</v>
      </c>
      <c r="U199" s="13">
        <f t="shared" si="40"/>
        <v>4</v>
      </c>
      <c r="V199" s="13">
        <f t="shared" si="40"/>
        <v>0</v>
      </c>
      <c r="W199" s="13">
        <f t="shared" si="40"/>
        <v>1</v>
      </c>
      <c r="X199" s="13">
        <f t="shared" si="40"/>
        <v>0</v>
      </c>
      <c r="Y199" s="13">
        <f t="shared" si="40"/>
        <v>0</v>
      </c>
      <c r="Z199" s="13">
        <f t="shared" si="40"/>
        <v>1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1</v>
      </c>
      <c r="AE199" s="13">
        <f t="shared" si="40"/>
        <v>2</v>
      </c>
      <c r="AF199" s="13">
        <f t="shared" si="40"/>
        <v>17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1.0</v>
      </c>
      <c r="F201" s="73">
        <v>3.0</v>
      </c>
      <c r="G201" s="73">
        <v>0.0</v>
      </c>
      <c r="H201" s="73">
        <v>3.0</v>
      </c>
      <c r="I201" s="73">
        <v>2.0</v>
      </c>
      <c r="J201" s="73">
        <v>9.0</v>
      </c>
      <c r="K201" s="73">
        <v>4.0</v>
      </c>
      <c r="L201" s="73">
        <v>3.0</v>
      </c>
      <c r="M201" s="73">
        <v>4.0</v>
      </c>
      <c r="N201" s="73">
        <v>4.0</v>
      </c>
      <c r="O201" s="73">
        <v>1.0</v>
      </c>
      <c r="P201" s="73">
        <v>1.0</v>
      </c>
      <c r="Q201" s="73">
        <v>4.0</v>
      </c>
      <c r="R201" s="73">
        <v>3.0</v>
      </c>
      <c r="S201" s="73">
        <v>4.0</v>
      </c>
      <c r="T201" s="73">
        <v>4.0</v>
      </c>
      <c r="U201" s="73">
        <v>6.0</v>
      </c>
      <c r="V201" s="73">
        <v>4.0</v>
      </c>
      <c r="W201" s="73">
        <v>3.0</v>
      </c>
      <c r="X201" s="73">
        <v>3.0</v>
      </c>
      <c r="Y201" s="73">
        <v>3.0</v>
      </c>
      <c r="Z201" s="73">
        <v>2.0</v>
      </c>
      <c r="AA201" s="73">
        <v>1.0</v>
      </c>
      <c r="AB201" s="73">
        <v>0.0</v>
      </c>
      <c r="AC201" s="73">
        <v>3.0</v>
      </c>
      <c r="AD201" s="73">
        <v>9.0</v>
      </c>
      <c r="AE201" s="73">
        <v>10.0</v>
      </c>
      <c r="AF201" s="13">
        <f t="shared" ref="AF201:AF210" si="41">SUM(E201:AE201)</f>
        <v>94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43.0</v>
      </c>
      <c r="F202" s="73">
        <v>35.0</v>
      </c>
      <c r="G202" s="73">
        <v>25.0</v>
      </c>
      <c r="H202" s="73">
        <v>37.0</v>
      </c>
      <c r="I202" s="73">
        <v>25.0</v>
      </c>
      <c r="J202" s="73">
        <v>109.0</v>
      </c>
      <c r="K202" s="73">
        <v>81.0</v>
      </c>
      <c r="L202" s="73">
        <v>130.0</v>
      </c>
      <c r="M202" s="73">
        <v>68.0</v>
      </c>
      <c r="N202" s="73">
        <v>47.0</v>
      </c>
      <c r="O202" s="73">
        <v>34.0</v>
      </c>
      <c r="P202" s="73">
        <v>62.0</v>
      </c>
      <c r="Q202" s="73">
        <v>23.0</v>
      </c>
      <c r="R202" s="73">
        <v>37.0</v>
      </c>
      <c r="S202" s="73">
        <v>38.0</v>
      </c>
      <c r="T202" s="73">
        <v>20.0</v>
      </c>
      <c r="U202" s="73">
        <v>16.0</v>
      </c>
      <c r="V202" s="73">
        <v>20.0</v>
      </c>
      <c r="W202" s="73">
        <v>17.0</v>
      </c>
      <c r="X202" s="73">
        <v>6.0</v>
      </c>
      <c r="Y202" s="73">
        <v>27.0</v>
      </c>
      <c r="Z202" s="73">
        <v>6.0</v>
      </c>
      <c r="AA202" s="73">
        <v>10.0</v>
      </c>
      <c r="AB202" s="73">
        <v>53.0</v>
      </c>
      <c r="AC202" s="73">
        <v>24.0</v>
      </c>
      <c r="AD202" s="73">
        <v>72.0</v>
      </c>
      <c r="AE202" s="73">
        <v>55.0</v>
      </c>
      <c r="AF202" s="13">
        <f t="shared" si="41"/>
        <v>1120</v>
      </c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0.0</v>
      </c>
      <c r="G203" s="73">
        <v>0.0</v>
      </c>
      <c r="H203" s="73">
        <v>1.0</v>
      </c>
      <c r="I203" s="73">
        <v>1.0</v>
      </c>
      <c r="J203" s="73">
        <v>1.0</v>
      </c>
      <c r="K203" s="73">
        <v>4.0</v>
      </c>
      <c r="L203" s="73">
        <v>1.0</v>
      </c>
      <c r="M203" s="73">
        <v>0.0</v>
      </c>
      <c r="N203" s="73">
        <v>1.0</v>
      </c>
      <c r="O203" s="73">
        <v>0.0</v>
      </c>
      <c r="P203" s="73">
        <v>1.0</v>
      </c>
      <c r="Q203" s="73">
        <v>2.0</v>
      </c>
      <c r="R203" s="73">
        <v>2.0</v>
      </c>
      <c r="S203" s="73">
        <v>1.0</v>
      </c>
      <c r="T203" s="73">
        <v>1.0</v>
      </c>
      <c r="U203" s="73">
        <v>0.0</v>
      </c>
      <c r="V203" s="73">
        <v>2.0</v>
      </c>
      <c r="W203" s="73">
        <v>3.0</v>
      </c>
      <c r="X203" s="73">
        <v>0.0</v>
      </c>
      <c r="Y203" s="73">
        <v>1.0</v>
      </c>
      <c r="Z203" s="73">
        <v>1.0</v>
      </c>
      <c r="AA203" s="73">
        <v>3.0</v>
      </c>
      <c r="AB203" s="73">
        <v>1.0</v>
      </c>
      <c r="AC203" s="73">
        <v>4.0</v>
      </c>
      <c r="AD203" s="73">
        <v>6.0</v>
      </c>
      <c r="AE203" s="73">
        <v>1.0</v>
      </c>
      <c r="AF203" s="13">
        <f t="shared" si="41"/>
        <v>38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1.0</v>
      </c>
      <c r="G204" s="73">
        <v>0.0</v>
      </c>
      <c r="H204" s="73">
        <v>0.0</v>
      </c>
      <c r="I204" s="73">
        <v>2.0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1.0</v>
      </c>
      <c r="R204" s="73">
        <v>1.0</v>
      </c>
      <c r="S204" s="73">
        <v>1.0</v>
      </c>
      <c r="T204" s="73">
        <v>0.0</v>
      </c>
      <c r="U204" s="73">
        <v>0.0</v>
      </c>
      <c r="V204" s="73">
        <v>0.0</v>
      </c>
      <c r="W204" s="73">
        <v>0.0</v>
      </c>
      <c r="X204" s="73">
        <v>1.0</v>
      </c>
      <c r="Y204" s="73">
        <v>0.0</v>
      </c>
      <c r="Z204" s="73">
        <v>0.0</v>
      </c>
      <c r="AA204" s="73">
        <v>0.0</v>
      </c>
      <c r="AB204" s="73">
        <v>1.0</v>
      </c>
      <c r="AC204" s="73">
        <v>0.0</v>
      </c>
      <c r="AD204" s="73">
        <v>1.0</v>
      </c>
      <c r="AE204" s="73">
        <v>0.0</v>
      </c>
      <c r="AF204" s="13">
        <f t="shared" si="41"/>
        <v>9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1.0</v>
      </c>
      <c r="M205" s="73">
        <v>0.0</v>
      </c>
      <c r="N205" s="73">
        <v>0.0</v>
      </c>
      <c r="O205" s="73">
        <v>2.0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73">
        <v>1.0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1.0</v>
      </c>
      <c r="AD205" s="73">
        <v>0.0</v>
      </c>
      <c r="AE205" s="73">
        <v>0.0</v>
      </c>
      <c r="AF205" s="13">
        <f t="shared" si="41"/>
        <v>7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1.0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1.0</v>
      </c>
      <c r="AD206" s="73">
        <v>0.0</v>
      </c>
      <c r="AE206" s="73">
        <v>0.0</v>
      </c>
      <c r="AF206" s="13">
        <f t="shared" si="41"/>
        <v>2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1.0</v>
      </c>
      <c r="G207" s="73">
        <v>0.0</v>
      </c>
      <c r="H207" s="73">
        <v>0.0</v>
      </c>
      <c r="I207" s="73">
        <v>1.0</v>
      </c>
      <c r="J207" s="73">
        <v>0.0</v>
      </c>
      <c r="K207" s="73">
        <v>1.0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1.0</v>
      </c>
      <c r="U207" s="73">
        <v>1.0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1.0</v>
      </c>
      <c r="AD207" s="73">
        <v>0.0</v>
      </c>
      <c r="AE207" s="73">
        <v>0.0</v>
      </c>
      <c r="AF207" s="13">
        <f t="shared" si="41"/>
        <v>6</v>
      </c>
    </row>
    <row r="208" ht="12.75" customHeight="1">
      <c r="A208" s="18"/>
      <c r="B208" s="49"/>
      <c r="C208" s="50" t="s">
        <v>160</v>
      </c>
      <c r="D208" s="51"/>
      <c r="E208" s="73">
        <v>1.0</v>
      </c>
      <c r="F208" s="73">
        <v>1.0</v>
      </c>
      <c r="G208" s="73">
        <v>0.0</v>
      </c>
      <c r="H208" s="73">
        <v>1.0</v>
      </c>
      <c r="I208" s="73">
        <v>0.0</v>
      </c>
      <c r="J208" s="73">
        <v>0.0</v>
      </c>
      <c r="K208" s="73">
        <v>0.0</v>
      </c>
      <c r="L208" s="73">
        <v>0.0</v>
      </c>
      <c r="M208" s="73">
        <v>0.0</v>
      </c>
      <c r="N208" s="73">
        <v>0.0</v>
      </c>
      <c r="O208" s="73">
        <v>0.0</v>
      </c>
      <c r="P208" s="73">
        <v>0.0</v>
      </c>
      <c r="Q208" s="73">
        <v>0.0</v>
      </c>
      <c r="R208" s="73">
        <v>0.0</v>
      </c>
      <c r="S208" s="73">
        <v>1.0</v>
      </c>
      <c r="T208" s="73">
        <v>0.0</v>
      </c>
      <c r="U208" s="73">
        <v>1.0</v>
      </c>
      <c r="V208" s="73">
        <v>0.0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1.0</v>
      </c>
      <c r="AB208" s="73">
        <v>0.0</v>
      </c>
      <c r="AC208" s="73">
        <v>0.0</v>
      </c>
      <c r="AD208" s="73">
        <v>1.0</v>
      </c>
      <c r="AE208" s="73">
        <v>0.0</v>
      </c>
      <c r="AF208" s="13">
        <f t="shared" si="41"/>
        <v>7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13">
        <f t="shared" si="41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1.0</v>
      </c>
      <c r="K210" s="73">
        <v>0.0</v>
      </c>
      <c r="L210" s="73">
        <v>0.0</v>
      </c>
      <c r="M210" s="73">
        <v>0.0</v>
      </c>
      <c r="N210" s="73">
        <v>1.0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1.0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13">
        <f t="shared" si="41"/>
        <v>3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F211" si="42">SUM(E201:E210)</f>
        <v>45</v>
      </c>
      <c r="F211" s="13">
        <f t="shared" si="42"/>
        <v>41</v>
      </c>
      <c r="G211" s="13">
        <f t="shared" si="42"/>
        <v>25</v>
      </c>
      <c r="H211" s="13">
        <f t="shared" si="42"/>
        <v>42</v>
      </c>
      <c r="I211" s="13">
        <f t="shared" si="42"/>
        <v>31</v>
      </c>
      <c r="J211" s="13">
        <f t="shared" si="42"/>
        <v>120</v>
      </c>
      <c r="K211" s="13">
        <f t="shared" si="42"/>
        <v>91</v>
      </c>
      <c r="L211" s="13">
        <f t="shared" si="42"/>
        <v>135</v>
      </c>
      <c r="M211" s="13">
        <f t="shared" si="42"/>
        <v>72</v>
      </c>
      <c r="N211" s="13">
        <f t="shared" si="42"/>
        <v>53</v>
      </c>
      <c r="O211" s="13">
        <f t="shared" si="42"/>
        <v>38</v>
      </c>
      <c r="P211" s="13">
        <f t="shared" si="42"/>
        <v>64</v>
      </c>
      <c r="Q211" s="13">
        <f t="shared" si="42"/>
        <v>30</v>
      </c>
      <c r="R211" s="13">
        <f t="shared" si="42"/>
        <v>43</v>
      </c>
      <c r="S211" s="13">
        <f t="shared" si="42"/>
        <v>46</v>
      </c>
      <c r="T211" s="13">
        <f t="shared" si="42"/>
        <v>26</v>
      </c>
      <c r="U211" s="13">
        <f t="shared" si="42"/>
        <v>24</v>
      </c>
      <c r="V211" s="13">
        <f t="shared" si="42"/>
        <v>27</v>
      </c>
      <c r="W211" s="13">
        <f t="shared" si="42"/>
        <v>23</v>
      </c>
      <c r="X211" s="13">
        <f t="shared" si="42"/>
        <v>11</v>
      </c>
      <c r="Y211" s="13">
        <f t="shared" si="42"/>
        <v>31</v>
      </c>
      <c r="Z211" s="13">
        <f t="shared" si="42"/>
        <v>9</v>
      </c>
      <c r="AA211" s="13">
        <f t="shared" si="42"/>
        <v>15</v>
      </c>
      <c r="AB211" s="13">
        <f t="shared" si="42"/>
        <v>55</v>
      </c>
      <c r="AC211" s="13">
        <f t="shared" si="42"/>
        <v>34</v>
      </c>
      <c r="AD211" s="13">
        <f t="shared" si="42"/>
        <v>89</v>
      </c>
      <c r="AE211" s="13">
        <f t="shared" si="42"/>
        <v>66</v>
      </c>
      <c r="AF211" s="13">
        <f t="shared" si="42"/>
        <v>1286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0.0</v>
      </c>
      <c r="G213" s="73">
        <v>2.0</v>
      </c>
      <c r="H213" s="73">
        <v>0.0</v>
      </c>
      <c r="I213" s="73">
        <v>0.0</v>
      </c>
      <c r="J213" s="73">
        <v>0.0</v>
      </c>
      <c r="K213" s="73">
        <v>1.0</v>
      </c>
      <c r="L213" s="73">
        <v>1.0</v>
      </c>
      <c r="M213" s="73">
        <v>0.0</v>
      </c>
      <c r="N213" s="73">
        <v>2.0</v>
      </c>
      <c r="O213" s="73">
        <v>1.0</v>
      </c>
      <c r="P213" s="73">
        <v>0.0</v>
      </c>
      <c r="Q213" s="73">
        <v>2.0</v>
      </c>
      <c r="R213" s="73">
        <v>2.0</v>
      </c>
      <c r="S213" s="73">
        <v>0.0</v>
      </c>
      <c r="T213" s="73">
        <v>7.0</v>
      </c>
      <c r="U213" s="73">
        <v>1.0</v>
      </c>
      <c r="V213" s="73">
        <v>1.0</v>
      </c>
      <c r="W213" s="73">
        <v>0.0</v>
      </c>
      <c r="X213" s="73">
        <v>1.0</v>
      </c>
      <c r="Y213" s="73">
        <v>0.0</v>
      </c>
      <c r="Z213" s="73">
        <v>2.0</v>
      </c>
      <c r="AA213" s="73">
        <v>0.0</v>
      </c>
      <c r="AB213" s="73">
        <v>0.0</v>
      </c>
      <c r="AC213" s="73">
        <v>1.0</v>
      </c>
      <c r="AD213" s="73">
        <v>2.0</v>
      </c>
      <c r="AE213" s="73">
        <v>2.0</v>
      </c>
      <c r="AF213" s="13">
        <f t="shared" ref="AF213:AF222" si="43">SUM(E213:AE213)</f>
        <v>28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0.0</v>
      </c>
      <c r="H214" s="73">
        <v>1.0</v>
      </c>
      <c r="I214" s="73">
        <v>1.0</v>
      </c>
      <c r="J214" s="73">
        <v>1.0</v>
      </c>
      <c r="K214" s="73">
        <v>0.0</v>
      </c>
      <c r="L214" s="73">
        <v>0.0</v>
      </c>
      <c r="M214" s="73">
        <v>1.0</v>
      </c>
      <c r="N214" s="73">
        <v>1.0</v>
      </c>
      <c r="O214" s="73">
        <v>1.0</v>
      </c>
      <c r="P214" s="73">
        <v>0.0</v>
      </c>
      <c r="Q214" s="73">
        <v>0.0</v>
      </c>
      <c r="R214" s="73">
        <v>0.0</v>
      </c>
      <c r="S214" s="73">
        <v>2.0</v>
      </c>
      <c r="T214" s="73">
        <v>1.0</v>
      </c>
      <c r="U214" s="73">
        <v>0.0</v>
      </c>
      <c r="V214" s="73">
        <v>1.0</v>
      </c>
      <c r="W214" s="73">
        <v>0.0</v>
      </c>
      <c r="X214" s="73">
        <v>1.0</v>
      </c>
      <c r="Y214" s="73">
        <v>0.0</v>
      </c>
      <c r="Z214" s="73">
        <v>1.0</v>
      </c>
      <c r="AA214" s="73">
        <v>1.0</v>
      </c>
      <c r="AB214" s="73">
        <v>0.0</v>
      </c>
      <c r="AC214" s="73">
        <v>0.0</v>
      </c>
      <c r="AD214" s="73">
        <v>0.0</v>
      </c>
      <c r="AE214" s="73">
        <v>1.0</v>
      </c>
      <c r="AF214" s="13">
        <f t="shared" si="43"/>
        <v>14</v>
      </c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2.0</v>
      </c>
      <c r="G215" s="73">
        <v>0.0</v>
      </c>
      <c r="H215" s="73">
        <v>0.0</v>
      </c>
      <c r="I215" s="73">
        <v>0.0</v>
      </c>
      <c r="J215" s="73">
        <v>3.0</v>
      </c>
      <c r="K215" s="73">
        <v>0.0</v>
      </c>
      <c r="L215" s="73">
        <v>0.0</v>
      </c>
      <c r="M215" s="73">
        <v>0.0</v>
      </c>
      <c r="N215" s="73">
        <v>0.0</v>
      </c>
      <c r="O215" s="73">
        <v>0.0</v>
      </c>
      <c r="P215" s="73">
        <v>0.0</v>
      </c>
      <c r="Q215" s="73">
        <v>3.0</v>
      </c>
      <c r="R215" s="73">
        <v>0.0</v>
      </c>
      <c r="S215" s="73">
        <v>5.0</v>
      </c>
      <c r="T215" s="73">
        <v>2.0</v>
      </c>
      <c r="U215" s="73">
        <v>3.0</v>
      </c>
      <c r="V215" s="73">
        <v>2.0</v>
      </c>
      <c r="W215" s="73">
        <v>1.0</v>
      </c>
      <c r="X215" s="73">
        <v>1.0</v>
      </c>
      <c r="Y215" s="73">
        <v>0.0</v>
      </c>
      <c r="Z215" s="73">
        <v>1.0</v>
      </c>
      <c r="AA215" s="73">
        <v>1.0</v>
      </c>
      <c r="AB215" s="73">
        <v>0.0</v>
      </c>
      <c r="AC215" s="73">
        <v>0.0</v>
      </c>
      <c r="AD215" s="73">
        <v>1.0</v>
      </c>
      <c r="AE215" s="73">
        <v>0.0</v>
      </c>
      <c r="AF215" s="13">
        <f t="shared" si="43"/>
        <v>26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1.0</v>
      </c>
      <c r="G216" s="73">
        <v>0.0</v>
      </c>
      <c r="H216" s="73">
        <v>0.0</v>
      </c>
      <c r="I216" s="73">
        <v>0.0</v>
      </c>
      <c r="J216" s="73">
        <v>1.0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1.0</v>
      </c>
      <c r="S216" s="73">
        <v>1.0</v>
      </c>
      <c r="T216" s="73">
        <v>1.0</v>
      </c>
      <c r="U216" s="73">
        <v>1.0</v>
      </c>
      <c r="V216" s="73">
        <v>0.0</v>
      </c>
      <c r="W216" s="73">
        <v>0.0</v>
      </c>
      <c r="X216" s="73">
        <v>0.0</v>
      </c>
      <c r="Y216" s="73">
        <v>1.0</v>
      </c>
      <c r="Z216" s="73">
        <v>0.0</v>
      </c>
      <c r="AA216" s="73">
        <v>0.0</v>
      </c>
      <c r="AB216" s="73">
        <v>0.0</v>
      </c>
      <c r="AC216" s="73">
        <v>0.0</v>
      </c>
      <c r="AD216" s="73">
        <v>1.0</v>
      </c>
      <c r="AE216" s="73">
        <v>0.0</v>
      </c>
      <c r="AF216" s="13">
        <f t="shared" si="43"/>
        <v>8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3">
        <f t="shared" si="43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3">
        <f t="shared" si="43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3">
        <f t="shared" si="43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3">
        <f t="shared" si="43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3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3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F223" si="44">SUM(E213:E222)</f>
        <v>1</v>
      </c>
      <c r="F223" s="13">
        <f t="shared" si="44"/>
        <v>3</v>
      </c>
      <c r="G223" s="13">
        <f t="shared" si="44"/>
        <v>2</v>
      </c>
      <c r="H223" s="13">
        <f t="shared" si="44"/>
        <v>1</v>
      </c>
      <c r="I223" s="13">
        <f t="shared" si="44"/>
        <v>1</v>
      </c>
      <c r="J223" s="13">
        <f t="shared" si="44"/>
        <v>5</v>
      </c>
      <c r="K223" s="13">
        <f t="shared" si="44"/>
        <v>1</v>
      </c>
      <c r="L223" s="13">
        <f t="shared" si="44"/>
        <v>1</v>
      </c>
      <c r="M223" s="13">
        <f t="shared" si="44"/>
        <v>1</v>
      </c>
      <c r="N223" s="13">
        <f t="shared" si="44"/>
        <v>3</v>
      </c>
      <c r="O223" s="13">
        <f t="shared" si="44"/>
        <v>2</v>
      </c>
      <c r="P223" s="13">
        <f t="shared" si="44"/>
        <v>0</v>
      </c>
      <c r="Q223" s="13">
        <f t="shared" si="44"/>
        <v>5</v>
      </c>
      <c r="R223" s="13">
        <f t="shared" si="44"/>
        <v>3</v>
      </c>
      <c r="S223" s="13">
        <f t="shared" si="44"/>
        <v>8</v>
      </c>
      <c r="T223" s="13">
        <f t="shared" si="44"/>
        <v>11</v>
      </c>
      <c r="U223" s="13">
        <f t="shared" si="44"/>
        <v>5</v>
      </c>
      <c r="V223" s="13">
        <f t="shared" si="44"/>
        <v>4</v>
      </c>
      <c r="W223" s="13">
        <f t="shared" si="44"/>
        <v>1</v>
      </c>
      <c r="X223" s="13">
        <f t="shared" si="44"/>
        <v>3</v>
      </c>
      <c r="Y223" s="13">
        <f t="shared" si="44"/>
        <v>1</v>
      </c>
      <c r="Z223" s="13">
        <f t="shared" si="44"/>
        <v>4</v>
      </c>
      <c r="AA223" s="13">
        <f t="shared" si="44"/>
        <v>2</v>
      </c>
      <c r="AB223" s="13">
        <f t="shared" si="44"/>
        <v>0</v>
      </c>
      <c r="AC223" s="13">
        <f t="shared" si="44"/>
        <v>1</v>
      </c>
      <c r="AD223" s="13">
        <f t="shared" si="44"/>
        <v>4</v>
      </c>
      <c r="AE223" s="13">
        <f t="shared" si="44"/>
        <v>3</v>
      </c>
      <c r="AF223" s="13">
        <f t="shared" si="44"/>
        <v>76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1.0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1.0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1.0</v>
      </c>
      <c r="AB225" s="73">
        <v>0.0</v>
      </c>
      <c r="AC225" s="73">
        <v>0.0</v>
      </c>
      <c r="AD225" s="73">
        <v>0.0</v>
      </c>
      <c r="AE225" s="73">
        <v>0.0</v>
      </c>
      <c r="AF225" s="13">
        <f t="shared" ref="AF225:AF234" si="45">SUM(E225:AE225)</f>
        <v>3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1.0</v>
      </c>
      <c r="F226" s="73">
        <v>1.0</v>
      </c>
      <c r="G226" s="73">
        <v>0.0</v>
      </c>
      <c r="H226" s="73">
        <v>0.0</v>
      </c>
      <c r="I226" s="73">
        <v>1.0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1.0</v>
      </c>
      <c r="Q226" s="73">
        <v>2.0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0.0</v>
      </c>
      <c r="AD226" s="73">
        <v>1.0</v>
      </c>
      <c r="AE226" s="73">
        <v>0.0</v>
      </c>
      <c r="AF226" s="13">
        <f t="shared" si="45"/>
        <v>8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1.0</v>
      </c>
      <c r="R227" s="73">
        <v>0.0</v>
      </c>
      <c r="S227" s="73">
        <v>0.0</v>
      </c>
      <c r="T227" s="73">
        <v>0.0</v>
      </c>
      <c r="U227" s="73">
        <v>0.0</v>
      </c>
      <c r="V227" s="73">
        <v>1.0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13">
        <f t="shared" si="45"/>
        <v>2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1.0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1.0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13">
        <f t="shared" si="45"/>
        <v>2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13">
        <f t="shared" si="45"/>
        <v>0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3">
        <f t="shared" si="45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3">
        <f t="shared" si="45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3">
        <f t="shared" si="45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5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5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F235" si="46">SUM(E225:E234)</f>
        <v>1</v>
      </c>
      <c r="F235" s="13">
        <f t="shared" si="46"/>
        <v>2</v>
      </c>
      <c r="G235" s="13">
        <f t="shared" si="46"/>
        <v>0</v>
      </c>
      <c r="H235" s="13">
        <f t="shared" si="46"/>
        <v>0</v>
      </c>
      <c r="I235" s="13">
        <f t="shared" si="46"/>
        <v>1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4</v>
      </c>
      <c r="R235" s="13">
        <f t="shared" si="46"/>
        <v>0</v>
      </c>
      <c r="S235" s="13">
        <f t="shared" si="46"/>
        <v>1</v>
      </c>
      <c r="T235" s="13">
        <f t="shared" si="46"/>
        <v>0</v>
      </c>
      <c r="U235" s="13">
        <f t="shared" si="46"/>
        <v>0</v>
      </c>
      <c r="V235" s="13">
        <f t="shared" si="46"/>
        <v>1</v>
      </c>
      <c r="W235" s="13">
        <f t="shared" si="46"/>
        <v>0</v>
      </c>
      <c r="X235" s="13">
        <f t="shared" si="46"/>
        <v>1</v>
      </c>
      <c r="Y235" s="13">
        <f t="shared" si="46"/>
        <v>0</v>
      </c>
      <c r="Z235" s="13">
        <f t="shared" si="46"/>
        <v>0</v>
      </c>
      <c r="AA235" s="13">
        <f t="shared" si="46"/>
        <v>1</v>
      </c>
      <c r="AB235" s="13">
        <f t="shared" si="46"/>
        <v>1</v>
      </c>
      <c r="AC235" s="13">
        <f t="shared" si="46"/>
        <v>0</v>
      </c>
      <c r="AD235" s="13">
        <f t="shared" si="46"/>
        <v>1</v>
      </c>
      <c r="AE235" s="13">
        <f t="shared" si="46"/>
        <v>0</v>
      </c>
      <c r="AF235" s="13">
        <f t="shared" si="46"/>
        <v>15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1.0</v>
      </c>
      <c r="G237" s="73">
        <v>1.0</v>
      </c>
      <c r="H237" s="73">
        <v>2.0</v>
      </c>
      <c r="I237" s="73">
        <v>2.0</v>
      </c>
      <c r="J237" s="73">
        <v>1.0</v>
      </c>
      <c r="K237" s="73">
        <v>1.0</v>
      </c>
      <c r="L237" s="73">
        <v>1.0</v>
      </c>
      <c r="M237" s="73">
        <v>2.0</v>
      </c>
      <c r="N237" s="73">
        <v>0.0</v>
      </c>
      <c r="O237" s="73">
        <v>1.0</v>
      </c>
      <c r="P237" s="73">
        <v>0.0</v>
      </c>
      <c r="Q237" s="73">
        <v>0.0</v>
      </c>
      <c r="R237" s="73">
        <v>0.0</v>
      </c>
      <c r="S237" s="73">
        <v>0.0</v>
      </c>
      <c r="T237" s="73">
        <v>1.0</v>
      </c>
      <c r="U237" s="73">
        <v>0.0</v>
      </c>
      <c r="V237" s="73">
        <v>1.0</v>
      </c>
      <c r="W237" s="73">
        <v>1.0</v>
      </c>
      <c r="X237" s="73">
        <v>1.0</v>
      </c>
      <c r="Y237" s="73">
        <v>0.0</v>
      </c>
      <c r="Z237" s="73">
        <v>0.0</v>
      </c>
      <c r="AA237" s="73">
        <v>1.0</v>
      </c>
      <c r="AB237" s="73">
        <v>0.0</v>
      </c>
      <c r="AC237" s="73">
        <v>1.0</v>
      </c>
      <c r="AD237" s="73">
        <v>0.0</v>
      </c>
      <c r="AE237" s="73">
        <v>2.0</v>
      </c>
      <c r="AF237" s="13">
        <f t="shared" ref="AF237:AF246" si="47">SUM(E237:AE237)</f>
        <v>20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2.0</v>
      </c>
      <c r="F238" s="73">
        <v>2.0</v>
      </c>
      <c r="G238" s="73">
        <v>1.0</v>
      </c>
      <c r="H238" s="73">
        <v>0.0</v>
      </c>
      <c r="I238" s="73">
        <v>0.0</v>
      </c>
      <c r="J238" s="73">
        <v>2.0</v>
      </c>
      <c r="K238" s="73">
        <v>0.0</v>
      </c>
      <c r="L238" s="73">
        <v>0.0</v>
      </c>
      <c r="M238" s="73">
        <v>0.0</v>
      </c>
      <c r="N238" s="73">
        <v>1.0</v>
      </c>
      <c r="O238" s="73">
        <v>0.0</v>
      </c>
      <c r="P238" s="73">
        <v>0.0</v>
      </c>
      <c r="Q238" s="73">
        <v>1.0</v>
      </c>
      <c r="R238" s="73">
        <v>1.0</v>
      </c>
      <c r="S238" s="73">
        <v>0.0</v>
      </c>
      <c r="T238" s="73">
        <v>0.0</v>
      </c>
      <c r="U238" s="73">
        <v>0.0</v>
      </c>
      <c r="V238" s="73">
        <v>0.0</v>
      </c>
      <c r="W238" s="73">
        <v>0.0</v>
      </c>
      <c r="X238" s="73">
        <v>1.0</v>
      </c>
      <c r="Y238" s="73">
        <v>1.0</v>
      </c>
      <c r="Z238" s="73">
        <v>0.0</v>
      </c>
      <c r="AA238" s="73">
        <v>0.0</v>
      </c>
      <c r="AB238" s="73">
        <v>2.0</v>
      </c>
      <c r="AC238" s="73">
        <v>0.0</v>
      </c>
      <c r="AD238" s="73">
        <v>1.0</v>
      </c>
      <c r="AE238" s="73">
        <v>2.0</v>
      </c>
      <c r="AF238" s="13">
        <f t="shared" si="47"/>
        <v>17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0.0</v>
      </c>
      <c r="G239" s="73">
        <v>1.0</v>
      </c>
      <c r="H239" s="73">
        <v>1.0</v>
      </c>
      <c r="I239" s="73">
        <v>3.0</v>
      </c>
      <c r="J239" s="73">
        <v>0.0</v>
      </c>
      <c r="K239" s="73">
        <v>0.0</v>
      </c>
      <c r="L239" s="73">
        <v>0.0</v>
      </c>
      <c r="M239" s="73">
        <v>1.0</v>
      </c>
      <c r="N239" s="73">
        <v>1.0</v>
      </c>
      <c r="O239" s="73">
        <v>0.0</v>
      </c>
      <c r="P239" s="73">
        <v>1.0</v>
      </c>
      <c r="Q239" s="73">
        <v>0.0</v>
      </c>
      <c r="R239" s="73">
        <v>0.0</v>
      </c>
      <c r="S239" s="73">
        <v>0.0</v>
      </c>
      <c r="T239" s="73">
        <v>0.0</v>
      </c>
      <c r="U239" s="73">
        <v>1.0</v>
      </c>
      <c r="V239" s="73">
        <v>0.0</v>
      </c>
      <c r="W239" s="73">
        <v>0.0</v>
      </c>
      <c r="X239" s="73">
        <v>3.0</v>
      </c>
      <c r="Y239" s="73">
        <v>2.0</v>
      </c>
      <c r="Z239" s="73">
        <v>1.0</v>
      </c>
      <c r="AA239" s="73">
        <v>0.0</v>
      </c>
      <c r="AB239" s="73">
        <v>0.0</v>
      </c>
      <c r="AC239" s="73">
        <v>1.0</v>
      </c>
      <c r="AD239" s="73">
        <v>0.0</v>
      </c>
      <c r="AE239" s="73">
        <v>7.0</v>
      </c>
      <c r="AF239" s="13">
        <f t="shared" si="47"/>
        <v>23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1.0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13">
        <f t="shared" si="47"/>
        <v>1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1.0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13">
        <f t="shared" si="47"/>
        <v>1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2.0</v>
      </c>
      <c r="I242" s="73">
        <v>0.0</v>
      </c>
      <c r="J242" s="73">
        <v>0.0</v>
      </c>
      <c r="K242" s="73">
        <v>0.0</v>
      </c>
      <c r="L242" s="73">
        <v>1.0</v>
      </c>
      <c r="M242" s="73">
        <v>2.0</v>
      </c>
      <c r="N242" s="73">
        <v>0.0</v>
      </c>
      <c r="O242" s="73">
        <v>3.0</v>
      </c>
      <c r="P242" s="73">
        <v>1.0</v>
      </c>
      <c r="Q242" s="73">
        <v>0.0</v>
      </c>
      <c r="R242" s="73">
        <v>0.0</v>
      </c>
      <c r="S242" s="73">
        <v>1.0</v>
      </c>
      <c r="T242" s="73">
        <v>0.0</v>
      </c>
      <c r="U242" s="73">
        <v>1.0</v>
      </c>
      <c r="V242" s="73">
        <v>2.0</v>
      </c>
      <c r="W242" s="73">
        <v>0.0</v>
      </c>
      <c r="X242" s="73">
        <v>0.0</v>
      </c>
      <c r="Y242" s="73">
        <v>2.0</v>
      </c>
      <c r="Z242" s="73">
        <v>1.0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1.0</v>
      </c>
      <c r="AF242" s="13">
        <f t="shared" si="47"/>
        <v>17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1.0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73">
        <v>1.0</v>
      </c>
      <c r="AF243" s="13">
        <f t="shared" si="47"/>
        <v>2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1.0</v>
      </c>
      <c r="L244" s="73">
        <v>0.0</v>
      </c>
      <c r="M244" s="73">
        <v>0.0</v>
      </c>
      <c r="N244" s="73">
        <v>1.0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1.0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1.0</v>
      </c>
      <c r="AF244" s="13">
        <f t="shared" si="47"/>
        <v>4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1.0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13">
        <f t="shared" si="47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1.0</v>
      </c>
      <c r="O246" s="73">
        <v>0.0</v>
      </c>
      <c r="P246" s="73">
        <v>0.0</v>
      </c>
      <c r="Q246" s="73">
        <v>0.0</v>
      </c>
      <c r="R246" s="73">
        <v>1.0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1.0</v>
      </c>
      <c r="AC246" s="73">
        <v>0.0</v>
      </c>
      <c r="AD246" s="73">
        <v>1.0</v>
      </c>
      <c r="AE246" s="73">
        <v>0.0</v>
      </c>
      <c r="AF246" s="13">
        <f t="shared" si="47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F247" si="48">SUM(E237:E246)</f>
        <v>2</v>
      </c>
      <c r="F247" s="13">
        <f t="shared" si="48"/>
        <v>4</v>
      </c>
      <c r="G247" s="13">
        <f t="shared" si="48"/>
        <v>4</v>
      </c>
      <c r="H247" s="13">
        <f t="shared" si="48"/>
        <v>5</v>
      </c>
      <c r="I247" s="13">
        <f t="shared" si="48"/>
        <v>5</v>
      </c>
      <c r="J247" s="13">
        <f t="shared" si="48"/>
        <v>3</v>
      </c>
      <c r="K247" s="13">
        <f t="shared" si="48"/>
        <v>2</v>
      </c>
      <c r="L247" s="13">
        <f t="shared" si="48"/>
        <v>2</v>
      </c>
      <c r="M247" s="13">
        <f t="shared" si="48"/>
        <v>6</v>
      </c>
      <c r="N247" s="13">
        <f t="shared" si="48"/>
        <v>4</v>
      </c>
      <c r="O247" s="13">
        <f t="shared" si="48"/>
        <v>4</v>
      </c>
      <c r="P247" s="13">
        <f t="shared" si="48"/>
        <v>2</v>
      </c>
      <c r="Q247" s="13">
        <f t="shared" si="48"/>
        <v>1</v>
      </c>
      <c r="R247" s="13">
        <f t="shared" si="48"/>
        <v>2</v>
      </c>
      <c r="S247" s="13">
        <f t="shared" si="48"/>
        <v>1</v>
      </c>
      <c r="T247" s="13">
        <f t="shared" si="48"/>
        <v>1</v>
      </c>
      <c r="U247" s="13">
        <f t="shared" si="48"/>
        <v>3</v>
      </c>
      <c r="V247" s="13">
        <f t="shared" si="48"/>
        <v>3</v>
      </c>
      <c r="W247" s="13">
        <f t="shared" si="48"/>
        <v>1</v>
      </c>
      <c r="X247" s="13">
        <f t="shared" si="48"/>
        <v>6</v>
      </c>
      <c r="Y247" s="13">
        <f t="shared" si="48"/>
        <v>5</v>
      </c>
      <c r="Z247" s="13">
        <f t="shared" si="48"/>
        <v>2</v>
      </c>
      <c r="AA247" s="13">
        <f t="shared" si="48"/>
        <v>1</v>
      </c>
      <c r="AB247" s="13">
        <f t="shared" si="48"/>
        <v>3</v>
      </c>
      <c r="AC247" s="13">
        <f t="shared" si="48"/>
        <v>2</v>
      </c>
      <c r="AD247" s="13">
        <f t="shared" si="48"/>
        <v>2</v>
      </c>
      <c r="AE247" s="13">
        <f t="shared" si="48"/>
        <v>14</v>
      </c>
      <c r="AF247" s="13">
        <f t="shared" si="48"/>
        <v>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1.0</v>
      </c>
      <c r="Q249" s="73">
        <v>0.0</v>
      </c>
      <c r="R249" s="73">
        <v>0.0</v>
      </c>
      <c r="S249" s="73">
        <v>0.0</v>
      </c>
      <c r="T249" s="73">
        <v>0.0</v>
      </c>
      <c r="U249" s="73">
        <v>2.0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13">
        <f t="shared" ref="AF249:AF258" si="49">SUM(E249:AE249)</f>
        <v>4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1.0</v>
      </c>
      <c r="M250" s="73">
        <v>0.0</v>
      </c>
      <c r="N250" s="73">
        <v>0.0</v>
      </c>
      <c r="O250" s="73">
        <v>1.0</v>
      </c>
      <c r="P250" s="73">
        <v>3.0</v>
      </c>
      <c r="Q250" s="73">
        <v>1.0</v>
      </c>
      <c r="R250" s="73">
        <v>0.0</v>
      </c>
      <c r="S250" s="73">
        <v>0.0</v>
      </c>
      <c r="T250" s="73">
        <v>3.0</v>
      </c>
      <c r="U250" s="73">
        <v>3.0</v>
      </c>
      <c r="V250" s="73">
        <v>1.0</v>
      </c>
      <c r="W250" s="73">
        <v>0.0</v>
      </c>
      <c r="X250" s="73">
        <v>1.0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1.0</v>
      </c>
      <c r="AF250" s="13">
        <f t="shared" si="49"/>
        <v>15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1.0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13">
        <f t="shared" si="49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13">
        <f t="shared" si="49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F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2</v>
      </c>
      <c r="M259" s="13">
        <f t="shared" si="50"/>
        <v>0</v>
      </c>
      <c r="N259" s="13">
        <f t="shared" si="50"/>
        <v>0</v>
      </c>
      <c r="O259" s="13">
        <f t="shared" si="50"/>
        <v>1</v>
      </c>
      <c r="P259" s="13">
        <f t="shared" si="50"/>
        <v>4</v>
      </c>
      <c r="Q259" s="13">
        <f t="shared" si="50"/>
        <v>1</v>
      </c>
      <c r="R259" s="13">
        <f t="shared" si="50"/>
        <v>0</v>
      </c>
      <c r="S259" s="13">
        <f t="shared" si="50"/>
        <v>0</v>
      </c>
      <c r="T259" s="13">
        <f t="shared" si="50"/>
        <v>3</v>
      </c>
      <c r="U259" s="13">
        <f t="shared" si="50"/>
        <v>5</v>
      </c>
      <c r="V259" s="13">
        <f t="shared" si="50"/>
        <v>1</v>
      </c>
      <c r="W259" s="13">
        <f t="shared" si="50"/>
        <v>0</v>
      </c>
      <c r="X259" s="13">
        <f t="shared" si="50"/>
        <v>1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1</v>
      </c>
      <c r="AF259" s="13">
        <f t="shared" si="50"/>
        <v>20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E262" si="51">E55+E67+E79+E91+E103+E115+E127+E139+E151+E163+E175+E187+E199+E211+E223+E235+E247+E259</f>
        <v>180</v>
      </c>
      <c r="F262" s="19">
        <f t="shared" si="51"/>
        <v>175</v>
      </c>
      <c r="G262" s="19">
        <f t="shared" si="51"/>
        <v>196</v>
      </c>
      <c r="H262" s="19">
        <f t="shared" si="51"/>
        <v>196</v>
      </c>
      <c r="I262" s="19">
        <f t="shared" si="51"/>
        <v>184</v>
      </c>
      <c r="J262" s="19">
        <f t="shared" si="51"/>
        <v>193</v>
      </c>
      <c r="K262" s="19">
        <f t="shared" si="51"/>
        <v>227</v>
      </c>
      <c r="L262" s="19">
        <f t="shared" si="51"/>
        <v>228</v>
      </c>
      <c r="M262" s="19">
        <f t="shared" si="51"/>
        <v>194</v>
      </c>
      <c r="N262" s="19">
        <f t="shared" si="51"/>
        <v>192</v>
      </c>
      <c r="O262" s="19">
        <f t="shared" si="51"/>
        <v>183</v>
      </c>
      <c r="P262" s="19">
        <f t="shared" si="51"/>
        <v>211</v>
      </c>
      <c r="Q262" s="19">
        <f t="shared" si="51"/>
        <v>189</v>
      </c>
      <c r="R262" s="19">
        <f t="shared" si="51"/>
        <v>196</v>
      </c>
      <c r="S262" s="19">
        <f t="shared" si="51"/>
        <v>189</v>
      </c>
      <c r="T262" s="19">
        <f t="shared" si="51"/>
        <v>196</v>
      </c>
      <c r="U262" s="19">
        <f t="shared" si="51"/>
        <v>174</v>
      </c>
      <c r="V262" s="19">
        <f t="shared" si="51"/>
        <v>197</v>
      </c>
      <c r="W262" s="19">
        <f t="shared" si="51"/>
        <v>156</v>
      </c>
      <c r="X262" s="19">
        <f t="shared" si="51"/>
        <v>178</v>
      </c>
      <c r="Y262" s="19">
        <f t="shared" si="51"/>
        <v>199</v>
      </c>
      <c r="Z262" s="19">
        <f t="shared" si="51"/>
        <v>181</v>
      </c>
      <c r="AA262" s="19">
        <f t="shared" si="51"/>
        <v>182</v>
      </c>
      <c r="AB262" s="19">
        <f t="shared" si="51"/>
        <v>202</v>
      </c>
      <c r="AC262" s="19">
        <f t="shared" si="51"/>
        <v>148</v>
      </c>
      <c r="AD262" s="19">
        <f t="shared" si="51"/>
        <v>195</v>
      </c>
      <c r="AE262" s="19">
        <f t="shared" si="51"/>
        <v>193</v>
      </c>
      <c r="AF262" s="13">
        <f t="shared" ref="AF262:AF264" si="52">SUM(E262:AE262)</f>
        <v>5134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18.0</v>
      </c>
      <c r="F263" s="73">
        <v>18.0</v>
      </c>
      <c r="G263" s="73">
        <v>21.0</v>
      </c>
      <c r="H263" s="73">
        <v>30.0</v>
      </c>
      <c r="I263" s="73">
        <v>32.0</v>
      </c>
      <c r="J263" s="73">
        <v>21.0</v>
      </c>
      <c r="K263" s="73">
        <v>15.0</v>
      </c>
      <c r="L263" s="73">
        <v>10.0</v>
      </c>
      <c r="M263" s="73">
        <v>23.0</v>
      </c>
      <c r="N263" s="73">
        <v>21.0</v>
      </c>
      <c r="O263" s="73">
        <v>23.0</v>
      </c>
      <c r="P263" s="73">
        <v>15.0</v>
      </c>
      <c r="Q263" s="73">
        <v>27.0</v>
      </c>
      <c r="R263" s="73">
        <v>22.0</v>
      </c>
      <c r="S263" s="73">
        <v>24.0</v>
      </c>
      <c r="T263" s="73">
        <v>16.0</v>
      </c>
      <c r="U263" s="73">
        <v>17.0</v>
      </c>
      <c r="V263" s="73">
        <v>26.0</v>
      </c>
      <c r="W263" s="73">
        <v>38.0</v>
      </c>
      <c r="X263" s="73">
        <v>33.0</v>
      </c>
      <c r="Y263" s="73">
        <v>18.0</v>
      </c>
      <c r="Z263" s="73">
        <v>9.0</v>
      </c>
      <c r="AA263" s="73">
        <v>20.0</v>
      </c>
      <c r="AB263" s="73">
        <v>9.0</v>
      </c>
      <c r="AC263" s="73">
        <v>34.0</v>
      </c>
      <c r="AD263" s="73">
        <v>7.0</v>
      </c>
      <c r="AE263" s="73">
        <v>32.0</v>
      </c>
      <c r="AF263" s="13">
        <f t="shared" si="52"/>
        <v>579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E264" si="53">SUM(E262:E263)</f>
        <v>198</v>
      </c>
      <c r="F264" s="13">
        <f t="shared" si="53"/>
        <v>193</v>
      </c>
      <c r="G264" s="13">
        <f t="shared" si="53"/>
        <v>217</v>
      </c>
      <c r="H264" s="13">
        <f t="shared" si="53"/>
        <v>226</v>
      </c>
      <c r="I264" s="13">
        <f t="shared" si="53"/>
        <v>216</v>
      </c>
      <c r="J264" s="13">
        <f t="shared" si="53"/>
        <v>214</v>
      </c>
      <c r="K264" s="13">
        <f t="shared" si="53"/>
        <v>242</v>
      </c>
      <c r="L264" s="13">
        <f t="shared" si="53"/>
        <v>238</v>
      </c>
      <c r="M264" s="13">
        <f t="shared" si="53"/>
        <v>217</v>
      </c>
      <c r="N264" s="13">
        <f t="shared" si="53"/>
        <v>213</v>
      </c>
      <c r="O264" s="13">
        <f t="shared" si="53"/>
        <v>206</v>
      </c>
      <c r="P264" s="13">
        <f t="shared" si="53"/>
        <v>226</v>
      </c>
      <c r="Q264" s="13">
        <f t="shared" si="53"/>
        <v>216</v>
      </c>
      <c r="R264" s="13">
        <f t="shared" si="53"/>
        <v>218</v>
      </c>
      <c r="S264" s="13">
        <f t="shared" si="53"/>
        <v>213</v>
      </c>
      <c r="T264" s="13">
        <f t="shared" si="53"/>
        <v>212</v>
      </c>
      <c r="U264" s="13">
        <f t="shared" si="53"/>
        <v>191</v>
      </c>
      <c r="V264" s="13">
        <f t="shared" si="53"/>
        <v>223</v>
      </c>
      <c r="W264" s="13">
        <f t="shared" si="53"/>
        <v>194</v>
      </c>
      <c r="X264" s="13">
        <f t="shared" si="53"/>
        <v>211</v>
      </c>
      <c r="Y264" s="13">
        <f t="shared" si="53"/>
        <v>217</v>
      </c>
      <c r="Z264" s="13">
        <f t="shared" si="53"/>
        <v>190</v>
      </c>
      <c r="AA264" s="13">
        <f t="shared" si="53"/>
        <v>202</v>
      </c>
      <c r="AB264" s="13">
        <f t="shared" si="53"/>
        <v>211</v>
      </c>
      <c r="AC264" s="13">
        <f t="shared" si="53"/>
        <v>182</v>
      </c>
      <c r="AD264" s="13">
        <f t="shared" si="53"/>
        <v>202</v>
      </c>
      <c r="AE264" s="13">
        <f t="shared" si="53"/>
        <v>225</v>
      </c>
      <c r="AF264" s="13">
        <f t="shared" si="52"/>
        <v>5713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